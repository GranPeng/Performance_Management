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gran/Library/Mobile Documents/com~apple~CloudDocs/工作空间/工作文件WIP/1.进行中/1.中期预算调整项目/3.outputs/3.岗位绩效/"/>
    </mc:Choice>
  </mc:AlternateContent>
  <xr:revisionPtr revIDLastSave="0" documentId="13_ncr:1_{10914B3D-4FD7-EF47-A419-DB8209EE22D8}" xr6:coauthVersionLast="47" xr6:coauthVersionMax="47" xr10:uidLastSave="{00000000-0000-0000-0000-000000000000}"/>
  <bookViews>
    <workbookView xWindow="0" yWindow="600" windowWidth="40960" windowHeight="21160" activeTab="7" xr2:uid="{00000000-000D-0000-FFFF-FFFF00000000}"/>
  </bookViews>
  <sheets>
    <sheet name="兴趣电商-运营" sheetId="1" r:id="rId1"/>
    <sheet name="兴趣电商-高级主管" sheetId="2" r:id="rId2"/>
    <sheet name="兴趣电商-广告投放" sheetId="3" r:id="rId3"/>
    <sheet name="兴趣电商-直播中控" sheetId="4" r:id="rId4"/>
    <sheet name="兴趣电商-主播" sheetId="5" r:id="rId5"/>
    <sheet name="兴趣电商-客服" sheetId="6" r:id="rId6"/>
    <sheet name="制作部-编导" sheetId="7" r:id="rId7"/>
    <sheet name="制作部-视频剪辑" sheetId="8" r:id="rId8"/>
    <sheet name="制作部-摄影师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6" l="1"/>
  <c r="L8" i="6"/>
  <c r="L9" i="6"/>
  <c r="L10" i="6"/>
  <c r="L11" i="6"/>
  <c r="L6" i="6"/>
  <c r="Q2" i="2"/>
  <c r="T2" i="2"/>
  <c r="W2" i="2"/>
  <c r="R6" i="2"/>
  <c r="U6" i="2"/>
  <c r="X6" i="2"/>
  <c r="R7" i="2"/>
  <c r="U7" i="2"/>
  <c r="X7" i="2"/>
  <c r="R8" i="2"/>
  <c r="U8" i="2"/>
  <c r="X8" i="2"/>
  <c r="R9" i="2"/>
  <c r="U9" i="2"/>
  <c r="X9" i="2"/>
  <c r="M20" i="2"/>
  <c r="M19" i="2"/>
  <c r="M18" i="2"/>
  <c r="M17" i="2"/>
  <c r="M16" i="2"/>
  <c r="M15" i="2"/>
  <c r="M14" i="2"/>
  <c r="R10" i="2" l="1"/>
  <c r="U10" i="2"/>
  <c r="X10" i="2"/>
  <c r="W14" i="2" l="1"/>
  <c r="X14" i="2"/>
  <c r="T14" i="2"/>
  <c r="U14" i="2"/>
  <c r="Q14" i="2"/>
  <c r="R14" i="2"/>
  <c r="M7" i="1" l="1"/>
  <c r="M8" i="1"/>
  <c r="M9" i="1"/>
  <c r="M6" i="1"/>
  <c r="M15" i="1"/>
  <c r="M16" i="1"/>
  <c r="M17" i="1"/>
  <c r="M18" i="1"/>
  <c r="M19" i="1"/>
  <c r="M20" i="1"/>
  <c r="M14" i="1"/>
  <c r="E11" i="9"/>
  <c r="M10" i="9"/>
  <c r="M9" i="9"/>
  <c r="M8" i="9"/>
  <c r="M7" i="9"/>
  <c r="M6" i="9"/>
  <c r="E11" i="8"/>
  <c r="M10" i="8"/>
  <c r="M9" i="8"/>
  <c r="M8" i="8"/>
  <c r="M7" i="8"/>
  <c r="M6" i="8"/>
  <c r="L12" i="6"/>
  <c r="E12" i="6"/>
  <c r="E10" i="5"/>
  <c r="M9" i="5"/>
  <c r="M8" i="5"/>
  <c r="M7" i="5"/>
  <c r="M6" i="5"/>
  <c r="E12" i="4"/>
  <c r="M11" i="4"/>
  <c r="M10" i="4"/>
  <c r="M9" i="4"/>
  <c r="M8" i="4"/>
  <c r="M7" i="4"/>
  <c r="M6" i="4"/>
  <c r="E11" i="3"/>
  <c r="M10" i="3"/>
  <c r="M9" i="3"/>
  <c r="M8" i="3"/>
  <c r="M7" i="3"/>
  <c r="M6" i="3"/>
  <c r="E10" i="2"/>
  <c r="M9" i="2"/>
  <c r="M8" i="2"/>
  <c r="M7" i="2"/>
  <c r="M6" i="2"/>
  <c r="E10" i="1"/>
  <c r="E12" i="7"/>
  <c r="M11" i="7"/>
  <c r="M10" i="7"/>
  <c r="M9" i="7"/>
  <c r="M8" i="7"/>
  <c r="M7" i="7"/>
  <c r="M6" i="7"/>
  <c r="M11" i="9" l="1"/>
  <c r="M10" i="5"/>
  <c r="M12" i="4"/>
  <c r="M11" i="8"/>
  <c r="M10" i="2"/>
  <c r="M12" i="7"/>
  <c r="M11" i="3"/>
  <c r="M10" i="1"/>
</calcChain>
</file>

<file path=xl/sharedStrings.xml><?xml version="1.0" encoding="utf-8"?>
<sst xmlns="http://schemas.openxmlformats.org/spreadsheetml/2006/main" count="650" uniqueCount="198">
  <si>
    <t>岗位绩效责任书</t>
  </si>
  <si>
    <t>部门：</t>
  </si>
  <si>
    <t>兴趣电商部</t>
  </si>
  <si>
    <t>岗位：</t>
  </si>
  <si>
    <t>兴趣电商运营</t>
  </si>
  <si>
    <t>姓名：</t>
  </si>
  <si>
    <t>编号</t>
  </si>
  <si>
    <t>评价维度</t>
  </si>
  <si>
    <t>指标项目</t>
  </si>
  <si>
    <t>指标权重</t>
  </si>
  <si>
    <t>目标</t>
  </si>
  <si>
    <t>计算公式</t>
  </si>
  <si>
    <t>单位</t>
  </si>
  <si>
    <t>评分标准</t>
  </si>
  <si>
    <t>数据来源</t>
  </si>
  <si>
    <t>评价周期</t>
  </si>
  <si>
    <t>完成结果</t>
  </si>
  <si>
    <t>最终得分</t>
  </si>
  <si>
    <t>组织指标</t>
  </si>
  <si>
    <t>团队GSV营收目标达成率</t>
  </si>
  <si>
    <t>确保所负责渠道退货后营收（GSV）对照预算目标的达成率</t>
  </si>
  <si>
    <t>达成率=实际GSV达成/预算目标GSV达成</t>
  </si>
  <si>
    <t>%</t>
  </si>
  <si>
    <t>达成率≥100%：按照实际达成取两位小数点计入该项目分，最高150分。
100%＞达成率≥80%，90分
80%＞达成率≥60%，60分
60%＞达成率，0分</t>
  </si>
  <si>
    <t>平台数据</t>
  </si>
  <si>
    <t>核算时间：每月5日完成绩效绩效核算
取值范围：上月整月</t>
  </si>
  <si>
    <t>团队ROI签收目标达成率</t>
  </si>
  <si>
    <t>确保所负责渠道签收ROI对照预算目标的达成率</t>
  </si>
  <si>
    <t>达成率=实际签收ROI/预算目标签收ROI</t>
  </si>
  <si>
    <t>达成率≥90%：按照实际达成取两位小数点计入该项目分，最高150分。
90%＞达成率≥80%，60分
90%＞达成率，0分</t>
  </si>
  <si>
    <t>岗位指标</t>
  </si>
  <si>
    <t>店铺运营能力</t>
  </si>
  <si>
    <t>/</t>
  </si>
  <si>
    <t>0-60分，差：违规频繁，基础问题出错
60-80分，合格：直播节奏稳定，日常工作零失误
80-100分，优秀：研究平台活动，提报跟进及时，主动做好活动规划和执行</t>
  </si>
  <si>
    <t>部门负责人</t>
  </si>
  <si>
    <t>团队管理及组织能力</t>
  </si>
  <si>
    <t>0-60分，差：管理主播、中控均杂乱无章
60-80分，合格：带领主播、中控正常完成工作
80-100分，优秀：有组织、有条理，主播、中控积极性高</t>
  </si>
  <si>
    <t>合计</t>
  </si>
  <si>
    <t>岗位提成标准说明</t>
  </si>
  <si>
    <t>提成来源</t>
  </si>
  <si>
    <t>提成比例</t>
  </si>
  <si>
    <t>运营店铺GSV</t>
  </si>
  <si>
    <t>兴趣电商运营高级主管</t>
  </si>
  <si>
    <t>跨部门协调</t>
  </si>
  <si>
    <t>0-60分（差）：跨部门沟通缺乏主动性，导致业务进展滞后
60-80分（合格）：发生问题时主动与对应部门沟通，解决问题
80-100分（优秀）：做事有预知，保障产品、价格、投放、物料、售后全链路</t>
  </si>
  <si>
    <t>个人指标</t>
  </si>
  <si>
    <t>0-60分（差）：运营人效低，水平参差不齐，团队稳定性差
60-80分（合格）：统筹各运营小组执行工作零失误
80-100分（优秀）：定期运营技能培训、经验交流、团队高效积极</t>
  </si>
  <si>
    <t>广告投放</t>
  </si>
  <si>
    <t>投中管理</t>
  </si>
  <si>
    <t>0-60分（差）：盯盘不及时，广告操作，预算，空耗控制混乱
60-80分（合格）：盯盘及时，按照要求正确操作广告
80-100分（优秀）：根据月度目标，主动规划广告预算</t>
  </si>
  <si>
    <t>素材管理</t>
  </si>
  <si>
    <t>0-60分（差）：不及时上传新素材，测试节奏缓慢
60-80分（合格）：正常上传素材，及时反馈测试结果
80-100分（优秀）：主动对接素材，沟通素材合规性，制作方向</t>
  </si>
  <si>
    <t>投后复盘</t>
  </si>
  <si>
    <t>0-60分（差）：问题定位不清晰，放量与ROI控制节奏混乱
60-80分（合格）：针对广告，素材问题及时进行基础调整
80-100分（优秀）：问题分析、优化策略、放量方案逻辑清晰</t>
  </si>
  <si>
    <t>投放账户广告消耗</t>
  </si>
  <si>
    <t>直播中控/运营助理</t>
  </si>
  <si>
    <t>确保所负责渠道营收对照预算目标的达成率</t>
  </si>
  <si>
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</si>
  <si>
    <t>店铺链接管理：
产品链接设置/产品编码编辑</t>
  </si>
  <si>
    <t>链接上架、编码编辑及产品价格需保证及时、准确</t>
  </si>
  <si>
    <t>错误次数 = 0 次，得 100 分
错误次数 &lt; 3 次，得 80 分
错误次数 ≥ 3 次，得 0 分</t>
  </si>
  <si>
    <t>客户服务与答疑</t>
  </si>
  <si>
    <t>及时回应顾客的各类咨询，提供专业且实用的建议，同时积极引导有购物意向的观众顺利完成购买流程</t>
  </si>
  <si>
    <t>回复率达到100%，得100分；
漏回复次数少于3次，得60分；
漏回复次数达到或超过3次，得0分。</t>
  </si>
  <si>
    <t>样品管理</t>
  </si>
  <si>
    <t>确保直播间样品，手卡，手机，相机，灯光等工作物料，有序整理</t>
  </si>
  <si>
    <t>0-60分（差）
60-80分（合格）
80-100分（优秀）</t>
  </si>
  <si>
    <t>工作态度</t>
  </si>
  <si>
    <t>理解和遵守公司的各项规章制度、服从上级的指示和命令，不在跟播期间做与工作无关的事情</t>
  </si>
  <si>
    <t>工作能力</t>
  </si>
  <si>
    <t>熟悉操作直播伴侣，巨量百应等工作台，及时调整直播画面问题，出现违规时及时查询反馈具体原因</t>
  </si>
  <si>
    <t>0.1%/中控人数</t>
  </si>
  <si>
    <t>绩效工资*80%</t>
  </si>
  <si>
    <t>绩效工资*100%</t>
  </si>
  <si>
    <t>绩效工资*110%</t>
  </si>
  <si>
    <t>主播</t>
  </si>
  <si>
    <t>个人直播签收ROI达成</t>
  </si>
  <si>
    <t>确保个人直播时段签收ROI对照预算目标的达成率</t>
  </si>
  <si>
    <t>直播话术持续梳理与迭代</t>
  </si>
  <si>
    <t>有创新意识，主动策划直播活动和话术；能够承担大型活动、承受业绩目标</t>
  </si>
  <si>
    <t>理解和遵守公司的各项规章制度、服从上级的指示和命令。充分理解自己的责任和义务，不回避责任</t>
  </si>
  <si>
    <t>对上级的命令，下达的计划，布置的工作能及时贯彻执行，及时提出需要的帮忙或支持，保持状态积极饱满</t>
  </si>
  <si>
    <t>个人直播时段GSV</t>
  </si>
  <si>
    <t>电商客服专员</t>
  </si>
  <si>
    <t>奖励条件及金额/提成标准</t>
  </si>
  <si>
    <t>处罚条件及金额/评分标准</t>
  </si>
  <si>
    <t>接待响应率</t>
  </si>
  <si>
    <t>1. 平均响应时间百分比（按全平台平均值）；
2. 响应率100%（无漏接咨询）</t>
  </si>
  <si>
    <t>全平台响应率＞98%，奖励50元</t>
  </si>
  <si>
    <t>1.全平台月平均响应率＜95%，每低1%扣10元，5分
2.漏接咨询1次扣20元（恶意漏接翻倍），5分</t>
  </si>
  <si>
    <t>平台客服后台数据</t>
  </si>
  <si>
    <t>售前咨询转化标准</t>
  </si>
  <si>
    <t>进线咨询主动给客户推送产品+产品介绍+下单引导</t>
  </si>
  <si>
    <t>1. 成功引导下单转化＞50%奖励100 
2.引导转化＞80%以上奖励200 （拉全平台平均值）</t>
  </si>
  <si>
    <t>1.问一答一无做引导扣10元/次，10分
2. 转化率＜10%，扣100元，10分
3.转化率＜20%扣50（拉全平台月平均值），10分</t>
  </si>
  <si>
    <t>售后挽留</t>
  </si>
  <si>
    <t>1.仅退款挽留2. 退货退款挽留</t>
  </si>
  <si>
    <t>1. 已发货仅退款成功挽留奖5元/单
2. 已收货退货退款挽留奖励10元/单（合规挽留，方式不限）</t>
  </si>
  <si>
    <t>1. 已发货仅退款申请+退货退款未做挽留机制扣5元/单 ，15分
2.已做挽留机制但不成功不扣钱，5分</t>
  </si>
  <si>
    <t>未付款催付+话术</t>
  </si>
  <si>
    <t>结合AI协助话术对未付款催付及时挽单有效；</t>
  </si>
  <si>
    <t>利用有效话术催促未付款订单并有效挽留订单奖5元/单</t>
  </si>
  <si>
    <t>1.下单未付款未及时催付扣5元/次，15分
2.当月催付挽留订单＜10单不扣钱，5分</t>
  </si>
  <si>
    <t>违规词/敏感词/错误回复</t>
  </si>
  <si>
    <t>客服话术上出现违规/敏感词（如：增高，发育，免疫力等）/未按客户问题进行回复，错误答复</t>
  </si>
  <si>
    <t>当月接待聊天记录未出现过一次敏感词，违规词/错误答复，奖励个人50元</t>
  </si>
  <si>
    <t>1.接待过程出现敏感/违规词，未造成影响并及时修改，首次不做处罚，若发现无修改者处罚扣取50元/次 ，3分
2.用词出现违规对店铺造成影响扣200/次并追责，3分
3.接待出现错误答复扣5元/次，4分</t>
  </si>
  <si>
    <t>邀请好评</t>
  </si>
  <si>
    <t>合理邀评晒图</t>
  </si>
  <si>
    <t>当月成功邀请客户评价晒图数超过30次，奖励100元，晒图客数＞50次奖励150元</t>
  </si>
  <si>
    <t>1.未主动邀评，5分
2.拉动好评数＜10条扣50元，5分</t>
  </si>
  <si>
    <t>以奖励条件及金额为准</t>
  </si>
  <si>
    <t>制作部</t>
  </si>
  <si>
    <t>编导</t>
  </si>
  <si>
    <t>团队营收目标达成率</t>
  </si>
  <si>
    <t>云视频管家</t>
  </si>
  <si>
    <t>核算时间：每月5日完成绩效绩效核算
取值范围：上传时间90天内素材的上月整月消耗</t>
  </si>
  <si>
    <t>团队产出数量</t>
  </si>
  <si>
    <t>人均产出=当月项目组剪辑总产出/项目组人数</t>
  </si>
  <si>
    <t>团队产出消耗金额</t>
  </si>
  <si>
    <t>按照个人所带领小组所覆盖项目的整体当月消耗合计，对比目标与达成，计算达成率。
计算范围：成片上传时间90天内。</t>
  </si>
  <si>
    <t>达成率=当月项目组总消耗/项目预算目标消耗值</t>
  </si>
  <si>
    <t>达成率≤80%，0分；
80%＜达成率≤100%，计90分；
达成率大于等于100%，按照实际达成取两位小数点计入该项目分，封顶系数1.5。</t>
  </si>
  <si>
    <t>根据目标制定季度 / 月度内容规划与选题方向，研究行业竞品内容动态、平台算法规则与热门趋势，输出可落地的内容打法，建立公司内容资产库，确保所有内容调性统一、卖点准确</t>
  </si>
  <si>
    <t>跟踪所有内容的发布数据（播放量、完播率、点赞率、转化率等），每周 / 每月组织内容复盘会，分析数据表现，总结成功经验与失败教训，根据数据反馈持续优化内容策略与创作方向，提升内容 ROI</t>
  </si>
  <si>
    <t>负责摄像、剪辑团队的日常管理、绩效考核与技能培训，建立清晰的工作流程与标准，提高团队整体工作效率，关注团队成员工作状态，及时解决工作中出现的问题</t>
  </si>
  <si>
    <t>视频剪辑师</t>
  </si>
  <si>
    <t>个人成片数量</t>
  </si>
  <si>
    <t>当月个人产出不低于150条成片视频，不含机剪视频</t>
  </si>
  <si>
    <t>达成率=个人产出总数/150</t>
  </si>
  <si>
    <t>达成率≤80%，0分；
80%＜达成率≤100%，计80分；
达成率≥100%，按照实际达成取两位小数点计入该项目分，封顶系数1.2。</t>
  </si>
  <si>
    <t>个人成片消耗金额</t>
  </si>
  <si>
    <t>按照“不低于当月项目组总消耗金额的个人均额的90%”的方式计算达成率。
计算范围：成片上传时间90天内。
豁免规则：运行不足90天的新项目得分默认为100分同时不参与计算。</t>
  </si>
  <si>
    <t>个人贡献率公式=个人消耗达成金额/（当月项目总消耗/项目组剪辑人数*0.9）</t>
  </si>
  <si>
    <t>达成率≤80%，0分；
80%＜达成率≤100%，计90分；
达成率≥100%，按照实际达成取两位小数点计入该项目分，封顶系数1.5。</t>
  </si>
  <si>
    <t>1.根据内容主管提供的工单与脚本，完成视频制作工作，持续提升视频观感；
2.根据内容主管的修改意见，及时调整剪辑内容，直到成片审核通过。</t>
  </si>
  <si>
    <t>出现与目标相悖的情况（如文本错误等），单次扣除5分</t>
  </si>
  <si>
    <t>直属内容主管/编导</t>
  </si>
  <si>
    <t>1.负责个人上传成片的文件管理与工程备份，维护分类、归档、以及标签管理工作；
2.根据不同平台的要求，输出相应格式、分辨率与码率的视频文件。</t>
  </si>
  <si>
    <t>出现与目标相悖的情况（如标签、命名混乱等），单次扣除5分</t>
  </si>
  <si>
    <t>个人上传素材广告消耗</t>
  </si>
  <si>
    <t>摄影师</t>
  </si>
  <si>
    <t>个人素材数量</t>
  </si>
  <si>
    <t>当月个人产出完成全部任务工单中的素材实拍/AI生成数量</t>
  </si>
  <si>
    <t>达成率=个人发布工单数/工单任务数</t>
  </si>
  <si>
    <t>达成率≤100%，0分；
达成率≥100%，100分。</t>
  </si>
  <si>
    <t>1.根据内容主管提供的脚本，制定详细的拍摄计划与镜头清单；
2.熟练操作单反、微单、摄像机、稳定器、无人机等各类摄像设备，精通布光技巧；
3.能够根据不同场景与产品特点搭建合适的灯光环境，独立完成产品特写、场景展示、人物采访等各类镜头的拍摄工作；
4.把控拍摄节奏，在规定时间内完成所有拍摄任务，确保素材质量达标</t>
  </si>
  <si>
    <t>出现与目标相悖的情况，单次扣除5分</t>
  </si>
  <si>
    <t>职业素养</t>
  </si>
  <si>
    <t>1.拍摄前与内容主管、运营充分沟通，明确拍摄需求与注意事项；
2.拍摄过程中积极配合内容主管的现场指导，及时调整拍摄方案；
3.协助内容主管完成场地勘景、道具准备、演员调度等工作；
4.拍摄结束后协助整理拍摄场地，归还借用物品。</t>
  </si>
  <si>
    <t>1.拍摄完成后 24 小时内完成素材的导出、备份与分类归档；
2.按照公司统一的命名规则对素材进行命名，确保素材可快速检索；
3.定期整理素材库，删除无用素材，释放存储空间；
4.向剪辑师提供清晰、完整的素材，标注关键镜头位置</t>
  </si>
  <si>
    <t>个人拍摄素材消耗</t>
  </si>
  <si>
    <t>当月所带领剪辑团队人均视频产出不低于140个/人，不含机剪</t>
    <phoneticPr fontId="16" type="noConversion"/>
  </si>
  <si>
    <t>人均产出≥140：按照实际达成取两位小数点计入该项目分，最高120分。
140＞人均产出≥120，80分
120＞人均产出，0分</t>
    <phoneticPr fontId="16" type="noConversion"/>
  </si>
  <si>
    <t>达成率≥90%：按照实际达成取两位小数点计入该项目分，最高150分。
90%＞达成率≥80%，60分
80%＞达成率，0分</t>
    <phoneticPr fontId="16" type="noConversion"/>
  </si>
  <si>
    <t>提成基数</t>
    <phoneticPr fontId="16" type="noConversion"/>
  </si>
  <si>
    <t>得分下限
（包含）</t>
    <phoneticPr fontId="16" type="noConversion"/>
  </si>
  <si>
    <t>得分上限
（不包含）</t>
    <phoneticPr fontId="16" type="noConversion"/>
  </si>
  <si>
    <t>♾️</t>
    <phoneticPr fontId="16" type="noConversion"/>
  </si>
  <si>
    <t>系数比例</t>
    <phoneticPr fontId="16" type="noConversion"/>
  </si>
  <si>
    <t>提成比例</t>
    <phoneticPr fontId="16" type="noConversion"/>
  </si>
  <si>
    <t>达成率≥90%：按照实际达成取两位小数点计入该项目分，最高110分。
90%＞达成率≥85%，85分
85%＞达成率≥80%，80分
80%＞达成率，0分</t>
    <phoneticPr fontId="16" type="noConversion"/>
  </si>
  <si>
    <t>达成率≥100%：按照实际达成取两位小数点计入该项目分，最高150分。
100%＞达成率≥80%，90分
80%＞达成率≥60%，60分
60%＞达成率，0分</t>
    <phoneticPr fontId="16" type="noConversion"/>
  </si>
  <si>
    <t>ROI
得分</t>
    <phoneticPr fontId="16" type="noConversion"/>
  </si>
  <si>
    <t>GSV
得分</t>
    <phoneticPr fontId="16" type="noConversion"/>
  </si>
  <si>
    <t>得分</t>
    <phoneticPr fontId="16" type="noConversion"/>
  </si>
  <si>
    <t>达成率</t>
    <phoneticPr fontId="16" type="noConversion"/>
  </si>
  <si>
    <t>爆款定义</t>
    <phoneticPr fontId="16" type="noConversion"/>
  </si>
  <si>
    <t>激励金额</t>
    <phoneticPr fontId="16" type="noConversion"/>
  </si>
  <si>
    <t>负责项目</t>
    <phoneticPr fontId="16" type="noConversion"/>
  </si>
  <si>
    <t>渠道</t>
    <phoneticPr fontId="16" type="noConversion"/>
  </si>
  <si>
    <t>抖音</t>
    <phoneticPr fontId="16" type="noConversion"/>
  </si>
  <si>
    <t>视频号</t>
    <phoneticPr fontId="16" type="noConversion"/>
  </si>
  <si>
    <t>整项目</t>
    <phoneticPr fontId="16" type="noConversion"/>
  </si>
  <si>
    <t>高个子</t>
    <phoneticPr fontId="16" type="noConversion"/>
  </si>
  <si>
    <t>少年状元</t>
    <phoneticPr fontId="16" type="noConversion"/>
  </si>
  <si>
    <t>骨能</t>
    <phoneticPr fontId="16" type="noConversion"/>
  </si>
  <si>
    <t>按绩效考核，根据得分取提成系数*固定基数</t>
    <phoneticPr fontId="16" type="noConversion"/>
  </si>
  <si>
    <t>考核方式</t>
    <phoneticPr fontId="16" type="noConversion"/>
  </si>
  <si>
    <r>
      <t>按新项目机制考核，享受</t>
    </r>
    <r>
      <rPr>
        <sz val="18"/>
        <color rgb="FFFF0000"/>
        <rFont val="宋体"/>
        <family val="3"/>
        <charset val="134"/>
      </rPr>
      <t>免责提成+达成激励</t>
    </r>
    <phoneticPr fontId="16" type="noConversion"/>
  </si>
  <si>
    <t>*新项目达成激励：新项目免责期内，达成免责期期间预算目标，取项目利润3%作为项目激励</t>
    <phoneticPr fontId="16" type="noConversion"/>
  </si>
  <si>
    <t>*免责提成：新项目免责期内，按照提成基数*0.8作为项目免责提成比例</t>
    <phoneticPr fontId="16" type="noConversion"/>
  </si>
  <si>
    <t>测算用</t>
    <phoneticPr fontId="16" type="noConversion"/>
  </si>
  <si>
    <t>达成</t>
    <phoneticPr fontId="16" type="noConversion"/>
  </si>
  <si>
    <t>目标ROI</t>
    <phoneticPr fontId="16" type="noConversion"/>
  </si>
  <si>
    <t>爆款激励说明</t>
    <phoneticPr fontId="16" type="noConversion"/>
  </si>
  <si>
    <t>说明项</t>
    <phoneticPr fontId="16" type="noConversion"/>
  </si>
  <si>
    <t>明细</t>
    <phoneticPr fontId="16" type="noConversion"/>
  </si>
  <si>
    <t>提成比例
基数*系数</t>
    <phoneticPr fontId="16" type="noConversion"/>
  </si>
  <si>
    <t>考核方式说明</t>
    <phoneticPr fontId="16" type="noConversion"/>
  </si>
  <si>
    <t>暂定单月GSV达成100万or运营两个月</t>
    <phoneticPr fontId="16" type="noConversion"/>
  </si>
  <si>
    <r>
      <t xml:space="preserve">新项目评价周期
</t>
    </r>
    <r>
      <rPr>
        <sz val="18"/>
        <color rgb="FFFF0000"/>
        <rFont val="宋体"/>
        <family val="3"/>
        <charset val="134"/>
      </rPr>
      <t>满足任意条件脱离新项目机制考核</t>
    </r>
    <phoneticPr fontId="16" type="noConversion"/>
  </si>
  <si>
    <t>、</t>
    <phoneticPr fontId="16" type="noConversion"/>
  </si>
  <si>
    <t>岗位提成标准说明</t>
    <phoneticPr fontId="16" type="noConversion"/>
  </si>
  <si>
    <t>绩效工资*90%</t>
    <phoneticPr fontId="16" type="noConversion"/>
  </si>
  <si>
    <t>*这部分运营和高级主管差0.2，运营系数是0.6和之前一致</t>
    <phoneticPr fontId="16" type="noConversion"/>
  </si>
  <si>
    <t>近90天内上传素材单视频消耗超50万</t>
    <phoneticPr fontId="16" type="noConversion"/>
  </si>
  <si>
    <t>除消耗提成外，额外一次性奖励1500元/片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</si>
</sst>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.00_ ;_ * \-#,##0.00_ ;_ * &quot;-&quot;??_ ;_ @_ "/>
    <numFmt numFmtId="177" formatCode="_ * #,##0_ ;_ * \-#,##0_ ;_ * &quot;-&quot;??_ ;_ @_ "/>
    <numFmt numFmtId="178" formatCode="0.0"/>
  </numFmts>
  <fonts count="20">
    <font>
      <sz val="11"/>
      <color theme="1"/>
      <name val="宋体"/>
      <charset val="134"/>
    </font>
    <font>
      <b/>
      <sz val="28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b/>
      <sz val="18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宋体"/>
      <family val="3"/>
      <charset val="134"/>
    </font>
    <font>
      <sz val="11"/>
      <color theme="10"/>
      <name val="宋体"/>
      <family val="3"/>
      <charset val="134"/>
    </font>
    <font>
      <sz val="18"/>
      <name val="宋体"/>
      <family val="3"/>
      <charset val="134"/>
    </font>
    <font>
      <b/>
      <sz val="18"/>
      <name val="宋体"/>
      <family val="3"/>
      <charset val="134"/>
    </font>
    <font>
      <b/>
      <sz val="18"/>
      <color rgb="FFFF0000"/>
      <name val="宋体"/>
      <family val="3"/>
      <charset val="134"/>
    </font>
    <font>
      <sz val="16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FF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6"/>
      <name val="Apple Color Emoji"/>
      <family val="3"/>
    </font>
    <font>
      <sz val="18"/>
      <color rgb="FFFF0000"/>
      <name val="宋体"/>
      <family val="3"/>
      <charset val="134"/>
    </font>
    <font>
      <sz val="18"/>
      <name val="Apple Color Emoji"/>
      <family val="3"/>
    </font>
  </fonts>
  <fills count="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F4E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93B879"/>
      </left>
      <right style="thin">
        <color rgb="FF93B879"/>
      </right>
      <top style="thin">
        <color rgb="FF93B879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70AD47"/>
      </left>
      <right/>
      <top style="thin">
        <color rgb="FF70AD47"/>
      </top>
      <bottom style="thin">
        <color rgb="FF93B879"/>
      </bottom>
      <diagonal/>
    </border>
    <border>
      <left/>
      <right/>
      <top style="thin">
        <color rgb="FF70AD47"/>
      </top>
      <bottom style="thin">
        <color rgb="FF93B879"/>
      </bottom>
      <diagonal/>
    </border>
    <border>
      <left/>
      <right style="thin">
        <color rgb="FF70AD47"/>
      </right>
      <top style="thin">
        <color rgb="FF70AD47"/>
      </top>
      <bottom style="thin">
        <color rgb="FF93B879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  <border>
      <left style="thin">
        <color rgb="FF93B879"/>
      </left>
      <right/>
      <top style="thin">
        <color rgb="FF93B879"/>
      </top>
      <bottom style="thin">
        <color rgb="FFB7B7B7"/>
      </bottom>
      <diagonal/>
    </border>
    <border>
      <left/>
      <right style="thin">
        <color rgb="FF93B879"/>
      </right>
      <top style="thin">
        <color rgb="FF93B879"/>
      </top>
      <bottom style="thin">
        <color rgb="FFB7B7B7"/>
      </bottom>
      <diagonal/>
    </border>
  </borders>
  <cellStyleXfs count="6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15" fillId="0" borderId="0">
      <alignment vertical="center"/>
    </xf>
    <xf numFmtId="176" fontId="13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9" fontId="2" fillId="0" borderId="3" xfId="0" applyNumberFormat="1" applyFont="1" applyBorder="1" applyAlignment="1">
      <alignment vertical="center" wrapText="1"/>
    </xf>
    <xf numFmtId="9" fontId="2" fillId="0" borderId="4" xfId="0" applyNumberFormat="1" applyFont="1" applyBorder="1" applyAlignment="1">
      <alignment vertical="center" wrapText="1"/>
    </xf>
    <xf numFmtId="9" fontId="3" fillId="4" borderId="5" xfId="0" applyNumberFormat="1" applyFont="1" applyFill="1" applyBorder="1" applyAlignment="1">
      <alignment vertic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6" fillId="7" borderId="0" xfId="3" applyFont="1" applyFill="1" applyAlignment="1">
      <alignment horizontal="left" vertical="center"/>
    </xf>
    <xf numFmtId="0" fontId="6" fillId="7" borderId="0" xfId="3" applyFont="1" applyFill="1" applyAlignment="1">
      <alignment horizontal="center" vertical="center"/>
    </xf>
    <xf numFmtId="0" fontId="5" fillId="7" borderId="0" xfId="4" applyFont="1" applyFill="1" applyAlignment="1">
      <alignment vertical="center" wrapText="1"/>
    </xf>
    <xf numFmtId="0" fontId="5" fillId="7" borderId="0" xfId="4" applyFont="1" applyFill="1" applyAlignment="1">
      <alignment horizontal="left" vertical="center" wrapText="1"/>
    </xf>
    <xf numFmtId="0" fontId="3" fillId="7" borderId="0" xfId="4" applyFont="1" applyFill="1" applyAlignment="1">
      <alignment vertical="center" wrapText="1"/>
    </xf>
    <xf numFmtId="0" fontId="0" fillId="7" borderId="0" xfId="4" applyFont="1" applyFill="1" applyAlignment="1">
      <alignment wrapText="1"/>
    </xf>
    <xf numFmtId="0" fontId="0" fillId="7" borderId="0" xfId="4" applyFont="1" applyFill="1" applyAlignment="1"/>
    <xf numFmtId="0" fontId="7" fillId="7" borderId="0" xfId="4" applyFont="1" applyFill="1" applyAlignment="1">
      <alignment horizontal="center"/>
    </xf>
    <xf numFmtId="0" fontId="7" fillId="7" borderId="0" xfId="4" applyFont="1" applyFill="1" applyAlignment="1"/>
    <xf numFmtId="0" fontId="7" fillId="7" borderId="0" xfId="4" applyFont="1" applyFill="1" applyAlignment="1">
      <alignment wrapText="1"/>
    </xf>
    <xf numFmtId="0" fontId="8" fillId="7" borderId="0" xfId="1" applyNumberFormat="1" applyFont="1" applyFill="1" applyBorder="1" applyAlignment="1"/>
    <xf numFmtId="0" fontId="9" fillId="7" borderId="0" xfId="3" applyFont="1" applyFill="1" applyAlignment="1">
      <alignment horizontal="left" vertical="center"/>
    </xf>
    <xf numFmtId="0" fontId="9" fillId="7" borderId="0" xfId="3" applyFont="1" applyFill="1" applyAlignment="1">
      <alignment horizontal="right" vertical="center"/>
    </xf>
    <xf numFmtId="0" fontId="2" fillId="7" borderId="3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7" borderId="4" xfId="4" applyFont="1" applyFill="1" applyBorder="1" applyAlignment="1">
      <alignment horizontal="center" vertical="center" wrapText="1"/>
    </xf>
    <xf numFmtId="0" fontId="2" fillId="0" borderId="4" xfId="4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2" fillId="7" borderId="0" xfId="4" applyFont="1" applyFill="1" applyAlignment="1">
      <alignment horizontal="center" vertical="center" wrapText="1"/>
    </xf>
    <xf numFmtId="0" fontId="3" fillId="7" borderId="0" xfId="4" applyFont="1" applyFill="1" applyAlignment="1">
      <alignment horizontal="center" vertical="center" wrapText="1"/>
    </xf>
    <xf numFmtId="0" fontId="2" fillId="7" borderId="0" xfId="4" applyFont="1" applyFill="1" applyAlignment="1">
      <alignment vertical="center" wrapText="1"/>
    </xf>
    <xf numFmtId="0" fontId="2" fillId="7" borderId="0" xfId="4" applyFont="1" applyFill="1" applyAlignment="1">
      <alignment wrapText="1"/>
    </xf>
    <xf numFmtId="0" fontId="4" fillId="7" borderId="0" xfId="4" applyFont="1" applyFill="1" applyAlignment="1">
      <alignment horizontal="center" wrapText="1"/>
    </xf>
    <xf numFmtId="0" fontId="4" fillId="7" borderId="0" xfId="4" applyFont="1" applyFill="1" applyAlignment="1"/>
    <xf numFmtId="0" fontId="4" fillId="7" borderId="0" xfId="4" applyFont="1" applyFill="1" applyAlignment="1">
      <alignment horizontal="center"/>
    </xf>
    <xf numFmtId="0" fontId="7" fillId="7" borderId="0" xfId="4" applyFont="1" applyFill="1" applyAlignment="1">
      <alignment horizontal="center" wrapText="1"/>
    </xf>
    <xf numFmtId="9" fontId="2" fillId="7" borderId="3" xfId="4" applyNumberFormat="1" applyFont="1" applyFill="1" applyBorder="1" applyAlignment="1">
      <alignment horizontal="center" vertical="center" wrapText="1"/>
    </xf>
    <xf numFmtId="0" fontId="2" fillId="0" borderId="3" xfId="4" applyFont="1" applyBorder="1" applyAlignment="1">
      <alignment vertical="center" wrapText="1"/>
    </xf>
    <xf numFmtId="0" fontId="2" fillId="0" borderId="3" xfId="2" applyFont="1" applyBorder="1" applyAlignment="1">
      <alignment horizontal="center" vertical="center" wrapText="1"/>
    </xf>
    <xf numFmtId="0" fontId="2" fillId="7" borderId="3" xfId="4" applyFont="1" applyFill="1" applyBorder="1" applyAlignment="1">
      <alignment vertical="center" wrapText="1"/>
    </xf>
    <xf numFmtId="9" fontId="2" fillId="0" borderId="3" xfId="4" applyNumberFormat="1" applyFont="1" applyBorder="1" applyAlignment="1">
      <alignment horizontal="center" vertical="center" wrapText="1"/>
    </xf>
    <xf numFmtId="0" fontId="2" fillId="0" borderId="3" xfId="2" applyFont="1" applyBorder="1" applyAlignment="1">
      <alignment horizontal="left" vertical="center" wrapText="1"/>
    </xf>
    <xf numFmtId="9" fontId="2" fillId="0" borderId="4" xfId="4" applyNumberFormat="1" applyFont="1" applyBorder="1" applyAlignment="1">
      <alignment horizontal="center" vertical="center" wrapText="1"/>
    </xf>
    <xf numFmtId="0" fontId="2" fillId="0" borderId="4" xfId="4" applyFont="1" applyBorder="1" applyAlignment="1">
      <alignment vertical="center" wrapText="1"/>
    </xf>
    <xf numFmtId="0" fontId="2" fillId="7" borderId="4" xfId="4" applyFont="1" applyFill="1" applyBorder="1" applyAlignment="1">
      <alignment horizontal="left" vertical="center" wrapText="1"/>
    </xf>
    <xf numFmtId="9" fontId="10" fillId="4" borderId="5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vertical="center" wrapText="1"/>
    </xf>
    <xf numFmtId="9" fontId="3" fillId="0" borderId="0" xfId="4" applyNumberFormat="1" applyFont="1" applyAlignment="1">
      <alignment horizontal="center" vertical="center" wrapText="1"/>
    </xf>
    <xf numFmtId="9" fontId="11" fillId="7" borderId="0" xfId="4" applyNumberFormat="1" applyFont="1" applyFill="1" applyAlignment="1">
      <alignment horizontal="center" vertical="center" wrapText="1"/>
    </xf>
    <xf numFmtId="9" fontId="3" fillId="7" borderId="0" xfId="4" applyNumberFormat="1" applyFont="1" applyFill="1" applyAlignment="1">
      <alignment horizontal="center" vertical="center" wrapText="1"/>
    </xf>
    <xf numFmtId="0" fontId="3" fillId="7" borderId="0" xfId="4" applyFont="1" applyFill="1" applyAlignment="1">
      <alignment horizontal="center" vertical="center"/>
    </xf>
    <xf numFmtId="9" fontId="2" fillId="7" borderId="0" xfId="4" applyNumberFormat="1" applyFont="1" applyFill="1" applyAlignment="1">
      <alignment horizontal="center"/>
    </xf>
    <xf numFmtId="0" fontId="2" fillId="7" borderId="0" xfId="4" applyFont="1" applyFill="1" applyAlignment="1">
      <alignment horizontal="center"/>
    </xf>
    <xf numFmtId="9" fontId="7" fillId="7" borderId="0" xfId="4" applyNumberFormat="1" applyFont="1" applyFill="1" applyAlignment="1">
      <alignment horizontal="center"/>
    </xf>
    <xf numFmtId="0" fontId="4" fillId="7" borderId="0" xfId="4" applyFont="1" applyFill="1" applyAlignment="1">
      <alignment wrapText="1"/>
    </xf>
    <xf numFmtId="9" fontId="4" fillId="7" borderId="0" xfId="4" applyNumberFormat="1" applyFont="1" applyFill="1" applyAlignment="1">
      <alignment horizontal="center"/>
    </xf>
    <xf numFmtId="9" fontId="2" fillId="0" borderId="3" xfId="4" applyNumberFormat="1" applyFont="1" applyBorder="1" applyAlignment="1">
      <alignment horizontal="left" vertical="center" wrapText="1"/>
    </xf>
    <xf numFmtId="9" fontId="9" fillId="0" borderId="3" xfId="4" applyNumberFormat="1" applyFont="1" applyBorder="1" applyAlignment="1">
      <alignment horizontal="center" vertical="center" wrapText="1"/>
    </xf>
    <xf numFmtId="0" fontId="9" fillId="0" borderId="4" xfId="4" applyFont="1" applyBorder="1" applyAlignment="1">
      <alignment horizontal="left" vertical="center" wrapText="1"/>
    </xf>
    <xf numFmtId="9" fontId="2" fillId="7" borderId="4" xfId="4" applyNumberFormat="1" applyFont="1" applyFill="1" applyBorder="1" applyAlignment="1">
      <alignment horizontal="center" vertical="center" wrapText="1"/>
    </xf>
    <xf numFmtId="0" fontId="3" fillId="7" borderId="0" xfId="4" applyFont="1" applyFill="1" applyAlignment="1">
      <alignment horizontal="left" vertical="center" wrapText="1"/>
    </xf>
    <xf numFmtId="9" fontId="10" fillId="7" borderId="0" xfId="4" applyNumberFormat="1" applyFont="1" applyFill="1" applyAlignment="1">
      <alignment horizontal="center" vertical="center" wrapText="1"/>
    </xf>
    <xf numFmtId="0" fontId="10" fillId="6" borderId="7" xfId="3" applyFont="1" applyFill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 wrapText="1"/>
    </xf>
    <xf numFmtId="10" fontId="12" fillId="0" borderId="3" xfId="0" applyNumberFormat="1" applyFont="1" applyBorder="1" applyAlignment="1">
      <alignment horizontal="left" vertical="center" wrapText="1"/>
    </xf>
    <xf numFmtId="0" fontId="3" fillId="5" borderId="6" xfId="4" applyFont="1" applyFill="1" applyBorder="1" applyAlignment="1">
      <alignment horizontal="center" vertical="center"/>
    </xf>
    <xf numFmtId="0" fontId="3" fillId="5" borderId="6" xfId="4" applyFont="1" applyFill="1" applyBorder="1" applyAlignment="1">
      <alignment horizontal="center" vertical="center" wrapText="1"/>
    </xf>
    <xf numFmtId="9" fontId="3" fillId="5" borderId="6" xfId="4" applyNumberFormat="1" applyFont="1" applyFill="1" applyBorder="1" applyAlignment="1">
      <alignment horizontal="center" vertical="center" wrapText="1"/>
    </xf>
    <xf numFmtId="0" fontId="7" fillId="7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10" fontId="3" fillId="5" borderId="6" xfId="4" applyNumberFormat="1" applyFont="1" applyFill="1" applyBorder="1" applyAlignment="1">
      <alignment horizontal="center" vertical="center" wrapText="1"/>
    </xf>
    <xf numFmtId="9" fontId="7" fillId="7" borderId="0" xfId="4" applyNumberFormat="1" applyFont="1" applyFill="1" applyAlignment="1"/>
    <xf numFmtId="178" fontId="12" fillId="0" borderId="3" xfId="0" applyNumberFormat="1" applyFont="1" applyBorder="1" applyAlignment="1">
      <alignment horizontal="center" vertical="center" wrapText="1"/>
    </xf>
    <xf numFmtId="0" fontId="17" fillId="0" borderId="3" xfId="4" applyFont="1" applyBorder="1" applyAlignment="1">
      <alignment horizontal="center" vertical="center" wrapText="1"/>
    </xf>
    <xf numFmtId="0" fontId="2" fillId="7" borderId="0" xfId="4" applyFont="1" applyFill="1" applyAlignment="1"/>
    <xf numFmtId="0" fontId="9" fillId="7" borderId="0" xfId="3" applyFont="1" applyFill="1" applyAlignment="1">
      <alignment horizontal="center" vertical="center"/>
    </xf>
    <xf numFmtId="0" fontId="2" fillId="7" borderId="0" xfId="4" applyFont="1" applyFill="1" applyAlignment="1">
      <alignment horizontal="left" vertical="center" wrapText="1"/>
    </xf>
    <xf numFmtId="0" fontId="9" fillId="7" borderId="0" xfId="3" applyFont="1" applyFill="1" applyAlignment="1">
      <alignment vertical="center"/>
    </xf>
    <xf numFmtId="0" fontId="6" fillId="7" borderId="0" xfId="3" applyFont="1" applyFill="1" applyAlignment="1">
      <alignment vertical="center"/>
    </xf>
    <xf numFmtId="0" fontId="2" fillId="7" borderId="0" xfId="4" applyFont="1" applyFill="1" applyAlignment="1">
      <alignment horizontal="right" vertical="center"/>
    </xf>
    <xf numFmtId="0" fontId="2" fillId="7" borderId="0" xfId="4" applyFont="1" applyFill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7" borderId="0" xfId="4" applyFont="1" applyFill="1" applyAlignment="1">
      <alignment horizontal="right"/>
    </xf>
    <xf numFmtId="0" fontId="9" fillId="7" borderId="0" xfId="3" applyFont="1" applyFill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10" fontId="2" fillId="0" borderId="3" xfId="0" applyNumberFormat="1" applyFont="1" applyBorder="1">
      <alignment vertical="center"/>
    </xf>
    <xf numFmtId="0" fontId="4" fillId="0" borderId="0" xfId="0" applyFont="1">
      <alignment vertical="center"/>
    </xf>
    <xf numFmtId="0" fontId="18" fillId="0" borderId="0" xfId="0" applyFont="1">
      <alignment vertical="center"/>
    </xf>
    <xf numFmtId="0" fontId="3" fillId="6" borderId="7" xfId="0" applyFont="1" applyFill="1" applyBorder="1" applyAlignment="1">
      <alignment horizontal="left" vertical="center" wrapText="1"/>
    </xf>
    <xf numFmtId="0" fontId="9" fillId="0" borderId="3" xfId="4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0" fontId="3" fillId="7" borderId="0" xfId="4" applyFont="1" applyFill="1" applyAlignment="1">
      <alignment horizontal="right" vertical="center"/>
    </xf>
    <xf numFmtId="10" fontId="3" fillId="7" borderId="0" xfId="4" applyNumberFormat="1" applyFont="1" applyFill="1" applyAlignment="1">
      <alignment horizontal="right" vertical="center"/>
    </xf>
    <xf numFmtId="178" fontId="18" fillId="0" borderId="3" xfId="0" applyNumberFormat="1" applyFont="1" applyBorder="1" applyAlignment="1">
      <alignment horizontal="center" vertical="center"/>
    </xf>
    <xf numFmtId="0" fontId="19" fillId="0" borderId="3" xfId="4" applyFont="1" applyBorder="1" applyAlignment="1">
      <alignment horizontal="center" vertical="center"/>
    </xf>
    <xf numFmtId="0" fontId="9" fillId="0" borderId="3" xfId="4" applyFont="1" applyBorder="1" applyAlignment="1">
      <alignment horizontal="left" vertical="center"/>
    </xf>
    <xf numFmtId="10" fontId="9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10" fontId="2" fillId="0" borderId="3" xfId="0" applyNumberFormat="1" applyFont="1" applyBorder="1" applyAlignment="1">
      <alignment horizontal="right" vertical="center"/>
    </xf>
    <xf numFmtId="10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4" borderId="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3" borderId="3" xfId="4" applyFont="1" applyFill="1" applyBorder="1" applyAlignment="1">
      <alignment horizontal="center" vertical="center" wrapText="1"/>
    </xf>
    <xf numFmtId="0" fontId="10" fillId="3" borderId="3" xfId="4" applyFont="1" applyFill="1" applyBorder="1" applyAlignment="1">
      <alignment horizontal="center" vertical="center" wrapText="1"/>
    </xf>
    <xf numFmtId="0" fontId="10" fillId="3" borderId="4" xfId="4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/>
    </xf>
    <xf numFmtId="177" fontId="1" fillId="7" borderId="0" xfId="5" applyNumberFormat="1" applyFont="1" applyFill="1" applyAlignment="1">
      <alignment horizontal="center" vertical="center"/>
    </xf>
    <xf numFmtId="0" fontId="3" fillId="5" borderId="11" xfId="4" applyFont="1" applyFill="1" applyBorder="1" applyAlignment="1">
      <alignment horizontal="center" vertical="center"/>
    </xf>
    <xf numFmtId="0" fontId="3" fillId="5" borderId="12" xfId="4" applyFont="1" applyFill="1" applyBorder="1" applyAlignment="1">
      <alignment horizontal="center" vertical="center"/>
    </xf>
    <xf numFmtId="0" fontId="3" fillId="5" borderId="13" xfId="4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3" borderId="8" xfId="0" applyFont="1" applyFill="1" applyBorder="1" applyAlignment="1">
      <alignment horizontal="center" vertical="center" wrapText="1"/>
    </xf>
  </cellXfs>
  <cellStyles count="6">
    <cellStyle name="常规" xfId="0" builtinId="0"/>
    <cellStyle name="常规 12" xfId="2" xr:uid="{00000000-0005-0000-0000-000031000000}"/>
    <cellStyle name="常规 2 2 3" xfId="3" xr:uid="{00000000-0005-0000-0000-000032000000}"/>
    <cellStyle name="常规 2 3" xfId="4" xr:uid="{00000000-0005-0000-0000-000033000000}"/>
    <cellStyle name="超链接" xfId="1" builtinId="8"/>
    <cellStyle name="千位分隔 2" xfId="5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BF71B7-BAA3-6140-ABFB-8A4C4800C424}">
  <we:reference id="wa200010215" version="2.0.0.0" store="zh-CN" storeType="OMEX"/>
  <we:alternateReferences>
    <we:reference id="wa200010215" version="2.0.0.0" store="zh-CN" storeType="OMEX"/>
  </we:alternateReferences>
  <we:properties>
    <we:property name="bps.codex_control.document_id" value="&quot;c7420586-3903-4c85-ba05-b4e31915ec3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5"/>
  <sheetViews>
    <sheetView showGridLines="0" zoomScale="74" zoomScaleNormal="40" workbookViewId="0">
      <selection activeCell="O13" sqref="O13"/>
    </sheetView>
  </sheetViews>
  <sheetFormatPr baseColWidth="10" defaultColWidth="9" defaultRowHeight="24"/>
  <cols>
    <col min="1" max="1" width="6.83203125" style="17" customWidth="1"/>
    <col min="2" max="2" width="15.83203125" style="18" customWidth="1"/>
    <col min="3" max="3" width="15.83203125" style="19" customWidth="1"/>
    <col min="4" max="4" width="15.83203125" style="18" customWidth="1"/>
    <col min="5" max="5" width="15.83203125" style="19" customWidth="1"/>
    <col min="6" max="6" width="60.83203125" style="20" customWidth="1"/>
    <col min="7" max="7" width="60.83203125" style="18" customWidth="1"/>
    <col min="8" max="8" width="8.83203125" style="18" customWidth="1"/>
    <col min="9" max="9" width="60.83203125" style="18" customWidth="1"/>
    <col min="10" max="10" width="20.83203125" style="20" customWidth="1"/>
    <col min="11" max="13" width="20.83203125" customWidth="1"/>
    <col min="14" max="14" width="3.83203125" style="17" customWidth="1"/>
    <col min="15" max="16" width="9" style="17"/>
    <col min="17" max="17" width="11.33203125" style="76" bestFit="1" customWidth="1"/>
    <col min="18" max="18" width="21" style="76" bestFit="1" customWidth="1"/>
    <col min="19" max="19" width="15.5" style="76" bestFit="1" customWidth="1"/>
    <col min="20" max="20" width="11.33203125" style="76" bestFit="1" customWidth="1"/>
    <col min="21" max="21" width="24.6640625" style="76" bestFit="1" customWidth="1"/>
    <col min="22" max="22" width="15.5" style="76" bestFit="1" customWidth="1"/>
    <col min="23" max="23" width="11.33203125" style="76" bestFit="1" customWidth="1"/>
    <col min="24" max="24" width="24.6640625" style="76" bestFit="1" customWidth="1"/>
    <col min="25" max="25" width="15.5" style="76" bestFit="1" customWidth="1"/>
    <col min="26" max="29" width="9" style="76"/>
    <col min="30" max="16384" width="9" style="17"/>
  </cols>
  <sheetData>
    <row r="1" spans="1:45" ht="57" customHeight="1">
      <c r="A1" s="21"/>
      <c r="C1" s="126" t="s">
        <v>0</v>
      </c>
      <c r="D1" s="126"/>
      <c r="E1" s="126"/>
      <c r="F1" s="126"/>
      <c r="G1" s="126"/>
      <c r="H1" s="126"/>
      <c r="I1" s="126"/>
      <c r="J1" s="126"/>
      <c r="K1" s="126"/>
    </row>
    <row r="2" spans="1:45" s="11" customFormat="1" ht="28" customHeight="1">
      <c r="B2" s="22"/>
      <c r="C2" s="23" t="s">
        <v>1</v>
      </c>
      <c r="D2" s="22" t="s">
        <v>2</v>
      </c>
      <c r="E2" s="23" t="s">
        <v>3</v>
      </c>
      <c r="F2" s="22" t="s">
        <v>4</v>
      </c>
      <c r="G2" s="22"/>
      <c r="H2" s="22"/>
      <c r="I2" s="22"/>
      <c r="J2" s="22"/>
      <c r="K2" s="22"/>
      <c r="L2" s="22"/>
      <c r="M2" s="22"/>
      <c r="Z2" s="22"/>
      <c r="AA2" s="22"/>
      <c r="AB2" s="22"/>
      <c r="AC2" s="22"/>
    </row>
    <row r="3" spans="1:45" s="11" customFormat="1" ht="28" customHeight="1">
      <c r="B3" s="22"/>
      <c r="C3" s="23"/>
      <c r="D3" s="22"/>
      <c r="E3" s="23" t="s">
        <v>5</v>
      </c>
      <c r="F3" s="22"/>
      <c r="G3" s="22"/>
      <c r="H3" s="22"/>
      <c r="I3" s="22"/>
      <c r="J3" s="22"/>
      <c r="K3" s="22"/>
      <c r="L3" s="22"/>
      <c r="M3" s="22"/>
      <c r="Z3" s="79"/>
      <c r="AA3" s="79"/>
      <c r="AB3" s="79"/>
      <c r="AC3" s="79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</row>
    <row r="4" spans="1:45" s="12" customFormat="1" ht="30" customHeight="1">
      <c r="B4" s="124" t="s">
        <v>6</v>
      </c>
      <c r="C4" s="124" t="s">
        <v>7</v>
      </c>
      <c r="D4" s="124" t="s">
        <v>8</v>
      </c>
      <c r="E4" s="124" t="s">
        <v>9</v>
      </c>
      <c r="F4" s="124" t="s">
        <v>10</v>
      </c>
      <c r="G4" s="124" t="s">
        <v>11</v>
      </c>
      <c r="H4" s="124" t="s">
        <v>12</v>
      </c>
      <c r="I4" s="124" t="s">
        <v>13</v>
      </c>
      <c r="J4" s="124" t="s">
        <v>14</v>
      </c>
      <c r="K4" s="124" t="s">
        <v>15</v>
      </c>
      <c r="L4" s="124" t="s">
        <v>16</v>
      </c>
      <c r="M4" s="124" t="s">
        <v>17</v>
      </c>
      <c r="Z4" s="79"/>
      <c r="AA4" s="79"/>
      <c r="AB4" s="79"/>
      <c r="AC4" s="79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</row>
    <row r="5" spans="1:45" s="12" customFormat="1" ht="30" customHeight="1"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Z5" s="77"/>
      <c r="AA5" s="77"/>
      <c r="AB5" s="77"/>
      <c r="AC5" s="77"/>
    </row>
    <row r="6" spans="1:45" s="13" customFormat="1" ht="125">
      <c r="B6" s="24">
        <v>1</v>
      </c>
      <c r="C6" s="121" t="s">
        <v>18</v>
      </c>
      <c r="D6" s="25" t="s">
        <v>19</v>
      </c>
      <c r="E6" s="38">
        <v>0.3</v>
      </c>
      <c r="F6" s="39" t="s">
        <v>20</v>
      </c>
      <c r="G6" s="39" t="s">
        <v>21</v>
      </c>
      <c r="H6" s="40" t="s">
        <v>22</v>
      </c>
      <c r="I6" s="58" t="s">
        <v>162</v>
      </c>
      <c r="J6" s="38" t="s">
        <v>24</v>
      </c>
      <c r="K6" s="59" t="s">
        <v>25</v>
      </c>
      <c r="L6" s="24">
        <v>120</v>
      </c>
      <c r="M6" s="24">
        <f>$E6*L6</f>
        <v>36</v>
      </c>
      <c r="Z6" s="32"/>
      <c r="AA6" s="32"/>
      <c r="AB6" s="32"/>
      <c r="AC6" s="32"/>
    </row>
    <row r="7" spans="1:45" s="13" customFormat="1" ht="125">
      <c r="B7" s="24">
        <v>2</v>
      </c>
      <c r="C7" s="121" t="s">
        <v>18</v>
      </c>
      <c r="D7" s="25" t="s">
        <v>26</v>
      </c>
      <c r="E7" s="38">
        <v>0.3</v>
      </c>
      <c r="F7" s="41" t="s">
        <v>27</v>
      </c>
      <c r="G7" s="41" t="s">
        <v>28</v>
      </c>
      <c r="H7" s="40" t="s">
        <v>22</v>
      </c>
      <c r="I7" s="39" t="s">
        <v>161</v>
      </c>
      <c r="J7" s="38" t="s">
        <v>24</v>
      </c>
      <c r="K7" s="59" t="s">
        <v>25</v>
      </c>
      <c r="L7" s="24">
        <v>90</v>
      </c>
      <c r="M7" s="24">
        <f>$E7*L7</f>
        <v>27</v>
      </c>
      <c r="Z7" s="32"/>
      <c r="AA7" s="32"/>
      <c r="AB7" s="32"/>
      <c r="AC7" s="32"/>
    </row>
    <row r="8" spans="1:45" s="13" customFormat="1" ht="125">
      <c r="B8" s="24">
        <v>3</v>
      </c>
      <c r="C8" s="122" t="s">
        <v>30</v>
      </c>
      <c r="D8" s="25" t="s">
        <v>31</v>
      </c>
      <c r="E8" s="42">
        <v>0.2</v>
      </c>
      <c r="F8" s="39"/>
      <c r="G8" s="43"/>
      <c r="H8" s="40" t="s">
        <v>32</v>
      </c>
      <c r="I8" s="43" t="s">
        <v>33</v>
      </c>
      <c r="J8" s="38" t="s">
        <v>34</v>
      </c>
      <c r="K8" s="38" t="s">
        <v>25</v>
      </c>
      <c r="L8" s="24">
        <v>100</v>
      </c>
      <c r="M8" s="24">
        <f>$E8*L8</f>
        <v>20</v>
      </c>
      <c r="Z8" s="32"/>
      <c r="AA8" s="32"/>
      <c r="AB8" s="32"/>
      <c r="AC8" s="32"/>
    </row>
    <row r="9" spans="1:45" s="13" customFormat="1" ht="126" thickBot="1">
      <c r="B9" s="26">
        <v>4</v>
      </c>
      <c r="C9" s="123" t="s">
        <v>30</v>
      </c>
      <c r="D9" s="27" t="s">
        <v>35</v>
      </c>
      <c r="E9" s="44">
        <v>0.2</v>
      </c>
      <c r="F9" s="45"/>
      <c r="G9" s="46"/>
      <c r="H9" s="26" t="s">
        <v>32</v>
      </c>
      <c r="I9" s="60" t="s">
        <v>36</v>
      </c>
      <c r="J9" s="61" t="s">
        <v>34</v>
      </c>
      <c r="K9" s="61" t="s">
        <v>25</v>
      </c>
      <c r="L9" s="26">
        <v>100</v>
      </c>
      <c r="M9" s="24">
        <f>$E9*L9</f>
        <v>20</v>
      </c>
      <c r="Z9" s="32"/>
      <c r="AA9" s="32"/>
      <c r="AB9" s="32"/>
      <c r="AC9" s="32"/>
    </row>
    <row r="10" spans="1:45" s="14" customFormat="1" ht="30" customHeight="1" thickBot="1">
      <c r="B10" s="28" t="s">
        <v>37</v>
      </c>
      <c r="C10" s="28"/>
      <c r="D10" s="29"/>
      <c r="E10" s="47">
        <f>SUM(E6:E9)</f>
        <v>1</v>
      </c>
      <c r="F10" s="48"/>
      <c r="G10" s="29"/>
      <c r="H10" s="29"/>
      <c r="I10" s="48"/>
      <c r="J10" s="47"/>
      <c r="K10" s="47"/>
      <c r="L10" s="28">
        <v>100</v>
      </c>
      <c r="M10" s="28">
        <f>SUM(M6:M9)</f>
        <v>103</v>
      </c>
      <c r="Z10" s="78"/>
      <c r="AA10" s="78"/>
      <c r="AB10" s="78"/>
      <c r="AC10" s="78"/>
    </row>
    <row r="11" spans="1:45" s="13" customFormat="1" ht="32" customHeight="1">
      <c r="B11" s="30"/>
      <c r="C11" s="31"/>
      <c r="D11" s="31"/>
      <c r="E11" s="49"/>
      <c r="F11" s="31"/>
      <c r="G11" s="50"/>
      <c r="H11" s="51"/>
      <c r="I11" s="62"/>
      <c r="J11" s="63"/>
      <c r="K11" s="63"/>
      <c r="L11" s="30"/>
      <c r="M11" s="30"/>
      <c r="Z11" s="32"/>
      <c r="AA11" s="32"/>
      <c r="AB11" s="32"/>
      <c r="AC11" s="32"/>
    </row>
    <row r="12" spans="1:45" s="13" customFormat="1" ht="32" customHeight="1">
      <c r="B12" s="32"/>
      <c r="C12" s="32"/>
      <c r="D12" s="32"/>
      <c r="E12" s="32"/>
      <c r="F12" s="31"/>
      <c r="G12" s="50"/>
      <c r="H12" s="51"/>
      <c r="I12" s="67" t="s">
        <v>38</v>
      </c>
      <c r="J12" s="68" t="s">
        <v>155</v>
      </c>
      <c r="K12" s="72">
        <v>3.0000000000000001E-3</v>
      </c>
      <c r="L12" s="69"/>
      <c r="M12" s="69"/>
      <c r="Z12" s="32"/>
      <c r="AA12" s="32"/>
      <c r="AB12" s="32"/>
      <c r="AC12" s="32"/>
    </row>
    <row r="13" spans="1:45" s="15" customFormat="1" ht="50">
      <c r="H13" s="52"/>
      <c r="I13" s="64" t="s">
        <v>39</v>
      </c>
      <c r="J13" s="64" t="s">
        <v>156</v>
      </c>
      <c r="K13" s="64" t="s">
        <v>157</v>
      </c>
      <c r="L13" s="64" t="s">
        <v>159</v>
      </c>
      <c r="M13" s="64" t="s">
        <v>40</v>
      </c>
    </row>
    <row r="14" spans="1:45" s="16" customFormat="1" ht="30" customHeight="1">
      <c r="B14" s="33"/>
      <c r="C14" s="33"/>
      <c r="H14" s="53"/>
      <c r="I14" s="65" t="s">
        <v>41</v>
      </c>
      <c r="J14" s="65">
        <v>0</v>
      </c>
      <c r="K14" s="65">
        <v>50</v>
      </c>
      <c r="L14" s="74">
        <v>0</v>
      </c>
      <c r="M14" s="66">
        <f>$K$12*L14</f>
        <v>0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45" s="16" customFormat="1" ht="30" customHeight="1">
      <c r="B15" s="33"/>
      <c r="C15" s="33"/>
      <c r="H15" s="53"/>
      <c r="I15" s="65" t="s">
        <v>41</v>
      </c>
      <c r="J15" s="65">
        <v>50</v>
      </c>
      <c r="K15" s="65">
        <v>70</v>
      </c>
      <c r="L15" s="74">
        <v>0.2</v>
      </c>
      <c r="M15" s="66">
        <f t="shared" ref="M15:M20" si="0">$K$12*L15</f>
        <v>6.0000000000000006E-4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spans="1:45" s="16" customFormat="1" ht="26" customHeight="1">
      <c r="B16" s="33"/>
      <c r="C16" s="33"/>
      <c r="H16" s="53"/>
      <c r="I16" s="65" t="s">
        <v>41</v>
      </c>
      <c r="J16" s="65">
        <v>70</v>
      </c>
      <c r="K16" s="65">
        <v>90</v>
      </c>
      <c r="L16" s="74">
        <v>0.4</v>
      </c>
      <c r="M16" s="66">
        <f t="shared" si="0"/>
        <v>1.2000000000000001E-3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2:29" s="16" customFormat="1" ht="26" customHeight="1">
      <c r="B17" s="33"/>
      <c r="C17" s="33"/>
      <c r="D17" s="33"/>
      <c r="E17" s="33"/>
      <c r="F17" s="33"/>
      <c r="G17" s="54"/>
      <c r="H17" s="54"/>
      <c r="I17" s="65" t="s">
        <v>41</v>
      </c>
      <c r="J17" s="65">
        <v>90</v>
      </c>
      <c r="K17" s="65">
        <v>100</v>
      </c>
      <c r="L17" s="74">
        <v>0.6</v>
      </c>
      <c r="M17" s="66">
        <f t="shared" si="0"/>
        <v>1.8E-3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2:29" s="16" customFormat="1" ht="26" customHeight="1">
      <c r="B18" s="70"/>
      <c r="C18" s="20"/>
      <c r="D18" s="20"/>
      <c r="E18" s="20"/>
      <c r="F18" s="20"/>
      <c r="G18" s="73"/>
      <c r="H18" s="73"/>
      <c r="I18" s="65" t="s">
        <v>41</v>
      </c>
      <c r="J18" s="65">
        <v>100</v>
      </c>
      <c r="K18" s="65">
        <v>103</v>
      </c>
      <c r="L18" s="74">
        <v>1</v>
      </c>
      <c r="M18" s="66">
        <f t="shared" si="0"/>
        <v>3.0000000000000001E-3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spans="2:29" s="16" customFormat="1" ht="26" customHeight="1">
      <c r="B19" s="20"/>
      <c r="C19" s="20"/>
      <c r="D19" s="20"/>
      <c r="E19" s="20"/>
      <c r="F19" s="20"/>
      <c r="G19" s="55"/>
      <c r="H19" s="55"/>
      <c r="I19" s="65" t="s">
        <v>41</v>
      </c>
      <c r="J19" s="65">
        <v>103</v>
      </c>
      <c r="K19" s="65">
        <v>108</v>
      </c>
      <c r="L19" s="74">
        <v>1.2</v>
      </c>
      <c r="M19" s="66">
        <f t="shared" si="0"/>
        <v>3.5999999999999999E-3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2:29" s="16" customFormat="1" ht="22" customHeight="1">
      <c r="B20" s="34"/>
      <c r="C20" s="35"/>
      <c r="D20" s="36"/>
      <c r="E20" s="36"/>
      <c r="G20" s="57"/>
      <c r="H20" s="57"/>
      <c r="I20" s="65" t="s">
        <v>41</v>
      </c>
      <c r="J20" s="65">
        <v>108</v>
      </c>
      <c r="K20" s="75" t="s">
        <v>158</v>
      </c>
      <c r="L20" s="74">
        <v>1.5</v>
      </c>
      <c r="M20" s="66">
        <f t="shared" si="0"/>
        <v>4.5000000000000005E-3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spans="2:29" s="16" customFormat="1">
      <c r="B21" s="37"/>
      <c r="C21" s="19"/>
      <c r="D21" s="18"/>
      <c r="E21" s="18"/>
      <c r="F21" s="56"/>
      <c r="G21" s="55"/>
      <c r="H21" s="55"/>
      <c r="I21" s="55"/>
      <c r="J21" s="20"/>
      <c r="K21" s="19"/>
      <c r="L21" s="20"/>
      <c r="M21" s="20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4" spans="2:29" s="16" customFormat="1">
      <c r="B24" s="37"/>
      <c r="C24" s="19"/>
      <c r="D24" s="18"/>
      <c r="E24" s="18"/>
      <c r="F24" s="20"/>
      <c r="G24" s="55"/>
      <c r="H24" s="55"/>
      <c r="I24" s="55"/>
      <c r="J24" s="20"/>
      <c r="K24" s="19"/>
      <c r="L24" s="20"/>
      <c r="M24" s="20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spans="2:29" s="16" customFormat="1">
      <c r="B25" s="37"/>
      <c r="C25" s="19"/>
      <c r="D25" s="18"/>
      <c r="E25" s="18"/>
      <c r="F25" s="20"/>
      <c r="G25" s="55"/>
      <c r="H25" s="55"/>
      <c r="I25" s="55"/>
      <c r="J25" s="20"/>
      <c r="K25" s="19"/>
      <c r="L25" s="20"/>
      <c r="M25" s="20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spans="2:29" s="16" customFormat="1">
      <c r="B26" s="37"/>
      <c r="C26" s="19"/>
      <c r="D26" s="18"/>
      <c r="E26" s="18"/>
      <c r="F26" s="20"/>
      <c r="G26" s="18"/>
      <c r="H26" s="18"/>
      <c r="I26" s="18"/>
      <c r="J26" s="20"/>
      <c r="K26" s="19"/>
      <c r="L26" s="20"/>
      <c r="M26" s="20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spans="2:29" s="16" customFormat="1">
      <c r="B27" s="37"/>
      <c r="C27" s="19"/>
      <c r="D27" s="18"/>
      <c r="E27" s="18"/>
      <c r="F27" s="20"/>
      <c r="G27" s="18"/>
      <c r="H27" s="18"/>
      <c r="I27" s="18"/>
      <c r="J27" s="20"/>
      <c r="K27" s="19"/>
      <c r="L27" s="20"/>
      <c r="M27" s="20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spans="2:29" s="16" customFormat="1">
      <c r="B28" s="37"/>
      <c r="C28" s="19"/>
      <c r="D28" s="18"/>
      <c r="E28" s="18"/>
      <c r="F28" s="20"/>
      <c r="G28" s="18"/>
      <c r="H28" s="18"/>
      <c r="I28" s="18"/>
      <c r="J28" s="20"/>
      <c r="K28" s="19"/>
      <c r="L28" s="20"/>
      <c r="M28" s="20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spans="2:29" s="16" customFormat="1">
      <c r="B29" s="37"/>
      <c r="C29" s="19"/>
      <c r="D29" s="18"/>
      <c r="E29" s="18"/>
      <c r="F29" s="20"/>
      <c r="G29" s="55"/>
      <c r="H29" s="55"/>
      <c r="I29" s="55"/>
      <c r="J29" s="20"/>
      <c r="K29" s="19"/>
      <c r="L29" s="20"/>
      <c r="M29" s="20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spans="2:29" s="16" customFormat="1">
      <c r="B30" s="37"/>
      <c r="C30" s="19"/>
      <c r="D30" s="18"/>
      <c r="E30" s="18"/>
      <c r="F30" s="20"/>
      <c r="G30" s="55"/>
      <c r="H30" s="55"/>
      <c r="I30" s="55"/>
      <c r="J30" s="20"/>
      <c r="K30" s="19"/>
      <c r="L30" s="20"/>
      <c r="M30" s="20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spans="2:29" s="16" customFormat="1">
      <c r="B31" s="37"/>
      <c r="C31" s="19"/>
      <c r="D31" s="18"/>
      <c r="E31" s="18"/>
      <c r="F31" s="20"/>
      <c r="G31" s="55"/>
      <c r="H31" s="55"/>
      <c r="I31" s="55"/>
      <c r="J31" s="20"/>
      <c r="K31" s="19"/>
      <c r="L31" s="20"/>
      <c r="M31" s="20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spans="2:29" s="16" customFormat="1">
      <c r="B32" s="37"/>
      <c r="C32" s="19"/>
      <c r="D32" s="18"/>
      <c r="E32" s="18"/>
      <c r="F32" s="20"/>
      <c r="G32" s="18"/>
      <c r="H32" s="18"/>
      <c r="I32" s="18"/>
      <c r="J32" s="20"/>
      <c r="K32" s="19"/>
      <c r="L32" s="20"/>
      <c r="M32" s="20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spans="2:29" s="16" customFormat="1">
      <c r="B33" s="37"/>
      <c r="C33" s="19"/>
      <c r="D33" s="18"/>
      <c r="E33" s="18"/>
      <c r="F33" s="20"/>
      <c r="G33" s="18"/>
      <c r="H33" s="18"/>
      <c r="I33" s="18"/>
      <c r="J33" s="20"/>
      <c r="K33" s="19"/>
      <c r="L33" s="20"/>
      <c r="M33" s="20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spans="2:29" s="16" customFormat="1">
      <c r="B34" s="37"/>
      <c r="C34" s="19"/>
      <c r="D34" s="18"/>
      <c r="E34" s="18"/>
      <c r="F34" s="20"/>
      <c r="G34" s="18"/>
      <c r="H34" s="18"/>
      <c r="I34" s="18"/>
      <c r="J34" s="20"/>
      <c r="K34" s="19"/>
      <c r="L34" s="20"/>
      <c r="M34" s="20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spans="2:29" s="16" customFormat="1">
      <c r="B35" s="37"/>
      <c r="C35" s="19"/>
      <c r="D35" s="18"/>
      <c r="E35" s="18"/>
      <c r="F35" s="20"/>
      <c r="G35" s="18"/>
      <c r="H35" s="18"/>
      <c r="I35" s="18"/>
      <c r="J35" s="20"/>
      <c r="K35" s="19"/>
      <c r="L35" s="20"/>
      <c r="M35" s="20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</sheetData>
  <mergeCells count="15">
    <mergeCell ref="L4:L5"/>
    <mergeCell ref="M4:M5"/>
    <mergeCell ref="C1:K1"/>
    <mergeCell ref="B4:B5"/>
    <mergeCell ref="C4:C5"/>
    <mergeCell ref="G4:G5"/>
    <mergeCell ref="H4:H5"/>
    <mergeCell ref="I4:I5"/>
    <mergeCell ref="J4:J5"/>
    <mergeCell ref="K4:K5"/>
    <mergeCell ref="C6:C7"/>
    <mergeCell ref="C8:C9"/>
    <mergeCell ref="D4:D5"/>
    <mergeCell ref="E4:E5"/>
    <mergeCell ref="F4:F5"/>
  </mergeCells>
  <phoneticPr fontId="16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20"/>
  <sheetViews>
    <sheetView showGridLines="0" zoomScale="62" zoomScaleNormal="40" workbookViewId="0">
      <selection activeCell="W19" sqref="W19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6" width="60.83203125" style="1" customWidth="1"/>
    <col min="7" max="7" width="74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4" width="13.33203125" style="1" bestFit="1" customWidth="1"/>
    <col min="15" max="15" width="8.83203125" style="1"/>
    <col min="16" max="16" width="10.83203125" style="84" bestFit="1" customWidth="1"/>
    <col min="17" max="18" width="12.83203125" style="1" customWidth="1"/>
    <col min="19" max="19" width="10.83203125" style="84" bestFit="1" customWidth="1"/>
    <col min="20" max="21" width="12.83203125" style="1" customWidth="1"/>
    <col min="22" max="22" width="10.83203125" style="84" bestFit="1" customWidth="1"/>
    <col min="23" max="24" width="12.83203125" style="1" customWidth="1"/>
    <col min="25" max="16384" width="8.83203125" style="1"/>
  </cols>
  <sheetData>
    <row r="1" spans="2:25" ht="57" customHeight="1">
      <c r="C1" s="115" t="s">
        <v>0</v>
      </c>
      <c r="D1" s="115"/>
      <c r="E1" s="115"/>
      <c r="F1" s="115"/>
      <c r="G1" s="115"/>
      <c r="H1" s="115"/>
      <c r="I1" s="115"/>
      <c r="J1" s="115"/>
      <c r="K1" s="115"/>
      <c r="O1" s="92" t="s">
        <v>182</v>
      </c>
    </row>
    <row r="2" spans="2:25" ht="28" customHeight="1">
      <c r="C2" s="1" t="s">
        <v>1</v>
      </c>
      <c r="D2" s="1" t="s">
        <v>2</v>
      </c>
      <c r="E2" s="1" t="s">
        <v>3</v>
      </c>
      <c r="F2" s="1" t="s">
        <v>42</v>
      </c>
      <c r="N2" s="1" t="s">
        <v>184</v>
      </c>
      <c r="O2" s="85">
        <v>2.65</v>
      </c>
      <c r="P2" s="86" t="s">
        <v>183</v>
      </c>
      <c r="Q2" s="81">
        <f>$O$2*Q7/100</f>
        <v>2.4379999999999997</v>
      </c>
      <c r="R2" s="81"/>
      <c r="S2" s="86" t="s">
        <v>183</v>
      </c>
      <c r="T2" s="81">
        <f>$O$2*T7/100</f>
        <v>2.5175000000000001</v>
      </c>
      <c r="U2" s="81"/>
      <c r="V2" s="86" t="s">
        <v>183</v>
      </c>
      <c r="W2" s="81">
        <f>$O$2*W7/100</f>
        <v>2.3849999999999998</v>
      </c>
      <c r="X2" s="23"/>
    </row>
    <row r="3" spans="2:25" ht="28" customHeight="1">
      <c r="E3" s="1" t="s">
        <v>5</v>
      </c>
      <c r="P3" s="23"/>
      <c r="Q3" s="79"/>
      <c r="R3" s="79"/>
      <c r="S3" s="23"/>
      <c r="T3" s="79"/>
      <c r="U3" s="79"/>
      <c r="V3" s="23"/>
      <c r="W3" s="79"/>
      <c r="X3" s="22"/>
    </row>
    <row r="4" spans="2:25" ht="30" customHeight="1">
      <c r="B4" s="107" t="s">
        <v>6</v>
      </c>
      <c r="C4" s="107" t="s">
        <v>7</v>
      </c>
      <c r="D4" s="107" t="s">
        <v>8</v>
      </c>
      <c r="E4" s="107" t="s">
        <v>9</v>
      </c>
      <c r="F4" s="107" t="s">
        <v>10</v>
      </c>
      <c r="G4" s="107" t="s">
        <v>11</v>
      </c>
      <c r="H4" s="107" t="s">
        <v>12</v>
      </c>
      <c r="I4" s="107" t="s">
        <v>13</v>
      </c>
      <c r="J4" s="107" t="s">
        <v>14</v>
      </c>
      <c r="K4" s="107" t="s">
        <v>15</v>
      </c>
      <c r="L4" s="107" t="s">
        <v>16</v>
      </c>
      <c r="M4" s="107" t="s">
        <v>17</v>
      </c>
      <c r="P4" s="23"/>
      <c r="Q4" s="79"/>
      <c r="R4" s="79"/>
      <c r="S4" s="23"/>
      <c r="T4" s="79"/>
      <c r="U4" s="79"/>
      <c r="V4" s="23"/>
      <c r="W4" s="79"/>
      <c r="X4" s="79"/>
    </row>
    <row r="5" spans="2:25" ht="30" customHeight="1"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P5" s="23"/>
      <c r="Q5" s="1" t="s">
        <v>166</v>
      </c>
      <c r="R5" s="1" t="s">
        <v>165</v>
      </c>
      <c r="T5" s="1" t="s">
        <v>166</v>
      </c>
      <c r="U5" s="1" t="s">
        <v>165</v>
      </c>
      <c r="W5" s="1" t="s">
        <v>166</v>
      </c>
      <c r="X5" s="1" t="s">
        <v>165</v>
      </c>
    </row>
    <row r="6" spans="2:25" ht="125">
      <c r="B6" s="2">
        <v>1</v>
      </c>
      <c r="C6" s="117" t="s">
        <v>18</v>
      </c>
      <c r="D6" s="2" t="s">
        <v>19</v>
      </c>
      <c r="E6" s="7">
        <v>0.3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>
        <v>120</v>
      </c>
      <c r="M6" s="2">
        <f>E6*L6</f>
        <v>36</v>
      </c>
      <c r="P6" s="82" t="s">
        <v>164</v>
      </c>
      <c r="Q6" s="82">
        <v>100</v>
      </c>
      <c r="R6" s="82">
        <f>'兴趣电商-运营'!$E6*Q6</f>
        <v>30</v>
      </c>
      <c r="S6" s="82"/>
      <c r="T6" s="82">
        <v>115</v>
      </c>
      <c r="U6" s="82">
        <f>'兴趣电商-运营'!$E6*T6</f>
        <v>34.5</v>
      </c>
      <c r="V6" s="82"/>
      <c r="W6" s="82">
        <v>100</v>
      </c>
      <c r="X6" s="82">
        <f>'兴趣电商-运营'!$E6*W6</f>
        <v>30</v>
      </c>
    </row>
    <row r="7" spans="2:25" ht="125">
      <c r="B7" s="2">
        <v>2</v>
      </c>
      <c r="C7" s="117" t="s">
        <v>18</v>
      </c>
      <c r="D7" s="2" t="s">
        <v>26</v>
      </c>
      <c r="E7" s="7">
        <v>0.3</v>
      </c>
      <c r="F7" s="2" t="s">
        <v>27</v>
      </c>
      <c r="G7" s="2" t="s">
        <v>28</v>
      </c>
      <c r="H7" s="2" t="s">
        <v>22</v>
      </c>
      <c r="I7" s="2" t="s">
        <v>154</v>
      </c>
      <c r="J7" s="2" t="s">
        <v>24</v>
      </c>
      <c r="K7" s="2" t="s">
        <v>25</v>
      </c>
      <c r="L7" s="2">
        <v>100</v>
      </c>
      <c r="M7" s="2">
        <f>E7*L7</f>
        <v>30</v>
      </c>
      <c r="P7" s="82" t="s">
        <v>163</v>
      </c>
      <c r="Q7" s="82">
        <v>92</v>
      </c>
      <c r="R7" s="82">
        <f>'兴趣电商-运营'!$E7*Q7</f>
        <v>27.599999999999998</v>
      </c>
      <c r="S7" s="82"/>
      <c r="T7" s="82">
        <v>95</v>
      </c>
      <c r="U7" s="82">
        <f>'兴趣电商-运营'!$E7*T7</f>
        <v>28.5</v>
      </c>
      <c r="V7" s="82"/>
      <c r="W7" s="82">
        <v>90</v>
      </c>
      <c r="X7" s="82">
        <f>'兴趣电商-运营'!$E7*W7</f>
        <v>27</v>
      </c>
    </row>
    <row r="8" spans="2:25" ht="150">
      <c r="B8" s="2">
        <v>3</v>
      </c>
      <c r="C8" s="3" t="s">
        <v>30</v>
      </c>
      <c r="D8" s="2" t="s">
        <v>43</v>
      </c>
      <c r="E8" s="7">
        <v>0.2</v>
      </c>
      <c r="F8" s="2"/>
      <c r="G8" s="2"/>
      <c r="H8" s="2" t="s">
        <v>32</v>
      </c>
      <c r="I8" s="2" t="s">
        <v>44</v>
      </c>
      <c r="J8" s="2" t="s">
        <v>34</v>
      </c>
      <c r="K8" s="2" t="s">
        <v>25</v>
      </c>
      <c r="L8" s="2">
        <v>100</v>
      </c>
      <c r="M8" s="2">
        <f>E8*L8</f>
        <v>20</v>
      </c>
      <c r="P8" s="82"/>
      <c r="Q8" s="82">
        <v>100</v>
      </c>
      <c r="R8" s="82">
        <f>'兴趣电商-运营'!$E8*Q8</f>
        <v>20</v>
      </c>
      <c r="S8" s="82"/>
      <c r="T8" s="82">
        <v>100</v>
      </c>
      <c r="U8" s="82">
        <f>'兴趣电商-运营'!$E8*T8</f>
        <v>20</v>
      </c>
      <c r="V8" s="82"/>
      <c r="W8" s="82">
        <v>100</v>
      </c>
      <c r="X8" s="82">
        <f>'兴趣电商-运营'!$E8*W8</f>
        <v>20</v>
      </c>
    </row>
    <row r="9" spans="2:25" ht="151" thickBot="1">
      <c r="B9" s="4">
        <v>4</v>
      </c>
      <c r="C9" s="5" t="s">
        <v>45</v>
      </c>
      <c r="D9" s="4" t="s">
        <v>35</v>
      </c>
      <c r="E9" s="8">
        <v>0.2</v>
      </c>
      <c r="F9" s="4"/>
      <c r="G9" s="4"/>
      <c r="H9" s="4" t="s">
        <v>32</v>
      </c>
      <c r="I9" s="4" t="s">
        <v>46</v>
      </c>
      <c r="J9" s="4" t="s">
        <v>34</v>
      </c>
      <c r="K9" s="4" t="s">
        <v>25</v>
      </c>
      <c r="L9" s="4">
        <v>100</v>
      </c>
      <c r="M9" s="4">
        <f>E9*L9</f>
        <v>20</v>
      </c>
      <c r="P9" s="82"/>
      <c r="Q9" s="82">
        <v>100</v>
      </c>
      <c r="R9" s="82">
        <f>'兴趣电商-运营'!$E9*Q9</f>
        <v>20</v>
      </c>
      <c r="S9" s="82"/>
      <c r="T9" s="82">
        <v>100</v>
      </c>
      <c r="U9" s="82">
        <f>'兴趣电商-运营'!$E9*T9</f>
        <v>20</v>
      </c>
      <c r="V9" s="82"/>
      <c r="W9" s="82">
        <v>100</v>
      </c>
      <c r="X9" s="82">
        <f>'兴趣电商-运营'!$E9*W9</f>
        <v>20</v>
      </c>
    </row>
    <row r="10" spans="2:25" ht="30" customHeight="1" thickBot="1">
      <c r="B10" s="116" t="s">
        <v>37</v>
      </c>
      <c r="C10" s="116"/>
      <c r="D10" s="116"/>
      <c r="E10" s="9">
        <f>SUM(E6:E9)</f>
        <v>1</v>
      </c>
      <c r="F10" s="6"/>
      <c r="G10" s="6"/>
      <c r="H10" s="6"/>
      <c r="I10" s="6"/>
      <c r="J10" s="6"/>
      <c r="K10" s="6"/>
      <c r="L10" s="6"/>
      <c r="M10" s="6">
        <f>SUM(M6:M9)</f>
        <v>106</v>
      </c>
      <c r="P10" s="82"/>
      <c r="Q10" s="82"/>
      <c r="R10" s="83">
        <f>SUM(R6:R9)</f>
        <v>97.6</v>
      </c>
      <c r="S10" s="82"/>
      <c r="T10" s="82"/>
      <c r="U10" s="83">
        <f>SUM(U6:U9)</f>
        <v>103</v>
      </c>
      <c r="V10" s="87"/>
      <c r="W10" s="82"/>
      <c r="X10" s="83">
        <f>SUM(X6:X9)</f>
        <v>97</v>
      </c>
    </row>
    <row r="12" spans="2:25" ht="29" customHeight="1">
      <c r="D12" s="127" t="s">
        <v>189</v>
      </c>
      <c r="E12" s="128"/>
      <c r="F12" s="128"/>
      <c r="G12" s="129"/>
      <c r="I12" s="67" t="s">
        <v>38</v>
      </c>
      <c r="J12" s="68"/>
      <c r="K12" s="72"/>
      <c r="L12" s="68" t="s">
        <v>155</v>
      </c>
      <c r="M12" s="72">
        <v>3.0000000000000001E-3</v>
      </c>
      <c r="P12" s="82"/>
      <c r="Q12" s="82"/>
      <c r="R12" s="82"/>
      <c r="S12" s="82"/>
      <c r="T12" s="82"/>
      <c r="U12" s="82"/>
      <c r="V12" s="82"/>
      <c r="W12" s="82"/>
      <c r="X12" s="82"/>
    </row>
    <row r="13" spans="2:25" ht="50">
      <c r="D13" s="64" t="s">
        <v>169</v>
      </c>
      <c r="E13" s="64" t="s">
        <v>170</v>
      </c>
      <c r="F13" s="64" t="s">
        <v>178</v>
      </c>
      <c r="G13" s="64" t="s">
        <v>191</v>
      </c>
      <c r="I13" s="64" t="s">
        <v>39</v>
      </c>
      <c r="J13" s="64" t="s">
        <v>156</v>
      </c>
      <c r="K13" s="64" t="s">
        <v>157</v>
      </c>
      <c r="L13" s="64" t="s">
        <v>159</v>
      </c>
      <c r="M13" s="64" t="s">
        <v>188</v>
      </c>
      <c r="P13" s="82"/>
      <c r="Q13" s="82" t="s">
        <v>159</v>
      </c>
      <c r="R13" s="82" t="s">
        <v>160</v>
      </c>
      <c r="S13" s="82"/>
      <c r="T13" s="82" t="s">
        <v>159</v>
      </c>
      <c r="U13" s="82" t="s">
        <v>160</v>
      </c>
      <c r="V13" s="82"/>
      <c r="W13" s="82" t="s">
        <v>159</v>
      </c>
      <c r="X13" s="82" t="s">
        <v>160</v>
      </c>
    </row>
    <row r="14" spans="2:25" ht="29" customHeight="1">
      <c r="D14" s="94" t="s">
        <v>174</v>
      </c>
      <c r="E14" s="94" t="s">
        <v>171</v>
      </c>
      <c r="F14" s="94" t="s">
        <v>177</v>
      </c>
      <c r="G14" s="95"/>
      <c r="I14" s="94" t="s">
        <v>41</v>
      </c>
      <c r="J14" s="94">
        <v>0</v>
      </c>
      <c r="K14" s="94">
        <v>50</v>
      </c>
      <c r="L14" s="95">
        <v>0</v>
      </c>
      <c r="M14" s="101">
        <f>$K$12*L14</f>
        <v>0</v>
      </c>
      <c r="P14" s="96"/>
      <c r="Q14" s="96">
        <f>LOOKUP(R10,'兴趣电商-高级主管'!$J$14:$J$20,'兴趣电商-高级主管'!$L$14:$L$20)</f>
        <v>0.8</v>
      </c>
      <c r="R14" s="97">
        <f>LOOKUP(R10,'兴趣电商-高级主管'!$J$14:$J$20,'兴趣电商-高级主管'!$M$14:$M$20)</f>
        <v>0</v>
      </c>
      <c r="S14" s="96"/>
      <c r="T14" s="96">
        <f>LOOKUP(U10,'兴趣电商-高级主管'!$J$14:$J$20,'兴趣电商-高级主管'!$L$14:$L$20)</f>
        <v>1.2</v>
      </c>
      <c r="U14" s="97">
        <f>LOOKUP(U10,'兴趣电商-高级主管'!$J$14:$J$20,'兴趣电商-高级主管'!$M$14:$M$20)</f>
        <v>0</v>
      </c>
      <c r="V14" s="97"/>
      <c r="W14" s="96">
        <f>LOOKUP(X10,'兴趣电商-高级主管'!$J$14:$J$20,'兴趣电商-高级主管'!$L$14:$L$20)</f>
        <v>0.8</v>
      </c>
      <c r="X14" s="97">
        <f>LOOKUP(X10,'兴趣电商-高级主管'!$J$14:$J$20,'兴趣电商-高级主管'!$M$14:$M$20)</f>
        <v>0</v>
      </c>
      <c r="Y14" s="97"/>
    </row>
    <row r="15" spans="2:25" ht="29" customHeight="1">
      <c r="D15" s="94" t="s">
        <v>174</v>
      </c>
      <c r="E15" s="94" t="s">
        <v>172</v>
      </c>
      <c r="F15" s="94" t="s">
        <v>179</v>
      </c>
      <c r="G15" s="95" t="s">
        <v>190</v>
      </c>
      <c r="I15" s="94" t="s">
        <v>41</v>
      </c>
      <c r="J15" s="94">
        <v>50</v>
      </c>
      <c r="K15" s="94">
        <v>70</v>
      </c>
      <c r="L15" s="95">
        <v>0.2</v>
      </c>
      <c r="M15" s="101">
        <f t="shared" ref="M15:M20" si="0">$K$12*L15</f>
        <v>0</v>
      </c>
    </row>
    <row r="16" spans="2:25" ht="29" customHeight="1">
      <c r="D16" s="94" t="s">
        <v>175</v>
      </c>
      <c r="E16" s="94" t="s">
        <v>173</v>
      </c>
      <c r="F16" s="94" t="s">
        <v>179</v>
      </c>
      <c r="G16" s="95" t="s">
        <v>190</v>
      </c>
      <c r="I16" s="94" t="s">
        <v>41</v>
      </c>
      <c r="J16" s="94">
        <v>70</v>
      </c>
      <c r="K16" s="94">
        <v>90</v>
      </c>
      <c r="L16" s="95">
        <v>0.4</v>
      </c>
      <c r="M16" s="101">
        <f t="shared" si="0"/>
        <v>0</v>
      </c>
    </row>
    <row r="17" spans="2:15" ht="29" customHeight="1">
      <c r="D17" s="94" t="s">
        <v>176</v>
      </c>
      <c r="E17" s="94" t="s">
        <v>173</v>
      </c>
      <c r="F17" s="94" t="s">
        <v>179</v>
      </c>
      <c r="G17" s="98" t="s">
        <v>190</v>
      </c>
      <c r="I17" s="94" t="s">
        <v>41</v>
      </c>
      <c r="J17" s="94">
        <v>90</v>
      </c>
      <c r="K17" s="94">
        <v>100</v>
      </c>
      <c r="L17" s="98">
        <v>0.8</v>
      </c>
      <c r="M17" s="101">
        <f t="shared" si="0"/>
        <v>0</v>
      </c>
      <c r="N17" s="92" t="s">
        <v>195</v>
      </c>
      <c r="O17" s="92"/>
    </row>
    <row r="18" spans="2:15" ht="29" customHeight="1">
      <c r="D18" s="94"/>
      <c r="E18" s="94"/>
      <c r="F18" s="94"/>
      <c r="G18" s="95"/>
      <c r="I18" s="94" t="s">
        <v>41</v>
      </c>
      <c r="J18" s="94">
        <v>100</v>
      </c>
      <c r="K18" s="94">
        <v>103</v>
      </c>
      <c r="L18" s="95">
        <v>1</v>
      </c>
      <c r="M18" s="101">
        <f t="shared" si="0"/>
        <v>0</v>
      </c>
    </row>
    <row r="19" spans="2:15" ht="29" customHeight="1">
      <c r="D19" s="100" t="s">
        <v>181</v>
      </c>
      <c r="E19" s="100"/>
      <c r="F19" s="100"/>
      <c r="G19" s="95"/>
      <c r="I19" s="94" t="s">
        <v>41</v>
      </c>
      <c r="J19" s="94">
        <v>103</v>
      </c>
      <c r="K19" s="94">
        <v>108</v>
      </c>
      <c r="L19" s="95">
        <v>1.2</v>
      </c>
      <c r="M19" s="101">
        <f t="shared" si="0"/>
        <v>0</v>
      </c>
    </row>
    <row r="20" spans="2:15" ht="29" customHeight="1">
      <c r="B20" s="91"/>
      <c r="C20" s="91"/>
      <c r="D20" s="100" t="s">
        <v>180</v>
      </c>
      <c r="E20" s="100"/>
      <c r="F20" s="100"/>
      <c r="G20" s="95"/>
      <c r="I20" s="94" t="s">
        <v>41</v>
      </c>
      <c r="J20" s="94">
        <v>108</v>
      </c>
      <c r="K20" s="99" t="s">
        <v>158</v>
      </c>
      <c r="L20" s="95">
        <v>1.5</v>
      </c>
      <c r="M20" s="101">
        <f t="shared" si="0"/>
        <v>0</v>
      </c>
    </row>
  </sheetData>
  <mergeCells count="16">
    <mergeCell ref="D12:G12"/>
    <mergeCell ref="K4:K5"/>
    <mergeCell ref="L4:L5"/>
    <mergeCell ref="M4:M5"/>
    <mergeCell ref="C1:K1"/>
    <mergeCell ref="B10:D10"/>
    <mergeCell ref="F4:F5"/>
    <mergeCell ref="G4:G5"/>
    <mergeCell ref="H4:H5"/>
    <mergeCell ref="I4:I5"/>
    <mergeCell ref="J4:J5"/>
    <mergeCell ref="B4:B5"/>
    <mergeCell ref="C4:C5"/>
    <mergeCell ref="C6:C7"/>
    <mergeCell ref="D4:D5"/>
    <mergeCell ref="E4:E5"/>
  </mergeCells>
  <phoneticPr fontId="16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1"/>
  <sheetViews>
    <sheetView showGridLines="0" topLeftCell="B1" zoomScale="63" zoomScaleNormal="40" workbookViewId="0">
      <selection activeCell="G16" sqref="G16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6384" width="8.83203125" style="1"/>
  </cols>
  <sheetData>
    <row r="1" spans="2:13" ht="57" customHeight="1">
      <c r="C1" s="130" t="s">
        <v>0</v>
      </c>
      <c r="D1" s="130"/>
      <c r="E1" s="130"/>
      <c r="F1" s="130"/>
      <c r="G1" s="130"/>
      <c r="H1" s="130"/>
      <c r="I1" s="130"/>
      <c r="J1" s="130"/>
      <c r="K1" s="130"/>
    </row>
    <row r="2" spans="2:13" ht="28" customHeight="1">
      <c r="C2" s="1" t="s">
        <v>1</v>
      </c>
      <c r="D2" s="1" t="s">
        <v>2</v>
      </c>
      <c r="E2" s="1" t="s">
        <v>3</v>
      </c>
      <c r="F2" s="1" t="s">
        <v>47</v>
      </c>
    </row>
    <row r="3" spans="2:13" ht="28" customHeight="1">
      <c r="E3" s="1" t="s">
        <v>5</v>
      </c>
    </row>
    <row r="4" spans="2:13" ht="30" customHeight="1">
      <c r="B4" s="107" t="s">
        <v>6</v>
      </c>
      <c r="C4" s="107" t="s">
        <v>7</v>
      </c>
      <c r="D4" s="107" t="s">
        <v>8</v>
      </c>
      <c r="E4" s="107" t="s">
        <v>9</v>
      </c>
      <c r="F4" s="107" t="s">
        <v>10</v>
      </c>
      <c r="G4" s="107" t="s">
        <v>11</v>
      </c>
      <c r="H4" s="107" t="s">
        <v>12</v>
      </c>
      <c r="I4" s="107" t="s">
        <v>13</v>
      </c>
      <c r="J4" s="107" t="s">
        <v>14</v>
      </c>
      <c r="K4" s="107" t="s">
        <v>15</v>
      </c>
      <c r="L4" s="107" t="s">
        <v>16</v>
      </c>
      <c r="M4" s="107" t="s">
        <v>17</v>
      </c>
    </row>
    <row r="5" spans="2:13" ht="30" customHeight="1"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2:13" ht="125">
      <c r="B6" s="2">
        <v>1</v>
      </c>
      <c r="C6" s="117" t="s">
        <v>18</v>
      </c>
      <c r="D6" s="2" t="s">
        <v>19</v>
      </c>
      <c r="E6" s="7">
        <v>0.2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>
        <v>100</v>
      </c>
      <c r="M6" s="2">
        <f>E6*L6</f>
        <v>20</v>
      </c>
    </row>
    <row r="7" spans="2:13" ht="125">
      <c r="B7" s="2">
        <v>2</v>
      </c>
      <c r="C7" s="117" t="s">
        <v>18</v>
      </c>
      <c r="D7" s="2" t="s">
        <v>26</v>
      </c>
      <c r="E7" s="7">
        <v>0.4</v>
      </c>
      <c r="F7" s="2" t="s">
        <v>27</v>
      </c>
      <c r="G7" s="2" t="s">
        <v>28</v>
      </c>
      <c r="H7" s="2" t="s">
        <v>22</v>
      </c>
      <c r="I7" s="2" t="s">
        <v>29</v>
      </c>
      <c r="J7" s="2" t="s">
        <v>24</v>
      </c>
      <c r="K7" s="2" t="s">
        <v>25</v>
      </c>
      <c r="L7" s="2">
        <v>100</v>
      </c>
      <c r="M7" s="2">
        <f>E7*L7</f>
        <v>40</v>
      </c>
    </row>
    <row r="8" spans="2:13" ht="150">
      <c r="B8" s="2">
        <v>3</v>
      </c>
      <c r="C8" s="117" t="s">
        <v>30</v>
      </c>
      <c r="D8" s="2" t="s">
        <v>48</v>
      </c>
      <c r="E8" s="7">
        <v>0.2</v>
      </c>
      <c r="F8" s="2"/>
      <c r="G8" s="2"/>
      <c r="H8" s="2" t="s">
        <v>32</v>
      </c>
      <c r="I8" s="2" t="s">
        <v>49</v>
      </c>
      <c r="J8" s="2" t="s">
        <v>34</v>
      </c>
      <c r="K8" s="2" t="s">
        <v>25</v>
      </c>
      <c r="L8" s="2">
        <v>100</v>
      </c>
      <c r="M8" s="2">
        <f>E8*L8</f>
        <v>20</v>
      </c>
    </row>
    <row r="9" spans="2:13" ht="150">
      <c r="B9" s="2">
        <v>4</v>
      </c>
      <c r="C9" s="117" t="s">
        <v>30</v>
      </c>
      <c r="D9" s="2" t="s">
        <v>50</v>
      </c>
      <c r="E9" s="7">
        <v>0.1</v>
      </c>
      <c r="F9" s="2"/>
      <c r="G9" s="2"/>
      <c r="H9" s="2" t="s">
        <v>32</v>
      </c>
      <c r="I9" s="2" t="s">
        <v>51</v>
      </c>
      <c r="J9" s="2" t="s">
        <v>34</v>
      </c>
      <c r="K9" s="2" t="s">
        <v>25</v>
      </c>
      <c r="L9" s="2">
        <v>100</v>
      </c>
      <c r="M9" s="2">
        <f>E9*L9</f>
        <v>10</v>
      </c>
    </row>
    <row r="10" spans="2:13" ht="150">
      <c r="B10" s="4">
        <v>5</v>
      </c>
      <c r="C10" s="118" t="s">
        <v>30</v>
      </c>
      <c r="D10" s="4" t="s">
        <v>52</v>
      </c>
      <c r="E10" s="8">
        <v>0.1</v>
      </c>
      <c r="F10" s="4"/>
      <c r="G10" s="4"/>
      <c r="H10" s="4" t="s">
        <v>32</v>
      </c>
      <c r="I10" s="4" t="s">
        <v>53</v>
      </c>
      <c r="J10" s="4" t="s">
        <v>34</v>
      </c>
      <c r="K10" s="4" t="s">
        <v>25</v>
      </c>
      <c r="L10" s="4">
        <v>100</v>
      </c>
      <c r="M10" s="4">
        <f>E10*L10</f>
        <v>10</v>
      </c>
    </row>
    <row r="11" spans="2:13" ht="30" customHeight="1">
      <c r="B11" s="116" t="s">
        <v>37</v>
      </c>
      <c r="C11" s="116"/>
      <c r="D11" s="116"/>
      <c r="E11" s="9">
        <f>SUM(E6:E10)</f>
        <v>1</v>
      </c>
      <c r="F11" s="6"/>
      <c r="G11" s="6"/>
      <c r="H11" s="6"/>
      <c r="I11" s="6"/>
      <c r="J11" s="6"/>
      <c r="K11" s="6"/>
      <c r="L11" s="6">
        <v>100</v>
      </c>
      <c r="M11" s="6">
        <f>SUM(M6:M10)</f>
        <v>100</v>
      </c>
    </row>
    <row r="12" spans="2:13" ht="32" customHeight="1"/>
    <row r="13" spans="2:13" ht="32" customHeight="1"/>
    <row r="14" spans="2:13" ht="32" customHeight="1"/>
    <row r="15" spans="2:13" ht="30" customHeight="1">
      <c r="I15" s="110" t="s">
        <v>193</v>
      </c>
      <c r="J15" s="111"/>
      <c r="K15" s="111"/>
      <c r="L15" s="111"/>
      <c r="M15" s="112"/>
    </row>
    <row r="16" spans="2:13" ht="50">
      <c r="I16" s="113" t="s">
        <v>39</v>
      </c>
      <c r="J16" s="114"/>
      <c r="K16" s="64" t="s">
        <v>156</v>
      </c>
      <c r="L16" s="64" t="s">
        <v>157</v>
      </c>
      <c r="M16" s="88" t="s">
        <v>40</v>
      </c>
    </row>
    <row r="17" spans="2:13" ht="26" customHeight="1">
      <c r="I17" s="119" t="s">
        <v>54</v>
      </c>
      <c r="J17" s="120"/>
      <c r="K17" s="89">
        <v>0</v>
      </c>
      <c r="L17" s="89">
        <v>60</v>
      </c>
      <c r="M17" s="90">
        <v>1E-3</v>
      </c>
    </row>
    <row r="18" spans="2:13" ht="26" customHeight="1">
      <c r="I18" s="119" t="s">
        <v>54</v>
      </c>
      <c r="J18" s="120"/>
      <c r="K18" s="89">
        <v>60</v>
      </c>
      <c r="L18" s="89">
        <v>80</v>
      </c>
      <c r="M18" s="90">
        <v>1E-3</v>
      </c>
    </row>
    <row r="19" spans="2:13" ht="26" customHeight="1">
      <c r="I19" s="119" t="s">
        <v>54</v>
      </c>
      <c r="J19" s="120"/>
      <c r="K19" s="89">
        <v>80</v>
      </c>
      <c r="L19" s="89">
        <v>100</v>
      </c>
      <c r="M19" s="90">
        <v>1E-3</v>
      </c>
    </row>
    <row r="20" spans="2:13" ht="26" customHeight="1">
      <c r="I20" s="119" t="s">
        <v>54</v>
      </c>
      <c r="J20" s="120"/>
      <c r="K20" s="89">
        <v>100</v>
      </c>
      <c r="L20" s="89">
        <v>150</v>
      </c>
      <c r="M20" s="90">
        <v>1E-3</v>
      </c>
    </row>
    <row r="21" spans="2:13" ht="22" customHeight="1"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</sheetData>
  <mergeCells count="23">
    <mergeCell ref="I19:J19"/>
    <mergeCell ref="I20:J20"/>
    <mergeCell ref="L4:L5"/>
    <mergeCell ref="M4:M5"/>
    <mergeCell ref="I15:M15"/>
    <mergeCell ref="I16:J16"/>
    <mergeCell ref="I17:J17"/>
    <mergeCell ref="C1:K1"/>
    <mergeCell ref="B11:D11"/>
    <mergeCell ref="B21:M21"/>
    <mergeCell ref="B4:B5"/>
    <mergeCell ref="C4:C5"/>
    <mergeCell ref="C6:C7"/>
    <mergeCell ref="C8:C10"/>
    <mergeCell ref="D4:D5"/>
    <mergeCell ref="E4:E5"/>
    <mergeCell ref="F4:F5"/>
    <mergeCell ref="G4:G5"/>
    <mergeCell ref="H4:H5"/>
    <mergeCell ref="I4:I5"/>
    <mergeCell ref="J4:J5"/>
    <mergeCell ref="K4:K5"/>
    <mergeCell ref="I18:J18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2"/>
  <sheetViews>
    <sheetView showGridLines="0" topLeftCell="C6" zoomScale="63" zoomScaleNormal="50" workbookViewId="0">
      <selection activeCell="I16" sqref="I16:M17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5" width="16.33203125" style="1" customWidth="1"/>
    <col min="16" max="16384" width="8.83203125" style="1"/>
  </cols>
  <sheetData>
    <row r="1" spans="2:13" ht="57" customHeight="1">
      <c r="C1" s="130" t="s">
        <v>0</v>
      </c>
      <c r="D1" s="130"/>
      <c r="E1" s="130"/>
      <c r="F1" s="130"/>
      <c r="G1" s="130"/>
      <c r="H1" s="130"/>
      <c r="I1" s="130"/>
      <c r="J1" s="130"/>
      <c r="K1" s="130"/>
    </row>
    <row r="2" spans="2:13" ht="28" customHeight="1">
      <c r="C2" s="1" t="s">
        <v>1</v>
      </c>
      <c r="D2" s="1" t="s">
        <v>2</v>
      </c>
      <c r="E2" s="1" t="s">
        <v>3</v>
      </c>
      <c r="F2" s="1" t="s">
        <v>55</v>
      </c>
    </row>
    <row r="3" spans="2:13" ht="28" customHeight="1">
      <c r="E3" s="1" t="s">
        <v>5</v>
      </c>
    </row>
    <row r="4" spans="2:13" ht="30" customHeight="1">
      <c r="B4" s="107" t="s">
        <v>6</v>
      </c>
      <c r="C4" s="107" t="s">
        <v>7</v>
      </c>
      <c r="D4" s="107" t="s">
        <v>8</v>
      </c>
      <c r="E4" s="107" t="s">
        <v>9</v>
      </c>
      <c r="F4" s="107" t="s">
        <v>10</v>
      </c>
      <c r="G4" s="107" t="s">
        <v>11</v>
      </c>
      <c r="H4" s="107" t="s">
        <v>12</v>
      </c>
      <c r="I4" s="107" t="s">
        <v>13</v>
      </c>
      <c r="J4" s="107" t="s">
        <v>14</v>
      </c>
      <c r="K4" s="107" t="s">
        <v>15</v>
      </c>
      <c r="L4" s="107" t="s">
        <v>16</v>
      </c>
      <c r="M4" s="107" t="s">
        <v>17</v>
      </c>
    </row>
    <row r="5" spans="2:13" ht="30" customHeight="1"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2:13" ht="225">
      <c r="B6" s="2">
        <v>1</v>
      </c>
      <c r="C6" s="3" t="s">
        <v>18</v>
      </c>
      <c r="D6" s="2" t="s">
        <v>19</v>
      </c>
      <c r="E6" s="7">
        <v>0.1</v>
      </c>
      <c r="F6" s="2" t="s">
        <v>56</v>
      </c>
      <c r="G6" s="2"/>
      <c r="H6" s="2" t="s">
        <v>22</v>
      </c>
      <c r="I6" s="2" t="s">
        <v>57</v>
      </c>
      <c r="J6" s="2" t="s">
        <v>24</v>
      </c>
      <c r="K6" s="2" t="s">
        <v>25</v>
      </c>
      <c r="L6" s="2">
        <v>100</v>
      </c>
      <c r="M6" s="2">
        <f t="shared" ref="M6:M11" si="0">E6*L6</f>
        <v>10</v>
      </c>
    </row>
    <row r="7" spans="2:13" ht="125">
      <c r="B7" s="2">
        <v>2</v>
      </c>
      <c r="C7" s="117" t="s">
        <v>30</v>
      </c>
      <c r="D7" s="2" t="s">
        <v>58</v>
      </c>
      <c r="E7" s="7">
        <v>0.2</v>
      </c>
      <c r="F7" s="2" t="s">
        <v>59</v>
      </c>
      <c r="G7" s="2"/>
      <c r="H7" s="2" t="s">
        <v>32</v>
      </c>
      <c r="I7" s="2" t="s">
        <v>60</v>
      </c>
      <c r="J7" s="2" t="s">
        <v>34</v>
      </c>
      <c r="K7" s="2" t="s">
        <v>25</v>
      </c>
      <c r="L7" s="2">
        <v>100</v>
      </c>
      <c r="M7" s="2">
        <f t="shared" si="0"/>
        <v>20</v>
      </c>
    </row>
    <row r="8" spans="2:13" ht="125">
      <c r="B8" s="2">
        <v>3</v>
      </c>
      <c r="C8" s="117" t="s">
        <v>30</v>
      </c>
      <c r="D8" s="2" t="s">
        <v>61</v>
      </c>
      <c r="E8" s="7">
        <v>0.2</v>
      </c>
      <c r="F8" s="2" t="s">
        <v>62</v>
      </c>
      <c r="G8" s="2"/>
      <c r="H8" s="2" t="s">
        <v>32</v>
      </c>
      <c r="I8" s="2" t="s">
        <v>63</v>
      </c>
      <c r="J8" s="2" t="s">
        <v>34</v>
      </c>
      <c r="K8" s="2" t="s">
        <v>25</v>
      </c>
      <c r="L8" s="2">
        <v>100</v>
      </c>
      <c r="M8" s="2">
        <f t="shared" si="0"/>
        <v>20</v>
      </c>
    </row>
    <row r="9" spans="2:13" ht="125">
      <c r="B9" s="2">
        <v>4</v>
      </c>
      <c r="C9" s="117" t="s">
        <v>30</v>
      </c>
      <c r="D9" s="2" t="s">
        <v>64</v>
      </c>
      <c r="E9" s="7">
        <v>0.1</v>
      </c>
      <c r="F9" s="2" t="s">
        <v>65</v>
      </c>
      <c r="G9" s="2"/>
      <c r="H9" s="2" t="s">
        <v>32</v>
      </c>
      <c r="I9" s="2" t="s">
        <v>66</v>
      </c>
      <c r="J9" s="2" t="s">
        <v>34</v>
      </c>
      <c r="K9" s="2" t="s">
        <v>25</v>
      </c>
      <c r="L9" s="2">
        <v>100</v>
      </c>
      <c r="M9" s="2">
        <f t="shared" si="0"/>
        <v>10</v>
      </c>
    </row>
    <row r="10" spans="2:13" ht="125">
      <c r="B10" s="2">
        <v>5</v>
      </c>
      <c r="C10" s="117" t="s">
        <v>45</v>
      </c>
      <c r="D10" s="2" t="s">
        <v>67</v>
      </c>
      <c r="E10" s="7">
        <v>0.2</v>
      </c>
      <c r="F10" s="2" t="s">
        <v>68</v>
      </c>
      <c r="G10" s="2"/>
      <c r="H10" s="2" t="s">
        <v>32</v>
      </c>
      <c r="I10" s="2" t="s">
        <v>66</v>
      </c>
      <c r="J10" s="2" t="s">
        <v>34</v>
      </c>
      <c r="K10" s="2" t="s">
        <v>25</v>
      </c>
      <c r="L10" s="2">
        <v>100</v>
      </c>
      <c r="M10" s="2">
        <f t="shared" si="0"/>
        <v>20</v>
      </c>
    </row>
    <row r="11" spans="2:13" ht="125">
      <c r="B11" s="4">
        <v>6</v>
      </c>
      <c r="C11" s="118" t="s">
        <v>45</v>
      </c>
      <c r="D11" s="4" t="s">
        <v>69</v>
      </c>
      <c r="E11" s="8">
        <v>0.2</v>
      </c>
      <c r="F11" s="4" t="s">
        <v>70</v>
      </c>
      <c r="G11" s="4"/>
      <c r="H11" s="4" t="s">
        <v>32</v>
      </c>
      <c r="I11" s="4" t="s">
        <v>66</v>
      </c>
      <c r="J11" s="4" t="s">
        <v>34</v>
      </c>
      <c r="K11" s="4" t="s">
        <v>25</v>
      </c>
      <c r="L11" s="4">
        <v>100</v>
      </c>
      <c r="M11" s="4">
        <f t="shared" si="0"/>
        <v>20</v>
      </c>
    </row>
    <row r="12" spans="2:13" ht="30" customHeight="1">
      <c r="B12" s="116" t="s">
        <v>37</v>
      </c>
      <c r="C12" s="116"/>
      <c r="D12" s="116"/>
      <c r="E12" s="9">
        <f>SUM(E6:E11)</f>
        <v>1</v>
      </c>
      <c r="F12" s="6"/>
      <c r="G12" s="6"/>
      <c r="H12" s="6"/>
      <c r="I12" s="6"/>
      <c r="J12" s="6"/>
      <c r="K12" s="6"/>
      <c r="L12" s="6"/>
      <c r="M12" s="6">
        <f>SUM(M6:M11)</f>
        <v>100</v>
      </c>
    </row>
    <row r="13" spans="2:13" ht="32" customHeight="1"/>
    <row r="14" spans="2:13" ht="32" customHeight="1"/>
    <row r="15" spans="2:13" ht="41" customHeight="1"/>
    <row r="16" spans="2:13" ht="30" customHeight="1">
      <c r="I16" s="110" t="s">
        <v>193</v>
      </c>
      <c r="J16" s="111"/>
      <c r="K16" s="111"/>
      <c r="L16" s="111"/>
      <c r="M16" s="112"/>
    </row>
    <row r="17" spans="2:13" ht="50">
      <c r="I17" s="113" t="s">
        <v>39</v>
      </c>
      <c r="J17" s="114"/>
      <c r="K17" s="64" t="s">
        <v>156</v>
      </c>
      <c r="L17" s="64" t="s">
        <v>157</v>
      </c>
      <c r="M17" s="88" t="s">
        <v>40</v>
      </c>
    </row>
    <row r="18" spans="2:13" ht="26" customHeight="1">
      <c r="I18" s="89" t="s">
        <v>41</v>
      </c>
      <c r="J18" s="89">
        <v>0</v>
      </c>
      <c r="K18" s="89">
        <v>60</v>
      </c>
      <c r="L18" s="105" t="s">
        <v>71</v>
      </c>
      <c r="M18" s="106" t="s">
        <v>72</v>
      </c>
    </row>
    <row r="19" spans="2:13" ht="26" customHeight="1">
      <c r="I19" s="89" t="s">
        <v>41</v>
      </c>
      <c r="J19" s="89">
        <v>60</v>
      </c>
      <c r="K19" s="89">
        <v>80</v>
      </c>
      <c r="L19" s="105" t="s">
        <v>71</v>
      </c>
      <c r="M19" s="106" t="s">
        <v>194</v>
      </c>
    </row>
    <row r="20" spans="2:13" ht="26" customHeight="1">
      <c r="I20" s="89" t="s">
        <v>41</v>
      </c>
      <c r="J20" s="89">
        <v>80</v>
      </c>
      <c r="K20" s="89">
        <v>100</v>
      </c>
      <c r="L20" s="105" t="s">
        <v>71</v>
      </c>
      <c r="M20" s="106" t="s">
        <v>73</v>
      </c>
    </row>
    <row r="21" spans="2:13" ht="26" customHeight="1">
      <c r="I21" s="89" t="s">
        <v>41</v>
      </c>
      <c r="J21" s="89">
        <v>100</v>
      </c>
      <c r="K21" s="89">
        <v>150</v>
      </c>
      <c r="L21" s="105" t="s">
        <v>71</v>
      </c>
      <c r="M21" s="106" t="s">
        <v>74</v>
      </c>
    </row>
    <row r="22" spans="2:13" ht="22" customHeight="1"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</row>
  </sheetData>
  <mergeCells count="19">
    <mergeCell ref="C1:K1"/>
    <mergeCell ref="B12:D12"/>
    <mergeCell ref="L4:L5"/>
    <mergeCell ref="M4:M5"/>
    <mergeCell ref="B22:M22"/>
    <mergeCell ref="B4:B5"/>
    <mergeCell ref="C4:C5"/>
    <mergeCell ref="C7:C9"/>
    <mergeCell ref="C10:C11"/>
    <mergeCell ref="D4:D5"/>
    <mergeCell ref="E4:E5"/>
    <mergeCell ref="F4:F5"/>
    <mergeCell ref="G4:G5"/>
    <mergeCell ref="H4:H5"/>
    <mergeCell ref="I4:I5"/>
    <mergeCell ref="J4:J5"/>
    <mergeCell ref="K4:K5"/>
    <mergeCell ref="I16:M16"/>
    <mergeCell ref="I17:J17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0"/>
  <sheetViews>
    <sheetView showGridLines="0" zoomScale="55" zoomScaleNormal="40" workbookViewId="0">
      <selection activeCell="I14" sqref="I14:M15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6384" width="8.83203125" style="1"/>
  </cols>
  <sheetData>
    <row r="1" spans="2:13" ht="57" customHeight="1">
      <c r="C1" s="130" t="s">
        <v>0</v>
      </c>
      <c r="D1" s="130"/>
      <c r="E1" s="130"/>
      <c r="F1" s="130"/>
      <c r="G1" s="130"/>
      <c r="H1" s="130"/>
      <c r="I1" s="130"/>
      <c r="J1" s="130"/>
      <c r="K1" s="130"/>
    </row>
    <row r="2" spans="2:13" ht="28" customHeight="1">
      <c r="C2" s="1" t="s">
        <v>1</v>
      </c>
      <c r="D2" s="1" t="s">
        <v>2</v>
      </c>
      <c r="E2" s="1" t="s">
        <v>3</v>
      </c>
      <c r="F2" s="1" t="s">
        <v>75</v>
      </c>
    </row>
    <row r="3" spans="2:13" ht="28" customHeight="1">
      <c r="E3" s="1" t="s">
        <v>5</v>
      </c>
    </row>
    <row r="4" spans="2:13" ht="30" customHeight="1">
      <c r="B4" s="107" t="s">
        <v>6</v>
      </c>
      <c r="C4" s="107" t="s">
        <v>7</v>
      </c>
      <c r="D4" s="107" t="s">
        <v>8</v>
      </c>
      <c r="E4" s="107" t="s">
        <v>9</v>
      </c>
      <c r="F4" s="107" t="s">
        <v>10</v>
      </c>
      <c r="G4" s="107" t="s">
        <v>11</v>
      </c>
      <c r="H4" s="107" t="s">
        <v>12</v>
      </c>
      <c r="I4" s="107" t="s">
        <v>13</v>
      </c>
      <c r="J4" s="107" t="s">
        <v>14</v>
      </c>
      <c r="K4" s="107" t="s">
        <v>15</v>
      </c>
      <c r="L4" s="107" t="s">
        <v>16</v>
      </c>
      <c r="M4" s="107" t="s">
        <v>17</v>
      </c>
    </row>
    <row r="5" spans="2:13" ht="30" customHeight="1"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2:13" ht="125">
      <c r="B6" s="2">
        <v>1</v>
      </c>
      <c r="C6" s="117" t="s">
        <v>30</v>
      </c>
      <c r="D6" s="2" t="s">
        <v>76</v>
      </c>
      <c r="E6" s="7">
        <v>0.6</v>
      </c>
      <c r="F6" s="2" t="s">
        <v>77</v>
      </c>
      <c r="G6" s="2" t="s">
        <v>28</v>
      </c>
      <c r="H6" s="2" t="s">
        <v>22</v>
      </c>
      <c r="I6" s="2" t="s">
        <v>23</v>
      </c>
      <c r="J6" s="2" t="s">
        <v>24</v>
      </c>
      <c r="K6" s="2" t="s">
        <v>25</v>
      </c>
      <c r="L6" s="2">
        <v>100</v>
      </c>
      <c r="M6" s="2">
        <f>E6*L6</f>
        <v>60</v>
      </c>
    </row>
    <row r="7" spans="2:13" ht="125">
      <c r="B7" s="2">
        <v>2</v>
      </c>
      <c r="C7" s="117" t="s">
        <v>30</v>
      </c>
      <c r="D7" s="2" t="s">
        <v>78</v>
      </c>
      <c r="E7" s="7">
        <v>0.2</v>
      </c>
      <c r="F7" s="2" t="s">
        <v>79</v>
      </c>
      <c r="G7" s="2"/>
      <c r="H7" s="2" t="s">
        <v>32</v>
      </c>
      <c r="I7" s="2" t="s">
        <v>66</v>
      </c>
      <c r="J7" s="2" t="s">
        <v>34</v>
      </c>
      <c r="K7" s="2" t="s">
        <v>25</v>
      </c>
      <c r="L7" s="2">
        <v>100</v>
      </c>
      <c r="M7" s="2">
        <f>E7*L7</f>
        <v>20</v>
      </c>
    </row>
    <row r="8" spans="2:13" ht="125">
      <c r="B8" s="2">
        <v>3</v>
      </c>
      <c r="C8" s="117" t="s">
        <v>45</v>
      </c>
      <c r="D8" s="2" t="s">
        <v>67</v>
      </c>
      <c r="E8" s="7">
        <v>0.1</v>
      </c>
      <c r="F8" s="2" t="s">
        <v>80</v>
      </c>
      <c r="G8" s="2"/>
      <c r="H8" s="2" t="s">
        <v>32</v>
      </c>
      <c r="I8" s="2" t="s">
        <v>66</v>
      </c>
      <c r="J8" s="2" t="s">
        <v>34</v>
      </c>
      <c r="K8" s="2" t="s">
        <v>25</v>
      </c>
      <c r="L8" s="2">
        <v>100</v>
      </c>
      <c r="M8" s="2">
        <f>E8*L8</f>
        <v>10</v>
      </c>
    </row>
    <row r="9" spans="2:13" ht="125">
      <c r="B9" s="4">
        <v>4</v>
      </c>
      <c r="C9" s="118" t="s">
        <v>45</v>
      </c>
      <c r="D9" s="4" t="s">
        <v>69</v>
      </c>
      <c r="E9" s="8">
        <v>0.1</v>
      </c>
      <c r="F9" s="4" t="s">
        <v>81</v>
      </c>
      <c r="G9" s="4"/>
      <c r="H9" s="4" t="s">
        <v>32</v>
      </c>
      <c r="I9" s="4" t="s">
        <v>66</v>
      </c>
      <c r="J9" s="4" t="s">
        <v>34</v>
      </c>
      <c r="K9" s="4" t="s">
        <v>25</v>
      </c>
      <c r="L9" s="4">
        <v>100</v>
      </c>
      <c r="M9" s="4">
        <f>E9*L9</f>
        <v>10</v>
      </c>
    </row>
    <row r="10" spans="2:13" ht="30" customHeight="1">
      <c r="B10" s="116" t="s">
        <v>37</v>
      </c>
      <c r="C10" s="116"/>
      <c r="D10" s="116"/>
      <c r="E10" s="9">
        <f>SUM(E6:E9)</f>
        <v>1</v>
      </c>
      <c r="F10" s="6"/>
      <c r="G10" s="6"/>
      <c r="H10" s="6"/>
      <c r="I10" s="6"/>
      <c r="J10" s="6"/>
      <c r="K10" s="6"/>
      <c r="L10" s="6">
        <v>100</v>
      </c>
      <c r="M10" s="6">
        <f>SUM(M6:M9)</f>
        <v>100</v>
      </c>
    </row>
    <row r="12" spans="2:13" ht="32" customHeight="1"/>
    <row r="13" spans="2:13" ht="32" customHeight="1"/>
    <row r="14" spans="2:13" ht="30" customHeight="1">
      <c r="I14" s="110" t="s">
        <v>193</v>
      </c>
      <c r="J14" s="111"/>
      <c r="K14" s="111"/>
      <c r="L14" s="111"/>
      <c r="M14" s="112"/>
    </row>
    <row r="15" spans="2:13" ht="50">
      <c r="I15" s="113" t="s">
        <v>39</v>
      </c>
      <c r="J15" s="114"/>
      <c r="K15" s="64" t="s">
        <v>156</v>
      </c>
      <c r="L15" s="64" t="s">
        <v>157</v>
      </c>
      <c r="M15" s="88" t="s">
        <v>40</v>
      </c>
    </row>
    <row r="16" spans="2:13" ht="26" customHeight="1">
      <c r="I16" s="119" t="s">
        <v>82</v>
      </c>
      <c r="J16" s="120"/>
      <c r="K16" s="89">
        <v>0</v>
      </c>
      <c r="L16" s="89">
        <v>60</v>
      </c>
      <c r="M16" s="90">
        <v>1E-3</v>
      </c>
    </row>
    <row r="17" spans="2:13" ht="26" customHeight="1">
      <c r="I17" s="119" t="s">
        <v>82</v>
      </c>
      <c r="J17" s="120"/>
      <c r="K17" s="89">
        <v>60</v>
      </c>
      <c r="L17" s="89">
        <v>80</v>
      </c>
      <c r="M17" s="90">
        <v>2E-3</v>
      </c>
    </row>
    <row r="18" spans="2:13" ht="26" customHeight="1">
      <c r="I18" s="119" t="s">
        <v>82</v>
      </c>
      <c r="J18" s="120"/>
      <c r="K18" s="89">
        <v>80</v>
      </c>
      <c r="L18" s="89">
        <v>100</v>
      </c>
      <c r="M18" s="90">
        <v>4.0000000000000001E-3</v>
      </c>
    </row>
    <row r="19" spans="2:13" ht="26" customHeight="1">
      <c r="I19" s="119" t="s">
        <v>82</v>
      </c>
      <c r="J19" s="120"/>
      <c r="K19" s="89">
        <v>100</v>
      </c>
      <c r="L19" s="89">
        <v>150</v>
      </c>
      <c r="M19" s="90">
        <v>5.0000000000000001E-3</v>
      </c>
    </row>
    <row r="20" spans="2:13" ht="22" customHeight="1"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</row>
  </sheetData>
  <mergeCells count="23">
    <mergeCell ref="I18:J18"/>
    <mergeCell ref="I19:J19"/>
    <mergeCell ref="L4:L5"/>
    <mergeCell ref="M4:M5"/>
    <mergeCell ref="I14:M14"/>
    <mergeCell ref="I15:J15"/>
    <mergeCell ref="I16:J16"/>
    <mergeCell ref="C1:K1"/>
    <mergeCell ref="B10:D10"/>
    <mergeCell ref="B20:M20"/>
    <mergeCell ref="B4:B5"/>
    <mergeCell ref="C4:C5"/>
    <mergeCell ref="C6:C7"/>
    <mergeCell ref="C8:C9"/>
    <mergeCell ref="D4:D5"/>
    <mergeCell ref="E4:E5"/>
    <mergeCell ref="F4:F5"/>
    <mergeCell ref="G4:G5"/>
    <mergeCell ref="H4:H5"/>
    <mergeCell ref="I4:I5"/>
    <mergeCell ref="J4:J5"/>
    <mergeCell ref="K4:K5"/>
    <mergeCell ref="I17:J17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30"/>
  <sheetViews>
    <sheetView showGridLines="0" zoomScale="55" zoomScaleNormal="40" workbookViewId="0">
      <selection activeCell="H16" sqref="H16:L17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6" width="60.83203125" style="1" customWidth="1"/>
    <col min="7" max="7" width="70.5" style="1" customWidth="1"/>
    <col min="8" max="8" width="68.1640625" style="1" customWidth="1"/>
    <col min="9" max="12" width="20.83203125" style="1" customWidth="1"/>
    <col min="13" max="13" width="62.83203125" style="1" customWidth="1"/>
    <col min="14" max="16384" width="8.83203125" style="1"/>
  </cols>
  <sheetData>
    <row r="1" spans="2:12" ht="57" customHeight="1">
      <c r="C1" s="130" t="s">
        <v>0</v>
      </c>
      <c r="D1" s="130"/>
      <c r="E1" s="130"/>
      <c r="F1" s="130"/>
      <c r="G1" s="130"/>
      <c r="H1" s="130"/>
      <c r="I1" s="130"/>
      <c r="J1" s="130"/>
    </row>
    <row r="2" spans="2:12" ht="28" customHeight="1">
      <c r="C2" s="1" t="s">
        <v>1</v>
      </c>
      <c r="D2" s="1" t="s">
        <v>2</v>
      </c>
      <c r="E2" s="1" t="s">
        <v>3</v>
      </c>
      <c r="F2" s="1" t="s">
        <v>83</v>
      </c>
    </row>
    <row r="3" spans="2:12" ht="28" customHeight="1">
      <c r="E3" s="1" t="s">
        <v>5</v>
      </c>
    </row>
    <row r="4" spans="2:12" ht="30" customHeight="1">
      <c r="B4" s="107" t="s">
        <v>6</v>
      </c>
      <c r="C4" s="107" t="s">
        <v>7</v>
      </c>
      <c r="D4" s="107" t="s">
        <v>8</v>
      </c>
      <c r="E4" s="107" t="s">
        <v>9</v>
      </c>
      <c r="F4" s="107" t="s">
        <v>13</v>
      </c>
      <c r="G4" s="107" t="s">
        <v>84</v>
      </c>
      <c r="H4" s="107" t="s">
        <v>85</v>
      </c>
      <c r="I4" s="107" t="s">
        <v>14</v>
      </c>
      <c r="J4" s="107" t="s">
        <v>15</v>
      </c>
      <c r="K4" s="107" t="s">
        <v>16</v>
      </c>
      <c r="L4" s="107" t="s">
        <v>17</v>
      </c>
    </row>
    <row r="5" spans="2:12" ht="30" customHeight="1"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2:12" ht="125">
      <c r="B6" s="2">
        <v>1</v>
      </c>
      <c r="C6" s="118" t="s">
        <v>30</v>
      </c>
      <c r="D6" s="2" t="s">
        <v>86</v>
      </c>
      <c r="E6" s="10">
        <v>0.1</v>
      </c>
      <c r="F6" s="2" t="s">
        <v>87</v>
      </c>
      <c r="G6" s="2" t="s">
        <v>88</v>
      </c>
      <c r="H6" s="2" t="s">
        <v>89</v>
      </c>
      <c r="I6" s="2" t="s">
        <v>90</v>
      </c>
      <c r="J6" s="2" t="s">
        <v>25</v>
      </c>
      <c r="K6" s="2">
        <v>100</v>
      </c>
      <c r="L6" s="2">
        <f>E6*K6</f>
        <v>10</v>
      </c>
    </row>
    <row r="7" spans="2:12" ht="125">
      <c r="B7" s="2">
        <v>2</v>
      </c>
      <c r="C7" s="133"/>
      <c r="D7" s="2" t="s">
        <v>91</v>
      </c>
      <c r="E7" s="10">
        <v>0.3</v>
      </c>
      <c r="F7" s="2" t="s">
        <v>92</v>
      </c>
      <c r="G7" s="7" t="s">
        <v>93</v>
      </c>
      <c r="H7" s="2" t="s">
        <v>94</v>
      </c>
      <c r="I7" s="2" t="s">
        <v>90</v>
      </c>
      <c r="J7" s="2" t="s">
        <v>25</v>
      </c>
      <c r="K7" s="2">
        <v>100</v>
      </c>
      <c r="L7" s="2">
        <f t="shared" ref="L7:L11" si="0">E7*K7</f>
        <v>30</v>
      </c>
    </row>
    <row r="8" spans="2:12" ht="125">
      <c r="B8" s="2">
        <v>3</v>
      </c>
      <c r="C8" s="133"/>
      <c r="D8" s="2" t="s">
        <v>95</v>
      </c>
      <c r="E8" s="10">
        <v>0.2</v>
      </c>
      <c r="F8" s="2" t="s">
        <v>96</v>
      </c>
      <c r="G8" s="7" t="s">
        <v>97</v>
      </c>
      <c r="H8" s="2" t="s">
        <v>98</v>
      </c>
      <c r="I8" s="2" t="s">
        <v>90</v>
      </c>
      <c r="J8" s="2" t="s">
        <v>25</v>
      </c>
      <c r="K8" s="2">
        <v>100</v>
      </c>
      <c r="L8" s="2">
        <f t="shared" si="0"/>
        <v>20</v>
      </c>
    </row>
    <row r="9" spans="2:12" ht="125">
      <c r="B9" s="2">
        <v>4</v>
      </c>
      <c r="C9" s="133"/>
      <c r="D9" s="2" t="s">
        <v>99</v>
      </c>
      <c r="E9" s="10">
        <v>0.2</v>
      </c>
      <c r="F9" s="2" t="s">
        <v>100</v>
      </c>
      <c r="G9" s="7" t="s">
        <v>101</v>
      </c>
      <c r="H9" s="2" t="s">
        <v>102</v>
      </c>
      <c r="I9" s="2" t="s">
        <v>90</v>
      </c>
      <c r="J9" s="2" t="s">
        <v>25</v>
      </c>
      <c r="K9" s="2">
        <v>100</v>
      </c>
      <c r="L9" s="2">
        <f t="shared" si="0"/>
        <v>20</v>
      </c>
    </row>
    <row r="10" spans="2:12" ht="183" customHeight="1">
      <c r="B10" s="4">
        <v>5</v>
      </c>
      <c r="C10" s="133"/>
      <c r="D10" s="2" t="s">
        <v>103</v>
      </c>
      <c r="E10" s="10">
        <v>0.1</v>
      </c>
      <c r="F10" s="2" t="s">
        <v>104</v>
      </c>
      <c r="G10" s="7" t="s">
        <v>105</v>
      </c>
      <c r="H10" s="2" t="s">
        <v>106</v>
      </c>
      <c r="I10" s="2" t="s">
        <v>90</v>
      </c>
      <c r="J10" s="4" t="s">
        <v>25</v>
      </c>
      <c r="K10" s="2">
        <v>100</v>
      </c>
      <c r="L10" s="2">
        <f t="shared" si="0"/>
        <v>10</v>
      </c>
    </row>
    <row r="11" spans="2:12" ht="185" customHeight="1" thickBot="1">
      <c r="B11" s="4"/>
      <c r="C11" s="133"/>
      <c r="D11" s="103" t="s">
        <v>107</v>
      </c>
      <c r="E11" s="10">
        <v>0.1</v>
      </c>
      <c r="F11" s="2" t="s">
        <v>108</v>
      </c>
      <c r="G11" s="7" t="s">
        <v>109</v>
      </c>
      <c r="H11" s="2" t="s">
        <v>110</v>
      </c>
      <c r="I11" s="2" t="s">
        <v>90</v>
      </c>
      <c r="J11" s="4" t="s">
        <v>25</v>
      </c>
      <c r="K11" s="4">
        <v>100</v>
      </c>
      <c r="L11" s="2">
        <f t="shared" si="0"/>
        <v>10</v>
      </c>
    </row>
    <row r="12" spans="2:12" ht="30" customHeight="1" thickBot="1">
      <c r="B12" s="116" t="s">
        <v>37</v>
      </c>
      <c r="C12" s="116"/>
      <c r="D12" s="116"/>
      <c r="E12" s="9">
        <f>SUM(E6:E11)</f>
        <v>1</v>
      </c>
      <c r="F12" s="6"/>
      <c r="G12" s="6"/>
      <c r="H12" s="6"/>
      <c r="I12" s="6"/>
      <c r="J12" s="6"/>
      <c r="K12" s="6">
        <v>100</v>
      </c>
      <c r="L12" s="6">
        <f>SUM(L6:L11)</f>
        <v>100</v>
      </c>
    </row>
    <row r="13" spans="2:12" ht="32" customHeight="1"/>
    <row r="14" spans="2:12" ht="32" customHeight="1"/>
    <row r="15" spans="2:12" ht="32" customHeight="1"/>
    <row r="16" spans="2:12" ht="30" customHeight="1">
      <c r="H16" s="110" t="s">
        <v>193</v>
      </c>
      <c r="I16" s="111"/>
      <c r="J16" s="111"/>
      <c r="K16" s="111"/>
      <c r="L16" s="112"/>
    </row>
    <row r="17" spans="2:12" ht="50">
      <c r="H17" s="113" t="s">
        <v>39</v>
      </c>
      <c r="I17" s="114"/>
      <c r="J17" s="64" t="s">
        <v>156</v>
      </c>
      <c r="K17" s="64" t="s">
        <v>157</v>
      </c>
      <c r="L17" s="88" t="s">
        <v>40</v>
      </c>
    </row>
    <row r="18" spans="2:12" ht="26" customHeight="1">
      <c r="H18" s="119" t="s">
        <v>90</v>
      </c>
      <c r="I18" s="120"/>
      <c r="J18" s="89"/>
      <c r="K18" s="89"/>
      <c r="L18" s="104" t="s">
        <v>111</v>
      </c>
    </row>
    <row r="19" spans="2:12" ht="26" customHeight="1">
      <c r="H19" s="119" t="s">
        <v>90</v>
      </c>
      <c r="I19" s="120"/>
      <c r="J19" s="89"/>
      <c r="K19" s="89"/>
      <c r="L19" s="104" t="s">
        <v>111</v>
      </c>
    </row>
    <row r="20" spans="2:12" ht="26" customHeight="1">
      <c r="H20" s="119" t="s">
        <v>90</v>
      </c>
      <c r="I20" s="120"/>
      <c r="J20" s="89"/>
      <c r="K20" s="89"/>
      <c r="L20" s="104" t="s">
        <v>111</v>
      </c>
    </row>
    <row r="21" spans="2:12" ht="26" customHeight="1">
      <c r="H21" s="119" t="s">
        <v>90</v>
      </c>
      <c r="I21" s="120"/>
      <c r="J21" s="89"/>
      <c r="K21" s="89"/>
      <c r="L21" s="104" t="s">
        <v>111</v>
      </c>
    </row>
    <row r="22" spans="2:12" ht="22" customHeight="1">
      <c r="B22" s="131"/>
      <c r="C22" s="132"/>
      <c r="D22" s="132"/>
      <c r="E22" s="132"/>
      <c r="F22" s="132"/>
      <c r="G22" s="132"/>
      <c r="H22" s="132"/>
      <c r="I22" s="132"/>
      <c r="J22" s="132"/>
      <c r="K22" s="132"/>
    </row>
    <row r="30" spans="2:12">
      <c r="L30" s="102"/>
    </row>
  </sheetData>
  <mergeCells count="21">
    <mergeCell ref="H16:L16"/>
    <mergeCell ref="H18:I18"/>
    <mergeCell ref="H19:I19"/>
    <mergeCell ref="H20:I20"/>
    <mergeCell ref="L4:L5"/>
    <mergeCell ref="C1:J1"/>
    <mergeCell ref="B12:D12"/>
    <mergeCell ref="B22:K22"/>
    <mergeCell ref="B4:B5"/>
    <mergeCell ref="C4:C5"/>
    <mergeCell ref="C6:C11"/>
    <mergeCell ref="D4:D5"/>
    <mergeCell ref="E4:E5"/>
    <mergeCell ref="F4:F5"/>
    <mergeCell ref="G4:G5"/>
    <mergeCell ref="H4:H5"/>
    <mergeCell ref="I4:I5"/>
    <mergeCell ref="J4:J5"/>
    <mergeCell ref="H17:I17"/>
    <mergeCell ref="H21:I21"/>
    <mergeCell ref="K4:K5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22"/>
  <sheetViews>
    <sheetView showGridLines="0" topLeftCell="C7" zoomScale="68" zoomScaleNormal="58" workbookViewId="0">
      <selection activeCell="G19" sqref="G19"/>
    </sheetView>
  </sheetViews>
  <sheetFormatPr baseColWidth="10" defaultColWidth="8.83203125" defaultRowHeight="14"/>
  <cols>
    <col min="1" max="1" width="6.83203125" customWidth="1"/>
    <col min="2" max="5" width="15.83203125" customWidth="1"/>
    <col min="6" max="7" width="60.83203125" customWidth="1"/>
    <col min="8" max="8" width="8.83203125" customWidth="1"/>
    <col min="9" max="9" width="60.83203125" customWidth="1"/>
    <col min="10" max="13" width="20.83203125" customWidth="1"/>
  </cols>
  <sheetData>
    <row r="1" spans="2:13" ht="57" customHeight="1">
      <c r="C1" s="115" t="s">
        <v>0</v>
      </c>
      <c r="D1" s="115"/>
      <c r="E1" s="115"/>
      <c r="F1" s="115"/>
      <c r="G1" s="115"/>
      <c r="H1" s="115"/>
      <c r="I1" s="115"/>
      <c r="J1" s="115"/>
      <c r="K1" s="115"/>
    </row>
    <row r="2" spans="2:13" ht="28" customHeight="1">
      <c r="C2" s="1" t="s">
        <v>1</v>
      </c>
      <c r="D2" s="1" t="s">
        <v>112</v>
      </c>
      <c r="E2" s="1" t="s">
        <v>3</v>
      </c>
      <c r="F2" s="1" t="s">
        <v>113</v>
      </c>
    </row>
    <row r="3" spans="2:13" ht="28" customHeight="1">
      <c r="C3" s="1"/>
      <c r="D3" s="1"/>
      <c r="E3" s="1" t="s">
        <v>5</v>
      </c>
      <c r="F3" s="1"/>
    </row>
    <row r="4" spans="2:13" ht="30" customHeight="1">
      <c r="B4" s="107" t="s">
        <v>6</v>
      </c>
      <c r="C4" s="107" t="s">
        <v>7</v>
      </c>
      <c r="D4" s="107" t="s">
        <v>8</v>
      </c>
      <c r="E4" s="107" t="s">
        <v>9</v>
      </c>
      <c r="F4" s="107" t="s">
        <v>10</v>
      </c>
      <c r="G4" s="107" t="s">
        <v>11</v>
      </c>
      <c r="H4" s="107" t="s">
        <v>12</v>
      </c>
      <c r="I4" s="107" t="s">
        <v>13</v>
      </c>
      <c r="J4" s="107" t="s">
        <v>14</v>
      </c>
      <c r="K4" s="107" t="s">
        <v>15</v>
      </c>
      <c r="L4" s="107" t="s">
        <v>16</v>
      </c>
      <c r="M4" s="107" t="s">
        <v>17</v>
      </c>
    </row>
    <row r="5" spans="2:13" ht="30" customHeight="1"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2:13" ht="175">
      <c r="B6" s="2">
        <v>1</v>
      </c>
      <c r="C6" s="3" t="s">
        <v>18</v>
      </c>
      <c r="D6" s="2" t="s">
        <v>114</v>
      </c>
      <c r="E6" s="7">
        <v>0.1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115</v>
      </c>
      <c r="K6" s="2" t="s">
        <v>116</v>
      </c>
      <c r="L6" s="2">
        <v>100</v>
      </c>
      <c r="M6" s="2">
        <f t="shared" ref="M6:M11" si="0">E6*L6</f>
        <v>10</v>
      </c>
    </row>
    <row r="7" spans="2:13" ht="175">
      <c r="B7" s="2">
        <v>2</v>
      </c>
      <c r="C7" s="117" t="s">
        <v>30</v>
      </c>
      <c r="D7" s="2" t="s">
        <v>117</v>
      </c>
      <c r="E7" s="7">
        <v>0.2</v>
      </c>
      <c r="F7" s="2" t="s">
        <v>152</v>
      </c>
      <c r="G7" s="2" t="s">
        <v>118</v>
      </c>
      <c r="H7" s="2" t="s">
        <v>32</v>
      </c>
      <c r="I7" s="2" t="s">
        <v>153</v>
      </c>
      <c r="J7" s="2" t="s">
        <v>115</v>
      </c>
      <c r="K7" s="2" t="s">
        <v>116</v>
      </c>
      <c r="L7" s="2">
        <v>100</v>
      </c>
      <c r="M7" s="2">
        <f t="shared" si="0"/>
        <v>20</v>
      </c>
    </row>
    <row r="8" spans="2:13" ht="175">
      <c r="B8" s="2">
        <v>3</v>
      </c>
      <c r="C8" s="117" t="s">
        <v>30</v>
      </c>
      <c r="D8" s="2" t="s">
        <v>119</v>
      </c>
      <c r="E8" s="7">
        <v>0.3</v>
      </c>
      <c r="F8" s="2" t="s">
        <v>120</v>
      </c>
      <c r="G8" s="2" t="s">
        <v>121</v>
      </c>
      <c r="H8" s="2" t="s">
        <v>22</v>
      </c>
      <c r="I8" s="2" t="s">
        <v>122</v>
      </c>
      <c r="J8" s="2" t="s">
        <v>115</v>
      </c>
      <c r="K8" s="2" t="s">
        <v>116</v>
      </c>
      <c r="L8" s="2">
        <v>100</v>
      </c>
      <c r="M8" s="2">
        <f t="shared" si="0"/>
        <v>30</v>
      </c>
    </row>
    <row r="9" spans="2:13" ht="175">
      <c r="B9" s="2">
        <v>4</v>
      </c>
      <c r="C9" s="117" t="s">
        <v>45</v>
      </c>
      <c r="D9" s="2" t="s">
        <v>69</v>
      </c>
      <c r="E9" s="7">
        <v>0.15</v>
      </c>
      <c r="F9" s="2" t="s">
        <v>123</v>
      </c>
      <c r="G9" s="2"/>
      <c r="H9" s="2" t="s">
        <v>32</v>
      </c>
      <c r="I9" s="2" t="s">
        <v>66</v>
      </c>
      <c r="J9" s="2" t="s">
        <v>34</v>
      </c>
      <c r="K9" s="2" t="s">
        <v>116</v>
      </c>
      <c r="L9" s="2">
        <v>100</v>
      </c>
      <c r="M9" s="2">
        <f t="shared" si="0"/>
        <v>15</v>
      </c>
    </row>
    <row r="10" spans="2:13" ht="175">
      <c r="B10" s="2">
        <v>5</v>
      </c>
      <c r="C10" s="117" t="s">
        <v>45</v>
      </c>
      <c r="D10" s="2" t="s">
        <v>52</v>
      </c>
      <c r="E10" s="7">
        <v>0.15</v>
      </c>
      <c r="F10" s="2" t="s">
        <v>124</v>
      </c>
      <c r="G10" s="2"/>
      <c r="H10" s="2" t="s">
        <v>22</v>
      </c>
      <c r="I10" s="2" t="s">
        <v>66</v>
      </c>
      <c r="J10" s="2" t="s">
        <v>34</v>
      </c>
      <c r="K10" s="2" t="s">
        <v>116</v>
      </c>
      <c r="L10" s="2">
        <v>100</v>
      </c>
      <c r="M10" s="2">
        <f t="shared" si="0"/>
        <v>15</v>
      </c>
    </row>
    <row r="11" spans="2:13" ht="175">
      <c r="B11" s="4">
        <v>6</v>
      </c>
      <c r="C11" s="118" t="s">
        <v>45</v>
      </c>
      <c r="D11" s="4" t="s">
        <v>35</v>
      </c>
      <c r="E11" s="8">
        <v>0.1</v>
      </c>
      <c r="F11" s="4" t="s">
        <v>125</v>
      </c>
      <c r="G11" s="4"/>
      <c r="H11" s="4" t="s">
        <v>32</v>
      </c>
      <c r="I11" s="4" t="s">
        <v>66</v>
      </c>
      <c r="J11" s="4" t="s">
        <v>34</v>
      </c>
      <c r="K11" s="4" t="s">
        <v>116</v>
      </c>
      <c r="L11" s="4">
        <v>100</v>
      </c>
      <c r="M11" s="4">
        <f t="shared" si="0"/>
        <v>10</v>
      </c>
    </row>
    <row r="12" spans="2:13" ht="30" customHeight="1">
      <c r="B12" s="116" t="s">
        <v>37</v>
      </c>
      <c r="C12" s="116"/>
      <c r="D12" s="116"/>
      <c r="E12" s="9">
        <f>SUM(E6:E11)</f>
        <v>1.0000000000000002</v>
      </c>
      <c r="F12" s="6"/>
      <c r="G12" s="6"/>
      <c r="H12" s="6"/>
      <c r="I12" s="6"/>
      <c r="J12" s="6"/>
      <c r="K12" s="6"/>
      <c r="L12" s="6">
        <v>100</v>
      </c>
      <c r="M12" s="6">
        <f>SUM(M6:M11)</f>
        <v>100</v>
      </c>
    </row>
    <row r="13" spans="2:13" ht="32" customHeight="1"/>
    <row r="14" spans="2:13" ht="32" customHeight="1"/>
    <row r="15" spans="2:13" ht="41" customHeight="1"/>
    <row r="16" spans="2:13" s="1" customFormat="1" ht="30" customHeight="1">
      <c r="F16" s="109" t="s">
        <v>185</v>
      </c>
      <c r="G16" s="109"/>
      <c r="I16" s="110" t="s">
        <v>193</v>
      </c>
      <c r="J16" s="111"/>
      <c r="K16" s="111"/>
      <c r="L16" s="111"/>
      <c r="M16" s="112"/>
    </row>
    <row r="17" spans="2:13" s="1" customFormat="1" ht="50">
      <c r="F17" s="93" t="s">
        <v>186</v>
      </c>
      <c r="G17" s="93" t="s">
        <v>187</v>
      </c>
      <c r="I17" s="113" t="s">
        <v>39</v>
      </c>
      <c r="J17" s="114"/>
      <c r="K17" s="64" t="s">
        <v>156</v>
      </c>
      <c r="L17" s="64" t="s">
        <v>157</v>
      </c>
      <c r="M17" s="88" t="s">
        <v>40</v>
      </c>
    </row>
    <row r="18" spans="2:13" s="1" customFormat="1" ht="26" customHeight="1">
      <c r="F18" s="89" t="s">
        <v>167</v>
      </c>
      <c r="G18" s="89" t="s">
        <v>196</v>
      </c>
      <c r="I18" s="119" t="s">
        <v>140</v>
      </c>
      <c r="J18" s="120"/>
      <c r="K18" s="89">
        <v>0</v>
      </c>
      <c r="L18" s="89">
        <v>60</v>
      </c>
      <c r="M18" s="90">
        <v>0</v>
      </c>
    </row>
    <row r="19" spans="2:13" s="1" customFormat="1" ht="26" customHeight="1">
      <c r="F19" s="89" t="s">
        <v>168</v>
      </c>
      <c r="G19" s="89" t="s">
        <v>197</v>
      </c>
      <c r="I19" s="119" t="s">
        <v>140</v>
      </c>
      <c r="J19" s="120"/>
      <c r="K19" s="89">
        <v>60</v>
      </c>
      <c r="L19" s="89">
        <v>80</v>
      </c>
      <c r="M19" s="90">
        <v>1E-3</v>
      </c>
    </row>
    <row r="20" spans="2:13" s="1" customFormat="1" ht="26" customHeight="1">
      <c r="I20" s="119" t="s">
        <v>140</v>
      </c>
      <c r="J20" s="120"/>
      <c r="K20" s="89">
        <v>80</v>
      </c>
      <c r="L20" s="89">
        <v>100</v>
      </c>
      <c r="M20" s="90">
        <v>3.0000000000000001E-3</v>
      </c>
    </row>
    <row r="21" spans="2:13" s="1" customFormat="1" ht="26" customHeight="1">
      <c r="I21" s="119" t="s">
        <v>140</v>
      </c>
      <c r="J21" s="120"/>
      <c r="K21" s="89">
        <v>100</v>
      </c>
      <c r="L21" s="89">
        <v>150</v>
      </c>
      <c r="M21" s="90">
        <v>4.4999999999999997E-3</v>
      </c>
    </row>
    <row r="22" spans="2:13" ht="22" customHeight="1">
      <c r="B22" s="7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</row>
  </sheetData>
  <mergeCells count="23">
    <mergeCell ref="I18:J18"/>
    <mergeCell ref="I19:J19"/>
    <mergeCell ref="I20:J20"/>
    <mergeCell ref="I21:J21"/>
    <mergeCell ref="L4:L5"/>
    <mergeCell ref="J4:J5"/>
    <mergeCell ref="K4:K5"/>
    <mergeCell ref="M4:M5"/>
    <mergeCell ref="F16:G16"/>
    <mergeCell ref="I16:M16"/>
    <mergeCell ref="I17:J17"/>
    <mergeCell ref="C1:K1"/>
    <mergeCell ref="B12:D12"/>
    <mergeCell ref="B4:B5"/>
    <mergeCell ref="C4:C5"/>
    <mergeCell ref="C7:C8"/>
    <mergeCell ref="C9:C11"/>
    <mergeCell ref="D4:D5"/>
    <mergeCell ref="E4:E5"/>
    <mergeCell ref="F4:F5"/>
    <mergeCell ref="G4:G5"/>
    <mergeCell ref="H4:H5"/>
    <mergeCell ref="I4:I5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21"/>
  <sheetViews>
    <sheetView showGridLines="0" tabSelected="1" topLeftCell="A7" zoomScale="67" zoomScaleNormal="30" workbookViewId="0">
      <selection activeCell="G20" sqref="G20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6384" width="8.83203125" style="1"/>
  </cols>
  <sheetData>
    <row r="1" spans="2:13" ht="57" customHeight="1">
      <c r="C1" s="130" t="s">
        <v>0</v>
      </c>
      <c r="D1" s="130"/>
      <c r="E1" s="130"/>
      <c r="F1" s="130"/>
      <c r="G1" s="130"/>
      <c r="H1" s="130"/>
      <c r="I1" s="130"/>
      <c r="J1" s="130"/>
      <c r="K1" s="130"/>
    </row>
    <row r="2" spans="2:13" ht="28" customHeight="1">
      <c r="C2" s="1" t="s">
        <v>1</v>
      </c>
      <c r="D2" s="1" t="s">
        <v>112</v>
      </c>
      <c r="E2" s="1" t="s">
        <v>3</v>
      </c>
      <c r="F2" s="1" t="s">
        <v>126</v>
      </c>
    </row>
    <row r="3" spans="2:13" ht="28" customHeight="1">
      <c r="E3" s="1" t="s">
        <v>5</v>
      </c>
    </row>
    <row r="4" spans="2:13" ht="30" customHeight="1">
      <c r="B4" s="107" t="s">
        <v>6</v>
      </c>
      <c r="C4" s="107" t="s">
        <v>7</v>
      </c>
      <c r="D4" s="107" t="s">
        <v>8</v>
      </c>
      <c r="E4" s="107" t="s">
        <v>9</v>
      </c>
      <c r="F4" s="107" t="s">
        <v>10</v>
      </c>
      <c r="G4" s="107" t="s">
        <v>11</v>
      </c>
      <c r="H4" s="107" t="s">
        <v>12</v>
      </c>
      <c r="I4" s="107" t="s">
        <v>13</v>
      </c>
      <c r="J4" s="107" t="s">
        <v>14</v>
      </c>
      <c r="K4" s="107" t="s">
        <v>15</v>
      </c>
      <c r="L4" s="107" t="s">
        <v>16</v>
      </c>
      <c r="M4" s="107" t="s">
        <v>17</v>
      </c>
    </row>
    <row r="5" spans="2:13" ht="30" customHeight="1"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2:13" ht="175">
      <c r="B6" s="2">
        <v>1</v>
      </c>
      <c r="C6" s="3" t="s">
        <v>18</v>
      </c>
      <c r="D6" s="2" t="s">
        <v>114</v>
      </c>
      <c r="E6" s="7">
        <v>0.1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115</v>
      </c>
      <c r="K6" s="2" t="s">
        <v>116</v>
      </c>
      <c r="L6" s="2">
        <v>100</v>
      </c>
      <c r="M6" s="2">
        <f>E6*L6</f>
        <v>10</v>
      </c>
    </row>
    <row r="7" spans="2:13" ht="175">
      <c r="B7" s="2">
        <v>2</v>
      </c>
      <c r="C7" s="117" t="s">
        <v>30</v>
      </c>
      <c r="D7" s="2" t="s">
        <v>127</v>
      </c>
      <c r="E7" s="7">
        <v>0.2</v>
      </c>
      <c r="F7" s="2" t="s">
        <v>128</v>
      </c>
      <c r="G7" s="2" t="s">
        <v>129</v>
      </c>
      <c r="H7" s="2" t="s">
        <v>22</v>
      </c>
      <c r="I7" s="2" t="s">
        <v>130</v>
      </c>
      <c r="J7" s="2" t="s">
        <v>115</v>
      </c>
      <c r="K7" s="2" t="s">
        <v>116</v>
      </c>
      <c r="L7" s="2">
        <v>100</v>
      </c>
      <c r="M7" s="2">
        <f>E7*L7</f>
        <v>20</v>
      </c>
    </row>
    <row r="8" spans="2:13" ht="175">
      <c r="B8" s="2">
        <v>3</v>
      </c>
      <c r="C8" s="117" t="s">
        <v>30</v>
      </c>
      <c r="D8" s="2" t="s">
        <v>131</v>
      </c>
      <c r="E8" s="7">
        <v>0.3</v>
      </c>
      <c r="F8" s="2" t="s">
        <v>132</v>
      </c>
      <c r="G8" s="2" t="s">
        <v>133</v>
      </c>
      <c r="H8" s="2" t="s">
        <v>22</v>
      </c>
      <c r="I8" s="2" t="s">
        <v>134</v>
      </c>
      <c r="J8" s="2" t="s">
        <v>115</v>
      </c>
      <c r="K8" s="2" t="s">
        <v>116</v>
      </c>
      <c r="L8" s="2">
        <v>100</v>
      </c>
      <c r="M8" s="2">
        <f>E8*L8</f>
        <v>30</v>
      </c>
    </row>
    <row r="9" spans="2:13" ht="175">
      <c r="B9" s="2">
        <v>4</v>
      </c>
      <c r="C9" s="117" t="s">
        <v>45</v>
      </c>
      <c r="D9" s="2" t="s">
        <v>69</v>
      </c>
      <c r="E9" s="7">
        <v>0.2</v>
      </c>
      <c r="F9" s="2" t="s">
        <v>135</v>
      </c>
      <c r="G9" s="2"/>
      <c r="H9" s="2" t="s">
        <v>32</v>
      </c>
      <c r="I9" s="2" t="s">
        <v>136</v>
      </c>
      <c r="J9" s="2" t="s">
        <v>137</v>
      </c>
      <c r="K9" s="2" t="s">
        <v>116</v>
      </c>
      <c r="L9" s="2">
        <v>100</v>
      </c>
      <c r="M9" s="2">
        <f>E9*L9</f>
        <v>20</v>
      </c>
    </row>
    <row r="10" spans="2:13" ht="175">
      <c r="B10" s="4">
        <v>5</v>
      </c>
      <c r="C10" s="118" t="s">
        <v>45</v>
      </c>
      <c r="D10" s="4" t="s">
        <v>50</v>
      </c>
      <c r="E10" s="8">
        <v>0.2</v>
      </c>
      <c r="F10" s="4" t="s">
        <v>138</v>
      </c>
      <c r="G10" s="4"/>
      <c r="H10" s="4" t="s">
        <v>32</v>
      </c>
      <c r="I10" s="4" t="s">
        <v>139</v>
      </c>
      <c r="J10" s="4" t="s">
        <v>137</v>
      </c>
      <c r="K10" s="4" t="s">
        <v>116</v>
      </c>
      <c r="L10" s="4">
        <v>100</v>
      </c>
      <c r="M10" s="4">
        <f>E10*L10</f>
        <v>20</v>
      </c>
    </row>
    <row r="11" spans="2:13" ht="30" customHeight="1">
      <c r="B11" s="116" t="s">
        <v>37</v>
      </c>
      <c r="C11" s="116"/>
      <c r="D11" s="116"/>
      <c r="E11" s="9">
        <f>SUM(E6:E10)</f>
        <v>1</v>
      </c>
      <c r="F11" s="6"/>
      <c r="G11" s="6"/>
      <c r="H11" s="6"/>
      <c r="I11" s="6"/>
      <c r="J11" s="6"/>
      <c r="K11" s="6"/>
      <c r="L11" s="6">
        <v>100</v>
      </c>
      <c r="M11" s="6">
        <f>SUM(M6:M10)</f>
        <v>100</v>
      </c>
    </row>
    <row r="12" spans="2:13" ht="32" customHeight="1"/>
    <row r="13" spans="2:13" ht="32" customHeight="1"/>
    <row r="14" spans="2:13" ht="32" customHeight="1"/>
    <row r="15" spans="2:13" ht="30" customHeight="1">
      <c r="F15" s="109" t="s">
        <v>185</v>
      </c>
      <c r="G15" s="109"/>
      <c r="I15" s="110" t="s">
        <v>193</v>
      </c>
      <c r="J15" s="111"/>
      <c r="K15" s="111"/>
      <c r="L15" s="111"/>
      <c r="M15" s="112"/>
    </row>
    <row r="16" spans="2:13" ht="50">
      <c r="F16" s="93" t="s">
        <v>186</v>
      </c>
      <c r="G16" s="93" t="s">
        <v>187</v>
      </c>
      <c r="I16" s="113" t="s">
        <v>39</v>
      </c>
      <c r="J16" s="114"/>
      <c r="K16" s="64" t="s">
        <v>156</v>
      </c>
      <c r="L16" s="64" t="s">
        <v>157</v>
      </c>
      <c r="M16" s="88" t="s">
        <v>40</v>
      </c>
    </row>
    <row r="17" spans="2:13" ht="26" customHeight="1">
      <c r="F17" s="89" t="s">
        <v>167</v>
      </c>
      <c r="G17" s="89" t="s">
        <v>196</v>
      </c>
      <c r="I17" s="119" t="s">
        <v>140</v>
      </c>
      <c r="J17" s="120"/>
      <c r="K17" s="89">
        <v>0</v>
      </c>
      <c r="L17" s="89">
        <v>60</v>
      </c>
      <c r="M17" s="90">
        <v>0</v>
      </c>
    </row>
    <row r="18" spans="2:13" ht="26" customHeight="1">
      <c r="F18" s="89" t="s">
        <v>168</v>
      </c>
      <c r="G18" s="89" t="s">
        <v>197</v>
      </c>
      <c r="I18" s="119" t="s">
        <v>140</v>
      </c>
      <c r="J18" s="120"/>
      <c r="K18" s="89">
        <v>60</v>
      </c>
      <c r="L18" s="89">
        <v>80</v>
      </c>
      <c r="M18" s="90">
        <v>1E-3</v>
      </c>
    </row>
    <row r="19" spans="2:13" ht="26" customHeight="1">
      <c r="I19" s="119" t="s">
        <v>140</v>
      </c>
      <c r="J19" s="120"/>
      <c r="K19" s="89">
        <v>80</v>
      </c>
      <c r="L19" s="89">
        <v>100</v>
      </c>
      <c r="M19" s="90">
        <v>3.0000000000000001E-3</v>
      </c>
    </row>
    <row r="20" spans="2:13" ht="26" customHeight="1">
      <c r="I20" s="119" t="s">
        <v>140</v>
      </c>
      <c r="J20" s="120"/>
      <c r="K20" s="89">
        <v>100</v>
      </c>
      <c r="L20" s="89">
        <v>150</v>
      </c>
      <c r="M20" s="90">
        <v>4.4999999999999997E-3</v>
      </c>
    </row>
    <row r="21" spans="2:13">
      <c r="B21" s="131" t="s">
        <v>192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</sheetData>
  <mergeCells count="24">
    <mergeCell ref="I18:J18"/>
    <mergeCell ref="I19:J19"/>
    <mergeCell ref="I20:J20"/>
    <mergeCell ref="I15:M15"/>
    <mergeCell ref="C1:K1"/>
    <mergeCell ref="B11:D11"/>
    <mergeCell ref="I16:J16"/>
    <mergeCell ref="I17:J17"/>
    <mergeCell ref="B21:M21"/>
    <mergeCell ref="B4:B5"/>
    <mergeCell ref="C4:C5"/>
    <mergeCell ref="C7:C8"/>
    <mergeCell ref="C9:C10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F15:G15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21"/>
  <sheetViews>
    <sheetView showGridLines="0" zoomScale="51" zoomScaleNormal="50" workbookViewId="0">
      <selection activeCell="L8" sqref="L8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57.1640625" style="1" customWidth="1"/>
    <col min="10" max="13" width="20.83203125" style="1" customWidth="1"/>
    <col min="14" max="16384" width="8.83203125" style="1"/>
  </cols>
  <sheetData>
    <row r="1" spans="2:13" ht="57" customHeight="1">
      <c r="C1" s="130" t="s">
        <v>0</v>
      </c>
      <c r="D1" s="130"/>
      <c r="E1" s="130"/>
      <c r="F1" s="130"/>
      <c r="G1" s="130"/>
      <c r="H1" s="130"/>
      <c r="I1" s="130"/>
      <c r="J1" s="130"/>
      <c r="K1" s="130"/>
    </row>
    <row r="2" spans="2:13" ht="28" customHeight="1">
      <c r="C2" s="1" t="s">
        <v>1</v>
      </c>
      <c r="D2" s="1" t="s">
        <v>112</v>
      </c>
      <c r="E2" s="1" t="s">
        <v>3</v>
      </c>
      <c r="F2" s="1" t="s">
        <v>141</v>
      </c>
    </row>
    <row r="3" spans="2:13" ht="28" customHeight="1">
      <c r="E3" s="1" t="s">
        <v>5</v>
      </c>
    </row>
    <row r="4" spans="2:13" ht="30" customHeight="1">
      <c r="B4" s="107" t="s">
        <v>6</v>
      </c>
      <c r="C4" s="107" t="s">
        <v>7</v>
      </c>
      <c r="D4" s="107" t="s">
        <v>8</v>
      </c>
      <c r="E4" s="107" t="s">
        <v>9</v>
      </c>
      <c r="F4" s="107" t="s">
        <v>10</v>
      </c>
      <c r="G4" s="107" t="s">
        <v>11</v>
      </c>
      <c r="H4" s="107" t="s">
        <v>12</v>
      </c>
      <c r="I4" s="107" t="s">
        <v>13</v>
      </c>
      <c r="J4" s="107" t="s">
        <v>14</v>
      </c>
      <c r="K4" s="107" t="s">
        <v>15</v>
      </c>
      <c r="L4" s="107" t="s">
        <v>16</v>
      </c>
      <c r="M4" s="107" t="s">
        <v>17</v>
      </c>
    </row>
    <row r="5" spans="2:13" ht="30" customHeight="1"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2:13" ht="175">
      <c r="B6" s="2">
        <v>1</v>
      </c>
      <c r="C6" s="3" t="s">
        <v>18</v>
      </c>
      <c r="D6" s="2" t="s">
        <v>114</v>
      </c>
      <c r="E6" s="7">
        <v>0.1</v>
      </c>
      <c r="F6" s="2" t="s">
        <v>20</v>
      </c>
      <c r="G6" s="2" t="s">
        <v>21</v>
      </c>
      <c r="H6" s="2" t="s">
        <v>22</v>
      </c>
      <c r="I6" s="2" t="s">
        <v>162</v>
      </c>
      <c r="J6" s="2" t="s">
        <v>115</v>
      </c>
      <c r="K6" s="2" t="s">
        <v>116</v>
      </c>
      <c r="L6" s="2">
        <v>100</v>
      </c>
      <c r="M6" s="2">
        <f>E6*L6</f>
        <v>10</v>
      </c>
    </row>
    <row r="7" spans="2:13" ht="175">
      <c r="B7" s="2">
        <v>2</v>
      </c>
      <c r="C7" s="117" t="s">
        <v>30</v>
      </c>
      <c r="D7" s="2" t="s">
        <v>142</v>
      </c>
      <c r="E7" s="7">
        <v>0.5</v>
      </c>
      <c r="F7" s="2" t="s">
        <v>143</v>
      </c>
      <c r="G7" s="2" t="s">
        <v>144</v>
      </c>
      <c r="H7" s="2" t="s">
        <v>22</v>
      </c>
      <c r="I7" s="2" t="s">
        <v>145</v>
      </c>
      <c r="J7" s="2" t="s">
        <v>115</v>
      </c>
      <c r="K7" s="2" t="s">
        <v>116</v>
      </c>
      <c r="L7" s="2">
        <v>100</v>
      </c>
      <c r="M7" s="2">
        <f>E7*L7</f>
        <v>50</v>
      </c>
    </row>
    <row r="8" spans="2:13" ht="225">
      <c r="B8" s="2">
        <v>3</v>
      </c>
      <c r="C8" s="117" t="s">
        <v>30</v>
      </c>
      <c r="D8" s="2" t="s">
        <v>69</v>
      </c>
      <c r="E8" s="7">
        <v>0.2</v>
      </c>
      <c r="F8" s="2" t="s">
        <v>146</v>
      </c>
      <c r="G8" s="2"/>
      <c r="H8" s="2" t="s">
        <v>32</v>
      </c>
      <c r="I8" s="2" t="s">
        <v>147</v>
      </c>
      <c r="J8" s="2" t="s">
        <v>137</v>
      </c>
      <c r="K8" s="2" t="s">
        <v>116</v>
      </c>
      <c r="L8" s="2">
        <v>100</v>
      </c>
      <c r="M8" s="2">
        <f>E8*L8</f>
        <v>20</v>
      </c>
    </row>
    <row r="9" spans="2:13" ht="200">
      <c r="B9" s="2">
        <v>4</v>
      </c>
      <c r="C9" s="117" t="s">
        <v>45</v>
      </c>
      <c r="D9" s="2" t="s">
        <v>148</v>
      </c>
      <c r="E9" s="7">
        <v>0.1</v>
      </c>
      <c r="F9" s="2" t="s">
        <v>149</v>
      </c>
      <c r="G9" s="2"/>
      <c r="H9" s="2" t="s">
        <v>32</v>
      </c>
      <c r="I9" s="2" t="s">
        <v>147</v>
      </c>
      <c r="J9" s="2" t="s">
        <v>137</v>
      </c>
      <c r="K9" s="2" t="s">
        <v>116</v>
      </c>
      <c r="L9" s="2">
        <v>100</v>
      </c>
      <c r="M9" s="2">
        <f>E9*L9</f>
        <v>10</v>
      </c>
    </row>
    <row r="10" spans="2:13" ht="200">
      <c r="B10" s="4">
        <v>5</v>
      </c>
      <c r="C10" s="118" t="s">
        <v>45</v>
      </c>
      <c r="D10" s="4" t="s">
        <v>67</v>
      </c>
      <c r="E10" s="8">
        <v>0.1</v>
      </c>
      <c r="F10" s="4" t="s">
        <v>150</v>
      </c>
      <c r="G10" s="4"/>
      <c r="H10" s="4" t="s">
        <v>32</v>
      </c>
      <c r="I10" s="4" t="s">
        <v>147</v>
      </c>
      <c r="J10" s="4" t="s">
        <v>137</v>
      </c>
      <c r="K10" s="4" t="s">
        <v>116</v>
      </c>
      <c r="L10" s="4">
        <v>100</v>
      </c>
      <c r="M10" s="4">
        <f>E10*L10</f>
        <v>10</v>
      </c>
    </row>
    <row r="11" spans="2:13" ht="30" customHeight="1">
      <c r="B11" s="116" t="s">
        <v>37</v>
      </c>
      <c r="C11" s="116"/>
      <c r="D11" s="116"/>
      <c r="E11" s="9">
        <f>SUM(E6:E10)</f>
        <v>1</v>
      </c>
      <c r="F11" s="6"/>
      <c r="G11" s="6"/>
      <c r="H11" s="6"/>
      <c r="I11" s="6"/>
      <c r="J11" s="6"/>
      <c r="K11" s="6"/>
      <c r="L11" s="6">
        <v>100</v>
      </c>
      <c r="M11" s="6">
        <f>SUM(M6:M10)</f>
        <v>100</v>
      </c>
    </row>
    <row r="12" spans="2:13" ht="32" customHeight="1"/>
    <row r="13" spans="2:13" ht="32" customHeight="1"/>
    <row r="14" spans="2:13" ht="32" customHeight="1"/>
    <row r="15" spans="2:13" ht="30" customHeight="1">
      <c r="I15" s="110" t="s">
        <v>193</v>
      </c>
      <c r="J15" s="111"/>
      <c r="K15" s="111"/>
      <c r="L15" s="111"/>
      <c r="M15" s="112"/>
    </row>
    <row r="16" spans="2:13" ht="50">
      <c r="I16" s="113" t="s">
        <v>39</v>
      </c>
      <c r="J16" s="114"/>
      <c r="K16" s="64" t="s">
        <v>156</v>
      </c>
      <c r="L16" s="64" t="s">
        <v>157</v>
      </c>
      <c r="M16" s="88" t="s">
        <v>40</v>
      </c>
    </row>
    <row r="17" spans="2:13" ht="26" customHeight="1">
      <c r="I17" s="119" t="s">
        <v>151</v>
      </c>
      <c r="J17" s="120"/>
      <c r="K17" s="89">
        <v>0</v>
      </c>
      <c r="L17" s="89">
        <v>60</v>
      </c>
      <c r="M17" s="90">
        <v>0</v>
      </c>
    </row>
    <row r="18" spans="2:13" ht="26" customHeight="1">
      <c r="I18" s="119" t="s">
        <v>151</v>
      </c>
      <c r="J18" s="120"/>
      <c r="K18" s="89">
        <v>60</v>
      </c>
      <c r="L18" s="89">
        <v>80</v>
      </c>
      <c r="M18" s="90">
        <v>1E-3</v>
      </c>
    </row>
    <row r="19" spans="2:13" ht="26" customHeight="1">
      <c r="I19" s="119" t="s">
        <v>151</v>
      </c>
      <c r="J19" s="120"/>
      <c r="K19" s="89">
        <v>80</v>
      </c>
      <c r="L19" s="89">
        <v>100</v>
      </c>
      <c r="M19" s="90">
        <v>1.5E-3</v>
      </c>
    </row>
    <row r="20" spans="2:13" ht="26" customHeight="1">
      <c r="I20" s="119" t="s">
        <v>151</v>
      </c>
      <c r="J20" s="120"/>
      <c r="K20" s="89">
        <v>100</v>
      </c>
      <c r="L20" s="89">
        <v>150</v>
      </c>
      <c r="M20" s="90">
        <v>2E-3</v>
      </c>
    </row>
    <row r="21" spans="2:13" ht="22" customHeight="1"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</sheetData>
  <mergeCells count="23">
    <mergeCell ref="I20:J20"/>
    <mergeCell ref="L4:L5"/>
    <mergeCell ref="C1:K1"/>
    <mergeCell ref="B11:D11"/>
    <mergeCell ref="I17:J17"/>
    <mergeCell ref="I18:J18"/>
    <mergeCell ref="I19:J19"/>
    <mergeCell ref="B21:M21"/>
    <mergeCell ref="B4:B5"/>
    <mergeCell ref="C4:C5"/>
    <mergeCell ref="C7:C8"/>
    <mergeCell ref="C9:C10"/>
    <mergeCell ref="D4:D5"/>
    <mergeCell ref="E4:E5"/>
    <mergeCell ref="F4:F5"/>
    <mergeCell ref="G4:G5"/>
    <mergeCell ref="H4:H5"/>
    <mergeCell ref="I4:I5"/>
    <mergeCell ref="J4:J5"/>
    <mergeCell ref="K4:K5"/>
    <mergeCell ref="M4:M5"/>
    <mergeCell ref="I15:M15"/>
    <mergeCell ref="I16:J16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兴趣电商-运营</vt:lpstr>
      <vt:lpstr>兴趣电商-高级主管</vt:lpstr>
      <vt:lpstr>兴趣电商-广告投放</vt:lpstr>
      <vt:lpstr>兴趣电商-直播中控</vt:lpstr>
      <vt:lpstr>兴趣电商-主播</vt:lpstr>
      <vt:lpstr>兴趣电商-客服</vt:lpstr>
      <vt:lpstr>制作部-编导</vt:lpstr>
      <vt:lpstr>制作部-视频剪辑</vt:lpstr>
      <vt:lpstr>制作部-摄影师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</cp:lastModifiedBy>
  <dcterms:created xsi:type="dcterms:W3CDTF">2026-08-04T16:15:00Z</dcterms:created>
  <dcterms:modified xsi:type="dcterms:W3CDTF">2026-08-12T07:38:24Z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0D368D4AE0C4CB50A492756AE22CBC14_43</vt:lpwstr>
  </property>
</Properties>
</file>