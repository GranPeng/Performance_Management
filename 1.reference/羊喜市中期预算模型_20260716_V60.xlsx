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gran/Library/Mobile Documents/com~apple~CloudDocs/工作空间/工作文件WIP/1.进行中/1.中期预算调整项目/4.final_results/"/>
    </mc:Choice>
  </mc:AlternateContent>
  <xr:revisionPtr revIDLastSave="0" documentId="13_ncr:1_{CD86DF2F-EB89-E242-B459-A6C5271AFAE0}" xr6:coauthVersionLast="47" xr6:coauthVersionMax="47" xr10:uidLastSave="{00000000-0000-0000-0000-000000000000}"/>
  <bookViews>
    <workbookView xWindow="0" yWindow="600" windowWidth="40960" windowHeight="21160" activeTab="1" xr2:uid="{00000000-000D-0000-FFFF-FFFF00000000}"/>
  </bookViews>
  <sheets>
    <sheet name="目录及说明" sheetId="1" r:id="rId1"/>
    <sheet name="总表-汇总损益表" sheetId="2" r:id="rId2"/>
    <sheet name="总表-渠道二维汇总" sheetId="3" r:id="rId3"/>
    <sheet name="费用科目说明" sheetId="5" r:id="rId4"/>
    <sheet name="假设-财务口径" sheetId="6" r:id="rId5"/>
    <sheet name="假设-人工成本固定额" sheetId="7" r:id="rId6"/>
    <sheet name="假设-产品价值链定价" sheetId="9" r:id="rId7"/>
    <sheet name="假设-成本与任务量" sheetId="8" r:id="rId8"/>
    <sheet name="参考值-平台主推SKU占比" sheetId="10" r:id="rId9"/>
    <sheet name="假设-平台主推机制" sheetId="11" r:id="rId10"/>
    <sheet name="假设-目标渠道分解" sheetId="12" r:id="rId11"/>
    <sheet name="参考值-平台费用率分析" sheetId="13" r:id="rId12"/>
    <sheet name="假设-销售费用率" sheetId="14" r:id="rId13"/>
    <sheet name="假设-ROI月度滚动" sheetId="15" r:id="rId14"/>
    <sheet name="测算-高个子抖音" sheetId="16" r:id="rId15"/>
    <sheet name="测算-高个子视频号" sheetId="17" r:id="rId16"/>
    <sheet name="测算-达播" sheetId="22" r:id="rId17"/>
    <sheet name="测算-天猫淘宝" sheetId="18" r:id="rId18"/>
    <sheet name="测算-拼多多" sheetId="19" r:id="rId19"/>
    <sheet name="测算-京东POP" sheetId="20" r:id="rId20"/>
    <sheet name="测算-京东自营" sheetId="21" r:id="rId21"/>
    <sheet name="测算-私域" sheetId="23" r:id="rId22"/>
    <sheet name="测算-外部分销" sheetId="24" r:id="rId23"/>
    <sheet name="测算-整体经营" sheetId="25" r:id="rId24"/>
    <sheet name="辅助-汇总损益长表" sheetId="26" r:id="rId25"/>
    <sheet name="辅助-机制测算" sheetId="27" r:id="rId26"/>
  </sheets>
  <definedNames>
    <definedName name="_xlnm._FilterDatabase" localSheetId="11" hidden="1">'参考值-平台费用率分析'!$A$5:$G$532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3" i="22" l="1"/>
  <c r="S43" i="22"/>
  <c r="R43" i="22"/>
  <c r="Q43" i="22"/>
  <c r="P43" i="22"/>
  <c r="O43" i="22"/>
  <c r="N43" i="22"/>
  <c r="M43" i="22"/>
  <c r="L43" i="22"/>
  <c r="K43" i="22"/>
  <c r="J43" i="22"/>
  <c r="I43" i="22"/>
  <c r="Q14" i="14"/>
  <c r="Q15" i="14"/>
  <c r="O15" i="16"/>
  <c r="N42" i="17"/>
  <c r="Q15" i="16"/>
  <c r="G17" i="12"/>
  <c r="G18" i="12"/>
  <c r="G19" i="12"/>
  <c r="Q108" i="14"/>
  <c r="L39" i="12" l="1"/>
  <c r="M39" i="12"/>
  <c r="N39" i="12"/>
  <c r="O39" i="12"/>
  <c r="P39" i="12"/>
  <c r="Q39" i="12"/>
  <c r="L40" i="12"/>
  <c r="M40" i="12"/>
  <c r="N40" i="12"/>
  <c r="O40" i="12"/>
  <c r="P40" i="12"/>
  <c r="Q40" i="12"/>
  <c r="L41" i="12"/>
  <c r="M41" i="12"/>
  <c r="N41" i="12"/>
  <c r="O41" i="12"/>
  <c r="P41" i="12"/>
  <c r="Q41" i="12"/>
  <c r="L42" i="12"/>
  <c r="M42" i="12"/>
  <c r="N42" i="12"/>
  <c r="O42" i="12"/>
  <c r="P42" i="12"/>
  <c r="Q42" i="12"/>
  <c r="L43" i="12"/>
  <c r="M43" i="12"/>
  <c r="N43" i="12"/>
  <c r="O43" i="12"/>
  <c r="P43" i="12"/>
  <c r="Q43" i="12"/>
  <c r="L44" i="12"/>
  <c r="M44" i="12"/>
  <c r="N44" i="12"/>
  <c r="O44" i="12"/>
  <c r="P44" i="12"/>
  <c r="Q44" i="12"/>
  <c r="L45" i="12"/>
  <c r="M45" i="12"/>
  <c r="N45" i="12"/>
  <c r="O45" i="12"/>
  <c r="P45" i="12"/>
  <c r="Q45" i="12"/>
  <c r="L46" i="12"/>
  <c r="M46" i="12"/>
  <c r="N46" i="12"/>
  <c r="O46" i="12"/>
  <c r="P46" i="12"/>
  <c r="Q46" i="12"/>
  <c r="T15" i="23"/>
  <c r="S15" i="23"/>
  <c r="R15" i="23"/>
  <c r="Q15" i="23"/>
  <c r="P15" i="23"/>
  <c r="O15" i="23"/>
  <c r="N15" i="23"/>
  <c r="M15" i="23"/>
  <c r="L15" i="23"/>
  <c r="K15" i="23"/>
  <c r="J15" i="23"/>
  <c r="I15" i="23"/>
  <c r="Q38" i="12" l="1"/>
  <c r="P38" i="12"/>
  <c r="O38" i="12"/>
  <c r="N38" i="12"/>
  <c r="M38" i="12"/>
  <c r="L38" i="12"/>
  <c r="K169" i="14"/>
  <c r="L169" i="14"/>
  <c r="M169" i="14"/>
  <c r="N169" i="14"/>
  <c r="O169" i="14"/>
  <c r="O164" i="14"/>
  <c r="N164" i="14"/>
  <c r="M164" i="14"/>
  <c r="L164" i="14"/>
  <c r="K164" i="14"/>
  <c r="H42" i="12" l="1"/>
  <c r="H46" i="12"/>
  <c r="H44" i="12"/>
  <c r="H41" i="12"/>
  <c r="H43" i="12"/>
  <c r="H40" i="12"/>
  <c r="H45" i="12"/>
  <c r="H39" i="12"/>
  <c r="P186" i="14"/>
  <c r="Q186" i="14"/>
  <c r="R186" i="14"/>
  <c r="S186" i="14"/>
  <c r="T186" i="14"/>
  <c r="U186" i="14"/>
  <c r="V186" i="14"/>
  <c r="N43" i="21"/>
  <c r="O43" i="21"/>
  <c r="P43" i="21"/>
  <c r="Q43" i="21"/>
  <c r="R43" i="21"/>
  <c r="S43" i="21"/>
  <c r="T43" i="21"/>
  <c r="J2" i="21" l="1"/>
  <c r="K2" i="21"/>
  <c r="L2" i="21"/>
  <c r="M2" i="21"/>
  <c r="N2" i="21"/>
  <c r="O2" i="21"/>
  <c r="P2" i="21"/>
  <c r="Q2" i="21"/>
  <c r="R2" i="21"/>
  <c r="S2" i="21"/>
  <c r="T2" i="21"/>
  <c r="O37" i="8"/>
  <c r="N37" i="8"/>
  <c r="M37" i="8"/>
  <c r="L37" i="8"/>
  <c r="K37" i="8"/>
  <c r="O31" i="8"/>
  <c r="N31" i="8"/>
  <c r="M31" i="8"/>
  <c r="L31" i="8"/>
  <c r="K31" i="8"/>
  <c r="L3" i="8"/>
  <c r="L4" i="8"/>
  <c r="I28" i="8"/>
  <c r="I34" i="8"/>
  <c r="X1" i="12"/>
  <c r="L41" i="8"/>
  <c r="L35" i="8" s="1"/>
  <c r="M41" i="8"/>
  <c r="M29" i="8" s="1"/>
  <c r="N41" i="8"/>
  <c r="N35" i="8" s="1"/>
  <c r="O41" i="8"/>
  <c r="O35" i="8" s="1"/>
  <c r="P41" i="8"/>
  <c r="P29" i="8" s="1"/>
  <c r="Q41" i="8"/>
  <c r="Q29" i="8" s="1"/>
  <c r="R41" i="8"/>
  <c r="R29" i="8" s="1"/>
  <c r="S41" i="8"/>
  <c r="S29" i="8" s="1"/>
  <c r="T41" i="8"/>
  <c r="T35" i="8" s="1"/>
  <c r="U41" i="8"/>
  <c r="U35" i="8" s="1"/>
  <c r="V41" i="8"/>
  <c r="V29" i="8" s="1"/>
  <c r="K41" i="8"/>
  <c r="K35" i="8" s="1"/>
  <c r="L15" i="24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EG34" i="3"/>
  <c r="EG11" i="3"/>
  <c r="EF34" i="3"/>
  <c r="EF11" i="3"/>
  <c r="EE34" i="3"/>
  <c r="EE11" i="3"/>
  <c r="ED34" i="3"/>
  <c r="ED11" i="3"/>
  <c r="EC34" i="3"/>
  <c r="EC11" i="3"/>
  <c r="EB34" i="3"/>
  <c r="EB11" i="3"/>
  <c r="EW14" i="3"/>
  <c r="EX14" i="3"/>
  <c r="EK17" i="3"/>
  <c r="EL17" i="3"/>
  <c r="EM17" i="3"/>
  <c r="EN17" i="3"/>
  <c r="EO17" i="3"/>
  <c r="EP17" i="3"/>
  <c r="EQ17" i="3"/>
  <c r="ER17" i="3"/>
  <c r="ES17" i="3"/>
  <c r="ET17" i="3"/>
  <c r="EU17" i="3"/>
  <c r="EV17" i="3"/>
  <c r="EW17" i="3"/>
  <c r="EX17" i="3"/>
  <c r="EK18" i="3"/>
  <c r="EL18" i="3"/>
  <c r="EM18" i="3"/>
  <c r="EN18" i="3"/>
  <c r="EO18" i="3"/>
  <c r="EP18" i="3"/>
  <c r="EQ18" i="3"/>
  <c r="ER18" i="3"/>
  <c r="ES18" i="3"/>
  <c r="ET18" i="3"/>
  <c r="EU18" i="3"/>
  <c r="EV18" i="3"/>
  <c r="EW18" i="3"/>
  <c r="EX18" i="3"/>
  <c r="EB38" i="3"/>
  <c r="EC38" i="3"/>
  <c r="ED38" i="3"/>
  <c r="EE38" i="3"/>
  <c r="EF38" i="3"/>
  <c r="EG38" i="3"/>
  <c r="EB27" i="3"/>
  <c r="EC27" i="3"/>
  <c r="ED27" i="3"/>
  <c r="EE27" i="3"/>
  <c r="EF27" i="3"/>
  <c r="EG27" i="3"/>
  <c r="DV14" i="3"/>
  <c r="DW14" i="3"/>
  <c r="DX14" i="3"/>
  <c r="DY14" i="3"/>
  <c r="DZ14" i="3"/>
  <c r="EA14" i="3"/>
  <c r="EB14" i="3"/>
  <c r="EC14" i="3"/>
  <c r="ED14" i="3"/>
  <c r="EE14" i="3"/>
  <c r="EF14" i="3"/>
  <c r="EG14" i="3"/>
  <c r="EH14" i="3"/>
  <c r="EI14" i="3"/>
  <c r="DV17" i="3"/>
  <c r="DW17" i="3"/>
  <c r="DX17" i="3"/>
  <c r="DY17" i="3"/>
  <c r="DZ17" i="3"/>
  <c r="EA17" i="3"/>
  <c r="EB17" i="3"/>
  <c r="EC17" i="3"/>
  <c r="ED17" i="3"/>
  <c r="EE17" i="3"/>
  <c r="EF17" i="3"/>
  <c r="EG17" i="3"/>
  <c r="EH17" i="3"/>
  <c r="EI17" i="3"/>
  <c r="DV18" i="3"/>
  <c r="DW18" i="3"/>
  <c r="DX18" i="3"/>
  <c r="DY18" i="3"/>
  <c r="DZ18" i="3"/>
  <c r="EA18" i="3"/>
  <c r="EB18" i="3"/>
  <c r="EC18" i="3"/>
  <c r="ED18" i="3"/>
  <c r="EE18" i="3"/>
  <c r="EF18" i="3"/>
  <c r="EG18" i="3"/>
  <c r="EH18" i="3"/>
  <c r="EI18" i="3"/>
  <c r="EB4" i="3"/>
  <c r="EC4" i="3"/>
  <c r="ED4" i="3"/>
  <c r="EE4" i="3"/>
  <c r="EF4" i="3"/>
  <c r="EG4" i="3"/>
  <c r="DG14" i="3"/>
  <c r="DH14" i="3"/>
  <c r="DI14" i="3"/>
  <c r="DJ14" i="3"/>
  <c r="DK14" i="3"/>
  <c r="DL14" i="3"/>
  <c r="DM14" i="3"/>
  <c r="DN14" i="3"/>
  <c r="DO14" i="3"/>
  <c r="DP14" i="3"/>
  <c r="DQ14" i="3"/>
  <c r="DR14" i="3"/>
  <c r="DS14" i="3"/>
  <c r="DT14" i="3"/>
  <c r="DG17" i="3"/>
  <c r="DH17" i="3"/>
  <c r="DI17" i="3"/>
  <c r="DJ17" i="3"/>
  <c r="DK17" i="3"/>
  <c r="DL17" i="3"/>
  <c r="DM17" i="3"/>
  <c r="DN17" i="3"/>
  <c r="DO17" i="3"/>
  <c r="DP17" i="3"/>
  <c r="DQ17" i="3"/>
  <c r="DR17" i="3"/>
  <c r="DS17" i="3"/>
  <c r="DT17" i="3"/>
  <c r="DG18" i="3"/>
  <c r="DH18" i="3"/>
  <c r="DI18" i="3"/>
  <c r="DJ18" i="3"/>
  <c r="DK18" i="3"/>
  <c r="DL18" i="3"/>
  <c r="DM18" i="3"/>
  <c r="DN18" i="3"/>
  <c r="DO18" i="3"/>
  <c r="DP18" i="3"/>
  <c r="DQ18" i="3"/>
  <c r="DR18" i="3"/>
  <c r="DS18" i="3"/>
  <c r="DT18" i="3"/>
  <c r="CR28" i="3"/>
  <c r="CS28" i="3"/>
  <c r="CT28" i="3"/>
  <c r="CU28" i="3"/>
  <c r="CV28" i="3"/>
  <c r="CW28" i="3"/>
  <c r="CX28" i="3"/>
  <c r="CY28" i="3"/>
  <c r="CZ28" i="3"/>
  <c r="DA28" i="3"/>
  <c r="DB28" i="3"/>
  <c r="DC28" i="3"/>
  <c r="CR29" i="3"/>
  <c r="CS29" i="3"/>
  <c r="CT29" i="3"/>
  <c r="CU29" i="3"/>
  <c r="CV29" i="3"/>
  <c r="CW29" i="3"/>
  <c r="CX29" i="3"/>
  <c r="CY29" i="3"/>
  <c r="CZ29" i="3"/>
  <c r="DA29" i="3"/>
  <c r="DB29" i="3"/>
  <c r="DC29" i="3"/>
  <c r="CR21" i="3"/>
  <c r="CS21" i="3"/>
  <c r="CT21" i="3"/>
  <c r="CU21" i="3"/>
  <c r="CV21" i="3"/>
  <c r="CW21" i="3"/>
  <c r="CX21" i="3"/>
  <c r="CY21" i="3"/>
  <c r="CZ21" i="3"/>
  <c r="DA21" i="3"/>
  <c r="DB21" i="3"/>
  <c r="DC21" i="3"/>
  <c r="CR22" i="3"/>
  <c r="CS22" i="3"/>
  <c r="CT22" i="3"/>
  <c r="CU22" i="3"/>
  <c r="CV22" i="3"/>
  <c r="CW22" i="3"/>
  <c r="CX22" i="3"/>
  <c r="CY22" i="3"/>
  <c r="CZ22" i="3"/>
  <c r="DA22" i="3"/>
  <c r="DB22" i="3"/>
  <c r="DC22" i="3"/>
  <c r="CR23" i="3"/>
  <c r="CS23" i="3"/>
  <c r="CT23" i="3"/>
  <c r="CU23" i="3"/>
  <c r="CV23" i="3"/>
  <c r="CW23" i="3"/>
  <c r="CX23" i="3"/>
  <c r="CY23" i="3"/>
  <c r="CZ23" i="3"/>
  <c r="DA23" i="3"/>
  <c r="DB23" i="3"/>
  <c r="DC23" i="3"/>
  <c r="CR24" i="3"/>
  <c r="CS24" i="3"/>
  <c r="CT24" i="3"/>
  <c r="CU24" i="3"/>
  <c r="CV24" i="3"/>
  <c r="CW24" i="3"/>
  <c r="CX24" i="3"/>
  <c r="CY24" i="3"/>
  <c r="CZ24" i="3"/>
  <c r="DA24" i="3"/>
  <c r="DB24" i="3"/>
  <c r="DC24" i="3"/>
  <c r="CR12" i="3"/>
  <c r="CS12" i="3"/>
  <c r="CT12" i="3"/>
  <c r="CU12" i="3"/>
  <c r="CV12" i="3"/>
  <c r="CW12" i="3"/>
  <c r="CX12" i="3"/>
  <c r="CY12" i="3"/>
  <c r="CZ12" i="3"/>
  <c r="DA12" i="3"/>
  <c r="DB12" i="3"/>
  <c r="DC12" i="3"/>
  <c r="DD12" i="3"/>
  <c r="DE12" i="3"/>
  <c r="CR13" i="3"/>
  <c r="CS13" i="3"/>
  <c r="CT13" i="3"/>
  <c r="CU13" i="3"/>
  <c r="CV13" i="3"/>
  <c r="CW13" i="3"/>
  <c r="CX13" i="3"/>
  <c r="CY13" i="3"/>
  <c r="CZ13" i="3"/>
  <c r="DA13" i="3"/>
  <c r="DB13" i="3"/>
  <c r="DC13" i="3"/>
  <c r="CC14" i="3"/>
  <c r="CD14" i="3"/>
  <c r="CE14" i="3"/>
  <c r="CF14" i="3"/>
  <c r="CG14" i="3"/>
  <c r="CH14" i="3"/>
  <c r="CI14" i="3"/>
  <c r="CJ14" i="3"/>
  <c r="CK14" i="3"/>
  <c r="CL14" i="3"/>
  <c r="CM14" i="3"/>
  <c r="CN14" i="3"/>
  <c r="CO14" i="3"/>
  <c r="CP14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C18" i="3"/>
  <c r="CD18" i="3"/>
  <c r="CE18" i="3"/>
  <c r="CF18" i="3"/>
  <c r="CG18" i="3"/>
  <c r="CH18" i="3"/>
  <c r="CI18" i="3"/>
  <c r="CJ18" i="3"/>
  <c r="CK18" i="3"/>
  <c r="CL18" i="3"/>
  <c r="CM18" i="3"/>
  <c r="CN18" i="3"/>
  <c r="CO18" i="3"/>
  <c r="CP18" i="3"/>
  <c r="BN14" i="3"/>
  <c r="BO14" i="3"/>
  <c r="BP14" i="3"/>
  <c r="BQ14" i="3"/>
  <c r="BR14" i="3"/>
  <c r="BS14" i="3"/>
  <c r="BT14" i="3"/>
  <c r="BU14" i="3"/>
  <c r="BV14" i="3"/>
  <c r="BW14" i="3"/>
  <c r="BX14" i="3"/>
  <c r="BY14" i="3"/>
  <c r="BZ14" i="3"/>
  <c r="CA14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BN18" i="3"/>
  <c r="BO18" i="3"/>
  <c r="BP18" i="3"/>
  <c r="BQ18" i="3"/>
  <c r="BR18" i="3"/>
  <c r="BS18" i="3"/>
  <c r="BT18" i="3"/>
  <c r="BU18" i="3"/>
  <c r="BV18" i="3"/>
  <c r="BW18" i="3"/>
  <c r="BX18" i="3"/>
  <c r="BY18" i="3"/>
  <c r="BZ18" i="3"/>
  <c r="CA18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AY18" i="3"/>
  <c r="AZ18" i="3"/>
  <c r="BA18" i="3"/>
  <c r="BB18" i="3"/>
  <c r="BC18" i="3"/>
  <c r="BD18" i="3"/>
  <c r="BE18" i="3"/>
  <c r="BF18" i="3"/>
  <c r="BG18" i="3"/>
  <c r="BH18" i="3"/>
  <c r="BI18" i="3"/>
  <c r="BJ18" i="3"/>
  <c r="BK18" i="3"/>
  <c r="BL18" i="3"/>
  <c r="AJ14" i="3"/>
  <c r="AK14" i="3"/>
  <c r="AL14" i="3"/>
  <c r="AM14" i="3"/>
  <c r="AN14" i="3"/>
  <c r="AO14" i="3"/>
  <c r="AP14" i="3"/>
  <c r="AQ14" i="3"/>
  <c r="AR14" i="3"/>
  <c r="AS14" i="3"/>
  <c r="AT14" i="3"/>
  <c r="AU14" i="3"/>
  <c r="AV14" i="3"/>
  <c r="AW14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J18" i="3"/>
  <c r="AK18" i="3"/>
  <c r="AL18" i="3"/>
  <c r="AM18" i="3"/>
  <c r="AN18" i="3"/>
  <c r="AO18" i="3"/>
  <c r="AP18" i="3"/>
  <c r="AQ18" i="3"/>
  <c r="AR18" i="3"/>
  <c r="AS18" i="3"/>
  <c r="AT18" i="3"/>
  <c r="AU18" i="3"/>
  <c r="AV18" i="3"/>
  <c r="AW18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U18" i="3"/>
  <c r="V18" i="3"/>
  <c r="W18" i="3"/>
  <c r="X18" i="3"/>
  <c r="Y18" i="3"/>
  <c r="Z18" i="3"/>
  <c r="AA18" i="3"/>
  <c r="AB18" i="3"/>
  <c r="AC18" i="3"/>
  <c r="AD18" i="3"/>
  <c r="AE18" i="3"/>
  <c r="AF18" i="3"/>
  <c r="AG18" i="3"/>
  <c r="AH18" i="3"/>
  <c r="K29" i="8" l="1"/>
  <c r="M35" i="8"/>
  <c r="R35" i="8"/>
  <c r="Q35" i="8"/>
  <c r="P35" i="8"/>
  <c r="L29" i="8"/>
  <c r="V35" i="8"/>
  <c r="U29" i="8"/>
  <c r="N29" i="8"/>
  <c r="S35" i="8"/>
  <c r="O29" i="8"/>
  <c r="T29" i="8"/>
  <c r="M229" i="26"/>
  <c r="M230" i="26"/>
  <c r="M231" i="26"/>
  <c r="M232" i="26"/>
  <c r="M233" i="26"/>
  <c r="M234" i="26"/>
  <c r="M235" i="26"/>
  <c r="M236" i="26"/>
  <c r="M237" i="26"/>
  <c r="M238" i="26"/>
  <c r="M239" i="26"/>
  <c r="M240" i="26"/>
  <c r="M241" i="26"/>
  <c r="M242" i="26"/>
  <c r="M215" i="26"/>
  <c r="M216" i="26"/>
  <c r="M217" i="26"/>
  <c r="M218" i="26"/>
  <c r="M219" i="26"/>
  <c r="M220" i="26"/>
  <c r="M221" i="26"/>
  <c r="M222" i="26"/>
  <c r="M223" i="26"/>
  <c r="M224" i="26"/>
  <c r="M225" i="26"/>
  <c r="M226" i="26"/>
  <c r="M227" i="26"/>
  <c r="M228" i="26"/>
  <c r="M201" i="26"/>
  <c r="M202" i="26"/>
  <c r="M203" i="26"/>
  <c r="M204" i="26"/>
  <c r="M205" i="26"/>
  <c r="M206" i="26"/>
  <c r="M207" i="26"/>
  <c r="M208" i="26"/>
  <c r="M209" i="26"/>
  <c r="M210" i="26"/>
  <c r="M211" i="26"/>
  <c r="M212" i="26"/>
  <c r="M213" i="26"/>
  <c r="M214" i="26"/>
  <c r="M61" i="26"/>
  <c r="M62" i="26"/>
  <c r="M63" i="26"/>
  <c r="M64" i="26"/>
  <c r="M65" i="26"/>
  <c r="M66" i="26"/>
  <c r="M67" i="26"/>
  <c r="M68" i="26"/>
  <c r="M69" i="26"/>
  <c r="M70" i="26"/>
  <c r="M71" i="26"/>
  <c r="M72" i="26"/>
  <c r="M73" i="26"/>
  <c r="M74" i="26"/>
  <c r="S18" i="25"/>
  <c r="R16" i="2" s="1"/>
  <c r="R18" i="25"/>
  <c r="Q16" i="2" s="1"/>
  <c r="Q18" i="25"/>
  <c r="P16" i="2" s="1"/>
  <c r="P18" i="25"/>
  <c r="O16" i="2" s="1"/>
  <c r="O18" i="25"/>
  <c r="N16" i="2" s="1"/>
  <c r="N18" i="25"/>
  <c r="M16" i="2" s="1"/>
  <c r="M18" i="25"/>
  <c r="L16" i="2" s="1"/>
  <c r="L18" i="25"/>
  <c r="K16" i="2" s="1"/>
  <c r="K18" i="25"/>
  <c r="J16" i="2" s="1"/>
  <c r="K17" i="25"/>
  <c r="J15" i="2" s="1"/>
  <c r="J18" i="25"/>
  <c r="I16" i="2" s="1"/>
  <c r="J17" i="25"/>
  <c r="I15" i="2" s="1"/>
  <c r="I19" i="25"/>
  <c r="H17" i="2" s="1"/>
  <c r="I18" i="25"/>
  <c r="H16" i="2" s="1"/>
  <c r="I17" i="25"/>
  <c r="H15" i="2" s="1"/>
  <c r="V37" i="8" l="1"/>
  <c r="U37" i="8"/>
  <c r="S37" i="8"/>
  <c r="R31" i="8"/>
  <c r="R37" i="8"/>
  <c r="T37" i="8"/>
  <c r="Q37" i="8"/>
  <c r="P37" i="8"/>
  <c r="V31" i="8"/>
  <c r="U31" i="8"/>
  <c r="T31" i="8"/>
  <c r="S31" i="8"/>
  <c r="P31" i="8"/>
  <c r="Q31" i="8"/>
  <c r="H14" i="2"/>
  <c r="I16" i="25"/>
  <c r="T32" i="25"/>
  <c r="T31" i="25" s="1"/>
  <c r="M170" i="26" s="1"/>
  <c r="S32" i="25"/>
  <c r="S31" i="25" s="1"/>
  <c r="M169" i="26" s="1"/>
  <c r="R32" i="25"/>
  <c r="R31" i="25" s="1"/>
  <c r="M168" i="26" s="1"/>
  <c r="Q32" i="25"/>
  <c r="Q31" i="25" s="1"/>
  <c r="M167" i="26" s="1"/>
  <c r="P32" i="25"/>
  <c r="P31" i="25" s="1"/>
  <c r="M166" i="26" s="1"/>
  <c r="O32" i="25"/>
  <c r="O31" i="25" s="1"/>
  <c r="M165" i="26" s="1"/>
  <c r="N32" i="25"/>
  <c r="N31" i="25" s="1"/>
  <c r="M164" i="26" s="1"/>
  <c r="M32" i="25"/>
  <c r="M31" i="25" s="1"/>
  <c r="M163" i="26" s="1"/>
  <c r="L32" i="25"/>
  <c r="L31" i="25" s="1"/>
  <c r="M162" i="26" s="1"/>
  <c r="K32" i="25"/>
  <c r="K31" i="25" s="1"/>
  <c r="M161" i="26" s="1"/>
  <c r="J32" i="25"/>
  <c r="J31" i="25" s="1"/>
  <c r="M160" i="26" s="1"/>
  <c r="I32" i="25"/>
  <c r="I31" i="25" s="1"/>
  <c r="M159" i="26" s="1"/>
  <c r="N24" i="25"/>
  <c r="M24" i="25"/>
  <c r="L50" i="2" s="1"/>
  <c r="L24" i="25"/>
  <c r="K50" i="2" s="1"/>
  <c r="K24" i="25"/>
  <c r="J50" i="2" s="1"/>
  <c r="J24" i="25"/>
  <c r="I50" i="2" s="1"/>
  <c r="I24" i="25"/>
  <c r="H50" i="2" s="1"/>
  <c r="T21" i="25"/>
  <c r="S21" i="25"/>
  <c r="R21" i="25"/>
  <c r="Q21" i="25"/>
  <c r="P21" i="25"/>
  <c r="O21" i="25"/>
  <c r="N21" i="25"/>
  <c r="M21" i="25"/>
  <c r="L21" i="25"/>
  <c r="K21" i="25"/>
  <c r="J21" i="25"/>
  <c r="I21" i="25"/>
  <c r="B54" i="6" a="1"/>
  <c r="B54" i="6" s="1"/>
  <c r="B51" i="6" a="1"/>
  <c r="B51" i="6" s="1"/>
  <c r="B52" i="6" s="1"/>
  <c r="B53" i="6" a="1"/>
  <c r="B53" i="6" s="1"/>
  <c r="N45" i="24"/>
  <c r="EP40" i="3" s="1"/>
  <c r="M45" i="24"/>
  <c r="EO40" i="3" s="1"/>
  <c r="L45" i="24"/>
  <c r="EN40" i="3" s="1"/>
  <c r="K45" i="24"/>
  <c r="EM40" i="3" s="1"/>
  <c r="J45" i="24"/>
  <c r="EL40" i="3" s="1"/>
  <c r="I45" i="24"/>
  <c r="EK40" i="3" s="1"/>
  <c r="N44" i="24"/>
  <c r="M44" i="24"/>
  <c r="L44" i="24"/>
  <c r="K44" i="24"/>
  <c r="J44" i="24"/>
  <c r="I44" i="24"/>
  <c r="N43" i="24"/>
  <c r="M43" i="24"/>
  <c r="L43" i="24"/>
  <c r="K43" i="24"/>
  <c r="J43" i="24"/>
  <c r="I43" i="24"/>
  <c r="N42" i="24"/>
  <c r="EP38" i="3" s="1"/>
  <c r="M42" i="24"/>
  <c r="EO38" i="3" s="1"/>
  <c r="L42" i="24"/>
  <c r="EN38" i="3" s="1"/>
  <c r="K42" i="24"/>
  <c r="EM38" i="3" s="1"/>
  <c r="J42" i="24"/>
  <c r="EL38" i="3" s="1"/>
  <c r="I42" i="24"/>
  <c r="EK38" i="3" s="1"/>
  <c r="N40" i="24"/>
  <c r="EP35" i="3" s="1"/>
  <c r="M40" i="24"/>
  <c r="EO35" i="3" s="1"/>
  <c r="L40" i="24"/>
  <c r="EN35" i="3" s="1"/>
  <c r="K40" i="24"/>
  <c r="EM35" i="3" s="1"/>
  <c r="J40" i="24"/>
  <c r="EL35" i="3" s="1"/>
  <c r="I40" i="24"/>
  <c r="EK35" i="3" s="1"/>
  <c r="N39" i="24"/>
  <c r="EP34" i="3" s="1"/>
  <c r="M39" i="24"/>
  <c r="EO34" i="3" s="1"/>
  <c r="L39" i="24"/>
  <c r="EN34" i="3" s="1"/>
  <c r="K39" i="24"/>
  <c r="EM34" i="3" s="1"/>
  <c r="J39" i="24"/>
  <c r="EL34" i="3" s="1"/>
  <c r="I39" i="24"/>
  <c r="EK34" i="3" s="1"/>
  <c r="N38" i="24"/>
  <c r="EP33" i="3" s="1"/>
  <c r="M38" i="24"/>
  <c r="EO33" i="3" s="1"/>
  <c r="L38" i="24"/>
  <c r="EN33" i="3" s="1"/>
  <c r="K38" i="24"/>
  <c r="EM33" i="3" s="1"/>
  <c r="J38" i="24"/>
  <c r="EL33" i="3" s="1"/>
  <c r="I38" i="24"/>
  <c r="EK33" i="3" s="1"/>
  <c r="N37" i="24"/>
  <c r="EP32" i="3" s="1"/>
  <c r="M37" i="24"/>
  <c r="EO32" i="3" s="1"/>
  <c r="L37" i="24"/>
  <c r="EN32" i="3" s="1"/>
  <c r="K37" i="24"/>
  <c r="EM32" i="3" s="1"/>
  <c r="J37" i="24"/>
  <c r="EL32" i="3" s="1"/>
  <c r="I37" i="24"/>
  <c r="EK32" i="3" s="1"/>
  <c r="N35" i="24"/>
  <c r="EP27" i="3" s="1"/>
  <c r="M35" i="24"/>
  <c r="EO27" i="3" s="1"/>
  <c r="L35" i="24"/>
  <c r="EN27" i="3" s="1"/>
  <c r="K35" i="24"/>
  <c r="EM27" i="3" s="1"/>
  <c r="J35" i="24"/>
  <c r="EL27" i="3" s="1"/>
  <c r="I35" i="24"/>
  <c r="EK27" i="3" s="1"/>
  <c r="N34" i="24"/>
  <c r="EP29" i="3" s="1"/>
  <c r="M34" i="24"/>
  <c r="EO29" i="3" s="1"/>
  <c r="L34" i="24"/>
  <c r="EN29" i="3" s="1"/>
  <c r="K34" i="24"/>
  <c r="EM29" i="3" s="1"/>
  <c r="J34" i="24"/>
  <c r="EL29" i="3" s="1"/>
  <c r="I34" i="24"/>
  <c r="EK29" i="3" s="1"/>
  <c r="N33" i="24"/>
  <c r="EP28" i="3" s="1"/>
  <c r="M33" i="24"/>
  <c r="EO28" i="3" s="1"/>
  <c r="L33" i="24"/>
  <c r="EN28" i="3" s="1"/>
  <c r="K33" i="24"/>
  <c r="EM28" i="3" s="1"/>
  <c r="J33" i="24"/>
  <c r="EL28" i="3" s="1"/>
  <c r="I33" i="24"/>
  <c r="EK28" i="3" s="1"/>
  <c r="N31" i="24"/>
  <c r="EP24" i="3" s="1"/>
  <c r="M31" i="24"/>
  <c r="EO24" i="3" s="1"/>
  <c r="L31" i="24"/>
  <c r="EN24" i="3" s="1"/>
  <c r="K31" i="24"/>
  <c r="EM24" i="3" s="1"/>
  <c r="J31" i="24"/>
  <c r="EL24" i="3" s="1"/>
  <c r="I31" i="24"/>
  <c r="EK24" i="3" s="1"/>
  <c r="N30" i="24"/>
  <c r="EP23" i="3" s="1"/>
  <c r="M30" i="24"/>
  <c r="EO23" i="3" s="1"/>
  <c r="L30" i="24"/>
  <c r="EN23" i="3" s="1"/>
  <c r="K30" i="24"/>
  <c r="EM23" i="3" s="1"/>
  <c r="J30" i="24"/>
  <c r="EL23" i="3" s="1"/>
  <c r="I30" i="24"/>
  <c r="EK23" i="3" s="1"/>
  <c r="N29" i="24"/>
  <c r="EP22" i="3" s="1"/>
  <c r="M29" i="24"/>
  <c r="EO22" i="3" s="1"/>
  <c r="L29" i="24"/>
  <c r="EN22" i="3" s="1"/>
  <c r="K29" i="24"/>
  <c r="EM22" i="3" s="1"/>
  <c r="J29" i="24"/>
  <c r="EL22" i="3" s="1"/>
  <c r="I29" i="24"/>
  <c r="EK22" i="3" s="1"/>
  <c r="N28" i="24"/>
  <c r="EP21" i="3" s="1"/>
  <c r="M28" i="24"/>
  <c r="EO21" i="3" s="1"/>
  <c r="L28" i="24"/>
  <c r="EN21" i="3" s="1"/>
  <c r="K28" i="24"/>
  <c r="EM21" i="3" s="1"/>
  <c r="J28" i="24"/>
  <c r="EL21" i="3" s="1"/>
  <c r="I28" i="24"/>
  <c r="EK21" i="3" s="1"/>
  <c r="N26" i="24"/>
  <c r="EP16" i="3" s="1"/>
  <c r="M26" i="24"/>
  <c r="EO16" i="3" s="1"/>
  <c r="L26" i="24"/>
  <c r="EN16" i="3" s="1"/>
  <c r="K26" i="24"/>
  <c r="EM16" i="3" s="1"/>
  <c r="J26" i="24"/>
  <c r="EL16" i="3" s="1"/>
  <c r="I26" i="24"/>
  <c r="EK16" i="3" s="1"/>
  <c r="N25" i="24"/>
  <c r="EP15" i="3" s="1"/>
  <c r="M25" i="24"/>
  <c r="EO15" i="3" s="1"/>
  <c r="L25" i="24"/>
  <c r="EN15" i="3" s="1"/>
  <c r="K25" i="24"/>
  <c r="EM15" i="3" s="1"/>
  <c r="J25" i="24"/>
  <c r="EL15" i="3" s="1"/>
  <c r="I25" i="24"/>
  <c r="EK15" i="3" s="1"/>
  <c r="N24" i="24"/>
  <c r="EP13" i="3" s="1"/>
  <c r="M24" i="24"/>
  <c r="EO13" i="3" s="1"/>
  <c r="L24" i="24"/>
  <c r="EN13" i="3" s="1"/>
  <c r="K24" i="24"/>
  <c r="EM13" i="3" s="1"/>
  <c r="J24" i="24"/>
  <c r="EL13" i="3" s="1"/>
  <c r="I24" i="24"/>
  <c r="EK13" i="3" s="1"/>
  <c r="N23" i="24"/>
  <c r="EP12" i="3" s="1"/>
  <c r="M23" i="24"/>
  <c r="EO12" i="3" s="1"/>
  <c r="L23" i="24"/>
  <c r="EN12" i="3" s="1"/>
  <c r="K23" i="24"/>
  <c r="EM12" i="3" s="1"/>
  <c r="J23" i="24"/>
  <c r="EL12" i="3" s="1"/>
  <c r="I23" i="24"/>
  <c r="EK12" i="3" s="1"/>
  <c r="N22" i="24"/>
  <c r="EP11" i="3" s="1"/>
  <c r="M22" i="24"/>
  <c r="EO11" i="3" s="1"/>
  <c r="L22" i="24"/>
  <c r="EN11" i="3" s="1"/>
  <c r="K22" i="24"/>
  <c r="EM11" i="3" s="1"/>
  <c r="J22" i="24"/>
  <c r="EL11" i="3" s="1"/>
  <c r="I22" i="24"/>
  <c r="EK11" i="3" s="1"/>
  <c r="N19" i="24"/>
  <c r="EP4" i="3" s="1"/>
  <c r="M19" i="24"/>
  <c r="EO4" i="3" s="1"/>
  <c r="L19" i="24"/>
  <c r="EN4" i="3" s="1"/>
  <c r="K19" i="24"/>
  <c r="EM4" i="3" s="1"/>
  <c r="J19" i="24"/>
  <c r="EL4" i="3" s="1"/>
  <c r="I19" i="24"/>
  <c r="EK4" i="3" s="1"/>
  <c r="T15" i="24"/>
  <c r="S15" i="24"/>
  <c r="R15" i="24"/>
  <c r="Q15" i="24"/>
  <c r="P15" i="24"/>
  <c r="O15" i="24"/>
  <c r="N15" i="24"/>
  <c r="M15" i="24"/>
  <c r="K15" i="24"/>
  <c r="J15" i="24"/>
  <c r="I15" i="24"/>
  <c r="P215" i="14"/>
  <c r="O215" i="14"/>
  <c r="N215" i="14"/>
  <c r="M215" i="14"/>
  <c r="L215" i="14"/>
  <c r="K215" i="14"/>
  <c r="P214" i="14"/>
  <c r="O214" i="14"/>
  <c r="N214" i="14"/>
  <c r="M214" i="14"/>
  <c r="L214" i="14"/>
  <c r="K214" i="14"/>
  <c r="J214" i="14"/>
  <c r="V214" i="14" s="1"/>
  <c r="T44" i="24" s="1"/>
  <c r="P213" i="14"/>
  <c r="O213" i="14"/>
  <c r="N213" i="14"/>
  <c r="M213" i="14"/>
  <c r="L213" i="14"/>
  <c r="K213" i="14"/>
  <c r="J213" i="14"/>
  <c r="V213" i="14" s="1"/>
  <c r="T43" i="24" s="1"/>
  <c r="P212" i="14"/>
  <c r="O212" i="14"/>
  <c r="N212" i="14"/>
  <c r="M212" i="14"/>
  <c r="L212" i="14"/>
  <c r="K212" i="14"/>
  <c r="P210" i="14"/>
  <c r="O210" i="14"/>
  <c r="N210" i="14"/>
  <c r="M210" i="14"/>
  <c r="L210" i="14"/>
  <c r="K210" i="14"/>
  <c r="P209" i="14"/>
  <c r="O209" i="14"/>
  <c r="N209" i="14"/>
  <c r="M209" i="14"/>
  <c r="L209" i="14"/>
  <c r="K209" i="14"/>
  <c r="P208" i="14"/>
  <c r="O208" i="14"/>
  <c r="N208" i="14"/>
  <c r="M208" i="14"/>
  <c r="L208" i="14"/>
  <c r="K208" i="14"/>
  <c r="P207" i="14"/>
  <c r="O207" i="14"/>
  <c r="N207" i="14"/>
  <c r="M207" i="14"/>
  <c r="L207" i="14"/>
  <c r="K207" i="14"/>
  <c r="P205" i="14"/>
  <c r="O205" i="14"/>
  <c r="N205" i="14"/>
  <c r="M205" i="14"/>
  <c r="L205" i="14"/>
  <c r="K205" i="14"/>
  <c r="P204" i="14"/>
  <c r="O204" i="14"/>
  <c r="N204" i="14"/>
  <c r="M204" i="14"/>
  <c r="L204" i="14"/>
  <c r="K204" i="14"/>
  <c r="P203" i="14"/>
  <c r="O203" i="14"/>
  <c r="N203" i="14"/>
  <c r="M203" i="14"/>
  <c r="L203" i="14"/>
  <c r="K203" i="14"/>
  <c r="P201" i="14"/>
  <c r="O201" i="14"/>
  <c r="N201" i="14"/>
  <c r="M201" i="14"/>
  <c r="L201" i="14"/>
  <c r="K201" i="14"/>
  <c r="P200" i="14"/>
  <c r="O200" i="14"/>
  <c r="N200" i="14"/>
  <c r="M200" i="14"/>
  <c r="L200" i="14"/>
  <c r="K200" i="14"/>
  <c r="P199" i="14"/>
  <c r="O199" i="14"/>
  <c r="N199" i="14"/>
  <c r="M199" i="14"/>
  <c r="L199" i="14"/>
  <c r="K199" i="14"/>
  <c r="P198" i="14"/>
  <c r="O198" i="14"/>
  <c r="N198" i="14"/>
  <c r="M198" i="14"/>
  <c r="L198" i="14"/>
  <c r="K198" i="14"/>
  <c r="P196" i="14"/>
  <c r="O196" i="14"/>
  <c r="N196" i="14"/>
  <c r="M196" i="14"/>
  <c r="L196" i="14"/>
  <c r="K196" i="14"/>
  <c r="P195" i="14"/>
  <c r="O195" i="14"/>
  <c r="N195" i="14"/>
  <c r="M195" i="14"/>
  <c r="L195" i="14"/>
  <c r="K195" i="14"/>
  <c r="P194" i="14"/>
  <c r="O194" i="14"/>
  <c r="N194" i="14"/>
  <c r="M194" i="14"/>
  <c r="L194" i="14"/>
  <c r="K194" i="14"/>
  <c r="P193" i="14"/>
  <c r="O193" i="14"/>
  <c r="N193" i="14"/>
  <c r="M193" i="14"/>
  <c r="L193" i="14"/>
  <c r="K193" i="14"/>
  <c r="P192" i="14"/>
  <c r="O192" i="14"/>
  <c r="N192" i="14"/>
  <c r="M192" i="14"/>
  <c r="L192" i="14"/>
  <c r="K192" i="14"/>
  <c r="B120" i="27"/>
  <c r="A120" i="27"/>
  <c r="B119" i="27"/>
  <c r="A119" i="27"/>
  <c r="B118" i="27"/>
  <c r="A118" i="27"/>
  <c r="B117" i="27"/>
  <c r="A117" i="27"/>
  <c r="B116" i="27"/>
  <c r="A116" i="27"/>
  <c r="B115" i="27"/>
  <c r="A115" i="27"/>
  <c r="B114" i="27"/>
  <c r="A114" i="27"/>
  <c r="B113" i="27"/>
  <c r="A113" i="27"/>
  <c r="B112" i="27"/>
  <c r="A112" i="27"/>
  <c r="B111" i="27"/>
  <c r="A111" i="27"/>
  <c r="B110" i="27"/>
  <c r="A110" i="27"/>
  <c r="B109" i="27"/>
  <c r="A109" i="27"/>
  <c r="B108" i="27"/>
  <c r="A108" i="27"/>
  <c r="B107" i="27"/>
  <c r="A107" i="27"/>
  <c r="B106" i="27"/>
  <c r="A106" i="27"/>
  <c r="B105" i="27"/>
  <c r="A105" i="27"/>
  <c r="B104" i="27"/>
  <c r="A104" i="27"/>
  <c r="B103" i="27"/>
  <c r="A103" i="27"/>
  <c r="B102" i="27"/>
  <c r="A102" i="27"/>
  <c r="B101" i="27"/>
  <c r="A101" i="27"/>
  <c r="B100" i="27"/>
  <c r="A100" i="27"/>
  <c r="B99" i="27"/>
  <c r="A99" i="27"/>
  <c r="B98" i="27"/>
  <c r="A98" i="27"/>
  <c r="B97" i="27"/>
  <c r="A97" i="27"/>
  <c r="B96" i="27"/>
  <c r="A96" i="27"/>
  <c r="B95" i="27"/>
  <c r="A95" i="27"/>
  <c r="B94" i="27"/>
  <c r="A94" i="27"/>
  <c r="B93" i="27"/>
  <c r="A93" i="27"/>
  <c r="B92" i="27"/>
  <c r="A92" i="27"/>
  <c r="B91" i="27"/>
  <c r="A91" i="27"/>
  <c r="B90" i="27"/>
  <c r="A90" i="27"/>
  <c r="B89" i="27"/>
  <c r="A89" i="27"/>
  <c r="B88" i="27"/>
  <c r="A88" i="27"/>
  <c r="B87" i="27"/>
  <c r="A87" i="27"/>
  <c r="B86" i="27"/>
  <c r="A86" i="27"/>
  <c r="B85" i="27"/>
  <c r="A85" i="27"/>
  <c r="B84" i="27"/>
  <c r="A84" i="27"/>
  <c r="B83" i="27"/>
  <c r="A83" i="27"/>
  <c r="B82" i="27"/>
  <c r="A82" i="27"/>
  <c r="B81" i="27"/>
  <c r="A81" i="27"/>
  <c r="B80" i="27"/>
  <c r="A80" i="27"/>
  <c r="B79" i="27"/>
  <c r="A79" i="27"/>
  <c r="B78" i="27"/>
  <c r="A78" i="27"/>
  <c r="B77" i="27"/>
  <c r="A77" i="27"/>
  <c r="B76" i="27"/>
  <c r="A76" i="27"/>
  <c r="B75" i="27"/>
  <c r="A75" i="27"/>
  <c r="B74" i="27"/>
  <c r="A74" i="27"/>
  <c r="B73" i="27"/>
  <c r="A73" i="27"/>
  <c r="B72" i="27"/>
  <c r="A72" i="27"/>
  <c r="B71" i="27"/>
  <c r="A71" i="27"/>
  <c r="B70" i="27"/>
  <c r="A70" i="27"/>
  <c r="B69" i="27"/>
  <c r="A69" i="27"/>
  <c r="B68" i="27"/>
  <c r="A68" i="27"/>
  <c r="B67" i="27"/>
  <c r="A67" i="27"/>
  <c r="B66" i="27"/>
  <c r="A66" i="27"/>
  <c r="B65" i="27"/>
  <c r="A65" i="27"/>
  <c r="B64" i="27"/>
  <c r="A64" i="27"/>
  <c r="B63" i="27"/>
  <c r="A63" i="27"/>
  <c r="B62" i="27"/>
  <c r="A62" i="27"/>
  <c r="B61" i="27"/>
  <c r="A61" i="27"/>
  <c r="B60" i="27"/>
  <c r="A60" i="27"/>
  <c r="B59" i="27"/>
  <c r="A59" i="27"/>
  <c r="B58" i="27"/>
  <c r="A58" i="27"/>
  <c r="B57" i="27"/>
  <c r="A57" i="27"/>
  <c r="B56" i="27"/>
  <c r="A56" i="27"/>
  <c r="B55" i="27"/>
  <c r="A55" i="27"/>
  <c r="B54" i="27"/>
  <c r="A54" i="27"/>
  <c r="B53" i="27"/>
  <c r="A53" i="27"/>
  <c r="B52" i="27"/>
  <c r="A52" i="27"/>
  <c r="B51" i="27"/>
  <c r="A51" i="27"/>
  <c r="B50" i="27"/>
  <c r="A50" i="27"/>
  <c r="B49" i="27"/>
  <c r="A49" i="27"/>
  <c r="B48" i="27"/>
  <c r="A48" i="27"/>
  <c r="B47" i="27"/>
  <c r="A47" i="27"/>
  <c r="B46" i="27"/>
  <c r="A46" i="27"/>
  <c r="B45" i="27"/>
  <c r="A45" i="27"/>
  <c r="B44" i="27"/>
  <c r="A44" i="27"/>
  <c r="B43" i="27"/>
  <c r="A43" i="27"/>
  <c r="B42" i="27"/>
  <c r="A42" i="27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2" i="27"/>
  <c r="A2" i="27"/>
  <c r="L214" i="26"/>
  <c r="K214" i="26"/>
  <c r="EI58" i="3" s="1"/>
  <c r="J214" i="26"/>
  <c r="DT58" i="3" s="1"/>
  <c r="I214" i="26"/>
  <c r="DE58" i="3" s="1"/>
  <c r="H214" i="26"/>
  <c r="G214" i="26"/>
  <c r="CA58" i="3" s="1"/>
  <c r="F214" i="26"/>
  <c r="BL58" i="3" s="1"/>
  <c r="E214" i="26"/>
  <c r="AW58" i="3" s="1"/>
  <c r="D214" i="26"/>
  <c r="AH58" i="3" s="1"/>
  <c r="L213" i="26"/>
  <c r="EW58" i="3" s="1"/>
  <c r="K213" i="26"/>
  <c r="EH58" i="3" s="1"/>
  <c r="J213" i="26"/>
  <c r="DS58" i="3" s="1"/>
  <c r="I213" i="26"/>
  <c r="H213" i="26"/>
  <c r="G213" i="26"/>
  <c r="F213" i="26"/>
  <c r="E213" i="26"/>
  <c r="AV58" i="3" s="1"/>
  <c r="D213" i="26"/>
  <c r="L212" i="26"/>
  <c r="K212" i="26"/>
  <c r="EG58" i="3" s="1"/>
  <c r="J212" i="26"/>
  <c r="DR58" i="3" s="1"/>
  <c r="I212" i="26"/>
  <c r="DC58" i="3" s="1"/>
  <c r="H212" i="26"/>
  <c r="G212" i="26"/>
  <c r="BY58" i="3" s="1"/>
  <c r="F212" i="26"/>
  <c r="BJ58" i="3" s="1"/>
  <c r="E212" i="26"/>
  <c r="AU58" i="3" s="1"/>
  <c r="D212" i="26"/>
  <c r="L211" i="26"/>
  <c r="K211" i="26"/>
  <c r="EF58" i="3" s="1"/>
  <c r="J211" i="26"/>
  <c r="DQ58" i="3" s="1"/>
  <c r="I211" i="26"/>
  <c r="DB58" i="3" s="1"/>
  <c r="H211" i="26"/>
  <c r="G211" i="26"/>
  <c r="F211" i="26"/>
  <c r="E211" i="26"/>
  <c r="AT58" i="3" s="1"/>
  <c r="D211" i="26"/>
  <c r="L210" i="26"/>
  <c r="ET58" i="3" s="1"/>
  <c r="K210" i="26"/>
  <c r="EE58" i="3" s="1"/>
  <c r="J210" i="26"/>
  <c r="I210" i="26"/>
  <c r="DA58" i="3" s="1"/>
  <c r="H210" i="26"/>
  <c r="G210" i="26"/>
  <c r="BW58" i="3" s="1"/>
  <c r="F210" i="26"/>
  <c r="BH58" i="3" s="1"/>
  <c r="E210" i="26"/>
  <c r="AS58" i="3" s="1"/>
  <c r="D210" i="26"/>
  <c r="AD58" i="3" s="1"/>
  <c r="L209" i="26"/>
  <c r="ES58" i="3" s="1"/>
  <c r="K209" i="26"/>
  <c r="ED58" i="3" s="1"/>
  <c r="J209" i="26"/>
  <c r="DO58" i="3" s="1"/>
  <c r="I209" i="26"/>
  <c r="CZ58" i="3" s="1"/>
  <c r="H209" i="26"/>
  <c r="G209" i="26"/>
  <c r="BV58" i="3" s="1"/>
  <c r="F209" i="26"/>
  <c r="BG58" i="3" s="1"/>
  <c r="E209" i="26"/>
  <c r="AR58" i="3" s="1"/>
  <c r="D209" i="26"/>
  <c r="AC58" i="3" s="1"/>
  <c r="L208" i="26"/>
  <c r="K208" i="26"/>
  <c r="EC58" i="3" s="1"/>
  <c r="J208" i="26"/>
  <c r="I208" i="26"/>
  <c r="CY58" i="3" s="1"/>
  <c r="H208" i="26"/>
  <c r="G208" i="26"/>
  <c r="BU58" i="3" s="1"/>
  <c r="F208" i="26"/>
  <c r="BF58" i="3" s="1"/>
  <c r="E208" i="26"/>
  <c r="AQ58" i="3" s="1"/>
  <c r="D208" i="26"/>
  <c r="AB58" i="3" s="1"/>
  <c r="L207" i="26"/>
  <c r="K207" i="26"/>
  <c r="EB58" i="3" s="1"/>
  <c r="J207" i="26"/>
  <c r="DM58" i="3" s="1"/>
  <c r="I207" i="26"/>
  <c r="CX58" i="3" s="1"/>
  <c r="H207" i="26"/>
  <c r="G207" i="26"/>
  <c r="BT58" i="3" s="1"/>
  <c r="F207" i="26"/>
  <c r="BE58" i="3" s="1"/>
  <c r="E207" i="26"/>
  <c r="AP58" i="3" s="1"/>
  <c r="D207" i="26"/>
  <c r="AA58" i="3" s="1"/>
  <c r="L206" i="26"/>
  <c r="K206" i="26"/>
  <c r="EA58" i="3" s="1"/>
  <c r="J206" i="26"/>
  <c r="DL58" i="3" s="1"/>
  <c r="I206" i="26"/>
  <c r="CW58" i="3" s="1"/>
  <c r="H206" i="26"/>
  <c r="G206" i="26"/>
  <c r="BS58" i="3" s="1"/>
  <c r="F206" i="26"/>
  <c r="BD58" i="3" s="1"/>
  <c r="E206" i="26"/>
  <c r="D206" i="26"/>
  <c r="Z58" i="3" s="1"/>
  <c r="L205" i="26"/>
  <c r="K205" i="26"/>
  <c r="DZ58" i="3" s="1"/>
  <c r="J205" i="26"/>
  <c r="DK58" i="3" s="1"/>
  <c r="I205" i="26"/>
  <c r="CV58" i="3" s="1"/>
  <c r="H205" i="26"/>
  <c r="G205" i="26"/>
  <c r="BR58" i="3" s="1"/>
  <c r="F205" i="26"/>
  <c r="BC58" i="3" s="1"/>
  <c r="E205" i="26"/>
  <c r="AN58" i="3" s="1"/>
  <c r="D205" i="26"/>
  <c r="Y58" i="3" s="1"/>
  <c r="L204" i="26"/>
  <c r="EN58" i="3" s="1"/>
  <c r="K204" i="26"/>
  <c r="DY58" i="3" s="1"/>
  <c r="J204" i="26"/>
  <c r="DJ58" i="3" s="1"/>
  <c r="I204" i="26"/>
  <c r="CU58" i="3" s="1"/>
  <c r="H204" i="26"/>
  <c r="G204" i="26"/>
  <c r="BQ58" i="3" s="1"/>
  <c r="F204" i="26"/>
  <c r="BB58" i="3" s="1"/>
  <c r="E204" i="26"/>
  <c r="AM58" i="3" s="1"/>
  <c r="D204" i="26"/>
  <c r="L203" i="26"/>
  <c r="K203" i="26"/>
  <c r="DX58" i="3" s="1"/>
  <c r="J203" i="26"/>
  <c r="DI58" i="3" s="1"/>
  <c r="I203" i="26"/>
  <c r="CT58" i="3" s="1"/>
  <c r="H203" i="26"/>
  <c r="G203" i="26"/>
  <c r="BP58" i="3" s="1"/>
  <c r="F203" i="26"/>
  <c r="BA58" i="3" s="1"/>
  <c r="E203" i="26"/>
  <c r="AL58" i="3" s="1"/>
  <c r="D203" i="26"/>
  <c r="W58" i="3" s="1"/>
  <c r="L202" i="26"/>
  <c r="EL58" i="3" s="1"/>
  <c r="K202" i="26"/>
  <c r="DW58" i="3" s="1"/>
  <c r="J202" i="26"/>
  <c r="DH58" i="3" s="1"/>
  <c r="I202" i="26"/>
  <c r="CS58" i="3" s="1"/>
  <c r="H202" i="26"/>
  <c r="G202" i="26"/>
  <c r="BO58" i="3" s="1"/>
  <c r="F202" i="26"/>
  <c r="AZ58" i="3" s="1"/>
  <c r="E202" i="26"/>
  <c r="AK58" i="3" s="1"/>
  <c r="D202" i="26"/>
  <c r="V58" i="3" s="1"/>
  <c r="L201" i="26"/>
  <c r="EK58" i="3" s="1"/>
  <c r="K201" i="26"/>
  <c r="DV58" i="3" s="1"/>
  <c r="J201" i="26"/>
  <c r="DG58" i="3" s="1"/>
  <c r="I201" i="26"/>
  <c r="CR58" i="3" s="1"/>
  <c r="H201" i="26"/>
  <c r="G201" i="26"/>
  <c r="BN58" i="3" s="1"/>
  <c r="F201" i="26"/>
  <c r="AY58" i="3" s="1"/>
  <c r="E201" i="26"/>
  <c r="AJ58" i="3" s="1"/>
  <c r="D201" i="26"/>
  <c r="U58" i="3" s="1"/>
  <c r="L172" i="26"/>
  <c r="EX55" i="3" s="1"/>
  <c r="K172" i="26"/>
  <c r="EI55" i="3" s="1"/>
  <c r="J172" i="26"/>
  <c r="DT55" i="3" s="1"/>
  <c r="I172" i="26"/>
  <c r="H172" i="26"/>
  <c r="CP55" i="3" s="1"/>
  <c r="G172" i="26"/>
  <c r="CA55" i="3" s="1"/>
  <c r="F172" i="26"/>
  <c r="BL55" i="3" s="1"/>
  <c r="E172" i="26"/>
  <c r="D172" i="26"/>
  <c r="AH55" i="3" s="1"/>
  <c r="L171" i="26"/>
  <c r="EW55" i="3" s="1"/>
  <c r="K171" i="26"/>
  <c r="EH55" i="3" s="1"/>
  <c r="J171" i="26"/>
  <c r="DS55" i="3" s="1"/>
  <c r="I171" i="26"/>
  <c r="DD55" i="3" s="1"/>
  <c r="H171" i="26"/>
  <c r="G171" i="26"/>
  <c r="BZ55" i="3" s="1"/>
  <c r="F171" i="26"/>
  <c r="BK55" i="3" s="1"/>
  <c r="E171" i="26"/>
  <c r="AV55" i="3" s="1"/>
  <c r="D171" i="26"/>
  <c r="L170" i="26"/>
  <c r="EV55" i="3" s="1"/>
  <c r="K170" i="26"/>
  <c r="EG55" i="3" s="1"/>
  <c r="J170" i="26"/>
  <c r="DR55" i="3" s="1"/>
  <c r="I170" i="26"/>
  <c r="DC55" i="3" s="1"/>
  <c r="H170" i="26"/>
  <c r="CN55" i="3" s="1"/>
  <c r="G170" i="26"/>
  <c r="BY55" i="3" s="1"/>
  <c r="F170" i="26"/>
  <c r="BJ55" i="3" s="1"/>
  <c r="E170" i="26"/>
  <c r="AU55" i="3" s="1"/>
  <c r="D170" i="26"/>
  <c r="AF55" i="3" s="1"/>
  <c r="L169" i="26"/>
  <c r="K169" i="26"/>
  <c r="EF55" i="3" s="1"/>
  <c r="J169" i="26"/>
  <c r="DQ55" i="3" s="1"/>
  <c r="I169" i="26"/>
  <c r="DB55" i="3" s="1"/>
  <c r="H169" i="26"/>
  <c r="CM55" i="3" s="1"/>
  <c r="G169" i="26"/>
  <c r="BX55" i="3" s="1"/>
  <c r="F169" i="26"/>
  <c r="BI55" i="3" s="1"/>
  <c r="E169" i="26"/>
  <c r="AT55" i="3" s="1"/>
  <c r="D169" i="26"/>
  <c r="AE55" i="3" s="1"/>
  <c r="L168" i="26"/>
  <c r="ET55" i="3" s="1"/>
  <c r="K168" i="26"/>
  <c r="J168" i="26"/>
  <c r="DP55" i="3" s="1"/>
  <c r="I168" i="26"/>
  <c r="DA55" i="3" s="1"/>
  <c r="H168" i="26"/>
  <c r="CL55" i="3" s="1"/>
  <c r="G168" i="26"/>
  <c r="BW55" i="3" s="1"/>
  <c r="F168" i="26"/>
  <c r="BH55" i="3" s="1"/>
  <c r="E168" i="26"/>
  <c r="AS55" i="3" s="1"/>
  <c r="D168" i="26"/>
  <c r="AD55" i="3" s="1"/>
  <c r="L167" i="26"/>
  <c r="ES55" i="3" s="1"/>
  <c r="K167" i="26"/>
  <c r="ED55" i="3" s="1"/>
  <c r="J167" i="26"/>
  <c r="I167" i="26"/>
  <c r="CZ55" i="3" s="1"/>
  <c r="H167" i="26"/>
  <c r="CK55" i="3" s="1"/>
  <c r="G167" i="26"/>
  <c r="BV55" i="3" s="1"/>
  <c r="F167" i="26"/>
  <c r="BG55" i="3" s="1"/>
  <c r="E167" i="26"/>
  <c r="AR55" i="3" s="1"/>
  <c r="D167" i="26"/>
  <c r="AC55" i="3" s="1"/>
  <c r="L166" i="26"/>
  <c r="ER55" i="3" s="1"/>
  <c r="K166" i="26"/>
  <c r="EC55" i="3" s="1"/>
  <c r="J166" i="26"/>
  <c r="DN55" i="3" s="1"/>
  <c r="I166" i="26"/>
  <c r="H166" i="26"/>
  <c r="CJ55" i="3" s="1"/>
  <c r="G166" i="26"/>
  <c r="BU55" i="3" s="1"/>
  <c r="F166" i="26"/>
  <c r="BF55" i="3" s="1"/>
  <c r="E166" i="26"/>
  <c r="AQ55" i="3" s="1"/>
  <c r="D166" i="26"/>
  <c r="AB55" i="3" s="1"/>
  <c r="L165" i="26"/>
  <c r="EQ55" i="3" s="1"/>
  <c r="K165" i="26"/>
  <c r="EB55" i="3" s="1"/>
  <c r="J165" i="26"/>
  <c r="DM55" i="3" s="1"/>
  <c r="I165" i="26"/>
  <c r="CX55" i="3" s="1"/>
  <c r="H165" i="26"/>
  <c r="G165" i="26"/>
  <c r="BT55" i="3" s="1"/>
  <c r="F165" i="26"/>
  <c r="BE55" i="3" s="1"/>
  <c r="E165" i="26"/>
  <c r="AP55" i="3" s="1"/>
  <c r="D165" i="26"/>
  <c r="AA55" i="3" s="1"/>
  <c r="L164" i="26"/>
  <c r="EP55" i="3" s="1"/>
  <c r="K164" i="26"/>
  <c r="EA55" i="3" s="1"/>
  <c r="J164" i="26"/>
  <c r="DL55" i="3" s="1"/>
  <c r="I164" i="26"/>
  <c r="CW55" i="3" s="1"/>
  <c r="H164" i="26"/>
  <c r="CH55" i="3" s="1"/>
  <c r="G164" i="26"/>
  <c r="F164" i="26"/>
  <c r="BD55" i="3" s="1"/>
  <c r="E164" i="26"/>
  <c r="AO55" i="3" s="1"/>
  <c r="D164" i="26"/>
  <c r="Z55" i="3" s="1"/>
  <c r="L163" i="26"/>
  <c r="EO55" i="3" s="1"/>
  <c r="K163" i="26"/>
  <c r="DZ55" i="3" s="1"/>
  <c r="J163" i="26"/>
  <c r="DK55" i="3" s="1"/>
  <c r="I163" i="26"/>
  <c r="CV55" i="3" s="1"/>
  <c r="H163" i="26"/>
  <c r="CG55" i="3" s="1"/>
  <c r="G163" i="26"/>
  <c r="BR55" i="3" s="1"/>
  <c r="F163" i="26"/>
  <c r="E163" i="26"/>
  <c r="AN55" i="3" s="1"/>
  <c r="D163" i="26"/>
  <c r="Y55" i="3" s="1"/>
  <c r="L162" i="26"/>
  <c r="EN55" i="3" s="1"/>
  <c r="K162" i="26"/>
  <c r="DY55" i="3" s="1"/>
  <c r="J162" i="26"/>
  <c r="DJ55" i="3" s="1"/>
  <c r="I162" i="26"/>
  <c r="H162" i="26"/>
  <c r="CF55" i="3" s="1"/>
  <c r="G162" i="26"/>
  <c r="BQ55" i="3" s="1"/>
  <c r="F162" i="26"/>
  <c r="BB55" i="3" s="1"/>
  <c r="E162" i="26"/>
  <c r="D162" i="26"/>
  <c r="X55" i="3" s="1"/>
  <c r="L161" i="26"/>
  <c r="EM55" i="3" s="1"/>
  <c r="K161" i="26"/>
  <c r="DX55" i="3" s="1"/>
  <c r="J161" i="26"/>
  <c r="DI55" i="3" s="1"/>
  <c r="I161" i="26"/>
  <c r="CT55" i="3" s="1"/>
  <c r="H161" i="26"/>
  <c r="CE55" i="3" s="1"/>
  <c r="G161" i="26"/>
  <c r="BP55" i="3" s="1"/>
  <c r="F161" i="26"/>
  <c r="BA55" i="3" s="1"/>
  <c r="E161" i="26"/>
  <c r="AL55" i="3" s="1"/>
  <c r="D161" i="26"/>
  <c r="L160" i="26"/>
  <c r="EL55" i="3" s="1"/>
  <c r="K160" i="26"/>
  <c r="DW55" i="3" s="1"/>
  <c r="J160" i="26"/>
  <c r="DH55" i="3" s="1"/>
  <c r="I160" i="26"/>
  <c r="CS55" i="3" s="1"/>
  <c r="H160" i="26"/>
  <c r="CD55" i="3" s="1"/>
  <c r="G160" i="26"/>
  <c r="BO55" i="3" s="1"/>
  <c r="F160" i="26"/>
  <c r="AZ55" i="3" s="1"/>
  <c r="E160" i="26"/>
  <c r="AK55" i="3" s="1"/>
  <c r="D160" i="26"/>
  <c r="V55" i="3" s="1"/>
  <c r="L159" i="26"/>
  <c r="K159" i="26"/>
  <c r="DV55" i="3" s="1"/>
  <c r="J159" i="26"/>
  <c r="DG55" i="3" s="1"/>
  <c r="I159" i="26"/>
  <c r="CR55" i="3" s="1"/>
  <c r="H159" i="26"/>
  <c r="CC55" i="3" s="1"/>
  <c r="G159" i="26"/>
  <c r="BN55" i="3" s="1"/>
  <c r="F159" i="26"/>
  <c r="AY55" i="3" s="1"/>
  <c r="E159" i="26"/>
  <c r="AJ55" i="3" s="1"/>
  <c r="D159" i="26"/>
  <c r="U55" i="3" s="1"/>
  <c r="L158" i="26"/>
  <c r="EX54" i="3" s="1"/>
  <c r="K158" i="26"/>
  <c r="J158" i="26"/>
  <c r="DT54" i="3" s="1"/>
  <c r="I158" i="26"/>
  <c r="DE54" i="3" s="1"/>
  <c r="H158" i="26"/>
  <c r="CP54" i="3" s="1"/>
  <c r="G158" i="26"/>
  <c r="CA54" i="3" s="1"/>
  <c r="F158" i="26"/>
  <c r="BL54" i="3" s="1"/>
  <c r="E158" i="26"/>
  <c r="AW54" i="3" s="1"/>
  <c r="D158" i="26"/>
  <c r="AH54" i="3" s="1"/>
  <c r="L157" i="26"/>
  <c r="EW54" i="3" s="1"/>
  <c r="K157" i="26"/>
  <c r="EH54" i="3" s="1"/>
  <c r="J157" i="26"/>
  <c r="I157" i="26"/>
  <c r="DD54" i="3" s="1"/>
  <c r="H157" i="26"/>
  <c r="CO54" i="3" s="1"/>
  <c r="G157" i="26"/>
  <c r="BZ54" i="3" s="1"/>
  <c r="F157" i="26"/>
  <c r="BK54" i="3" s="1"/>
  <c r="E157" i="26"/>
  <c r="AV54" i="3" s="1"/>
  <c r="D157" i="26"/>
  <c r="AG54" i="3" s="1"/>
  <c r="L156" i="26"/>
  <c r="EV54" i="3" s="1"/>
  <c r="K156" i="26"/>
  <c r="EG54" i="3" s="1"/>
  <c r="J156" i="26"/>
  <c r="DR54" i="3" s="1"/>
  <c r="I156" i="26"/>
  <c r="H156" i="26"/>
  <c r="CN54" i="3" s="1"/>
  <c r="G156" i="26"/>
  <c r="BY54" i="3" s="1"/>
  <c r="F156" i="26"/>
  <c r="BJ54" i="3" s="1"/>
  <c r="E156" i="26"/>
  <c r="AU54" i="3" s="1"/>
  <c r="D156" i="26"/>
  <c r="AF54" i="3" s="1"/>
  <c r="L155" i="26"/>
  <c r="EU54" i="3" s="1"/>
  <c r="K155" i="26"/>
  <c r="EF54" i="3" s="1"/>
  <c r="J155" i="26"/>
  <c r="DQ54" i="3" s="1"/>
  <c r="I155" i="26"/>
  <c r="DB54" i="3" s="1"/>
  <c r="H155" i="26"/>
  <c r="G155" i="26"/>
  <c r="BX54" i="3" s="1"/>
  <c r="F155" i="26"/>
  <c r="BI54" i="3" s="1"/>
  <c r="E155" i="26"/>
  <c r="AT54" i="3" s="1"/>
  <c r="D155" i="26"/>
  <c r="AE54" i="3" s="1"/>
  <c r="L154" i="26"/>
  <c r="ET54" i="3" s="1"/>
  <c r="K154" i="26"/>
  <c r="EE54" i="3" s="1"/>
  <c r="J154" i="26"/>
  <c r="DP54" i="3" s="1"/>
  <c r="I154" i="26"/>
  <c r="DA54" i="3" s="1"/>
  <c r="H154" i="26"/>
  <c r="CL54" i="3" s="1"/>
  <c r="G154" i="26"/>
  <c r="F154" i="26"/>
  <c r="BH54" i="3" s="1"/>
  <c r="E154" i="26"/>
  <c r="AS54" i="3" s="1"/>
  <c r="D154" i="26"/>
  <c r="AD54" i="3" s="1"/>
  <c r="L153" i="26"/>
  <c r="ES54" i="3" s="1"/>
  <c r="K153" i="26"/>
  <c r="ED54" i="3" s="1"/>
  <c r="J153" i="26"/>
  <c r="DO54" i="3" s="1"/>
  <c r="I153" i="26"/>
  <c r="CZ54" i="3" s="1"/>
  <c r="H153" i="26"/>
  <c r="CK54" i="3" s="1"/>
  <c r="G153" i="26"/>
  <c r="BV54" i="3" s="1"/>
  <c r="F153" i="26"/>
  <c r="E153" i="26"/>
  <c r="AR54" i="3" s="1"/>
  <c r="D153" i="26"/>
  <c r="AC54" i="3" s="1"/>
  <c r="L152" i="26"/>
  <c r="ER54" i="3" s="1"/>
  <c r="K152" i="26"/>
  <c r="EC54" i="3" s="1"/>
  <c r="J152" i="26"/>
  <c r="DN54" i="3" s="1"/>
  <c r="I152" i="26"/>
  <c r="CY54" i="3" s="1"/>
  <c r="H152" i="26"/>
  <c r="CJ54" i="3" s="1"/>
  <c r="G152" i="26"/>
  <c r="BU54" i="3" s="1"/>
  <c r="F152" i="26"/>
  <c r="BF54" i="3" s="1"/>
  <c r="E152" i="26"/>
  <c r="D152" i="26"/>
  <c r="AB54" i="3" s="1"/>
  <c r="L151" i="26"/>
  <c r="EQ54" i="3" s="1"/>
  <c r="K151" i="26"/>
  <c r="EB54" i="3" s="1"/>
  <c r="J151" i="26"/>
  <c r="DM54" i="3" s="1"/>
  <c r="I151" i="26"/>
  <c r="CX54" i="3" s="1"/>
  <c r="H151" i="26"/>
  <c r="CI54" i="3" s="1"/>
  <c r="G151" i="26"/>
  <c r="BT54" i="3" s="1"/>
  <c r="F151" i="26"/>
  <c r="BE54" i="3" s="1"/>
  <c r="E151" i="26"/>
  <c r="AP54" i="3" s="1"/>
  <c r="D151" i="26"/>
  <c r="L150" i="26"/>
  <c r="EP54" i="3" s="1"/>
  <c r="K150" i="26"/>
  <c r="EA54" i="3" s="1"/>
  <c r="J150" i="26"/>
  <c r="DL54" i="3" s="1"/>
  <c r="I150" i="26"/>
  <c r="CW54" i="3" s="1"/>
  <c r="H150" i="26"/>
  <c r="CH54" i="3" s="1"/>
  <c r="G150" i="26"/>
  <c r="BS54" i="3" s="1"/>
  <c r="F150" i="26"/>
  <c r="BD54" i="3" s="1"/>
  <c r="E150" i="26"/>
  <c r="AO54" i="3" s="1"/>
  <c r="D150" i="26"/>
  <c r="Z54" i="3" s="1"/>
  <c r="L149" i="26"/>
  <c r="K149" i="26"/>
  <c r="DZ54" i="3" s="1"/>
  <c r="J149" i="26"/>
  <c r="DK54" i="3" s="1"/>
  <c r="I149" i="26"/>
  <c r="CV54" i="3" s="1"/>
  <c r="H149" i="26"/>
  <c r="CG54" i="3" s="1"/>
  <c r="G149" i="26"/>
  <c r="BR54" i="3" s="1"/>
  <c r="F149" i="26"/>
  <c r="BC54" i="3" s="1"/>
  <c r="E149" i="26"/>
  <c r="AN54" i="3" s="1"/>
  <c r="D149" i="26"/>
  <c r="Y54" i="3" s="1"/>
  <c r="L148" i="26"/>
  <c r="EN54" i="3" s="1"/>
  <c r="K148" i="26"/>
  <c r="J148" i="26"/>
  <c r="DJ54" i="3" s="1"/>
  <c r="I148" i="26"/>
  <c r="CU54" i="3" s="1"/>
  <c r="H148" i="26"/>
  <c r="CF54" i="3" s="1"/>
  <c r="G148" i="26"/>
  <c r="BQ54" i="3" s="1"/>
  <c r="F148" i="26"/>
  <c r="BB54" i="3" s="1"/>
  <c r="E148" i="26"/>
  <c r="AM54" i="3" s="1"/>
  <c r="D148" i="26"/>
  <c r="X54" i="3" s="1"/>
  <c r="L147" i="26"/>
  <c r="EM54" i="3" s="1"/>
  <c r="K147" i="26"/>
  <c r="DX54" i="3" s="1"/>
  <c r="J147" i="26"/>
  <c r="I147" i="26"/>
  <c r="CT54" i="3" s="1"/>
  <c r="H147" i="26"/>
  <c r="CE54" i="3" s="1"/>
  <c r="G147" i="26"/>
  <c r="BP54" i="3" s="1"/>
  <c r="F147" i="26"/>
  <c r="BA54" i="3" s="1"/>
  <c r="E147" i="26"/>
  <c r="AL54" i="3" s="1"/>
  <c r="D147" i="26"/>
  <c r="W54" i="3" s="1"/>
  <c r="L146" i="26"/>
  <c r="EL54" i="3" s="1"/>
  <c r="K146" i="26"/>
  <c r="DW54" i="3" s="1"/>
  <c r="J146" i="26"/>
  <c r="DH54" i="3" s="1"/>
  <c r="I146" i="26"/>
  <c r="H146" i="26"/>
  <c r="CD54" i="3" s="1"/>
  <c r="G146" i="26"/>
  <c r="BO54" i="3" s="1"/>
  <c r="F146" i="26"/>
  <c r="AZ54" i="3" s="1"/>
  <c r="E146" i="26"/>
  <c r="AK54" i="3" s="1"/>
  <c r="D146" i="26"/>
  <c r="V54" i="3" s="1"/>
  <c r="L145" i="26"/>
  <c r="EK54" i="3" s="1"/>
  <c r="K145" i="26"/>
  <c r="DV54" i="3" s="1"/>
  <c r="J145" i="26"/>
  <c r="DG54" i="3" s="1"/>
  <c r="I145" i="26"/>
  <c r="CR54" i="3" s="1"/>
  <c r="H145" i="26"/>
  <c r="G145" i="26"/>
  <c r="BN54" i="3" s="1"/>
  <c r="F145" i="26"/>
  <c r="AY54" i="3" s="1"/>
  <c r="E145" i="26"/>
  <c r="AJ54" i="3" s="1"/>
  <c r="D145" i="26"/>
  <c r="U54" i="3" s="1"/>
  <c r="L144" i="26"/>
  <c r="EX53" i="3" s="1"/>
  <c r="K144" i="26"/>
  <c r="EI53" i="3" s="1"/>
  <c r="J144" i="26"/>
  <c r="DT53" i="3" s="1"/>
  <c r="I144" i="26"/>
  <c r="DE53" i="3" s="1"/>
  <c r="H144" i="26"/>
  <c r="CP53" i="3" s="1"/>
  <c r="G144" i="26"/>
  <c r="F144" i="26"/>
  <c r="BL53" i="3" s="1"/>
  <c r="E144" i="26"/>
  <c r="AW53" i="3" s="1"/>
  <c r="D144" i="26"/>
  <c r="AH53" i="3" s="1"/>
  <c r="L143" i="26"/>
  <c r="EW53" i="3" s="1"/>
  <c r="K143" i="26"/>
  <c r="EH53" i="3" s="1"/>
  <c r="J143" i="26"/>
  <c r="DS53" i="3" s="1"/>
  <c r="I143" i="26"/>
  <c r="DD53" i="3" s="1"/>
  <c r="H143" i="26"/>
  <c r="CO53" i="3" s="1"/>
  <c r="G143" i="26"/>
  <c r="BZ53" i="3" s="1"/>
  <c r="F143" i="26"/>
  <c r="E143" i="26"/>
  <c r="AV53" i="3" s="1"/>
  <c r="D143" i="26"/>
  <c r="AG53" i="3" s="1"/>
  <c r="L142" i="26"/>
  <c r="EV53" i="3" s="1"/>
  <c r="K142" i="26"/>
  <c r="EG53" i="3" s="1"/>
  <c r="J142" i="26"/>
  <c r="DR53" i="3" s="1"/>
  <c r="I142" i="26"/>
  <c r="DC53" i="3" s="1"/>
  <c r="H142" i="26"/>
  <c r="CN53" i="3" s="1"/>
  <c r="G142" i="26"/>
  <c r="BY53" i="3" s="1"/>
  <c r="F142" i="26"/>
  <c r="BJ53" i="3" s="1"/>
  <c r="E142" i="26"/>
  <c r="D142" i="26"/>
  <c r="AF53" i="3" s="1"/>
  <c r="L141" i="26"/>
  <c r="EU53" i="3" s="1"/>
  <c r="K141" i="26"/>
  <c r="EF53" i="3" s="1"/>
  <c r="J141" i="26"/>
  <c r="DQ53" i="3" s="1"/>
  <c r="I141" i="26"/>
  <c r="DB53" i="3" s="1"/>
  <c r="H141" i="26"/>
  <c r="CM53" i="3" s="1"/>
  <c r="G141" i="26"/>
  <c r="BX53" i="3" s="1"/>
  <c r="F141" i="26"/>
  <c r="BI53" i="3" s="1"/>
  <c r="E141" i="26"/>
  <c r="AT53" i="3" s="1"/>
  <c r="D141" i="26"/>
  <c r="L140" i="26"/>
  <c r="ET53" i="3" s="1"/>
  <c r="K140" i="26"/>
  <c r="EE53" i="3" s="1"/>
  <c r="J140" i="26"/>
  <c r="DP53" i="3" s="1"/>
  <c r="I140" i="26"/>
  <c r="DA53" i="3" s="1"/>
  <c r="H140" i="26"/>
  <c r="CL53" i="3" s="1"/>
  <c r="G140" i="26"/>
  <c r="BW53" i="3" s="1"/>
  <c r="F140" i="26"/>
  <c r="BH53" i="3" s="1"/>
  <c r="E140" i="26"/>
  <c r="AS53" i="3" s="1"/>
  <c r="D140" i="26"/>
  <c r="AD53" i="3" s="1"/>
  <c r="L139" i="26"/>
  <c r="K139" i="26"/>
  <c r="ED53" i="3" s="1"/>
  <c r="J139" i="26"/>
  <c r="DO53" i="3" s="1"/>
  <c r="I139" i="26"/>
  <c r="CZ53" i="3" s="1"/>
  <c r="H139" i="26"/>
  <c r="CK53" i="3" s="1"/>
  <c r="G139" i="26"/>
  <c r="BV53" i="3" s="1"/>
  <c r="F139" i="26"/>
  <c r="BG53" i="3" s="1"/>
  <c r="E139" i="26"/>
  <c r="AR53" i="3" s="1"/>
  <c r="D139" i="26"/>
  <c r="AC53" i="3" s="1"/>
  <c r="L138" i="26"/>
  <c r="ER53" i="3" s="1"/>
  <c r="K138" i="26"/>
  <c r="J138" i="26"/>
  <c r="DN53" i="3" s="1"/>
  <c r="I138" i="26"/>
  <c r="CY53" i="3" s="1"/>
  <c r="H138" i="26"/>
  <c r="CJ53" i="3" s="1"/>
  <c r="G138" i="26"/>
  <c r="BU53" i="3" s="1"/>
  <c r="F138" i="26"/>
  <c r="BF53" i="3" s="1"/>
  <c r="E138" i="26"/>
  <c r="AQ53" i="3" s="1"/>
  <c r="D138" i="26"/>
  <c r="AB53" i="3" s="1"/>
  <c r="L137" i="26"/>
  <c r="EQ53" i="3" s="1"/>
  <c r="K137" i="26"/>
  <c r="EB53" i="3" s="1"/>
  <c r="J137" i="26"/>
  <c r="I137" i="26"/>
  <c r="CX53" i="3" s="1"/>
  <c r="H137" i="26"/>
  <c r="CI53" i="3" s="1"/>
  <c r="G137" i="26"/>
  <c r="BT53" i="3" s="1"/>
  <c r="F137" i="26"/>
  <c r="BE53" i="3" s="1"/>
  <c r="E137" i="26"/>
  <c r="AP53" i="3" s="1"/>
  <c r="D137" i="26"/>
  <c r="AA53" i="3" s="1"/>
  <c r="L136" i="26"/>
  <c r="EP53" i="3" s="1"/>
  <c r="K136" i="26"/>
  <c r="EA53" i="3" s="1"/>
  <c r="J136" i="26"/>
  <c r="DL53" i="3" s="1"/>
  <c r="I136" i="26"/>
  <c r="H136" i="26"/>
  <c r="CH53" i="3" s="1"/>
  <c r="G136" i="26"/>
  <c r="BS53" i="3" s="1"/>
  <c r="F136" i="26"/>
  <c r="BD53" i="3" s="1"/>
  <c r="E136" i="26"/>
  <c r="AO53" i="3" s="1"/>
  <c r="D136" i="26"/>
  <c r="Z53" i="3" s="1"/>
  <c r="L135" i="26"/>
  <c r="EO53" i="3" s="1"/>
  <c r="K135" i="26"/>
  <c r="DZ53" i="3" s="1"/>
  <c r="J135" i="26"/>
  <c r="DK53" i="3" s="1"/>
  <c r="I135" i="26"/>
  <c r="CV53" i="3" s="1"/>
  <c r="H135" i="26"/>
  <c r="G135" i="26"/>
  <c r="BR53" i="3" s="1"/>
  <c r="F135" i="26"/>
  <c r="BC53" i="3" s="1"/>
  <c r="E135" i="26"/>
  <c r="AN53" i="3" s="1"/>
  <c r="D135" i="26"/>
  <c r="Y53" i="3" s="1"/>
  <c r="L134" i="26"/>
  <c r="EN53" i="3" s="1"/>
  <c r="K134" i="26"/>
  <c r="DY53" i="3" s="1"/>
  <c r="J134" i="26"/>
  <c r="DJ53" i="3" s="1"/>
  <c r="I134" i="26"/>
  <c r="CU53" i="3" s="1"/>
  <c r="H134" i="26"/>
  <c r="CF53" i="3" s="1"/>
  <c r="G134" i="26"/>
  <c r="F134" i="26"/>
  <c r="BB53" i="3" s="1"/>
  <c r="E134" i="26"/>
  <c r="AM53" i="3" s="1"/>
  <c r="D134" i="26"/>
  <c r="X53" i="3" s="1"/>
  <c r="L133" i="26"/>
  <c r="EM53" i="3" s="1"/>
  <c r="K133" i="26"/>
  <c r="DX53" i="3" s="1"/>
  <c r="J133" i="26"/>
  <c r="DI53" i="3" s="1"/>
  <c r="I133" i="26"/>
  <c r="CT53" i="3" s="1"/>
  <c r="H133" i="26"/>
  <c r="CE53" i="3" s="1"/>
  <c r="G133" i="26"/>
  <c r="BP53" i="3" s="1"/>
  <c r="F133" i="26"/>
  <c r="E133" i="26"/>
  <c r="AL53" i="3" s="1"/>
  <c r="D133" i="26"/>
  <c r="W53" i="3" s="1"/>
  <c r="L132" i="26"/>
  <c r="EL53" i="3" s="1"/>
  <c r="K132" i="26"/>
  <c r="DW53" i="3" s="1"/>
  <c r="J132" i="26"/>
  <c r="DH53" i="3" s="1"/>
  <c r="I132" i="26"/>
  <c r="CS53" i="3" s="1"/>
  <c r="H132" i="26"/>
  <c r="CD53" i="3" s="1"/>
  <c r="G132" i="26"/>
  <c r="BO53" i="3" s="1"/>
  <c r="F132" i="26"/>
  <c r="AZ53" i="3" s="1"/>
  <c r="E132" i="26"/>
  <c r="D132" i="26"/>
  <c r="V53" i="3" s="1"/>
  <c r="L131" i="26"/>
  <c r="EK53" i="3" s="1"/>
  <c r="K131" i="26"/>
  <c r="DV53" i="3" s="1"/>
  <c r="J131" i="26"/>
  <c r="DG53" i="3" s="1"/>
  <c r="I131" i="26"/>
  <c r="CR53" i="3" s="1"/>
  <c r="H131" i="26"/>
  <c r="CC53" i="3" s="1"/>
  <c r="G131" i="26"/>
  <c r="BN53" i="3" s="1"/>
  <c r="F131" i="26"/>
  <c r="AY53" i="3" s="1"/>
  <c r="E131" i="26"/>
  <c r="AJ53" i="3" s="1"/>
  <c r="D131" i="26"/>
  <c r="L130" i="26"/>
  <c r="EX45" i="3" s="1"/>
  <c r="K130" i="26"/>
  <c r="EI45" i="3" s="1"/>
  <c r="J130" i="26"/>
  <c r="DT45" i="3" s="1"/>
  <c r="I130" i="26"/>
  <c r="DE45" i="3" s="1"/>
  <c r="H130" i="26"/>
  <c r="CP45" i="3" s="1"/>
  <c r="G130" i="26"/>
  <c r="CA45" i="3" s="1"/>
  <c r="F130" i="26"/>
  <c r="BL45" i="3" s="1"/>
  <c r="E130" i="26"/>
  <c r="AW45" i="3" s="1"/>
  <c r="D130" i="26"/>
  <c r="AH45" i="3" s="1"/>
  <c r="L129" i="26"/>
  <c r="K129" i="26"/>
  <c r="EH45" i="3" s="1"/>
  <c r="J129" i="26"/>
  <c r="DS45" i="3" s="1"/>
  <c r="I129" i="26"/>
  <c r="DD45" i="3" s="1"/>
  <c r="H129" i="26"/>
  <c r="CO45" i="3" s="1"/>
  <c r="G129" i="26"/>
  <c r="BZ45" i="3" s="1"/>
  <c r="F129" i="26"/>
  <c r="BK45" i="3" s="1"/>
  <c r="E129" i="26"/>
  <c r="AV45" i="3" s="1"/>
  <c r="D129" i="26"/>
  <c r="AG45" i="3" s="1"/>
  <c r="L128" i="26"/>
  <c r="EV45" i="3" s="1"/>
  <c r="K128" i="26"/>
  <c r="J128" i="26"/>
  <c r="DR45" i="3" s="1"/>
  <c r="I128" i="26"/>
  <c r="DC45" i="3" s="1"/>
  <c r="H128" i="26"/>
  <c r="CN45" i="3" s="1"/>
  <c r="G128" i="26"/>
  <c r="BY45" i="3" s="1"/>
  <c r="F128" i="26"/>
  <c r="BJ45" i="3" s="1"/>
  <c r="E128" i="26"/>
  <c r="AU45" i="3" s="1"/>
  <c r="D128" i="26"/>
  <c r="AF45" i="3" s="1"/>
  <c r="L127" i="26"/>
  <c r="EU45" i="3" s="1"/>
  <c r="K127" i="26"/>
  <c r="EF45" i="3" s="1"/>
  <c r="J127" i="26"/>
  <c r="I127" i="26"/>
  <c r="DB45" i="3" s="1"/>
  <c r="H127" i="26"/>
  <c r="CM45" i="3" s="1"/>
  <c r="G127" i="26"/>
  <c r="BX45" i="3" s="1"/>
  <c r="F127" i="26"/>
  <c r="BI45" i="3" s="1"/>
  <c r="E127" i="26"/>
  <c r="AT45" i="3" s="1"/>
  <c r="D127" i="26"/>
  <c r="AE45" i="3" s="1"/>
  <c r="L126" i="26"/>
  <c r="ET45" i="3" s="1"/>
  <c r="K126" i="26"/>
  <c r="EE45" i="3" s="1"/>
  <c r="J126" i="26"/>
  <c r="DP45" i="3" s="1"/>
  <c r="I126" i="26"/>
  <c r="H126" i="26"/>
  <c r="CL45" i="3" s="1"/>
  <c r="G126" i="26"/>
  <c r="BW45" i="3" s="1"/>
  <c r="F126" i="26"/>
  <c r="BH45" i="3" s="1"/>
  <c r="E126" i="26"/>
  <c r="AS45" i="3" s="1"/>
  <c r="D126" i="26"/>
  <c r="AD45" i="3" s="1"/>
  <c r="L125" i="26"/>
  <c r="ES45" i="3" s="1"/>
  <c r="K125" i="26"/>
  <c r="ED45" i="3" s="1"/>
  <c r="J125" i="26"/>
  <c r="DO45" i="3" s="1"/>
  <c r="I125" i="26"/>
  <c r="CZ45" i="3" s="1"/>
  <c r="H125" i="26"/>
  <c r="G125" i="26"/>
  <c r="BV45" i="3" s="1"/>
  <c r="F125" i="26"/>
  <c r="BG45" i="3" s="1"/>
  <c r="E125" i="26"/>
  <c r="AR45" i="3" s="1"/>
  <c r="D125" i="26"/>
  <c r="AC45" i="3" s="1"/>
  <c r="L124" i="26"/>
  <c r="ER45" i="3" s="1"/>
  <c r="K124" i="26"/>
  <c r="EC45" i="3" s="1"/>
  <c r="J124" i="26"/>
  <c r="DN45" i="3" s="1"/>
  <c r="I124" i="26"/>
  <c r="CY45" i="3" s="1"/>
  <c r="H124" i="26"/>
  <c r="CJ45" i="3" s="1"/>
  <c r="G124" i="26"/>
  <c r="F124" i="26"/>
  <c r="BF45" i="3" s="1"/>
  <c r="E124" i="26"/>
  <c r="AQ45" i="3" s="1"/>
  <c r="D124" i="26"/>
  <c r="AB45" i="3" s="1"/>
  <c r="L123" i="26"/>
  <c r="EQ45" i="3" s="1"/>
  <c r="K123" i="26"/>
  <c r="EB45" i="3" s="1"/>
  <c r="J123" i="26"/>
  <c r="DM45" i="3" s="1"/>
  <c r="I123" i="26"/>
  <c r="CX45" i="3" s="1"/>
  <c r="H123" i="26"/>
  <c r="CI45" i="3" s="1"/>
  <c r="G123" i="26"/>
  <c r="BT45" i="3" s="1"/>
  <c r="F123" i="26"/>
  <c r="E123" i="26"/>
  <c r="AP45" i="3" s="1"/>
  <c r="D123" i="26"/>
  <c r="AA45" i="3" s="1"/>
  <c r="L122" i="26"/>
  <c r="EP45" i="3" s="1"/>
  <c r="K122" i="26"/>
  <c r="EA45" i="3" s="1"/>
  <c r="J122" i="26"/>
  <c r="DL45" i="3" s="1"/>
  <c r="I122" i="26"/>
  <c r="CW45" i="3" s="1"/>
  <c r="H122" i="26"/>
  <c r="CH45" i="3" s="1"/>
  <c r="G122" i="26"/>
  <c r="BS45" i="3" s="1"/>
  <c r="F122" i="26"/>
  <c r="BD45" i="3" s="1"/>
  <c r="E122" i="26"/>
  <c r="D122" i="26"/>
  <c r="Z45" i="3" s="1"/>
  <c r="L121" i="26"/>
  <c r="EO45" i="3" s="1"/>
  <c r="K121" i="26"/>
  <c r="DZ45" i="3" s="1"/>
  <c r="J121" i="26"/>
  <c r="DK45" i="3" s="1"/>
  <c r="I121" i="26"/>
  <c r="CV45" i="3" s="1"/>
  <c r="H121" i="26"/>
  <c r="CG45" i="3" s="1"/>
  <c r="G121" i="26"/>
  <c r="BR45" i="3" s="1"/>
  <c r="F121" i="26"/>
  <c r="BC45" i="3" s="1"/>
  <c r="E121" i="26"/>
  <c r="AN45" i="3" s="1"/>
  <c r="D121" i="26"/>
  <c r="L120" i="26"/>
  <c r="EN45" i="3" s="1"/>
  <c r="K120" i="26"/>
  <c r="DY45" i="3" s="1"/>
  <c r="J120" i="26"/>
  <c r="DJ45" i="3" s="1"/>
  <c r="I120" i="26"/>
  <c r="CU45" i="3" s="1"/>
  <c r="H120" i="26"/>
  <c r="CF45" i="3" s="1"/>
  <c r="G120" i="26"/>
  <c r="BQ45" i="3" s="1"/>
  <c r="F120" i="26"/>
  <c r="BB45" i="3" s="1"/>
  <c r="E120" i="26"/>
  <c r="AM45" i="3" s="1"/>
  <c r="D120" i="26"/>
  <c r="X45" i="3" s="1"/>
  <c r="L119" i="26"/>
  <c r="K119" i="26"/>
  <c r="DX45" i="3" s="1"/>
  <c r="J119" i="26"/>
  <c r="DI45" i="3" s="1"/>
  <c r="I119" i="26"/>
  <c r="CT45" i="3" s="1"/>
  <c r="H119" i="26"/>
  <c r="CE45" i="3" s="1"/>
  <c r="G119" i="26"/>
  <c r="BP45" i="3" s="1"/>
  <c r="F119" i="26"/>
  <c r="BA45" i="3" s="1"/>
  <c r="E119" i="26"/>
  <c r="AL45" i="3" s="1"/>
  <c r="D119" i="26"/>
  <c r="W45" i="3" s="1"/>
  <c r="L118" i="26"/>
  <c r="EL45" i="3" s="1"/>
  <c r="K118" i="26"/>
  <c r="J118" i="26"/>
  <c r="DH45" i="3" s="1"/>
  <c r="I118" i="26"/>
  <c r="CS45" i="3" s="1"/>
  <c r="H118" i="26"/>
  <c r="CD45" i="3" s="1"/>
  <c r="G118" i="26"/>
  <c r="BO45" i="3" s="1"/>
  <c r="F118" i="26"/>
  <c r="AZ45" i="3" s="1"/>
  <c r="E118" i="26"/>
  <c r="AK45" i="3" s="1"/>
  <c r="D118" i="26"/>
  <c r="V45" i="3" s="1"/>
  <c r="L117" i="26"/>
  <c r="EK45" i="3" s="1"/>
  <c r="K117" i="26"/>
  <c r="DV45" i="3" s="1"/>
  <c r="J117" i="26"/>
  <c r="I117" i="26"/>
  <c r="CR45" i="3" s="1"/>
  <c r="H117" i="26"/>
  <c r="CC45" i="3" s="1"/>
  <c r="G117" i="26"/>
  <c r="BN45" i="3" s="1"/>
  <c r="F117" i="26"/>
  <c r="AY45" i="3" s="1"/>
  <c r="E117" i="26"/>
  <c r="AJ45" i="3" s="1"/>
  <c r="D117" i="26"/>
  <c r="U45" i="3" s="1"/>
  <c r="L116" i="26"/>
  <c r="EX44" i="3" s="1"/>
  <c r="K116" i="26"/>
  <c r="EI44" i="3" s="1"/>
  <c r="J116" i="26"/>
  <c r="DT44" i="3" s="1"/>
  <c r="I116" i="26"/>
  <c r="H116" i="26"/>
  <c r="CP44" i="3" s="1"/>
  <c r="G116" i="26"/>
  <c r="CA44" i="3" s="1"/>
  <c r="F116" i="26"/>
  <c r="BL44" i="3" s="1"/>
  <c r="E116" i="26"/>
  <c r="AW44" i="3" s="1"/>
  <c r="D116" i="26"/>
  <c r="AH44" i="3" s="1"/>
  <c r="L115" i="26"/>
  <c r="EW44" i="3" s="1"/>
  <c r="K115" i="26"/>
  <c r="EH44" i="3" s="1"/>
  <c r="J115" i="26"/>
  <c r="DS44" i="3" s="1"/>
  <c r="I115" i="26"/>
  <c r="DD44" i="3" s="1"/>
  <c r="H115" i="26"/>
  <c r="G115" i="26"/>
  <c r="BZ44" i="3" s="1"/>
  <c r="F115" i="26"/>
  <c r="BK44" i="3" s="1"/>
  <c r="E115" i="26"/>
  <c r="AV44" i="3" s="1"/>
  <c r="D115" i="26"/>
  <c r="AG44" i="3" s="1"/>
  <c r="L114" i="26"/>
  <c r="EV44" i="3" s="1"/>
  <c r="K114" i="26"/>
  <c r="EG44" i="3" s="1"/>
  <c r="J114" i="26"/>
  <c r="DR44" i="3" s="1"/>
  <c r="I114" i="26"/>
  <c r="DC44" i="3" s="1"/>
  <c r="H114" i="26"/>
  <c r="CN44" i="3" s="1"/>
  <c r="G114" i="26"/>
  <c r="F114" i="26"/>
  <c r="BJ44" i="3" s="1"/>
  <c r="E114" i="26"/>
  <c r="AU44" i="3" s="1"/>
  <c r="D114" i="26"/>
  <c r="AF44" i="3" s="1"/>
  <c r="L113" i="26"/>
  <c r="EU44" i="3" s="1"/>
  <c r="K113" i="26"/>
  <c r="EF44" i="3" s="1"/>
  <c r="J113" i="26"/>
  <c r="DQ44" i="3" s="1"/>
  <c r="I113" i="26"/>
  <c r="DB44" i="3" s="1"/>
  <c r="H113" i="26"/>
  <c r="CM44" i="3" s="1"/>
  <c r="G113" i="26"/>
  <c r="BX44" i="3" s="1"/>
  <c r="F113" i="26"/>
  <c r="E113" i="26"/>
  <c r="AT44" i="3" s="1"/>
  <c r="D113" i="26"/>
  <c r="AE44" i="3" s="1"/>
  <c r="L112" i="26"/>
  <c r="ET44" i="3" s="1"/>
  <c r="K112" i="26"/>
  <c r="EE44" i="3" s="1"/>
  <c r="J112" i="26"/>
  <c r="DP44" i="3" s="1"/>
  <c r="I112" i="26"/>
  <c r="DA44" i="3" s="1"/>
  <c r="H112" i="26"/>
  <c r="CL44" i="3" s="1"/>
  <c r="G112" i="26"/>
  <c r="BW44" i="3" s="1"/>
  <c r="F112" i="26"/>
  <c r="BH44" i="3" s="1"/>
  <c r="E112" i="26"/>
  <c r="D112" i="26"/>
  <c r="AD44" i="3" s="1"/>
  <c r="L111" i="26"/>
  <c r="ES44" i="3" s="1"/>
  <c r="K111" i="26"/>
  <c r="ED44" i="3" s="1"/>
  <c r="J111" i="26"/>
  <c r="DO44" i="3" s="1"/>
  <c r="I111" i="26"/>
  <c r="CZ44" i="3" s="1"/>
  <c r="H111" i="26"/>
  <c r="CK44" i="3" s="1"/>
  <c r="G111" i="26"/>
  <c r="BV44" i="3" s="1"/>
  <c r="F111" i="26"/>
  <c r="BG44" i="3" s="1"/>
  <c r="E111" i="26"/>
  <c r="AR44" i="3" s="1"/>
  <c r="D111" i="26"/>
  <c r="L110" i="26"/>
  <c r="ER44" i="3" s="1"/>
  <c r="K110" i="26"/>
  <c r="EC44" i="3" s="1"/>
  <c r="J110" i="26"/>
  <c r="DN44" i="3" s="1"/>
  <c r="I110" i="26"/>
  <c r="CY44" i="3" s="1"/>
  <c r="H110" i="26"/>
  <c r="CJ44" i="3" s="1"/>
  <c r="G110" i="26"/>
  <c r="BU44" i="3" s="1"/>
  <c r="F110" i="26"/>
  <c r="BF44" i="3" s="1"/>
  <c r="E110" i="26"/>
  <c r="AQ44" i="3" s="1"/>
  <c r="D110" i="26"/>
  <c r="AB44" i="3" s="1"/>
  <c r="L109" i="26"/>
  <c r="K109" i="26"/>
  <c r="EB44" i="3" s="1"/>
  <c r="J109" i="26"/>
  <c r="DM44" i="3" s="1"/>
  <c r="I109" i="26"/>
  <c r="CX44" i="3" s="1"/>
  <c r="H109" i="26"/>
  <c r="CI44" i="3" s="1"/>
  <c r="G109" i="26"/>
  <c r="BT44" i="3" s="1"/>
  <c r="F109" i="26"/>
  <c r="BE44" i="3" s="1"/>
  <c r="E109" i="26"/>
  <c r="AP44" i="3" s="1"/>
  <c r="D109" i="26"/>
  <c r="AA44" i="3" s="1"/>
  <c r="L108" i="26"/>
  <c r="EP44" i="3" s="1"/>
  <c r="K108" i="26"/>
  <c r="J108" i="26"/>
  <c r="DL44" i="3" s="1"/>
  <c r="I108" i="26"/>
  <c r="CW44" i="3" s="1"/>
  <c r="H108" i="26"/>
  <c r="CH44" i="3" s="1"/>
  <c r="G108" i="26"/>
  <c r="BS44" i="3" s="1"/>
  <c r="F108" i="26"/>
  <c r="BD44" i="3" s="1"/>
  <c r="E108" i="26"/>
  <c r="AO44" i="3" s="1"/>
  <c r="D108" i="26"/>
  <c r="Z44" i="3" s="1"/>
  <c r="L107" i="26"/>
  <c r="EO44" i="3" s="1"/>
  <c r="K107" i="26"/>
  <c r="DZ44" i="3" s="1"/>
  <c r="J107" i="26"/>
  <c r="I107" i="26"/>
  <c r="CV44" i="3" s="1"/>
  <c r="H107" i="26"/>
  <c r="CG44" i="3" s="1"/>
  <c r="G107" i="26"/>
  <c r="BR44" i="3" s="1"/>
  <c r="F107" i="26"/>
  <c r="BC44" i="3" s="1"/>
  <c r="E107" i="26"/>
  <c r="AN44" i="3" s="1"/>
  <c r="D107" i="26"/>
  <c r="Y44" i="3" s="1"/>
  <c r="L106" i="26"/>
  <c r="EN44" i="3" s="1"/>
  <c r="K106" i="26"/>
  <c r="DY44" i="3" s="1"/>
  <c r="J106" i="26"/>
  <c r="DJ44" i="3" s="1"/>
  <c r="I106" i="26"/>
  <c r="H106" i="26"/>
  <c r="CF44" i="3" s="1"/>
  <c r="G106" i="26"/>
  <c r="BQ44" i="3" s="1"/>
  <c r="F106" i="26"/>
  <c r="BB44" i="3" s="1"/>
  <c r="E106" i="26"/>
  <c r="AM44" i="3" s="1"/>
  <c r="D106" i="26"/>
  <c r="X44" i="3" s="1"/>
  <c r="L105" i="26"/>
  <c r="EM44" i="3" s="1"/>
  <c r="K105" i="26"/>
  <c r="DX44" i="3" s="1"/>
  <c r="J105" i="26"/>
  <c r="DI44" i="3" s="1"/>
  <c r="I105" i="26"/>
  <c r="CT44" i="3" s="1"/>
  <c r="H105" i="26"/>
  <c r="G105" i="26"/>
  <c r="BP44" i="3" s="1"/>
  <c r="F105" i="26"/>
  <c r="BA44" i="3" s="1"/>
  <c r="E105" i="26"/>
  <c r="AL44" i="3" s="1"/>
  <c r="D105" i="26"/>
  <c r="W44" i="3" s="1"/>
  <c r="L104" i="26"/>
  <c r="EL44" i="3" s="1"/>
  <c r="K104" i="26"/>
  <c r="DW44" i="3" s="1"/>
  <c r="J104" i="26"/>
  <c r="DH44" i="3" s="1"/>
  <c r="I104" i="26"/>
  <c r="CS44" i="3" s="1"/>
  <c r="H104" i="26"/>
  <c r="CD44" i="3" s="1"/>
  <c r="G104" i="26"/>
  <c r="F104" i="26"/>
  <c r="AZ44" i="3" s="1"/>
  <c r="E104" i="26"/>
  <c r="AK44" i="3" s="1"/>
  <c r="D104" i="26"/>
  <c r="V44" i="3" s="1"/>
  <c r="L103" i="26"/>
  <c r="EK44" i="3" s="1"/>
  <c r="K103" i="26"/>
  <c r="DV44" i="3" s="1"/>
  <c r="J103" i="26"/>
  <c r="DG44" i="3" s="1"/>
  <c r="I103" i="26"/>
  <c r="CR44" i="3" s="1"/>
  <c r="H103" i="26"/>
  <c r="CC44" i="3" s="1"/>
  <c r="G103" i="26"/>
  <c r="BN44" i="3" s="1"/>
  <c r="F103" i="26"/>
  <c r="E103" i="26"/>
  <c r="AJ44" i="3" s="1"/>
  <c r="D103" i="26"/>
  <c r="U44" i="3" s="1"/>
  <c r="M88" i="26"/>
  <c r="M87" i="26"/>
  <c r="M86" i="26"/>
  <c r="M85" i="26"/>
  <c r="M84" i="26"/>
  <c r="M83" i="26"/>
  <c r="M82" i="26"/>
  <c r="M81" i="26"/>
  <c r="M80" i="26"/>
  <c r="M79" i="26"/>
  <c r="M78" i="26"/>
  <c r="M77" i="26"/>
  <c r="M76" i="26"/>
  <c r="M75" i="26"/>
  <c r="M60" i="26"/>
  <c r="M59" i="26"/>
  <c r="M58" i="26"/>
  <c r="M57" i="26"/>
  <c r="M56" i="26"/>
  <c r="M55" i="26"/>
  <c r="M54" i="26"/>
  <c r="M53" i="26"/>
  <c r="M52" i="26"/>
  <c r="M51" i="26"/>
  <c r="M50" i="26"/>
  <c r="M49" i="26"/>
  <c r="M48" i="26"/>
  <c r="M47" i="26"/>
  <c r="K30" i="26"/>
  <c r="K29" i="26"/>
  <c r="K28" i="26"/>
  <c r="K27" i="26"/>
  <c r="K26" i="26"/>
  <c r="K25" i="26"/>
  <c r="T12" i="24"/>
  <c r="S12" i="24"/>
  <c r="R12" i="24"/>
  <c r="Q12" i="24"/>
  <c r="P12" i="24"/>
  <c r="O12" i="24"/>
  <c r="N12" i="24"/>
  <c r="M12" i="24"/>
  <c r="L12" i="24"/>
  <c r="K12" i="24"/>
  <c r="J12" i="24"/>
  <c r="I12" i="24"/>
  <c r="T11" i="24"/>
  <c r="S11" i="24"/>
  <c r="R11" i="24"/>
  <c r="Q11" i="24"/>
  <c r="P11" i="24"/>
  <c r="O11" i="24"/>
  <c r="N11" i="24"/>
  <c r="M11" i="24"/>
  <c r="L11" i="24"/>
  <c r="K11" i="24"/>
  <c r="J11" i="24"/>
  <c r="I11" i="24"/>
  <c r="T45" i="23"/>
  <c r="EG40" i="3" s="1"/>
  <c r="S45" i="23"/>
  <c r="EF40" i="3" s="1"/>
  <c r="R45" i="23"/>
  <c r="EE40" i="3" s="1"/>
  <c r="Q45" i="23"/>
  <c r="ED40" i="3" s="1"/>
  <c r="P45" i="23"/>
  <c r="EC40" i="3" s="1"/>
  <c r="O45" i="23"/>
  <c r="EB40" i="3" s="1"/>
  <c r="N45" i="23"/>
  <c r="EA40" i="3" s="1"/>
  <c r="M45" i="23"/>
  <c r="DZ40" i="3" s="1"/>
  <c r="L45" i="23"/>
  <c r="DY40" i="3" s="1"/>
  <c r="K45" i="23"/>
  <c r="DX40" i="3" s="1"/>
  <c r="J45" i="23"/>
  <c r="DW40" i="3" s="1"/>
  <c r="I45" i="23"/>
  <c r="DV40" i="3" s="1"/>
  <c r="T44" i="23"/>
  <c r="EG39" i="3" s="1"/>
  <c r="S44" i="23"/>
  <c r="EF39" i="3" s="1"/>
  <c r="R44" i="23"/>
  <c r="EE39" i="3" s="1"/>
  <c r="Q44" i="23"/>
  <c r="ED39" i="3" s="1"/>
  <c r="P44" i="23"/>
  <c r="EC39" i="3" s="1"/>
  <c r="O44" i="23"/>
  <c r="EB39" i="3" s="1"/>
  <c r="N44" i="23"/>
  <c r="M44" i="23"/>
  <c r="L44" i="23"/>
  <c r="K44" i="23"/>
  <c r="J44" i="23"/>
  <c r="I44" i="23"/>
  <c r="W43" i="23"/>
  <c r="N43" i="23"/>
  <c r="M43" i="23"/>
  <c r="DZ39" i="3" s="1"/>
  <c r="L43" i="23"/>
  <c r="K43" i="23"/>
  <c r="J43" i="23"/>
  <c r="I43" i="23"/>
  <c r="W42" i="23"/>
  <c r="EI38" i="3" s="1"/>
  <c r="N42" i="23"/>
  <c r="EA38" i="3" s="1"/>
  <c r="M42" i="23"/>
  <c r="DZ38" i="3" s="1"/>
  <c r="L42" i="23"/>
  <c r="DY38" i="3" s="1"/>
  <c r="K42" i="23"/>
  <c r="DX38" i="3" s="1"/>
  <c r="J42" i="23"/>
  <c r="DW38" i="3" s="1"/>
  <c r="I42" i="23"/>
  <c r="DV38" i="3" s="1"/>
  <c r="T40" i="23"/>
  <c r="EG35" i="3" s="1"/>
  <c r="S40" i="23"/>
  <c r="EF35" i="3" s="1"/>
  <c r="R40" i="23"/>
  <c r="EE35" i="3" s="1"/>
  <c r="Q40" i="23"/>
  <c r="ED35" i="3" s="1"/>
  <c r="P40" i="23"/>
  <c r="EC35" i="3" s="1"/>
  <c r="O40" i="23"/>
  <c r="EB35" i="3" s="1"/>
  <c r="N40" i="23"/>
  <c r="EA35" i="3" s="1"/>
  <c r="M40" i="23"/>
  <c r="DZ35" i="3" s="1"/>
  <c r="L40" i="23"/>
  <c r="DY35" i="3" s="1"/>
  <c r="K40" i="23"/>
  <c r="DX35" i="3" s="1"/>
  <c r="J40" i="23"/>
  <c r="DW35" i="3" s="1"/>
  <c r="I40" i="23"/>
  <c r="DV35" i="3" s="1"/>
  <c r="W39" i="23"/>
  <c r="EI34" i="3" s="1"/>
  <c r="N39" i="23"/>
  <c r="EA34" i="3" s="1"/>
  <c r="M39" i="23"/>
  <c r="DZ34" i="3" s="1"/>
  <c r="L39" i="23"/>
  <c r="DY34" i="3" s="1"/>
  <c r="K39" i="23"/>
  <c r="DX34" i="3" s="1"/>
  <c r="J39" i="23"/>
  <c r="DW34" i="3" s="1"/>
  <c r="I39" i="23"/>
  <c r="DV34" i="3" s="1"/>
  <c r="T38" i="23"/>
  <c r="EG33" i="3" s="1"/>
  <c r="S38" i="23"/>
  <c r="EF33" i="3" s="1"/>
  <c r="R38" i="23"/>
  <c r="EE33" i="3" s="1"/>
  <c r="Q38" i="23"/>
  <c r="ED33" i="3" s="1"/>
  <c r="P38" i="23"/>
  <c r="EC33" i="3" s="1"/>
  <c r="O38" i="23"/>
  <c r="EB33" i="3" s="1"/>
  <c r="N38" i="23"/>
  <c r="EA33" i="3" s="1"/>
  <c r="M38" i="23"/>
  <c r="DZ33" i="3" s="1"/>
  <c r="L38" i="23"/>
  <c r="DY33" i="3" s="1"/>
  <c r="K38" i="23"/>
  <c r="DX33" i="3" s="1"/>
  <c r="J38" i="23"/>
  <c r="DW33" i="3" s="1"/>
  <c r="I38" i="23"/>
  <c r="DV33" i="3" s="1"/>
  <c r="T37" i="23"/>
  <c r="EG32" i="3" s="1"/>
  <c r="S37" i="23"/>
  <c r="EF32" i="3" s="1"/>
  <c r="R37" i="23"/>
  <c r="EE32" i="3" s="1"/>
  <c r="Q37" i="23"/>
  <c r="ED32" i="3" s="1"/>
  <c r="P37" i="23"/>
  <c r="EC32" i="3" s="1"/>
  <c r="O37" i="23"/>
  <c r="EB32" i="3" s="1"/>
  <c r="N37" i="23"/>
  <c r="EA32" i="3" s="1"/>
  <c r="M37" i="23"/>
  <c r="DZ32" i="3" s="1"/>
  <c r="L37" i="23"/>
  <c r="DY32" i="3" s="1"/>
  <c r="K37" i="23"/>
  <c r="DX32" i="3" s="1"/>
  <c r="J37" i="23"/>
  <c r="DW32" i="3" s="1"/>
  <c r="I37" i="23"/>
  <c r="DV32" i="3" s="1"/>
  <c r="W35" i="23"/>
  <c r="EI27" i="3" s="1"/>
  <c r="N35" i="23"/>
  <c r="EA27" i="3" s="1"/>
  <c r="M35" i="23"/>
  <c r="DZ27" i="3" s="1"/>
  <c r="L35" i="23"/>
  <c r="DY27" i="3" s="1"/>
  <c r="K35" i="23"/>
  <c r="DX27" i="3" s="1"/>
  <c r="J35" i="23"/>
  <c r="DW27" i="3" s="1"/>
  <c r="I35" i="23"/>
  <c r="DV27" i="3" s="1"/>
  <c r="T34" i="23"/>
  <c r="EG29" i="3" s="1"/>
  <c r="S34" i="23"/>
  <c r="EF29" i="3" s="1"/>
  <c r="R34" i="23"/>
  <c r="EE29" i="3" s="1"/>
  <c r="Q34" i="23"/>
  <c r="ED29" i="3" s="1"/>
  <c r="P34" i="23"/>
  <c r="EC29" i="3" s="1"/>
  <c r="O34" i="23"/>
  <c r="EB29" i="3" s="1"/>
  <c r="N34" i="23"/>
  <c r="EA29" i="3" s="1"/>
  <c r="M34" i="23"/>
  <c r="DZ29" i="3" s="1"/>
  <c r="L34" i="23"/>
  <c r="DY29" i="3" s="1"/>
  <c r="K34" i="23"/>
  <c r="DX29" i="3" s="1"/>
  <c r="J34" i="23"/>
  <c r="DW29" i="3" s="1"/>
  <c r="I34" i="23"/>
  <c r="DV29" i="3" s="1"/>
  <c r="T33" i="23"/>
  <c r="EG28" i="3" s="1"/>
  <c r="S33" i="23"/>
  <c r="EF28" i="3" s="1"/>
  <c r="R33" i="23"/>
  <c r="EE28" i="3" s="1"/>
  <c r="Q33" i="23"/>
  <c r="ED28" i="3" s="1"/>
  <c r="P33" i="23"/>
  <c r="EC28" i="3" s="1"/>
  <c r="O33" i="23"/>
  <c r="EB28" i="3" s="1"/>
  <c r="N33" i="23"/>
  <c r="EA28" i="3" s="1"/>
  <c r="M33" i="23"/>
  <c r="DZ28" i="3" s="1"/>
  <c r="L33" i="23"/>
  <c r="DY28" i="3" s="1"/>
  <c r="K33" i="23"/>
  <c r="DX28" i="3" s="1"/>
  <c r="J33" i="23"/>
  <c r="DW28" i="3" s="1"/>
  <c r="I33" i="23"/>
  <c r="DV28" i="3" s="1"/>
  <c r="T31" i="23"/>
  <c r="EG24" i="3" s="1"/>
  <c r="S31" i="23"/>
  <c r="EF24" i="3" s="1"/>
  <c r="R31" i="23"/>
  <c r="EE24" i="3" s="1"/>
  <c r="Q31" i="23"/>
  <c r="ED24" i="3" s="1"/>
  <c r="P31" i="23"/>
  <c r="EC24" i="3" s="1"/>
  <c r="O31" i="23"/>
  <c r="EB24" i="3" s="1"/>
  <c r="N31" i="23"/>
  <c r="EA24" i="3" s="1"/>
  <c r="M31" i="23"/>
  <c r="DZ24" i="3" s="1"/>
  <c r="L31" i="23"/>
  <c r="DY24" i="3" s="1"/>
  <c r="K31" i="23"/>
  <c r="DX24" i="3" s="1"/>
  <c r="J31" i="23"/>
  <c r="DW24" i="3" s="1"/>
  <c r="I31" i="23"/>
  <c r="DV24" i="3" s="1"/>
  <c r="T30" i="23"/>
  <c r="EG23" i="3" s="1"/>
  <c r="S30" i="23"/>
  <c r="EF23" i="3" s="1"/>
  <c r="R30" i="23"/>
  <c r="EE23" i="3" s="1"/>
  <c r="Q30" i="23"/>
  <c r="ED23" i="3" s="1"/>
  <c r="P30" i="23"/>
  <c r="EC23" i="3" s="1"/>
  <c r="O30" i="23"/>
  <c r="EB23" i="3" s="1"/>
  <c r="N30" i="23"/>
  <c r="EA23" i="3" s="1"/>
  <c r="M30" i="23"/>
  <c r="DZ23" i="3" s="1"/>
  <c r="L30" i="23"/>
  <c r="DY23" i="3" s="1"/>
  <c r="K30" i="23"/>
  <c r="DX23" i="3" s="1"/>
  <c r="J30" i="23"/>
  <c r="DW23" i="3" s="1"/>
  <c r="I30" i="23"/>
  <c r="DV23" i="3" s="1"/>
  <c r="T29" i="23"/>
  <c r="EG22" i="3" s="1"/>
  <c r="S29" i="23"/>
  <c r="EF22" i="3" s="1"/>
  <c r="R29" i="23"/>
  <c r="EE22" i="3" s="1"/>
  <c r="Q29" i="23"/>
  <c r="ED22" i="3" s="1"/>
  <c r="P29" i="23"/>
  <c r="EC22" i="3" s="1"/>
  <c r="O29" i="23"/>
  <c r="EB22" i="3" s="1"/>
  <c r="N29" i="23"/>
  <c r="EA22" i="3" s="1"/>
  <c r="M29" i="23"/>
  <c r="DZ22" i="3" s="1"/>
  <c r="L29" i="23"/>
  <c r="DY22" i="3" s="1"/>
  <c r="K29" i="23"/>
  <c r="DX22" i="3" s="1"/>
  <c r="J29" i="23"/>
  <c r="DW22" i="3" s="1"/>
  <c r="I29" i="23"/>
  <c r="DV22" i="3" s="1"/>
  <c r="T28" i="23"/>
  <c r="EG21" i="3" s="1"/>
  <c r="S28" i="23"/>
  <c r="EF21" i="3" s="1"/>
  <c r="R28" i="23"/>
  <c r="EE21" i="3" s="1"/>
  <c r="Q28" i="23"/>
  <c r="ED21" i="3" s="1"/>
  <c r="P28" i="23"/>
  <c r="EC21" i="3" s="1"/>
  <c r="O28" i="23"/>
  <c r="EB21" i="3" s="1"/>
  <c r="N28" i="23"/>
  <c r="EA21" i="3" s="1"/>
  <c r="M28" i="23"/>
  <c r="DZ21" i="3" s="1"/>
  <c r="L28" i="23"/>
  <c r="DY21" i="3" s="1"/>
  <c r="K28" i="23"/>
  <c r="DX21" i="3" s="1"/>
  <c r="J28" i="23"/>
  <c r="DW21" i="3" s="1"/>
  <c r="I28" i="23"/>
  <c r="DV21" i="3" s="1"/>
  <c r="T26" i="23"/>
  <c r="EG16" i="3" s="1"/>
  <c r="S26" i="23"/>
  <c r="EF16" i="3" s="1"/>
  <c r="R26" i="23"/>
  <c r="EE16" i="3" s="1"/>
  <c r="Q26" i="23"/>
  <c r="ED16" i="3" s="1"/>
  <c r="P26" i="23"/>
  <c r="EC16" i="3" s="1"/>
  <c r="O26" i="23"/>
  <c r="EB16" i="3" s="1"/>
  <c r="N26" i="23"/>
  <c r="EA16" i="3" s="1"/>
  <c r="M26" i="23"/>
  <c r="DZ16" i="3" s="1"/>
  <c r="L26" i="23"/>
  <c r="DY16" i="3" s="1"/>
  <c r="K26" i="23"/>
  <c r="DX16" i="3" s="1"/>
  <c r="J26" i="23"/>
  <c r="DW16" i="3" s="1"/>
  <c r="I26" i="23"/>
  <c r="DV16" i="3" s="1"/>
  <c r="T25" i="23"/>
  <c r="EG15" i="3" s="1"/>
  <c r="S25" i="23"/>
  <c r="EF15" i="3" s="1"/>
  <c r="R25" i="23"/>
  <c r="EE15" i="3" s="1"/>
  <c r="Q25" i="23"/>
  <c r="ED15" i="3" s="1"/>
  <c r="P25" i="23"/>
  <c r="EC15" i="3" s="1"/>
  <c r="O25" i="23"/>
  <c r="EB15" i="3" s="1"/>
  <c r="N25" i="23"/>
  <c r="EA15" i="3" s="1"/>
  <c r="M25" i="23"/>
  <c r="DZ15" i="3" s="1"/>
  <c r="L25" i="23"/>
  <c r="DY15" i="3" s="1"/>
  <c r="K25" i="23"/>
  <c r="DX15" i="3" s="1"/>
  <c r="J25" i="23"/>
  <c r="DW15" i="3" s="1"/>
  <c r="I25" i="23"/>
  <c r="DV15" i="3" s="1"/>
  <c r="T24" i="23"/>
  <c r="EG13" i="3" s="1"/>
  <c r="S24" i="23"/>
  <c r="EF13" i="3" s="1"/>
  <c r="R24" i="23"/>
  <c r="EE13" i="3" s="1"/>
  <c r="Q24" i="23"/>
  <c r="ED13" i="3" s="1"/>
  <c r="P24" i="23"/>
  <c r="EC13" i="3" s="1"/>
  <c r="O24" i="23"/>
  <c r="EB13" i="3" s="1"/>
  <c r="N24" i="23"/>
  <c r="EA13" i="3" s="1"/>
  <c r="M24" i="23"/>
  <c r="DZ13" i="3" s="1"/>
  <c r="L24" i="23"/>
  <c r="DY13" i="3" s="1"/>
  <c r="K24" i="23"/>
  <c r="DX13" i="3" s="1"/>
  <c r="J24" i="23"/>
  <c r="DW13" i="3" s="1"/>
  <c r="I24" i="23"/>
  <c r="DV13" i="3" s="1"/>
  <c r="T23" i="23"/>
  <c r="EG12" i="3" s="1"/>
  <c r="S23" i="23"/>
  <c r="EF12" i="3" s="1"/>
  <c r="R23" i="23"/>
  <c r="EE12" i="3" s="1"/>
  <c r="Q23" i="23"/>
  <c r="ED12" i="3" s="1"/>
  <c r="P23" i="23"/>
  <c r="EC12" i="3" s="1"/>
  <c r="O23" i="23"/>
  <c r="EB12" i="3" s="1"/>
  <c r="N23" i="23"/>
  <c r="EA12" i="3" s="1"/>
  <c r="M23" i="23"/>
  <c r="DZ12" i="3" s="1"/>
  <c r="L23" i="23"/>
  <c r="DY12" i="3" s="1"/>
  <c r="K23" i="23"/>
  <c r="DX12" i="3" s="1"/>
  <c r="J23" i="23"/>
  <c r="DW12" i="3" s="1"/>
  <c r="I23" i="23"/>
  <c r="DV12" i="3" s="1"/>
  <c r="W22" i="23"/>
  <c r="EI11" i="3" s="1"/>
  <c r="N22" i="23"/>
  <c r="EA11" i="3" s="1"/>
  <c r="M22" i="23"/>
  <c r="DZ11" i="3" s="1"/>
  <c r="L22" i="23"/>
  <c r="DY11" i="3" s="1"/>
  <c r="K22" i="23"/>
  <c r="DX11" i="3" s="1"/>
  <c r="J22" i="23"/>
  <c r="DW11" i="3" s="1"/>
  <c r="I22" i="23"/>
  <c r="DV11" i="3" s="1"/>
  <c r="W19" i="23"/>
  <c r="EI4" i="3" s="1"/>
  <c r="N19" i="23"/>
  <c r="EA4" i="3" s="1"/>
  <c r="M19" i="23"/>
  <c r="DZ4" i="3" s="1"/>
  <c r="L19" i="23"/>
  <c r="DY4" i="3" s="1"/>
  <c r="K19" i="23"/>
  <c r="DX4" i="3" s="1"/>
  <c r="J19" i="23"/>
  <c r="DW4" i="3" s="1"/>
  <c r="I19" i="23"/>
  <c r="DV4" i="3" s="1"/>
  <c r="T18" i="23"/>
  <c r="S18" i="23"/>
  <c r="R18" i="23"/>
  <c r="Q18" i="23"/>
  <c r="P18" i="23"/>
  <c r="O18" i="23"/>
  <c r="N16" i="23"/>
  <c r="N9" i="23" s="1"/>
  <c r="M17" i="23"/>
  <c r="W13" i="23"/>
  <c r="N13" i="23"/>
  <c r="M13" i="23"/>
  <c r="L13" i="23"/>
  <c r="K13" i="23"/>
  <c r="J13" i="23"/>
  <c r="I13" i="23"/>
  <c r="T12" i="23"/>
  <c r="S12" i="23"/>
  <c r="R12" i="23"/>
  <c r="Q12" i="23"/>
  <c r="P12" i="23"/>
  <c r="O12" i="23"/>
  <c r="N12" i="23"/>
  <c r="M12" i="23"/>
  <c r="L12" i="23"/>
  <c r="K12" i="23"/>
  <c r="J12" i="23"/>
  <c r="I12" i="23"/>
  <c r="T11" i="23"/>
  <c r="S11" i="23"/>
  <c r="R11" i="23"/>
  <c r="Q11" i="23"/>
  <c r="P11" i="23"/>
  <c r="O11" i="23"/>
  <c r="N11" i="23"/>
  <c r="M11" i="23"/>
  <c r="L11" i="23"/>
  <c r="K11" i="23"/>
  <c r="J11" i="23"/>
  <c r="I11" i="23"/>
  <c r="DR38" i="3"/>
  <c r="DQ38" i="3"/>
  <c r="DP38" i="3"/>
  <c r="DO38" i="3"/>
  <c r="DN38" i="3"/>
  <c r="DM38" i="3"/>
  <c r="DL38" i="3"/>
  <c r="DK38" i="3"/>
  <c r="DJ38" i="3"/>
  <c r="DI38" i="3"/>
  <c r="DH38" i="3"/>
  <c r="DG38" i="3"/>
  <c r="T16" i="22"/>
  <c r="S16" i="22"/>
  <c r="R16" i="22"/>
  <c r="Q16" i="22"/>
  <c r="P16" i="22"/>
  <c r="O16" i="22"/>
  <c r="N16" i="22"/>
  <c r="N18" i="22" s="1"/>
  <c r="N9" i="22" s="1"/>
  <c r="M16" i="22"/>
  <c r="L16" i="22"/>
  <c r="L17" i="22" s="1"/>
  <c r="K16" i="22"/>
  <c r="K18" i="22" s="1"/>
  <c r="K9" i="22" s="1"/>
  <c r="J16" i="22"/>
  <c r="J18" i="22" s="1"/>
  <c r="J9" i="22" s="1"/>
  <c r="J11" i="22" s="1"/>
  <c r="J11" i="16" s="1"/>
  <c r="I16" i="22"/>
  <c r="I17" i="22" s="1"/>
  <c r="M3" i="22"/>
  <c r="L3" i="22"/>
  <c r="K3" i="22"/>
  <c r="J3" i="22"/>
  <c r="I3" i="22"/>
  <c r="DC38" i="3"/>
  <c r="DB38" i="3"/>
  <c r="DA38" i="3"/>
  <c r="CZ38" i="3"/>
  <c r="CY38" i="3"/>
  <c r="CX38" i="3"/>
  <c r="CW38" i="3"/>
  <c r="M43" i="21"/>
  <c r="CV38" i="3" s="1"/>
  <c r="L43" i="21"/>
  <c r="CU38" i="3" s="1"/>
  <c r="K43" i="21"/>
  <c r="CT38" i="3" s="1"/>
  <c r="J43" i="21"/>
  <c r="CS38" i="3" s="1"/>
  <c r="I43" i="21"/>
  <c r="CR38" i="3" s="1"/>
  <c r="W35" i="21"/>
  <c r="DE29" i="3" s="1"/>
  <c r="V35" i="21"/>
  <c r="DD29" i="3" s="1"/>
  <c r="W34" i="21"/>
  <c r="DE28" i="3" s="1"/>
  <c r="V34" i="21"/>
  <c r="DD28" i="3" s="1"/>
  <c r="W32" i="21"/>
  <c r="DE24" i="3" s="1"/>
  <c r="V32" i="21"/>
  <c r="DD24" i="3" s="1"/>
  <c r="W31" i="21"/>
  <c r="DE23" i="3" s="1"/>
  <c r="V31" i="21"/>
  <c r="DD23" i="3" s="1"/>
  <c r="W30" i="21"/>
  <c r="DE22" i="3" s="1"/>
  <c r="V30" i="21"/>
  <c r="DD22" i="3" s="1"/>
  <c r="W29" i="21"/>
  <c r="DE21" i="3" s="1"/>
  <c r="V29" i="21"/>
  <c r="DD21" i="3" s="1"/>
  <c r="T28" i="21"/>
  <c r="S28" i="21"/>
  <c r="R28" i="21"/>
  <c r="Q28" i="21"/>
  <c r="P28" i="21"/>
  <c r="O28" i="21"/>
  <c r="N28" i="21"/>
  <c r="M28" i="21"/>
  <c r="L28" i="21"/>
  <c r="K28" i="21"/>
  <c r="J28" i="21"/>
  <c r="I28" i="21"/>
  <c r="W24" i="21"/>
  <c r="DE13" i="3" s="1"/>
  <c r="V24" i="21"/>
  <c r="DD13" i="3" s="1"/>
  <c r="T14" i="21"/>
  <c r="S14" i="21"/>
  <c r="R14" i="21"/>
  <c r="Q14" i="21"/>
  <c r="P14" i="21"/>
  <c r="O14" i="21"/>
  <c r="N14" i="21"/>
  <c r="M14" i="21"/>
  <c r="L14" i="21"/>
  <c r="L16" i="21" s="1"/>
  <c r="L8" i="21" s="1"/>
  <c r="L27" i="21" s="1"/>
  <c r="K14" i="21"/>
  <c r="K15" i="21" s="1"/>
  <c r="J14" i="21"/>
  <c r="J15" i="21" s="1"/>
  <c r="I14" i="21"/>
  <c r="I15" i="21" s="1"/>
  <c r="I2" i="21"/>
  <c r="T42" i="20"/>
  <c r="CN38" i="3" s="1"/>
  <c r="S42" i="20"/>
  <c r="CM38" i="3" s="1"/>
  <c r="R42" i="20"/>
  <c r="CL38" i="3" s="1"/>
  <c r="Q42" i="20"/>
  <c r="CK38" i="3" s="1"/>
  <c r="P42" i="20"/>
  <c r="CJ38" i="3" s="1"/>
  <c r="O42" i="20"/>
  <c r="CI38" i="3" s="1"/>
  <c r="N42" i="20"/>
  <c r="CH38" i="3" s="1"/>
  <c r="M42" i="20"/>
  <c r="CG38" i="3" s="1"/>
  <c r="L42" i="20"/>
  <c r="CF38" i="3" s="1"/>
  <c r="K42" i="20"/>
  <c r="CE38" i="3" s="1"/>
  <c r="J42" i="20"/>
  <c r="CD38" i="3" s="1"/>
  <c r="I42" i="20"/>
  <c r="CC38" i="3" s="1"/>
  <c r="T15" i="20"/>
  <c r="S15" i="20"/>
  <c r="R15" i="20"/>
  <c r="Q15" i="20"/>
  <c r="P15" i="20"/>
  <c r="O15" i="20"/>
  <c r="N15" i="20"/>
  <c r="N16" i="20" s="1"/>
  <c r="M15" i="20"/>
  <c r="L15" i="20"/>
  <c r="L17" i="20" s="1"/>
  <c r="L9" i="20" s="1"/>
  <c r="K15" i="20"/>
  <c r="K16" i="20" s="1"/>
  <c r="J15" i="20"/>
  <c r="I15" i="20"/>
  <c r="M3" i="20"/>
  <c r="L3" i="20"/>
  <c r="K3" i="20"/>
  <c r="J3" i="20"/>
  <c r="I3" i="20"/>
  <c r="T42" i="19"/>
  <c r="BY38" i="3" s="1"/>
  <c r="S42" i="19"/>
  <c r="BX38" i="3" s="1"/>
  <c r="R42" i="19"/>
  <c r="BW38" i="3" s="1"/>
  <c r="Q42" i="19"/>
  <c r="BV38" i="3" s="1"/>
  <c r="P42" i="19"/>
  <c r="BU38" i="3" s="1"/>
  <c r="O42" i="19"/>
  <c r="BT38" i="3" s="1"/>
  <c r="N42" i="19"/>
  <c r="BS38" i="3" s="1"/>
  <c r="M42" i="19"/>
  <c r="BR38" i="3" s="1"/>
  <c r="L42" i="19"/>
  <c r="BQ38" i="3" s="1"/>
  <c r="K42" i="19"/>
  <c r="BP38" i="3" s="1"/>
  <c r="J42" i="19"/>
  <c r="BO38" i="3" s="1"/>
  <c r="I42" i="19"/>
  <c r="BN38" i="3" s="1"/>
  <c r="T15" i="19"/>
  <c r="S15" i="19"/>
  <c r="R15" i="19"/>
  <c r="Q15" i="19"/>
  <c r="P15" i="19"/>
  <c r="O15" i="19"/>
  <c r="N15" i="19"/>
  <c r="N17" i="19" s="1"/>
  <c r="N9" i="19" s="1"/>
  <c r="M15" i="19"/>
  <c r="L15" i="19"/>
  <c r="K15" i="19"/>
  <c r="K17" i="19" s="1"/>
  <c r="K9" i="19" s="1"/>
  <c r="J15" i="19"/>
  <c r="J16" i="19" s="1"/>
  <c r="I15" i="19"/>
  <c r="I16" i="19" s="1"/>
  <c r="T3" i="19"/>
  <c r="S3" i="19"/>
  <c r="R3" i="19"/>
  <c r="Q3" i="19"/>
  <c r="P3" i="19"/>
  <c r="O3" i="19"/>
  <c r="N3" i="19"/>
  <c r="M3" i="19"/>
  <c r="L3" i="19"/>
  <c r="K3" i="19"/>
  <c r="J3" i="19"/>
  <c r="I3" i="19"/>
  <c r="T41" i="18"/>
  <c r="BJ38" i="3" s="1"/>
  <c r="S41" i="18"/>
  <c r="BI38" i="3" s="1"/>
  <c r="R41" i="18"/>
  <c r="BH38" i="3" s="1"/>
  <c r="Q41" i="18"/>
  <c r="BG38" i="3" s="1"/>
  <c r="P41" i="18"/>
  <c r="BF38" i="3" s="1"/>
  <c r="O41" i="18"/>
  <c r="BE38" i="3" s="1"/>
  <c r="N41" i="18"/>
  <c r="BD38" i="3" s="1"/>
  <c r="M41" i="18"/>
  <c r="BC38" i="3" s="1"/>
  <c r="L41" i="18"/>
  <c r="BB38" i="3" s="1"/>
  <c r="K41" i="18"/>
  <c r="BA38" i="3" s="1"/>
  <c r="J41" i="18"/>
  <c r="AZ38" i="3" s="1"/>
  <c r="I41" i="18"/>
  <c r="AY38" i="3" s="1"/>
  <c r="T14" i="18"/>
  <c r="S14" i="18"/>
  <c r="R14" i="18"/>
  <c r="Q14" i="18"/>
  <c r="P14" i="18"/>
  <c r="O14" i="18"/>
  <c r="N14" i="18"/>
  <c r="N16" i="18" s="1"/>
  <c r="N8" i="18" s="1"/>
  <c r="Q35" i="12" s="1"/>
  <c r="M14" i="18"/>
  <c r="M16" i="18" s="1"/>
  <c r="M8" i="18" s="1"/>
  <c r="P35" i="12" s="1"/>
  <c r="L14" i="18"/>
  <c r="K14" i="18"/>
  <c r="K15" i="18" s="1"/>
  <c r="J14" i="18"/>
  <c r="J16" i="18" s="1"/>
  <c r="J8" i="18" s="1"/>
  <c r="M35" i="12" s="1"/>
  <c r="I14" i="18"/>
  <c r="M2" i="18"/>
  <c r="L2" i="18"/>
  <c r="K2" i="18"/>
  <c r="J2" i="18"/>
  <c r="I2" i="18"/>
  <c r="T42" i="17"/>
  <c r="AU38" i="3" s="1"/>
  <c r="S42" i="17"/>
  <c r="AT38" i="3" s="1"/>
  <c r="R42" i="17"/>
  <c r="AS38" i="3" s="1"/>
  <c r="Q42" i="17"/>
  <c r="AR38" i="3" s="1"/>
  <c r="P42" i="17"/>
  <c r="AQ38" i="3" s="1"/>
  <c r="O42" i="17"/>
  <c r="AP38" i="3" s="1"/>
  <c r="AO38" i="3"/>
  <c r="M42" i="17"/>
  <c r="AN38" i="3" s="1"/>
  <c r="L42" i="17"/>
  <c r="AM38" i="3" s="1"/>
  <c r="K42" i="17"/>
  <c r="AL38" i="3" s="1"/>
  <c r="J42" i="17"/>
  <c r="AK38" i="3" s="1"/>
  <c r="I42" i="17"/>
  <c r="AJ38" i="3" s="1"/>
  <c r="T15" i="17"/>
  <c r="S15" i="17"/>
  <c r="R15" i="17"/>
  <c r="Q15" i="17"/>
  <c r="P15" i="17"/>
  <c r="O15" i="17"/>
  <c r="N15" i="17"/>
  <c r="N17" i="17" s="1"/>
  <c r="M15" i="17"/>
  <c r="M17" i="17" s="1"/>
  <c r="L15" i="17"/>
  <c r="L16" i="17" s="1"/>
  <c r="K15" i="17"/>
  <c r="K17" i="17" s="1"/>
  <c r="J15" i="17"/>
  <c r="J17" i="17" s="1"/>
  <c r="I15" i="17"/>
  <c r="I16" i="17" s="1"/>
  <c r="T3" i="17"/>
  <c r="S3" i="17"/>
  <c r="R3" i="17"/>
  <c r="Q3" i="17"/>
  <c r="P3" i="17"/>
  <c r="O3" i="17"/>
  <c r="N3" i="17"/>
  <c r="M3" i="17"/>
  <c r="L3" i="17"/>
  <c r="K3" i="17"/>
  <c r="J3" i="17"/>
  <c r="I3" i="17"/>
  <c r="T42" i="16"/>
  <c r="S42" i="16"/>
  <c r="R42" i="16"/>
  <c r="Q42" i="16"/>
  <c r="P42" i="16"/>
  <c r="O42" i="16"/>
  <c r="N42" i="16"/>
  <c r="M42" i="16"/>
  <c r="L42" i="16"/>
  <c r="K42" i="16"/>
  <c r="J42" i="16"/>
  <c r="I42" i="16"/>
  <c r="T15" i="16"/>
  <c r="S15" i="16"/>
  <c r="R15" i="16"/>
  <c r="P15" i="16"/>
  <c r="N15" i="16"/>
  <c r="M15" i="16"/>
  <c r="L15" i="16"/>
  <c r="L17" i="16" s="1"/>
  <c r="L10" i="16" s="1"/>
  <c r="L9" i="16" s="1"/>
  <c r="K15" i="16"/>
  <c r="K16" i="16" s="1"/>
  <c r="J15" i="16"/>
  <c r="J17" i="16" s="1"/>
  <c r="J10" i="16" s="1"/>
  <c r="J9" i="16" s="1"/>
  <c r="I15" i="16"/>
  <c r="I16" i="16" s="1"/>
  <c r="T3" i="16"/>
  <c r="S3" i="16"/>
  <c r="R3" i="16"/>
  <c r="Q3" i="16"/>
  <c r="P3" i="16"/>
  <c r="O3" i="16"/>
  <c r="M3" i="16"/>
  <c r="L3" i="16"/>
  <c r="K3" i="16"/>
  <c r="J3" i="16"/>
  <c r="I3" i="16"/>
  <c r="O15" i="15"/>
  <c r="N3" i="20" s="1"/>
  <c r="U14" i="15"/>
  <c r="T14" i="15"/>
  <c r="S14" i="15"/>
  <c r="R14" i="15"/>
  <c r="Q14" i="15"/>
  <c r="P14" i="15"/>
  <c r="O14" i="15"/>
  <c r="V13" i="15"/>
  <c r="O11" i="15"/>
  <c r="O9" i="15"/>
  <c r="N2" i="18" s="1"/>
  <c r="U8" i="15"/>
  <c r="T8" i="15"/>
  <c r="S8" i="15"/>
  <c r="R8" i="15"/>
  <c r="Q8" i="15"/>
  <c r="P8" i="15"/>
  <c r="O8" i="15"/>
  <c r="V7" i="15"/>
  <c r="U6" i="15"/>
  <c r="T6" i="15"/>
  <c r="S6" i="15"/>
  <c r="R6" i="15"/>
  <c r="Q6" i="15"/>
  <c r="P6" i="15"/>
  <c r="O5" i="15"/>
  <c r="N3" i="16" s="1"/>
  <c r="P187" i="14"/>
  <c r="O187" i="14"/>
  <c r="N187" i="14"/>
  <c r="M187" i="14"/>
  <c r="L187" i="14"/>
  <c r="K187" i="14"/>
  <c r="O186" i="14"/>
  <c r="N186" i="14"/>
  <c r="M186" i="14"/>
  <c r="L186" i="14"/>
  <c r="K186" i="14"/>
  <c r="O183" i="14"/>
  <c r="N183" i="14"/>
  <c r="M183" i="14"/>
  <c r="L183" i="14"/>
  <c r="K183" i="14"/>
  <c r="O182" i="14"/>
  <c r="N182" i="14"/>
  <c r="M182" i="14"/>
  <c r="L182" i="14"/>
  <c r="K182" i="14"/>
  <c r="O181" i="14"/>
  <c r="N181" i="14"/>
  <c r="M181" i="14"/>
  <c r="L181" i="14"/>
  <c r="K181" i="14"/>
  <c r="O176" i="14"/>
  <c r="N176" i="14"/>
  <c r="M176" i="14"/>
  <c r="L176" i="14"/>
  <c r="K176" i="14"/>
  <c r="O167" i="14"/>
  <c r="N167" i="14"/>
  <c r="M167" i="14"/>
  <c r="L167" i="14"/>
  <c r="K167" i="14"/>
  <c r="O166" i="14"/>
  <c r="N166" i="14"/>
  <c r="M166" i="14"/>
  <c r="L166" i="14"/>
  <c r="K166" i="14"/>
  <c r="O165" i="14"/>
  <c r="N165" i="14"/>
  <c r="M165" i="14"/>
  <c r="L165" i="14"/>
  <c r="K165" i="14"/>
  <c r="J161" i="14"/>
  <c r="P159" i="14"/>
  <c r="O159" i="14"/>
  <c r="N159" i="14"/>
  <c r="M159" i="14"/>
  <c r="L159" i="14"/>
  <c r="K159" i="14"/>
  <c r="P158" i="14"/>
  <c r="O158" i="14"/>
  <c r="N158" i="14"/>
  <c r="M158" i="14"/>
  <c r="L158" i="14"/>
  <c r="K158" i="14"/>
  <c r="O155" i="14"/>
  <c r="N155" i="14"/>
  <c r="M155" i="14"/>
  <c r="L155" i="14"/>
  <c r="K155" i="14"/>
  <c r="O153" i="14"/>
  <c r="N153" i="14"/>
  <c r="M153" i="14"/>
  <c r="L153" i="14"/>
  <c r="K153" i="14"/>
  <c r="O152" i="14"/>
  <c r="N152" i="14"/>
  <c r="M152" i="14"/>
  <c r="L152" i="14"/>
  <c r="K152" i="14"/>
  <c r="O150" i="14"/>
  <c r="N150" i="14"/>
  <c r="M150" i="14"/>
  <c r="L150" i="14"/>
  <c r="K150" i="14"/>
  <c r="O141" i="14"/>
  <c r="N141" i="14"/>
  <c r="M141" i="14"/>
  <c r="L141" i="14"/>
  <c r="K141" i="14"/>
  <c r="P133" i="14"/>
  <c r="O133" i="14"/>
  <c r="N133" i="14"/>
  <c r="M133" i="14"/>
  <c r="L133" i="14"/>
  <c r="K133" i="14"/>
  <c r="P132" i="14"/>
  <c r="O132" i="14"/>
  <c r="N132" i="14"/>
  <c r="M132" i="14"/>
  <c r="L132" i="14"/>
  <c r="K132" i="14"/>
  <c r="O129" i="14"/>
  <c r="N129" i="14"/>
  <c r="M129" i="14"/>
  <c r="L129" i="14"/>
  <c r="K129" i="14"/>
  <c r="O127" i="14"/>
  <c r="N127" i="14"/>
  <c r="M127" i="14"/>
  <c r="L127" i="14"/>
  <c r="K127" i="14"/>
  <c r="O126" i="14"/>
  <c r="N126" i="14"/>
  <c r="M126" i="14"/>
  <c r="L126" i="14"/>
  <c r="K126" i="14"/>
  <c r="O124" i="14"/>
  <c r="N124" i="14"/>
  <c r="M124" i="14"/>
  <c r="L124" i="14"/>
  <c r="K124" i="14"/>
  <c r="O115" i="14"/>
  <c r="N115" i="14"/>
  <c r="M115" i="14"/>
  <c r="L115" i="14"/>
  <c r="K115" i="14"/>
  <c r="P107" i="14"/>
  <c r="O107" i="14"/>
  <c r="N107" i="14"/>
  <c r="M107" i="14"/>
  <c r="L107" i="14"/>
  <c r="K107" i="14"/>
  <c r="P106" i="14"/>
  <c r="O106" i="14"/>
  <c r="N106" i="14"/>
  <c r="M106" i="14"/>
  <c r="L106" i="14"/>
  <c r="K106" i="14"/>
  <c r="O103" i="14"/>
  <c r="N103" i="14"/>
  <c r="M103" i="14"/>
  <c r="L103" i="14"/>
  <c r="K103" i="14"/>
  <c r="O101" i="14"/>
  <c r="N101" i="14"/>
  <c r="M101" i="14"/>
  <c r="L101" i="14"/>
  <c r="K101" i="14"/>
  <c r="O100" i="14"/>
  <c r="N100" i="14"/>
  <c r="M100" i="14"/>
  <c r="L100" i="14"/>
  <c r="K100" i="14"/>
  <c r="O98" i="14"/>
  <c r="N98" i="14"/>
  <c r="M98" i="14"/>
  <c r="L98" i="14"/>
  <c r="K98" i="14"/>
  <c r="O89" i="14"/>
  <c r="N89" i="14"/>
  <c r="M89" i="14"/>
  <c r="L89" i="14"/>
  <c r="K89" i="14"/>
  <c r="P81" i="14"/>
  <c r="O81" i="14"/>
  <c r="N81" i="14"/>
  <c r="M81" i="14"/>
  <c r="L81" i="14"/>
  <c r="K81" i="14"/>
  <c r="P80" i="14"/>
  <c r="O80" i="14"/>
  <c r="N80" i="14"/>
  <c r="M80" i="14"/>
  <c r="L80" i="14"/>
  <c r="K80" i="14"/>
  <c r="O77" i="14"/>
  <c r="N77" i="14"/>
  <c r="M77" i="14"/>
  <c r="L77" i="14"/>
  <c r="K77" i="14"/>
  <c r="O75" i="14"/>
  <c r="N75" i="14"/>
  <c r="M75" i="14"/>
  <c r="L75" i="14"/>
  <c r="K75" i="14"/>
  <c r="O74" i="14"/>
  <c r="N74" i="14"/>
  <c r="M74" i="14"/>
  <c r="L74" i="14"/>
  <c r="K74" i="14"/>
  <c r="O72" i="14"/>
  <c r="N72" i="14"/>
  <c r="M72" i="14"/>
  <c r="L72" i="14"/>
  <c r="K72" i="14"/>
  <c r="O63" i="14"/>
  <c r="N63" i="14"/>
  <c r="M63" i="14"/>
  <c r="L63" i="14"/>
  <c r="K63" i="14"/>
  <c r="P55" i="14"/>
  <c r="O55" i="14"/>
  <c r="N55" i="14"/>
  <c r="M55" i="14"/>
  <c r="L55" i="14"/>
  <c r="K55" i="14"/>
  <c r="P54" i="14"/>
  <c r="O54" i="14"/>
  <c r="N54" i="14"/>
  <c r="M54" i="14"/>
  <c r="L54" i="14"/>
  <c r="K54" i="14"/>
  <c r="O51" i="14"/>
  <c r="N51" i="14"/>
  <c r="M51" i="14"/>
  <c r="L51" i="14"/>
  <c r="K51" i="14"/>
  <c r="O49" i="14"/>
  <c r="N49" i="14"/>
  <c r="M49" i="14"/>
  <c r="L49" i="14"/>
  <c r="K49" i="14"/>
  <c r="O48" i="14"/>
  <c r="N48" i="14"/>
  <c r="M48" i="14"/>
  <c r="L48" i="14"/>
  <c r="K48" i="14"/>
  <c r="O46" i="14"/>
  <c r="N46" i="14"/>
  <c r="M46" i="14"/>
  <c r="L46" i="14"/>
  <c r="K46" i="14"/>
  <c r="O37" i="14"/>
  <c r="N37" i="14"/>
  <c r="M37" i="14"/>
  <c r="L37" i="14"/>
  <c r="K37" i="14"/>
  <c r="P30" i="14"/>
  <c r="O30" i="14"/>
  <c r="N30" i="14"/>
  <c r="M30" i="14"/>
  <c r="L30" i="14"/>
  <c r="K30" i="14"/>
  <c r="P29" i="14"/>
  <c r="O29" i="14"/>
  <c r="N29" i="14"/>
  <c r="M29" i="14"/>
  <c r="L29" i="14"/>
  <c r="K29" i="14"/>
  <c r="O26" i="14"/>
  <c r="N26" i="14"/>
  <c r="M26" i="14"/>
  <c r="L26" i="14"/>
  <c r="K26" i="14"/>
  <c r="O24" i="14"/>
  <c r="N24" i="14"/>
  <c r="M24" i="14"/>
  <c r="L24" i="14"/>
  <c r="K24" i="14"/>
  <c r="O23" i="14"/>
  <c r="N23" i="14"/>
  <c r="M23" i="14"/>
  <c r="L23" i="14"/>
  <c r="K23" i="14"/>
  <c r="O21" i="14"/>
  <c r="N21" i="14"/>
  <c r="M21" i="14"/>
  <c r="L21" i="14"/>
  <c r="K21" i="14"/>
  <c r="O12" i="14"/>
  <c r="N12" i="14"/>
  <c r="M12" i="14"/>
  <c r="L12" i="14"/>
  <c r="K12" i="14"/>
  <c r="J6" i="14"/>
  <c r="AY532" i="13"/>
  <c r="AU532" i="13"/>
  <c r="AQ532" i="13"/>
  <c r="AM532" i="13"/>
  <c r="AI532" i="13"/>
  <c r="AE532" i="13"/>
  <c r="AA532" i="13"/>
  <c r="Z532" i="13"/>
  <c r="AY531" i="13"/>
  <c r="AU531" i="13"/>
  <c r="AQ531" i="13"/>
  <c r="AM531" i="13"/>
  <c r="AI531" i="13"/>
  <c r="AE531" i="13"/>
  <c r="AA531" i="13"/>
  <c r="Z531" i="13"/>
  <c r="AB531" i="13" s="1"/>
  <c r="Y531" i="13"/>
  <c r="V531" i="13"/>
  <c r="S531" i="13"/>
  <c r="P531" i="13"/>
  <c r="M531" i="13"/>
  <c r="J531" i="13"/>
  <c r="AY530" i="13"/>
  <c r="AU530" i="13"/>
  <c r="AQ530" i="13"/>
  <c r="AM530" i="13"/>
  <c r="AI530" i="13"/>
  <c r="AE530" i="13"/>
  <c r="AA530" i="13"/>
  <c r="Z530" i="13"/>
  <c r="Y530" i="13"/>
  <c r="V530" i="13"/>
  <c r="S530" i="13"/>
  <c r="P530" i="13"/>
  <c r="M530" i="13"/>
  <c r="J530" i="13"/>
  <c r="AY529" i="13"/>
  <c r="AU529" i="13"/>
  <c r="AQ529" i="13"/>
  <c r="AM529" i="13"/>
  <c r="AI529" i="13"/>
  <c r="AE529" i="13"/>
  <c r="AA529" i="13"/>
  <c r="Z529" i="13"/>
  <c r="AB529" i="13" s="1"/>
  <c r="Y529" i="13"/>
  <c r="V529" i="13"/>
  <c r="S529" i="13"/>
  <c r="P529" i="13"/>
  <c r="M529" i="13"/>
  <c r="J529" i="13"/>
  <c r="AY528" i="13"/>
  <c r="AU528" i="13"/>
  <c r="AQ528" i="13"/>
  <c r="AM528" i="13"/>
  <c r="AI528" i="13"/>
  <c r="AE528" i="13"/>
  <c r="AA528" i="13"/>
  <c r="Z528" i="13"/>
  <c r="Y528" i="13"/>
  <c r="V528" i="13"/>
  <c r="S528" i="13"/>
  <c r="P528" i="13"/>
  <c r="M528" i="13"/>
  <c r="J528" i="13"/>
  <c r="AY527" i="13"/>
  <c r="AU527" i="13"/>
  <c r="AQ527" i="13"/>
  <c r="AM527" i="13"/>
  <c r="AI527" i="13"/>
  <c r="AE527" i="13"/>
  <c r="AA527" i="13"/>
  <c r="Z527" i="13"/>
  <c r="AB527" i="13" s="1"/>
  <c r="Y527" i="13"/>
  <c r="V527" i="13"/>
  <c r="S527" i="13"/>
  <c r="P527" i="13"/>
  <c r="M527" i="13"/>
  <c r="J527" i="13"/>
  <c r="AY526" i="13"/>
  <c r="AU526" i="13"/>
  <c r="AQ526" i="13"/>
  <c r="AM526" i="13"/>
  <c r="AI526" i="13"/>
  <c r="AE526" i="13"/>
  <c r="AA526" i="13"/>
  <c r="Z526" i="13"/>
  <c r="AB526" i="13" s="1"/>
  <c r="Y526" i="13"/>
  <c r="V526" i="13"/>
  <c r="S526" i="13"/>
  <c r="P526" i="13"/>
  <c r="M526" i="13"/>
  <c r="J526" i="13"/>
  <c r="AY525" i="13"/>
  <c r="AU525" i="13"/>
  <c r="AQ525" i="13"/>
  <c r="AM525" i="13"/>
  <c r="AI525" i="13"/>
  <c r="AE525" i="13"/>
  <c r="AA525" i="13"/>
  <c r="Z525" i="13"/>
  <c r="AB525" i="13" s="1"/>
  <c r="Y525" i="13"/>
  <c r="V525" i="13"/>
  <c r="S525" i="13"/>
  <c r="P525" i="13"/>
  <c r="M525" i="13"/>
  <c r="J525" i="13"/>
  <c r="AY524" i="13"/>
  <c r="AU524" i="13"/>
  <c r="AQ524" i="13"/>
  <c r="AM524" i="13"/>
  <c r="AI524" i="13"/>
  <c r="AE524" i="13"/>
  <c r="AA524" i="13"/>
  <c r="Z524" i="13"/>
  <c r="AB524" i="13" s="1"/>
  <c r="Y524" i="13"/>
  <c r="V524" i="13"/>
  <c r="S524" i="13"/>
  <c r="P524" i="13"/>
  <c r="M524" i="13"/>
  <c r="J524" i="13"/>
  <c r="AY523" i="13"/>
  <c r="AU523" i="13"/>
  <c r="AQ523" i="13"/>
  <c r="AM523" i="13"/>
  <c r="AI523" i="13"/>
  <c r="AE523" i="13"/>
  <c r="AA523" i="13"/>
  <c r="Z523" i="13"/>
  <c r="Y523" i="13"/>
  <c r="V523" i="13"/>
  <c r="S523" i="13"/>
  <c r="P523" i="13"/>
  <c r="M523" i="13"/>
  <c r="J523" i="13"/>
  <c r="AY522" i="13"/>
  <c r="AU522" i="13"/>
  <c r="AQ522" i="13"/>
  <c r="AM522" i="13"/>
  <c r="AI522" i="13"/>
  <c r="AE522" i="13"/>
  <c r="AA522" i="13"/>
  <c r="Z522" i="13"/>
  <c r="Y522" i="13"/>
  <c r="V522" i="13"/>
  <c r="S522" i="13"/>
  <c r="P522" i="13"/>
  <c r="M522" i="13"/>
  <c r="J522" i="13"/>
  <c r="AY521" i="13"/>
  <c r="AU521" i="13"/>
  <c r="AQ521" i="13"/>
  <c r="AM521" i="13"/>
  <c r="AI521" i="13"/>
  <c r="AE521" i="13"/>
  <c r="AA521" i="13"/>
  <c r="Z521" i="13"/>
  <c r="AB521" i="13" s="1"/>
  <c r="Y521" i="13"/>
  <c r="V521" i="13"/>
  <c r="S521" i="13"/>
  <c r="P521" i="13"/>
  <c r="M521" i="13"/>
  <c r="J521" i="13"/>
  <c r="AY520" i="13"/>
  <c r="AU520" i="13"/>
  <c r="AQ520" i="13"/>
  <c r="AM520" i="13"/>
  <c r="AI520" i="13"/>
  <c r="AE520" i="13"/>
  <c r="AA520" i="13"/>
  <c r="Z520" i="13"/>
  <c r="Y520" i="13"/>
  <c r="V520" i="13"/>
  <c r="S520" i="13"/>
  <c r="P520" i="13"/>
  <c r="M520" i="13"/>
  <c r="J520" i="13"/>
  <c r="AY519" i="13"/>
  <c r="AU519" i="13"/>
  <c r="AQ519" i="13"/>
  <c r="AM519" i="13"/>
  <c r="AI519" i="13"/>
  <c r="AE519" i="13"/>
  <c r="AA519" i="13"/>
  <c r="Z519" i="13"/>
  <c r="Y519" i="13"/>
  <c r="V519" i="13"/>
  <c r="S519" i="13"/>
  <c r="P519" i="13"/>
  <c r="M519" i="13"/>
  <c r="J519" i="13"/>
  <c r="AY518" i="13"/>
  <c r="AU518" i="13"/>
  <c r="AQ518" i="13"/>
  <c r="AM518" i="13"/>
  <c r="AI518" i="13"/>
  <c r="AE518" i="13"/>
  <c r="AA518" i="13"/>
  <c r="Z518" i="13"/>
  <c r="AB518" i="13" s="1"/>
  <c r="Y518" i="13"/>
  <c r="V518" i="13"/>
  <c r="S518" i="13"/>
  <c r="P518" i="13"/>
  <c r="M518" i="13"/>
  <c r="J518" i="13"/>
  <c r="AY517" i="13"/>
  <c r="AU517" i="13"/>
  <c r="AQ517" i="13"/>
  <c r="AM517" i="13"/>
  <c r="AI517" i="13"/>
  <c r="AE517" i="13"/>
  <c r="AA517" i="13"/>
  <c r="Z517" i="13"/>
  <c r="AB517" i="13" s="1"/>
  <c r="Y517" i="13"/>
  <c r="V517" i="13"/>
  <c r="S517" i="13"/>
  <c r="P517" i="13"/>
  <c r="M517" i="13"/>
  <c r="J517" i="13"/>
  <c r="AY516" i="13"/>
  <c r="AU516" i="13"/>
  <c r="AQ516" i="13"/>
  <c r="AM516" i="13"/>
  <c r="AI516" i="13"/>
  <c r="AE516" i="13"/>
  <c r="AA516" i="13"/>
  <c r="Z516" i="13"/>
  <c r="Y516" i="13"/>
  <c r="V516" i="13"/>
  <c r="S516" i="13"/>
  <c r="P516" i="13"/>
  <c r="M516" i="13"/>
  <c r="J516" i="13"/>
  <c r="AY515" i="13"/>
  <c r="AU515" i="13"/>
  <c r="AQ515" i="13"/>
  <c r="AM515" i="13"/>
  <c r="AI515" i="13"/>
  <c r="AE515" i="13"/>
  <c r="AA515" i="13"/>
  <c r="Z515" i="13"/>
  <c r="AB515" i="13" s="1"/>
  <c r="Y515" i="13"/>
  <c r="V515" i="13"/>
  <c r="S515" i="13"/>
  <c r="P515" i="13"/>
  <c r="M515" i="13"/>
  <c r="J515" i="13"/>
  <c r="AY514" i="13"/>
  <c r="AU514" i="13"/>
  <c r="AQ514" i="13"/>
  <c r="AM514" i="13"/>
  <c r="AI514" i="13"/>
  <c r="AE514" i="13"/>
  <c r="AA514" i="13"/>
  <c r="Z514" i="13"/>
  <c r="AB514" i="13" s="1"/>
  <c r="Y514" i="13"/>
  <c r="V514" i="13"/>
  <c r="S514" i="13"/>
  <c r="P514" i="13"/>
  <c r="M514" i="13"/>
  <c r="J514" i="13"/>
  <c r="AY513" i="13"/>
  <c r="AU513" i="13"/>
  <c r="AQ513" i="13"/>
  <c r="AM513" i="13"/>
  <c r="AI513" i="13"/>
  <c r="AE513" i="13"/>
  <c r="AA513" i="13"/>
  <c r="Z513" i="13"/>
  <c r="AB513" i="13" s="1"/>
  <c r="Y513" i="13"/>
  <c r="V513" i="13"/>
  <c r="S513" i="13"/>
  <c r="P513" i="13"/>
  <c r="M513" i="13"/>
  <c r="J513" i="13"/>
  <c r="AY512" i="13"/>
  <c r="AU512" i="13"/>
  <c r="AQ512" i="13"/>
  <c r="AM512" i="13"/>
  <c r="AI512" i="13"/>
  <c r="AE512" i="13"/>
  <c r="AA512" i="13"/>
  <c r="Z512" i="13"/>
  <c r="AB512" i="13" s="1"/>
  <c r="Y512" i="13"/>
  <c r="V512" i="13"/>
  <c r="S512" i="13"/>
  <c r="P512" i="13"/>
  <c r="M512" i="13"/>
  <c r="J512" i="13"/>
  <c r="AY511" i="13"/>
  <c r="AU511" i="13"/>
  <c r="AQ511" i="13"/>
  <c r="AM511" i="13"/>
  <c r="AI511" i="13"/>
  <c r="AE511" i="13"/>
  <c r="AA511" i="13"/>
  <c r="Z511" i="13"/>
  <c r="AB511" i="13" s="1"/>
  <c r="Y511" i="13"/>
  <c r="V511" i="13"/>
  <c r="S511" i="13"/>
  <c r="P511" i="13"/>
  <c r="M511" i="13"/>
  <c r="J511" i="13"/>
  <c r="AY510" i="13"/>
  <c r="AU510" i="13"/>
  <c r="AQ510" i="13"/>
  <c r="AM510" i="13"/>
  <c r="AI510" i="13"/>
  <c r="AE510" i="13"/>
  <c r="AA510" i="13"/>
  <c r="Z510" i="13"/>
  <c r="AB510" i="13" s="1"/>
  <c r="Y510" i="13"/>
  <c r="V510" i="13"/>
  <c r="S510" i="13"/>
  <c r="P510" i="13"/>
  <c r="M510" i="13"/>
  <c r="J510" i="13"/>
  <c r="AY509" i="13"/>
  <c r="AU509" i="13"/>
  <c r="AQ509" i="13"/>
  <c r="AM509" i="13"/>
  <c r="AI509" i="13"/>
  <c r="AE509" i="13"/>
  <c r="AA509" i="13"/>
  <c r="Z509" i="13"/>
  <c r="Y509" i="13"/>
  <c r="V509" i="13"/>
  <c r="S509" i="13"/>
  <c r="P509" i="13"/>
  <c r="M509" i="13"/>
  <c r="J509" i="13"/>
  <c r="AY508" i="13"/>
  <c r="AU508" i="13"/>
  <c r="AQ508" i="13"/>
  <c r="AM508" i="13"/>
  <c r="AI508" i="13"/>
  <c r="AE508" i="13"/>
  <c r="AA508" i="13"/>
  <c r="Z508" i="13"/>
  <c r="AB508" i="13" s="1"/>
  <c r="Y508" i="13"/>
  <c r="V508" i="13"/>
  <c r="S508" i="13"/>
  <c r="P508" i="13"/>
  <c r="M508" i="13"/>
  <c r="J508" i="13"/>
  <c r="AY507" i="13"/>
  <c r="AU507" i="13"/>
  <c r="AQ507" i="13"/>
  <c r="AM507" i="13"/>
  <c r="AI507" i="13"/>
  <c r="AE507" i="13"/>
  <c r="AA507" i="13"/>
  <c r="Z507" i="13"/>
  <c r="Y507" i="13"/>
  <c r="V507" i="13"/>
  <c r="S507" i="13"/>
  <c r="P507" i="13"/>
  <c r="M507" i="13"/>
  <c r="J507" i="13"/>
  <c r="AY506" i="13"/>
  <c r="AU506" i="13"/>
  <c r="AQ506" i="13"/>
  <c r="AM506" i="13"/>
  <c r="AI506" i="13"/>
  <c r="AE506" i="13"/>
  <c r="AA506" i="13"/>
  <c r="Z506" i="13"/>
  <c r="AB506" i="13" s="1"/>
  <c r="Y506" i="13"/>
  <c r="V506" i="13"/>
  <c r="S506" i="13"/>
  <c r="P506" i="13"/>
  <c r="M506" i="13"/>
  <c r="J506" i="13"/>
  <c r="AY505" i="13"/>
  <c r="AU505" i="13"/>
  <c r="AQ505" i="13"/>
  <c r="AM505" i="13"/>
  <c r="AI505" i="13"/>
  <c r="AE505" i="13"/>
  <c r="AA505" i="13"/>
  <c r="Z505" i="13"/>
  <c r="AB505" i="13" s="1"/>
  <c r="Y505" i="13"/>
  <c r="V505" i="13"/>
  <c r="S505" i="13"/>
  <c r="P505" i="13"/>
  <c r="M505" i="13"/>
  <c r="J505" i="13"/>
  <c r="AY504" i="13"/>
  <c r="AU504" i="13"/>
  <c r="AQ504" i="13"/>
  <c r="AM504" i="13"/>
  <c r="AI504" i="13"/>
  <c r="AE504" i="13"/>
  <c r="AA504" i="13"/>
  <c r="Z504" i="13"/>
  <c r="Y504" i="13"/>
  <c r="V504" i="13"/>
  <c r="S504" i="13"/>
  <c r="P504" i="13"/>
  <c r="M504" i="13"/>
  <c r="J504" i="13"/>
  <c r="AY503" i="13"/>
  <c r="AU503" i="13"/>
  <c r="AQ503" i="13"/>
  <c r="AM503" i="13"/>
  <c r="AI503" i="13"/>
  <c r="AE503" i="13"/>
  <c r="AA503" i="13"/>
  <c r="Z503" i="13"/>
  <c r="Y503" i="13"/>
  <c r="V503" i="13"/>
  <c r="S503" i="13"/>
  <c r="P503" i="13"/>
  <c r="M503" i="13"/>
  <c r="J503" i="13"/>
  <c r="AY502" i="13"/>
  <c r="AU502" i="13"/>
  <c r="AQ502" i="13"/>
  <c r="AM502" i="13"/>
  <c r="AI502" i="13"/>
  <c r="AE502" i="13"/>
  <c r="AA502" i="13"/>
  <c r="Z502" i="13"/>
  <c r="Y502" i="13"/>
  <c r="V502" i="13"/>
  <c r="S502" i="13"/>
  <c r="P502" i="13"/>
  <c r="M502" i="13"/>
  <c r="J502" i="13"/>
  <c r="AY501" i="13"/>
  <c r="AU501" i="13"/>
  <c r="AQ501" i="13"/>
  <c r="AM501" i="13"/>
  <c r="AI501" i="13"/>
  <c r="AE501" i="13"/>
  <c r="AA501" i="13"/>
  <c r="Z501" i="13"/>
  <c r="AY500" i="13"/>
  <c r="AU500" i="13"/>
  <c r="AQ500" i="13"/>
  <c r="AM500" i="13"/>
  <c r="AI500" i="13"/>
  <c r="AE500" i="13"/>
  <c r="AA500" i="13"/>
  <c r="Z500" i="13"/>
  <c r="AB500" i="13" s="1"/>
  <c r="Y500" i="13"/>
  <c r="V500" i="13"/>
  <c r="S500" i="13"/>
  <c r="P500" i="13"/>
  <c r="M500" i="13"/>
  <c r="J500" i="13"/>
  <c r="AY499" i="13"/>
  <c r="AU499" i="13"/>
  <c r="AQ499" i="13"/>
  <c r="AM499" i="13"/>
  <c r="AI499" i="13"/>
  <c r="AE499" i="13"/>
  <c r="AA499" i="13"/>
  <c r="Z499" i="13"/>
  <c r="Y499" i="13"/>
  <c r="V499" i="13"/>
  <c r="S499" i="13"/>
  <c r="P499" i="13"/>
  <c r="M499" i="13"/>
  <c r="J499" i="13"/>
  <c r="AY498" i="13"/>
  <c r="AU498" i="13"/>
  <c r="AQ498" i="13"/>
  <c r="AM498" i="13"/>
  <c r="AI498" i="13"/>
  <c r="AE498" i="13"/>
  <c r="AA498" i="13"/>
  <c r="Z498" i="13"/>
  <c r="AB498" i="13" s="1"/>
  <c r="Y498" i="13"/>
  <c r="V498" i="13"/>
  <c r="S498" i="13"/>
  <c r="P498" i="13"/>
  <c r="M498" i="13"/>
  <c r="J498" i="13"/>
  <c r="AY497" i="13"/>
  <c r="AU497" i="13"/>
  <c r="AQ497" i="13"/>
  <c r="AM497" i="13"/>
  <c r="AI497" i="13"/>
  <c r="AE497" i="13"/>
  <c r="AA497" i="13"/>
  <c r="Z497" i="13"/>
  <c r="Y497" i="13"/>
  <c r="V497" i="13"/>
  <c r="S497" i="13"/>
  <c r="P497" i="13"/>
  <c r="M497" i="13"/>
  <c r="J497" i="13"/>
  <c r="AY496" i="13"/>
  <c r="AU496" i="13"/>
  <c r="AQ496" i="13"/>
  <c r="AM496" i="13"/>
  <c r="AI496" i="13"/>
  <c r="AE496" i="13"/>
  <c r="AA496" i="13"/>
  <c r="Z496" i="13"/>
  <c r="AB496" i="13" s="1"/>
  <c r="Y496" i="13"/>
  <c r="V496" i="13"/>
  <c r="S496" i="13"/>
  <c r="P496" i="13"/>
  <c r="M496" i="13"/>
  <c r="J496" i="13"/>
  <c r="AY495" i="13"/>
  <c r="AU495" i="13"/>
  <c r="AQ495" i="13"/>
  <c r="AM495" i="13"/>
  <c r="AI495" i="13"/>
  <c r="AE495" i="13"/>
  <c r="AA495" i="13"/>
  <c r="Z495" i="13"/>
  <c r="AB495" i="13" s="1"/>
  <c r="Y495" i="13"/>
  <c r="V495" i="13"/>
  <c r="S495" i="13"/>
  <c r="P495" i="13"/>
  <c r="M495" i="13"/>
  <c r="J495" i="13"/>
  <c r="AY494" i="13"/>
  <c r="AU494" i="13"/>
  <c r="AQ494" i="13"/>
  <c r="AM494" i="13"/>
  <c r="AI494" i="13"/>
  <c r="AE494" i="13"/>
  <c r="AA494" i="13"/>
  <c r="Z494" i="13"/>
  <c r="Y494" i="13"/>
  <c r="V494" i="13"/>
  <c r="S494" i="13"/>
  <c r="P494" i="13"/>
  <c r="M494" i="13"/>
  <c r="J494" i="13"/>
  <c r="AY493" i="13"/>
  <c r="AU493" i="13"/>
  <c r="AQ493" i="13"/>
  <c r="AM493" i="13"/>
  <c r="AI493" i="13"/>
  <c r="AE493" i="13"/>
  <c r="AA493" i="13"/>
  <c r="Z493" i="13"/>
  <c r="AB493" i="13" s="1"/>
  <c r="Y493" i="13"/>
  <c r="V493" i="13"/>
  <c r="S493" i="13"/>
  <c r="P493" i="13"/>
  <c r="M493" i="13"/>
  <c r="J493" i="13"/>
  <c r="AY492" i="13"/>
  <c r="AU492" i="13"/>
  <c r="AQ492" i="13"/>
  <c r="AM492" i="13"/>
  <c r="AI492" i="13"/>
  <c r="AE492" i="13"/>
  <c r="AA492" i="13"/>
  <c r="Z492" i="13"/>
  <c r="Y492" i="13"/>
  <c r="V492" i="13"/>
  <c r="S492" i="13"/>
  <c r="P492" i="13"/>
  <c r="M492" i="13"/>
  <c r="J492" i="13"/>
  <c r="AY491" i="13"/>
  <c r="AU491" i="13"/>
  <c r="AQ491" i="13"/>
  <c r="AM491" i="13"/>
  <c r="AI491" i="13"/>
  <c r="AE491" i="13"/>
  <c r="AA491" i="13"/>
  <c r="Z491" i="13"/>
  <c r="Y491" i="13"/>
  <c r="V491" i="13"/>
  <c r="S491" i="13"/>
  <c r="P491" i="13"/>
  <c r="M491" i="13"/>
  <c r="J491" i="13"/>
  <c r="AY490" i="13"/>
  <c r="AU490" i="13"/>
  <c r="AQ490" i="13"/>
  <c r="AM490" i="13"/>
  <c r="AI490" i="13"/>
  <c r="AE490" i="13"/>
  <c r="AA490" i="13"/>
  <c r="Z490" i="13"/>
  <c r="Y490" i="13"/>
  <c r="V490" i="13"/>
  <c r="S490" i="13"/>
  <c r="P490" i="13"/>
  <c r="M490" i="13"/>
  <c r="J490" i="13"/>
  <c r="AY489" i="13"/>
  <c r="AU489" i="13"/>
  <c r="AQ489" i="13"/>
  <c r="AM489" i="13"/>
  <c r="AI489" i="13"/>
  <c r="AE489" i="13"/>
  <c r="AA489" i="13"/>
  <c r="Z489" i="13"/>
  <c r="Y489" i="13"/>
  <c r="V489" i="13"/>
  <c r="S489" i="13"/>
  <c r="P489" i="13"/>
  <c r="M489" i="13"/>
  <c r="J489" i="13"/>
  <c r="AY488" i="13"/>
  <c r="AU488" i="13"/>
  <c r="AQ488" i="13"/>
  <c r="AM488" i="13"/>
  <c r="AI488" i="13"/>
  <c r="AE488" i="13"/>
  <c r="AA488" i="13"/>
  <c r="Z488" i="13"/>
  <c r="Y488" i="13"/>
  <c r="V488" i="13"/>
  <c r="S488" i="13"/>
  <c r="P488" i="13"/>
  <c r="M488" i="13"/>
  <c r="J488" i="13"/>
  <c r="AY487" i="13"/>
  <c r="AU487" i="13"/>
  <c r="AQ487" i="13"/>
  <c r="AM487" i="13"/>
  <c r="AI487" i="13"/>
  <c r="AE487" i="13"/>
  <c r="AA487" i="13"/>
  <c r="Z487" i="13"/>
  <c r="Y487" i="13"/>
  <c r="V487" i="13"/>
  <c r="S487" i="13"/>
  <c r="P487" i="13"/>
  <c r="M487" i="13"/>
  <c r="J487" i="13"/>
  <c r="AY486" i="13"/>
  <c r="AU486" i="13"/>
  <c r="AQ486" i="13"/>
  <c r="AM486" i="13"/>
  <c r="AI486" i="13"/>
  <c r="AE486" i="13"/>
  <c r="AA486" i="13"/>
  <c r="Z486" i="13"/>
  <c r="Y486" i="13"/>
  <c r="V486" i="13"/>
  <c r="S486" i="13"/>
  <c r="P486" i="13"/>
  <c r="M486" i="13"/>
  <c r="J486" i="13"/>
  <c r="AY485" i="13"/>
  <c r="AU485" i="13"/>
  <c r="AQ485" i="13"/>
  <c r="AM485" i="13"/>
  <c r="AI485" i="13"/>
  <c r="AE485" i="13"/>
  <c r="AA485" i="13"/>
  <c r="Z485" i="13"/>
  <c r="Y485" i="13"/>
  <c r="V485" i="13"/>
  <c r="S485" i="13"/>
  <c r="P485" i="13"/>
  <c r="M485" i="13"/>
  <c r="J485" i="13"/>
  <c r="AY484" i="13"/>
  <c r="AU484" i="13"/>
  <c r="AQ484" i="13"/>
  <c r="AM484" i="13"/>
  <c r="AI484" i="13"/>
  <c r="AE484" i="13"/>
  <c r="AA484" i="13"/>
  <c r="Z484" i="13"/>
  <c r="Y484" i="13"/>
  <c r="V484" i="13"/>
  <c r="S484" i="13"/>
  <c r="P484" i="13"/>
  <c r="M484" i="13"/>
  <c r="J484" i="13"/>
  <c r="AY483" i="13"/>
  <c r="AU483" i="13"/>
  <c r="AQ483" i="13"/>
  <c r="AM483" i="13"/>
  <c r="AI483" i="13"/>
  <c r="AE483" i="13"/>
  <c r="AA483" i="13"/>
  <c r="Z483" i="13"/>
  <c r="Y483" i="13"/>
  <c r="V483" i="13"/>
  <c r="S483" i="13"/>
  <c r="P483" i="13"/>
  <c r="M483" i="13"/>
  <c r="J483" i="13"/>
  <c r="AY482" i="13"/>
  <c r="AU482" i="13"/>
  <c r="AQ482" i="13"/>
  <c r="AM482" i="13"/>
  <c r="AI482" i="13"/>
  <c r="AE482" i="13"/>
  <c r="AA482" i="13"/>
  <c r="Z482" i="13"/>
  <c r="Y482" i="13"/>
  <c r="V482" i="13"/>
  <c r="S482" i="13"/>
  <c r="P482" i="13"/>
  <c r="M482" i="13"/>
  <c r="J482" i="13"/>
  <c r="AY481" i="13"/>
  <c r="AU481" i="13"/>
  <c r="AQ481" i="13"/>
  <c r="AM481" i="13"/>
  <c r="AI481" i="13"/>
  <c r="AE481" i="13"/>
  <c r="AA481" i="13"/>
  <c r="Z481" i="13"/>
  <c r="Y481" i="13"/>
  <c r="V481" i="13"/>
  <c r="S481" i="13"/>
  <c r="P481" i="13"/>
  <c r="M481" i="13"/>
  <c r="J481" i="13"/>
  <c r="AY480" i="13"/>
  <c r="AU480" i="13"/>
  <c r="AQ480" i="13"/>
  <c r="AM480" i="13"/>
  <c r="AI480" i="13"/>
  <c r="AE480" i="13"/>
  <c r="AA480" i="13"/>
  <c r="Z480" i="13"/>
  <c r="AB480" i="13" s="1"/>
  <c r="Y480" i="13"/>
  <c r="V480" i="13"/>
  <c r="S480" i="13"/>
  <c r="P480" i="13"/>
  <c r="M480" i="13"/>
  <c r="J480" i="13"/>
  <c r="AY479" i="13"/>
  <c r="AU479" i="13"/>
  <c r="AQ479" i="13"/>
  <c r="AM479" i="13"/>
  <c r="AI479" i="13"/>
  <c r="AE479" i="13"/>
  <c r="AA479" i="13"/>
  <c r="Z479" i="13"/>
  <c r="AB479" i="13" s="1"/>
  <c r="Y479" i="13"/>
  <c r="V479" i="13"/>
  <c r="S479" i="13"/>
  <c r="P479" i="13"/>
  <c r="M479" i="13"/>
  <c r="J479" i="13"/>
  <c r="AY478" i="13"/>
  <c r="AU478" i="13"/>
  <c r="AQ478" i="13"/>
  <c r="AM478" i="13"/>
  <c r="AI478" i="13"/>
  <c r="AE478" i="13"/>
  <c r="AA478" i="13"/>
  <c r="Z478" i="13"/>
  <c r="Y478" i="13"/>
  <c r="V478" i="13"/>
  <c r="S478" i="13"/>
  <c r="P478" i="13"/>
  <c r="M478" i="13"/>
  <c r="J478" i="13"/>
  <c r="AY477" i="13"/>
  <c r="AU477" i="13"/>
  <c r="AQ477" i="13"/>
  <c r="AM477" i="13"/>
  <c r="AI477" i="13"/>
  <c r="AE477" i="13"/>
  <c r="AA477" i="13"/>
  <c r="Z477" i="13"/>
  <c r="AB477" i="13" s="1"/>
  <c r="Y477" i="13"/>
  <c r="V477" i="13"/>
  <c r="S477" i="13"/>
  <c r="P477" i="13"/>
  <c r="M477" i="13"/>
  <c r="J477" i="13"/>
  <c r="AY476" i="13"/>
  <c r="AU476" i="13"/>
  <c r="AQ476" i="13"/>
  <c r="AM476" i="13"/>
  <c r="AI476" i="13"/>
  <c r="AE476" i="13"/>
  <c r="AA476" i="13"/>
  <c r="Z476" i="13"/>
  <c r="Y476" i="13"/>
  <c r="V476" i="13"/>
  <c r="S476" i="13"/>
  <c r="P476" i="13"/>
  <c r="M476" i="13"/>
  <c r="J476" i="13"/>
  <c r="AY475" i="13"/>
  <c r="AU475" i="13"/>
  <c r="AQ475" i="13"/>
  <c r="AM475" i="13"/>
  <c r="AI475" i="13"/>
  <c r="AE475" i="13"/>
  <c r="AA475" i="13"/>
  <c r="Z475" i="13"/>
  <c r="AB475" i="13" s="1"/>
  <c r="Y475" i="13"/>
  <c r="V475" i="13"/>
  <c r="S475" i="13"/>
  <c r="P475" i="13"/>
  <c r="M475" i="13"/>
  <c r="J475" i="13"/>
  <c r="AY474" i="13"/>
  <c r="AU474" i="13"/>
  <c r="AQ474" i="13"/>
  <c r="AM474" i="13"/>
  <c r="AI474" i="13"/>
  <c r="AE474" i="13"/>
  <c r="AA474" i="13"/>
  <c r="Z474" i="13"/>
  <c r="Y474" i="13"/>
  <c r="V474" i="13"/>
  <c r="S474" i="13"/>
  <c r="P474" i="13"/>
  <c r="M474" i="13"/>
  <c r="J474" i="13"/>
  <c r="AY473" i="13"/>
  <c r="AU473" i="13"/>
  <c r="AQ473" i="13"/>
  <c r="AM473" i="13"/>
  <c r="AI473" i="13"/>
  <c r="AE473" i="13"/>
  <c r="AA473" i="13"/>
  <c r="Z473" i="13"/>
  <c r="Y473" i="13"/>
  <c r="V473" i="13"/>
  <c r="S473" i="13"/>
  <c r="P473" i="13"/>
  <c r="M473" i="13"/>
  <c r="J473" i="13"/>
  <c r="AY472" i="13"/>
  <c r="AU472" i="13"/>
  <c r="AQ472" i="13"/>
  <c r="AM472" i="13"/>
  <c r="AI472" i="13"/>
  <c r="AE472" i="13"/>
  <c r="AA472" i="13"/>
  <c r="Z472" i="13"/>
  <c r="Y472" i="13"/>
  <c r="V472" i="13"/>
  <c r="S472" i="13"/>
  <c r="P472" i="13"/>
  <c r="M472" i="13"/>
  <c r="J472" i="13"/>
  <c r="AY471" i="13"/>
  <c r="AU471" i="13"/>
  <c r="AQ471" i="13"/>
  <c r="AM471" i="13"/>
  <c r="AI471" i="13"/>
  <c r="AE471" i="13"/>
  <c r="AA471" i="13"/>
  <c r="Z471" i="13"/>
  <c r="Y471" i="13"/>
  <c r="V471" i="13"/>
  <c r="S471" i="13"/>
  <c r="P471" i="13"/>
  <c r="M471" i="13"/>
  <c r="J471" i="13"/>
  <c r="AY470" i="13"/>
  <c r="AU470" i="13"/>
  <c r="AQ470" i="13"/>
  <c r="AM470" i="13"/>
  <c r="AI470" i="13"/>
  <c r="AE470" i="13"/>
  <c r="AA470" i="13"/>
  <c r="Z470" i="13"/>
  <c r="AY469" i="13"/>
  <c r="AU469" i="13"/>
  <c r="AQ469" i="13"/>
  <c r="AM469" i="13"/>
  <c r="AI469" i="13"/>
  <c r="AE469" i="13"/>
  <c r="AA469" i="13"/>
  <c r="Z469" i="13"/>
  <c r="AB469" i="13" s="1"/>
  <c r="Y469" i="13"/>
  <c r="V469" i="13"/>
  <c r="S469" i="13"/>
  <c r="P469" i="13"/>
  <c r="M469" i="13"/>
  <c r="J469" i="13"/>
  <c r="AY468" i="13"/>
  <c r="AU468" i="13"/>
  <c r="AQ468" i="13"/>
  <c r="AM468" i="13"/>
  <c r="AI468" i="13"/>
  <c r="AE468" i="13"/>
  <c r="AA468" i="13"/>
  <c r="Z468" i="13"/>
  <c r="Y468" i="13"/>
  <c r="V468" i="13"/>
  <c r="S468" i="13"/>
  <c r="P468" i="13"/>
  <c r="M468" i="13"/>
  <c r="J468" i="13"/>
  <c r="AY467" i="13"/>
  <c r="AU467" i="13"/>
  <c r="AQ467" i="13"/>
  <c r="AM467" i="13"/>
  <c r="AI467" i="13"/>
  <c r="AE467" i="13"/>
  <c r="AA467" i="13"/>
  <c r="Z467" i="13"/>
  <c r="AB467" i="13" s="1"/>
  <c r="Y467" i="13"/>
  <c r="V467" i="13"/>
  <c r="S467" i="13"/>
  <c r="P467" i="13"/>
  <c r="M467" i="13"/>
  <c r="J467" i="13"/>
  <c r="AY466" i="13"/>
  <c r="AU466" i="13"/>
  <c r="AQ466" i="13"/>
  <c r="AM466" i="13"/>
  <c r="AI466" i="13"/>
  <c r="AE466" i="13"/>
  <c r="AA466" i="13"/>
  <c r="Z466" i="13"/>
  <c r="Y466" i="13"/>
  <c r="V466" i="13"/>
  <c r="S466" i="13"/>
  <c r="P466" i="13"/>
  <c r="M466" i="13"/>
  <c r="J466" i="13"/>
  <c r="AY465" i="13"/>
  <c r="AU465" i="13"/>
  <c r="AQ465" i="13"/>
  <c r="AM465" i="13"/>
  <c r="AI465" i="13"/>
  <c r="AE465" i="13"/>
  <c r="AA465" i="13"/>
  <c r="Z465" i="13"/>
  <c r="AB465" i="13" s="1"/>
  <c r="Y465" i="13"/>
  <c r="V465" i="13"/>
  <c r="S465" i="13"/>
  <c r="P465" i="13"/>
  <c r="M465" i="13"/>
  <c r="J465" i="13"/>
  <c r="AY464" i="13"/>
  <c r="AU464" i="13"/>
  <c r="AQ464" i="13"/>
  <c r="AM464" i="13"/>
  <c r="AI464" i="13"/>
  <c r="AE464" i="13"/>
  <c r="AA464" i="13"/>
  <c r="Z464" i="13"/>
  <c r="AB464" i="13" s="1"/>
  <c r="Y464" i="13"/>
  <c r="V464" i="13"/>
  <c r="S464" i="13"/>
  <c r="P464" i="13"/>
  <c r="M464" i="13"/>
  <c r="J464" i="13"/>
  <c r="AY463" i="13"/>
  <c r="AU463" i="13"/>
  <c r="AQ463" i="13"/>
  <c r="AM463" i="13"/>
  <c r="AI463" i="13"/>
  <c r="AE463" i="13"/>
  <c r="AA463" i="13"/>
  <c r="Z463" i="13"/>
  <c r="AB463" i="13" s="1"/>
  <c r="Y463" i="13"/>
  <c r="V463" i="13"/>
  <c r="S463" i="13"/>
  <c r="P463" i="13"/>
  <c r="M463" i="13"/>
  <c r="J463" i="13"/>
  <c r="AY462" i="13"/>
  <c r="AU462" i="13"/>
  <c r="AQ462" i="13"/>
  <c r="AM462" i="13"/>
  <c r="AI462" i="13"/>
  <c r="AE462" i="13"/>
  <c r="AA462" i="13"/>
  <c r="Z462" i="13"/>
  <c r="AB462" i="13" s="1"/>
  <c r="Y462" i="13"/>
  <c r="V462" i="13"/>
  <c r="S462" i="13"/>
  <c r="P462" i="13"/>
  <c r="M462" i="13"/>
  <c r="J462" i="13"/>
  <c r="AY461" i="13"/>
  <c r="AU461" i="13"/>
  <c r="AQ461" i="13"/>
  <c r="AM461" i="13"/>
  <c r="AI461" i="13"/>
  <c r="AE461" i="13"/>
  <c r="AA461" i="13"/>
  <c r="Z461" i="13"/>
  <c r="Y461" i="13"/>
  <c r="V461" i="13"/>
  <c r="S461" i="13"/>
  <c r="P461" i="13"/>
  <c r="M461" i="13"/>
  <c r="J461" i="13"/>
  <c r="AY460" i="13"/>
  <c r="AU460" i="13"/>
  <c r="AQ460" i="13"/>
  <c r="AM460" i="13"/>
  <c r="AI460" i="13"/>
  <c r="AE460" i="13"/>
  <c r="AA460" i="13"/>
  <c r="Z460" i="13"/>
  <c r="Y460" i="13"/>
  <c r="V460" i="13"/>
  <c r="S460" i="13"/>
  <c r="P460" i="13"/>
  <c r="M460" i="13"/>
  <c r="J460" i="13"/>
  <c r="AY459" i="13"/>
  <c r="AU459" i="13"/>
  <c r="AQ459" i="13"/>
  <c r="AM459" i="13"/>
  <c r="AI459" i="13"/>
  <c r="AE459" i="13"/>
  <c r="AA459" i="13"/>
  <c r="Z459" i="13"/>
  <c r="AB459" i="13" s="1"/>
  <c r="Y459" i="13"/>
  <c r="V459" i="13"/>
  <c r="S459" i="13"/>
  <c r="P459" i="13"/>
  <c r="M459" i="13"/>
  <c r="J459" i="13"/>
  <c r="AY458" i="13"/>
  <c r="AU458" i="13"/>
  <c r="AQ458" i="13"/>
  <c r="AM458" i="13"/>
  <c r="AI458" i="13"/>
  <c r="AE458" i="13"/>
  <c r="AA458" i="13"/>
  <c r="Z458" i="13"/>
  <c r="Y458" i="13"/>
  <c r="V458" i="13"/>
  <c r="S458" i="13"/>
  <c r="P458" i="13"/>
  <c r="M458" i="13"/>
  <c r="J458" i="13"/>
  <c r="AY457" i="13"/>
  <c r="AU457" i="13"/>
  <c r="AQ457" i="13"/>
  <c r="AM457" i="13"/>
  <c r="AI457" i="13"/>
  <c r="AE457" i="13"/>
  <c r="AA457" i="13"/>
  <c r="Z457" i="13"/>
  <c r="Y457" i="13"/>
  <c r="V457" i="13"/>
  <c r="S457" i="13"/>
  <c r="P457" i="13"/>
  <c r="M457" i="13"/>
  <c r="J457" i="13"/>
  <c r="AY456" i="13"/>
  <c r="AU456" i="13"/>
  <c r="AQ456" i="13"/>
  <c r="AM456" i="13"/>
  <c r="AI456" i="13"/>
  <c r="AE456" i="13"/>
  <c r="AA456" i="13"/>
  <c r="Z456" i="13"/>
  <c r="AB456" i="13" s="1"/>
  <c r="Y456" i="13"/>
  <c r="V456" i="13"/>
  <c r="S456" i="13"/>
  <c r="P456" i="13"/>
  <c r="M456" i="13"/>
  <c r="J456" i="13"/>
  <c r="AY455" i="13"/>
  <c r="AU455" i="13"/>
  <c r="AQ455" i="13"/>
  <c r="AM455" i="13"/>
  <c r="AI455" i="13"/>
  <c r="AE455" i="13"/>
  <c r="AA455" i="13"/>
  <c r="Z455" i="13"/>
  <c r="AB455" i="13" s="1"/>
  <c r="Y455" i="13"/>
  <c r="V455" i="13"/>
  <c r="S455" i="13"/>
  <c r="P455" i="13"/>
  <c r="M455" i="13"/>
  <c r="J455" i="13"/>
  <c r="AY454" i="13"/>
  <c r="AU454" i="13"/>
  <c r="AQ454" i="13"/>
  <c r="AM454" i="13"/>
  <c r="AI454" i="13"/>
  <c r="AE454" i="13"/>
  <c r="AA454" i="13"/>
  <c r="Z454" i="13"/>
  <c r="Y454" i="13"/>
  <c r="V454" i="13"/>
  <c r="S454" i="13"/>
  <c r="P454" i="13"/>
  <c r="M454" i="13"/>
  <c r="J454" i="13"/>
  <c r="AY453" i="13"/>
  <c r="AU453" i="13"/>
  <c r="AQ453" i="13"/>
  <c r="AM453" i="13"/>
  <c r="AI453" i="13"/>
  <c r="AE453" i="13"/>
  <c r="AA453" i="13"/>
  <c r="Z453" i="13"/>
  <c r="AB453" i="13" s="1"/>
  <c r="Y453" i="13"/>
  <c r="V453" i="13"/>
  <c r="S453" i="13"/>
  <c r="P453" i="13"/>
  <c r="M453" i="13"/>
  <c r="J453" i="13"/>
  <c r="AY452" i="13"/>
  <c r="AU452" i="13"/>
  <c r="AQ452" i="13"/>
  <c r="AM452" i="13"/>
  <c r="AI452" i="13"/>
  <c r="AE452" i="13"/>
  <c r="AA452" i="13"/>
  <c r="Z452" i="13"/>
  <c r="AB452" i="13" s="1"/>
  <c r="Y452" i="13"/>
  <c r="V452" i="13"/>
  <c r="S452" i="13"/>
  <c r="P452" i="13"/>
  <c r="M452" i="13"/>
  <c r="J452" i="13"/>
  <c r="AY451" i="13"/>
  <c r="AU451" i="13"/>
  <c r="AQ451" i="13"/>
  <c r="AM451" i="13"/>
  <c r="AI451" i="13"/>
  <c r="AE451" i="13"/>
  <c r="AA451" i="13"/>
  <c r="Z451" i="13"/>
  <c r="AB451" i="13" s="1"/>
  <c r="Y451" i="13"/>
  <c r="V451" i="13"/>
  <c r="S451" i="13"/>
  <c r="P451" i="13"/>
  <c r="M451" i="13"/>
  <c r="J451" i="13"/>
  <c r="AY450" i="13"/>
  <c r="AU450" i="13"/>
  <c r="AQ450" i="13"/>
  <c r="AM450" i="13"/>
  <c r="AI450" i="13"/>
  <c r="AE450" i="13"/>
  <c r="AA450" i="13"/>
  <c r="Z450" i="13"/>
  <c r="AB450" i="13" s="1"/>
  <c r="Y450" i="13"/>
  <c r="V450" i="13"/>
  <c r="S450" i="13"/>
  <c r="P450" i="13"/>
  <c r="M450" i="13"/>
  <c r="J450" i="13"/>
  <c r="AY449" i="13"/>
  <c r="AU449" i="13"/>
  <c r="AQ449" i="13"/>
  <c r="AM449" i="13"/>
  <c r="AI449" i="13"/>
  <c r="AE449" i="13"/>
  <c r="AA449" i="13"/>
  <c r="Z449" i="13"/>
  <c r="AB449" i="13" s="1"/>
  <c r="Y449" i="13"/>
  <c r="V449" i="13"/>
  <c r="S449" i="13"/>
  <c r="P449" i="13"/>
  <c r="M449" i="13"/>
  <c r="J449" i="13"/>
  <c r="AY448" i="13"/>
  <c r="AU448" i="13"/>
  <c r="AQ448" i="13"/>
  <c r="AM448" i="13"/>
  <c r="AI448" i="13"/>
  <c r="AE448" i="13"/>
  <c r="AA448" i="13"/>
  <c r="Z448" i="13"/>
  <c r="AB448" i="13" s="1"/>
  <c r="Y448" i="13"/>
  <c r="V448" i="13"/>
  <c r="S448" i="13"/>
  <c r="P448" i="13"/>
  <c r="M448" i="13"/>
  <c r="J448" i="13"/>
  <c r="AY447" i="13"/>
  <c r="AU447" i="13"/>
  <c r="AQ447" i="13"/>
  <c r="AM447" i="13"/>
  <c r="AI447" i="13"/>
  <c r="AE447" i="13"/>
  <c r="AA447" i="13"/>
  <c r="Z447" i="13"/>
  <c r="Y447" i="13"/>
  <c r="V447" i="13"/>
  <c r="S447" i="13"/>
  <c r="P447" i="13"/>
  <c r="M447" i="13"/>
  <c r="J447" i="13"/>
  <c r="AY446" i="13"/>
  <c r="AU446" i="13"/>
  <c r="AQ446" i="13"/>
  <c r="AM446" i="13"/>
  <c r="AI446" i="13"/>
  <c r="AE446" i="13"/>
  <c r="AA446" i="13"/>
  <c r="Z446" i="13"/>
  <c r="AB446" i="13" s="1"/>
  <c r="Y446" i="13"/>
  <c r="V446" i="13"/>
  <c r="S446" i="13"/>
  <c r="P446" i="13"/>
  <c r="M446" i="13"/>
  <c r="J446" i="13"/>
  <c r="AY445" i="13"/>
  <c r="AU445" i="13"/>
  <c r="AQ445" i="13"/>
  <c r="AM445" i="13"/>
  <c r="AI445" i="13"/>
  <c r="AE445" i="13"/>
  <c r="AA445" i="13"/>
  <c r="Z445" i="13"/>
  <c r="Y445" i="13"/>
  <c r="V445" i="13"/>
  <c r="S445" i="13"/>
  <c r="P445" i="13"/>
  <c r="M445" i="13"/>
  <c r="J445" i="13"/>
  <c r="AY444" i="13"/>
  <c r="AU444" i="13"/>
  <c r="AQ444" i="13"/>
  <c r="AM444" i="13"/>
  <c r="AI444" i="13"/>
  <c r="AE444" i="13"/>
  <c r="AA444" i="13"/>
  <c r="Z444" i="13"/>
  <c r="AB444" i="13" s="1"/>
  <c r="Y444" i="13"/>
  <c r="V444" i="13"/>
  <c r="S444" i="13"/>
  <c r="P444" i="13"/>
  <c r="M444" i="13"/>
  <c r="J444" i="13"/>
  <c r="AY443" i="13"/>
  <c r="AU443" i="13"/>
  <c r="AQ443" i="13"/>
  <c r="AM443" i="13"/>
  <c r="AI443" i="13"/>
  <c r="AE443" i="13"/>
  <c r="AA443" i="13"/>
  <c r="Z443" i="13"/>
  <c r="AB443" i="13" s="1"/>
  <c r="Y443" i="13"/>
  <c r="V443" i="13"/>
  <c r="S443" i="13"/>
  <c r="P443" i="13"/>
  <c r="M443" i="13"/>
  <c r="J443" i="13"/>
  <c r="AY442" i="13"/>
  <c r="AU442" i="13"/>
  <c r="AQ442" i="13"/>
  <c r="AM442" i="13"/>
  <c r="AI442" i="13"/>
  <c r="AE442" i="13"/>
  <c r="AA442" i="13"/>
  <c r="Z442" i="13"/>
  <c r="Y442" i="13"/>
  <c r="V442" i="13"/>
  <c r="S442" i="13"/>
  <c r="P442" i="13"/>
  <c r="M442" i="13"/>
  <c r="J442" i="13"/>
  <c r="AY441" i="13"/>
  <c r="AU441" i="13"/>
  <c r="AQ441" i="13"/>
  <c r="AM441" i="13"/>
  <c r="AI441" i="13"/>
  <c r="AE441" i="13"/>
  <c r="AA441" i="13"/>
  <c r="Z441" i="13"/>
  <c r="Y441" i="13"/>
  <c r="V441" i="13"/>
  <c r="S441" i="13"/>
  <c r="P441" i="13"/>
  <c r="M441" i="13"/>
  <c r="J441" i="13"/>
  <c r="AY440" i="13"/>
  <c r="AU440" i="13"/>
  <c r="AQ440" i="13"/>
  <c r="AM440" i="13"/>
  <c r="AI440" i="13"/>
  <c r="AE440" i="13"/>
  <c r="AA440" i="13"/>
  <c r="Z440" i="13"/>
  <c r="Y440" i="13"/>
  <c r="V440" i="13"/>
  <c r="S440" i="13"/>
  <c r="P440" i="13"/>
  <c r="M440" i="13"/>
  <c r="J440" i="13"/>
  <c r="AY439" i="13"/>
  <c r="AU439" i="13"/>
  <c r="AQ439" i="13"/>
  <c r="AM439" i="13"/>
  <c r="AI439" i="13"/>
  <c r="AE439" i="13"/>
  <c r="AA439" i="13"/>
  <c r="Z439" i="13"/>
  <c r="AY438" i="13"/>
  <c r="AU438" i="13"/>
  <c r="AQ438" i="13"/>
  <c r="AM438" i="13"/>
  <c r="AI438" i="13"/>
  <c r="AE438" i="13"/>
  <c r="AA438" i="13"/>
  <c r="Z438" i="13"/>
  <c r="AB438" i="13" s="1"/>
  <c r="Y438" i="13"/>
  <c r="V438" i="13"/>
  <c r="S438" i="13"/>
  <c r="P438" i="13"/>
  <c r="M438" i="13"/>
  <c r="J438" i="13"/>
  <c r="AY437" i="13"/>
  <c r="AU437" i="13"/>
  <c r="AQ437" i="13"/>
  <c r="AM437" i="13"/>
  <c r="AI437" i="13"/>
  <c r="AE437" i="13"/>
  <c r="AA437" i="13"/>
  <c r="Z437" i="13"/>
  <c r="Y437" i="13"/>
  <c r="V437" i="13"/>
  <c r="S437" i="13"/>
  <c r="P437" i="13"/>
  <c r="M437" i="13"/>
  <c r="J437" i="13"/>
  <c r="AY436" i="13"/>
  <c r="AU436" i="13"/>
  <c r="AQ436" i="13"/>
  <c r="AM436" i="13"/>
  <c r="AI436" i="13"/>
  <c r="AE436" i="13"/>
  <c r="AA436" i="13"/>
  <c r="Z436" i="13"/>
  <c r="AB436" i="13" s="1"/>
  <c r="Y436" i="13"/>
  <c r="V436" i="13"/>
  <c r="S436" i="13"/>
  <c r="P436" i="13"/>
  <c r="M436" i="13"/>
  <c r="J436" i="13"/>
  <c r="AY435" i="13"/>
  <c r="AU435" i="13"/>
  <c r="AQ435" i="13"/>
  <c r="AM435" i="13"/>
  <c r="AI435" i="13"/>
  <c r="AE435" i="13"/>
  <c r="AA435" i="13"/>
  <c r="Z435" i="13"/>
  <c r="Y435" i="13"/>
  <c r="V435" i="13"/>
  <c r="S435" i="13"/>
  <c r="P435" i="13"/>
  <c r="M435" i="13"/>
  <c r="J435" i="13"/>
  <c r="AY434" i="13"/>
  <c r="AU434" i="13"/>
  <c r="AQ434" i="13"/>
  <c r="AM434" i="13"/>
  <c r="AI434" i="13"/>
  <c r="AE434" i="13"/>
  <c r="AA434" i="13"/>
  <c r="Z434" i="13"/>
  <c r="AB434" i="13" s="1"/>
  <c r="Y434" i="13"/>
  <c r="V434" i="13"/>
  <c r="S434" i="13"/>
  <c r="P434" i="13"/>
  <c r="M434" i="13"/>
  <c r="J434" i="13"/>
  <c r="AY433" i="13"/>
  <c r="AU433" i="13"/>
  <c r="AQ433" i="13"/>
  <c r="AM433" i="13"/>
  <c r="AI433" i="13"/>
  <c r="AE433" i="13"/>
  <c r="AA433" i="13"/>
  <c r="Z433" i="13"/>
  <c r="AB433" i="13" s="1"/>
  <c r="Y433" i="13"/>
  <c r="V433" i="13"/>
  <c r="S433" i="13"/>
  <c r="P433" i="13"/>
  <c r="M433" i="13"/>
  <c r="J433" i="13"/>
  <c r="AY432" i="13"/>
  <c r="AU432" i="13"/>
  <c r="AQ432" i="13"/>
  <c r="AM432" i="13"/>
  <c r="AI432" i="13"/>
  <c r="AE432" i="13"/>
  <c r="AA432" i="13"/>
  <c r="Z432" i="13"/>
  <c r="Y432" i="13"/>
  <c r="V432" i="13"/>
  <c r="S432" i="13"/>
  <c r="P432" i="13"/>
  <c r="M432" i="13"/>
  <c r="J432" i="13"/>
  <c r="AY431" i="13"/>
  <c r="AU431" i="13"/>
  <c r="AQ431" i="13"/>
  <c r="AM431" i="13"/>
  <c r="AI431" i="13"/>
  <c r="AE431" i="13"/>
  <c r="AA431" i="13"/>
  <c r="Z431" i="13"/>
  <c r="AB431" i="13" s="1"/>
  <c r="Y431" i="13"/>
  <c r="V431" i="13"/>
  <c r="S431" i="13"/>
  <c r="P431" i="13"/>
  <c r="M431" i="13"/>
  <c r="J431" i="13"/>
  <c r="AY430" i="13"/>
  <c r="AU430" i="13"/>
  <c r="AQ430" i="13"/>
  <c r="AM430" i="13"/>
  <c r="AI430" i="13"/>
  <c r="AE430" i="13"/>
  <c r="AA430" i="13"/>
  <c r="Z430" i="13"/>
  <c r="Y430" i="13"/>
  <c r="V430" i="13"/>
  <c r="S430" i="13"/>
  <c r="P430" i="13"/>
  <c r="M430" i="13"/>
  <c r="J430" i="13"/>
  <c r="AY429" i="13"/>
  <c r="AU429" i="13"/>
  <c r="AQ429" i="13"/>
  <c r="AM429" i="13"/>
  <c r="AI429" i="13"/>
  <c r="AE429" i="13"/>
  <c r="AA429" i="13"/>
  <c r="Z429" i="13"/>
  <c r="Y429" i="13"/>
  <c r="V429" i="13"/>
  <c r="S429" i="13"/>
  <c r="P429" i="13"/>
  <c r="M429" i="13"/>
  <c r="J429" i="13"/>
  <c r="AY428" i="13"/>
  <c r="AU428" i="13"/>
  <c r="AQ428" i="13"/>
  <c r="AM428" i="13"/>
  <c r="AI428" i="13"/>
  <c r="AE428" i="13"/>
  <c r="AA428" i="13"/>
  <c r="Z428" i="13"/>
  <c r="Y428" i="13"/>
  <c r="V428" i="13"/>
  <c r="S428" i="13"/>
  <c r="P428" i="13"/>
  <c r="M428" i="13"/>
  <c r="J428" i="13"/>
  <c r="AY427" i="13"/>
  <c r="AU427" i="13"/>
  <c r="AQ427" i="13"/>
  <c r="AM427" i="13"/>
  <c r="AI427" i="13"/>
  <c r="AE427" i="13"/>
  <c r="AA427" i="13"/>
  <c r="Z427" i="13"/>
  <c r="Y427" i="13"/>
  <c r="V427" i="13"/>
  <c r="S427" i="13"/>
  <c r="P427" i="13"/>
  <c r="M427" i="13"/>
  <c r="J427" i="13"/>
  <c r="AY426" i="13"/>
  <c r="AU426" i="13"/>
  <c r="AQ426" i="13"/>
  <c r="AM426" i="13"/>
  <c r="AI426" i="13"/>
  <c r="AE426" i="13"/>
  <c r="AA426" i="13"/>
  <c r="Z426" i="13"/>
  <c r="Y426" i="13"/>
  <c r="V426" i="13"/>
  <c r="S426" i="13"/>
  <c r="P426" i="13"/>
  <c r="M426" i="13"/>
  <c r="J426" i="13"/>
  <c r="AY425" i="13"/>
  <c r="AU425" i="13"/>
  <c r="AQ425" i="13"/>
  <c r="AM425" i="13"/>
  <c r="AI425" i="13"/>
  <c r="AE425" i="13"/>
  <c r="AA425" i="13"/>
  <c r="Z425" i="13"/>
  <c r="Y425" i="13"/>
  <c r="V425" i="13"/>
  <c r="S425" i="13"/>
  <c r="P425" i="13"/>
  <c r="M425" i="13"/>
  <c r="J425" i="13"/>
  <c r="AY424" i="13"/>
  <c r="AU424" i="13"/>
  <c r="AQ424" i="13"/>
  <c r="AM424" i="13"/>
  <c r="AI424" i="13"/>
  <c r="AE424" i="13"/>
  <c r="AA424" i="13"/>
  <c r="Z424" i="13"/>
  <c r="Y424" i="13"/>
  <c r="V424" i="13"/>
  <c r="S424" i="13"/>
  <c r="P424" i="13"/>
  <c r="M424" i="13"/>
  <c r="J424" i="13"/>
  <c r="AY423" i="13"/>
  <c r="AU423" i="13"/>
  <c r="AQ423" i="13"/>
  <c r="AM423" i="13"/>
  <c r="AI423" i="13"/>
  <c r="AE423" i="13"/>
  <c r="AA423" i="13"/>
  <c r="Z423" i="13"/>
  <c r="Y423" i="13"/>
  <c r="V423" i="13"/>
  <c r="S423" i="13"/>
  <c r="P423" i="13"/>
  <c r="M423" i="13"/>
  <c r="J423" i="13"/>
  <c r="AY422" i="13"/>
  <c r="AU422" i="13"/>
  <c r="AQ422" i="13"/>
  <c r="AM422" i="13"/>
  <c r="AI422" i="13"/>
  <c r="AE422" i="13"/>
  <c r="AA422" i="13"/>
  <c r="Z422" i="13"/>
  <c r="Y422" i="13"/>
  <c r="V422" i="13"/>
  <c r="S422" i="13"/>
  <c r="P422" i="13"/>
  <c r="M422" i="13"/>
  <c r="J422" i="13"/>
  <c r="AY421" i="13"/>
  <c r="AU421" i="13"/>
  <c r="AQ421" i="13"/>
  <c r="AM421" i="13"/>
  <c r="AI421" i="13"/>
  <c r="AE421" i="13"/>
  <c r="AA421" i="13"/>
  <c r="Z421" i="13"/>
  <c r="Y421" i="13"/>
  <c r="V421" i="13"/>
  <c r="S421" i="13"/>
  <c r="P421" i="13"/>
  <c r="M421" i="13"/>
  <c r="J421" i="13"/>
  <c r="AY420" i="13"/>
  <c r="AU420" i="13"/>
  <c r="AQ420" i="13"/>
  <c r="AM420" i="13"/>
  <c r="AI420" i="13"/>
  <c r="AE420" i="13"/>
  <c r="AA420" i="13"/>
  <c r="Z420" i="13"/>
  <c r="Y420" i="13"/>
  <c r="V420" i="13"/>
  <c r="S420" i="13"/>
  <c r="P420" i="13"/>
  <c r="M420" i="13"/>
  <c r="J420" i="13"/>
  <c r="AY419" i="13"/>
  <c r="AU419" i="13"/>
  <c r="AQ419" i="13"/>
  <c r="AM419" i="13"/>
  <c r="AI419" i="13"/>
  <c r="AE419" i="13"/>
  <c r="AA419" i="13"/>
  <c r="Z419" i="13"/>
  <c r="Y419" i="13"/>
  <c r="V419" i="13"/>
  <c r="S419" i="13"/>
  <c r="P419" i="13"/>
  <c r="M419" i="13"/>
  <c r="J419" i="13"/>
  <c r="AY418" i="13"/>
  <c r="AU418" i="13"/>
  <c r="AQ418" i="13"/>
  <c r="AM418" i="13"/>
  <c r="AI418" i="13"/>
  <c r="AE418" i="13"/>
  <c r="AA418" i="13"/>
  <c r="Z418" i="13"/>
  <c r="AB418" i="13" s="1"/>
  <c r="Y418" i="13"/>
  <c r="V418" i="13"/>
  <c r="S418" i="13"/>
  <c r="P418" i="13"/>
  <c r="M418" i="13"/>
  <c r="J418" i="13"/>
  <c r="AY417" i="13"/>
  <c r="AU417" i="13"/>
  <c r="AQ417" i="13"/>
  <c r="AM417" i="13"/>
  <c r="AI417" i="13"/>
  <c r="AE417" i="13"/>
  <c r="AA417" i="13"/>
  <c r="Z417" i="13"/>
  <c r="AB417" i="13" s="1"/>
  <c r="Y417" i="13"/>
  <c r="V417" i="13"/>
  <c r="S417" i="13"/>
  <c r="P417" i="13"/>
  <c r="M417" i="13"/>
  <c r="J417" i="13"/>
  <c r="AY416" i="13"/>
  <c r="AU416" i="13"/>
  <c r="AQ416" i="13"/>
  <c r="AM416" i="13"/>
  <c r="AI416" i="13"/>
  <c r="AE416" i="13"/>
  <c r="AA416" i="13"/>
  <c r="Z416" i="13"/>
  <c r="Y416" i="13"/>
  <c r="V416" i="13"/>
  <c r="S416" i="13"/>
  <c r="P416" i="13"/>
  <c r="M416" i="13"/>
  <c r="J416" i="13"/>
  <c r="AY415" i="13"/>
  <c r="AU415" i="13"/>
  <c r="AQ415" i="13"/>
  <c r="AM415" i="13"/>
  <c r="AI415" i="13"/>
  <c r="AE415" i="13"/>
  <c r="AA415" i="13"/>
  <c r="Z415" i="13"/>
  <c r="Y415" i="13"/>
  <c r="V415" i="13"/>
  <c r="S415" i="13"/>
  <c r="P415" i="13"/>
  <c r="M415" i="13"/>
  <c r="J415" i="13"/>
  <c r="AY414" i="13"/>
  <c r="AU414" i="13"/>
  <c r="AQ414" i="13"/>
  <c r="AM414" i="13"/>
  <c r="AI414" i="13"/>
  <c r="AE414" i="13"/>
  <c r="AA414" i="13"/>
  <c r="Z414" i="13"/>
  <c r="Y414" i="13"/>
  <c r="V414" i="13"/>
  <c r="S414" i="13"/>
  <c r="P414" i="13"/>
  <c r="M414" i="13"/>
  <c r="J414" i="13"/>
  <c r="AY413" i="13"/>
  <c r="AU413" i="13"/>
  <c r="AQ413" i="13"/>
  <c r="AM413" i="13"/>
  <c r="AI413" i="13"/>
  <c r="AE413" i="13"/>
  <c r="AA413" i="13"/>
  <c r="Z413" i="13"/>
  <c r="Y413" i="13"/>
  <c r="V413" i="13"/>
  <c r="S413" i="13"/>
  <c r="P413" i="13"/>
  <c r="M413" i="13"/>
  <c r="J413" i="13"/>
  <c r="AY412" i="13"/>
  <c r="AU412" i="13"/>
  <c r="AQ412" i="13"/>
  <c r="AM412" i="13"/>
  <c r="AI412" i="13"/>
  <c r="AE412" i="13"/>
  <c r="AA412" i="13"/>
  <c r="Z412" i="13"/>
  <c r="Y412" i="13"/>
  <c r="V412" i="13"/>
  <c r="S412" i="13"/>
  <c r="P412" i="13"/>
  <c r="M412" i="13"/>
  <c r="J412" i="13"/>
  <c r="AY411" i="13"/>
  <c r="AU411" i="13"/>
  <c r="AQ411" i="13"/>
  <c r="AM411" i="13"/>
  <c r="AI411" i="13"/>
  <c r="AE411" i="13"/>
  <c r="AA411" i="13"/>
  <c r="Z411" i="13"/>
  <c r="Y411" i="13"/>
  <c r="V411" i="13"/>
  <c r="S411" i="13"/>
  <c r="P411" i="13"/>
  <c r="M411" i="13"/>
  <c r="J411" i="13"/>
  <c r="AY410" i="13"/>
  <c r="AU410" i="13"/>
  <c r="AQ410" i="13"/>
  <c r="AM410" i="13"/>
  <c r="AI410" i="13"/>
  <c r="AE410" i="13"/>
  <c r="AA410" i="13"/>
  <c r="Z410" i="13"/>
  <c r="Y410" i="13"/>
  <c r="V410" i="13"/>
  <c r="S410" i="13"/>
  <c r="P410" i="13"/>
  <c r="M410" i="13"/>
  <c r="J410" i="13"/>
  <c r="AY409" i="13"/>
  <c r="AU409" i="13"/>
  <c r="AQ409" i="13"/>
  <c r="AM409" i="13"/>
  <c r="AI409" i="13"/>
  <c r="AE409" i="13"/>
  <c r="AA409" i="13"/>
  <c r="Z409" i="13"/>
  <c r="Y409" i="13"/>
  <c r="V409" i="13"/>
  <c r="S409" i="13"/>
  <c r="P409" i="13"/>
  <c r="M409" i="13"/>
  <c r="J409" i="13"/>
  <c r="AY408" i="13"/>
  <c r="AU408" i="13"/>
  <c r="AQ408" i="13"/>
  <c r="AM408" i="13"/>
  <c r="AI408" i="13"/>
  <c r="AE408" i="13"/>
  <c r="AA408" i="13"/>
  <c r="Z408" i="13"/>
  <c r="AY407" i="13"/>
  <c r="AU407" i="13"/>
  <c r="AQ407" i="13"/>
  <c r="AM407" i="13"/>
  <c r="AI407" i="13"/>
  <c r="AE407" i="13"/>
  <c r="AA407" i="13"/>
  <c r="Z407" i="13"/>
  <c r="AB407" i="13" s="1"/>
  <c r="Y407" i="13"/>
  <c r="V407" i="13"/>
  <c r="S407" i="13"/>
  <c r="P407" i="13"/>
  <c r="M407" i="13"/>
  <c r="J407" i="13"/>
  <c r="AY406" i="13"/>
  <c r="AU406" i="13"/>
  <c r="AQ406" i="13"/>
  <c r="AM406" i="13"/>
  <c r="AI406" i="13"/>
  <c r="AE406" i="13"/>
  <c r="AA406" i="13"/>
  <c r="Z406" i="13"/>
  <c r="Y406" i="13"/>
  <c r="V406" i="13"/>
  <c r="S406" i="13"/>
  <c r="P406" i="13"/>
  <c r="M406" i="13"/>
  <c r="J406" i="13"/>
  <c r="AY405" i="13"/>
  <c r="AU405" i="13"/>
  <c r="AQ405" i="13"/>
  <c r="AM405" i="13"/>
  <c r="AI405" i="13"/>
  <c r="AE405" i="13"/>
  <c r="AA405" i="13"/>
  <c r="Z405" i="13"/>
  <c r="AB405" i="13" s="1"/>
  <c r="Y405" i="13"/>
  <c r="V405" i="13"/>
  <c r="S405" i="13"/>
  <c r="P405" i="13"/>
  <c r="M405" i="13"/>
  <c r="J405" i="13"/>
  <c r="AY404" i="13"/>
  <c r="AU404" i="13"/>
  <c r="AQ404" i="13"/>
  <c r="AM404" i="13"/>
  <c r="AI404" i="13"/>
  <c r="AE404" i="13"/>
  <c r="AA404" i="13"/>
  <c r="Z404" i="13"/>
  <c r="Y404" i="13"/>
  <c r="V404" i="13"/>
  <c r="S404" i="13"/>
  <c r="P404" i="13"/>
  <c r="M404" i="13"/>
  <c r="J404" i="13"/>
  <c r="AY403" i="13"/>
  <c r="AU403" i="13"/>
  <c r="AQ403" i="13"/>
  <c r="AM403" i="13"/>
  <c r="AI403" i="13"/>
  <c r="AE403" i="13"/>
  <c r="AA403" i="13"/>
  <c r="Z403" i="13"/>
  <c r="AB403" i="13" s="1"/>
  <c r="Y403" i="13"/>
  <c r="V403" i="13"/>
  <c r="S403" i="13"/>
  <c r="P403" i="13"/>
  <c r="M403" i="13"/>
  <c r="J403" i="13"/>
  <c r="AY402" i="13"/>
  <c r="AU402" i="13"/>
  <c r="AQ402" i="13"/>
  <c r="AM402" i="13"/>
  <c r="AI402" i="13"/>
  <c r="AE402" i="13"/>
  <c r="AA402" i="13"/>
  <c r="Z402" i="13"/>
  <c r="AB402" i="13" s="1"/>
  <c r="Y402" i="13"/>
  <c r="V402" i="13"/>
  <c r="S402" i="13"/>
  <c r="P402" i="13"/>
  <c r="M402" i="13"/>
  <c r="J402" i="13"/>
  <c r="AY401" i="13"/>
  <c r="AU401" i="13"/>
  <c r="AQ401" i="13"/>
  <c r="AM401" i="13"/>
  <c r="AI401" i="13"/>
  <c r="AE401" i="13"/>
  <c r="AA401" i="13"/>
  <c r="Z401" i="13"/>
  <c r="Y401" i="13"/>
  <c r="V401" i="13"/>
  <c r="S401" i="13"/>
  <c r="P401" i="13"/>
  <c r="M401" i="13"/>
  <c r="J401" i="13"/>
  <c r="AY400" i="13"/>
  <c r="AU400" i="13"/>
  <c r="AQ400" i="13"/>
  <c r="AM400" i="13"/>
  <c r="AI400" i="13"/>
  <c r="AE400" i="13"/>
  <c r="AA400" i="13"/>
  <c r="Z400" i="13"/>
  <c r="AB400" i="13" s="1"/>
  <c r="Y400" i="13"/>
  <c r="V400" i="13"/>
  <c r="S400" i="13"/>
  <c r="P400" i="13"/>
  <c r="M400" i="13"/>
  <c r="J400" i="13"/>
  <c r="AY399" i="13"/>
  <c r="AU399" i="13"/>
  <c r="AQ399" i="13"/>
  <c r="AM399" i="13"/>
  <c r="AI399" i="13"/>
  <c r="AE399" i="13"/>
  <c r="AA399" i="13"/>
  <c r="Z399" i="13"/>
  <c r="Y399" i="13"/>
  <c r="V399" i="13"/>
  <c r="S399" i="13"/>
  <c r="P399" i="13"/>
  <c r="M399" i="13"/>
  <c r="J399" i="13"/>
  <c r="AY398" i="13"/>
  <c r="AU398" i="13"/>
  <c r="AQ398" i="13"/>
  <c r="AM398" i="13"/>
  <c r="AI398" i="13"/>
  <c r="AE398" i="13"/>
  <c r="AA398" i="13"/>
  <c r="Z398" i="13"/>
  <c r="Y398" i="13"/>
  <c r="V398" i="13"/>
  <c r="S398" i="13"/>
  <c r="P398" i="13"/>
  <c r="M398" i="13"/>
  <c r="J398" i="13"/>
  <c r="AY397" i="13"/>
  <c r="AU397" i="13"/>
  <c r="AQ397" i="13"/>
  <c r="AM397" i="13"/>
  <c r="AI397" i="13"/>
  <c r="AE397" i="13"/>
  <c r="AA397" i="13"/>
  <c r="Z397" i="13"/>
  <c r="Y397" i="13"/>
  <c r="V397" i="13"/>
  <c r="S397" i="13"/>
  <c r="P397" i="13"/>
  <c r="M397" i="13"/>
  <c r="J397" i="13"/>
  <c r="AY396" i="13"/>
  <c r="AU396" i="13"/>
  <c r="AQ396" i="13"/>
  <c r="AM396" i="13"/>
  <c r="AI396" i="13"/>
  <c r="AE396" i="13"/>
  <c r="AA396" i="13"/>
  <c r="Z396" i="13"/>
  <c r="Y396" i="13"/>
  <c r="V396" i="13"/>
  <c r="S396" i="13"/>
  <c r="P396" i="13"/>
  <c r="M396" i="13"/>
  <c r="J396" i="13"/>
  <c r="AY395" i="13"/>
  <c r="AU395" i="13"/>
  <c r="AQ395" i="13"/>
  <c r="AM395" i="13"/>
  <c r="AI395" i="13"/>
  <c r="AE395" i="13"/>
  <c r="AA395" i="13"/>
  <c r="Z395" i="13"/>
  <c r="Y395" i="13"/>
  <c r="V395" i="13"/>
  <c r="S395" i="13"/>
  <c r="P395" i="13"/>
  <c r="M395" i="13"/>
  <c r="J395" i="13"/>
  <c r="AY394" i="13"/>
  <c r="AU394" i="13"/>
  <c r="AQ394" i="13"/>
  <c r="AM394" i="13"/>
  <c r="AI394" i="13"/>
  <c r="AE394" i="13"/>
  <c r="AA394" i="13"/>
  <c r="Z394" i="13"/>
  <c r="Y394" i="13"/>
  <c r="V394" i="13"/>
  <c r="S394" i="13"/>
  <c r="P394" i="13"/>
  <c r="M394" i="13"/>
  <c r="J394" i="13"/>
  <c r="AY393" i="13"/>
  <c r="AU393" i="13"/>
  <c r="AQ393" i="13"/>
  <c r="AM393" i="13"/>
  <c r="AI393" i="13"/>
  <c r="AE393" i="13"/>
  <c r="AA393" i="13"/>
  <c r="Z393" i="13"/>
  <c r="AB393" i="13" s="1"/>
  <c r="Y393" i="13"/>
  <c r="V393" i="13"/>
  <c r="S393" i="13"/>
  <c r="P393" i="13"/>
  <c r="M393" i="13"/>
  <c r="J393" i="13"/>
  <c r="AY392" i="13"/>
  <c r="AU392" i="13"/>
  <c r="AQ392" i="13"/>
  <c r="AM392" i="13"/>
  <c r="AI392" i="13"/>
  <c r="AE392" i="13"/>
  <c r="AA392" i="13"/>
  <c r="Z392" i="13"/>
  <c r="Y392" i="13"/>
  <c r="V392" i="13"/>
  <c r="S392" i="13"/>
  <c r="P392" i="13"/>
  <c r="M392" i="13"/>
  <c r="J392" i="13"/>
  <c r="AY391" i="13"/>
  <c r="AU391" i="13"/>
  <c r="AQ391" i="13"/>
  <c r="AM391" i="13"/>
  <c r="AI391" i="13"/>
  <c r="AE391" i="13"/>
  <c r="AA391" i="13"/>
  <c r="Z391" i="13"/>
  <c r="Y391" i="13"/>
  <c r="V391" i="13"/>
  <c r="S391" i="13"/>
  <c r="P391" i="13"/>
  <c r="M391" i="13"/>
  <c r="J391" i="13"/>
  <c r="AY390" i="13"/>
  <c r="AU390" i="13"/>
  <c r="AQ390" i="13"/>
  <c r="AM390" i="13"/>
  <c r="AI390" i="13"/>
  <c r="AE390" i="13"/>
  <c r="AA390" i="13"/>
  <c r="Z390" i="13"/>
  <c r="Y390" i="13"/>
  <c r="V390" i="13"/>
  <c r="S390" i="13"/>
  <c r="P390" i="13"/>
  <c r="M390" i="13"/>
  <c r="J390" i="13"/>
  <c r="AY389" i="13"/>
  <c r="AU389" i="13"/>
  <c r="AQ389" i="13"/>
  <c r="AM389" i="13"/>
  <c r="AI389" i="13"/>
  <c r="AE389" i="13"/>
  <c r="AA389" i="13"/>
  <c r="Z389" i="13"/>
  <c r="Y389" i="13"/>
  <c r="V389" i="13"/>
  <c r="S389" i="13"/>
  <c r="P389" i="13"/>
  <c r="M389" i="13"/>
  <c r="J389" i="13"/>
  <c r="AY388" i="13"/>
  <c r="AU388" i="13"/>
  <c r="AQ388" i="13"/>
  <c r="AM388" i="13"/>
  <c r="AI388" i="13"/>
  <c r="AE388" i="13"/>
  <c r="AA388" i="13"/>
  <c r="Z388" i="13"/>
  <c r="Y388" i="13"/>
  <c r="V388" i="13"/>
  <c r="S388" i="13"/>
  <c r="P388" i="13"/>
  <c r="M388" i="13"/>
  <c r="J388" i="13"/>
  <c r="AY387" i="13"/>
  <c r="AU387" i="13"/>
  <c r="AQ387" i="13"/>
  <c r="AM387" i="13"/>
  <c r="AI387" i="13"/>
  <c r="AE387" i="13"/>
  <c r="AA387" i="13"/>
  <c r="Z387" i="13"/>
  <c r="AB387" i="13" s="1"/>
  <c r="Y387" i="13"/>
  <c r="V387" i="13"/>
  <c r="S387" i="13"/>
  <c r="P387" i="13"/>
  <c r="M387" i="13"/>
  <c r="J387" i="13"/>
  <c r="AY386" i="13"/>
  <c r="AU386" i="13"/>
  <c r="AQ386" i="13"/>
  <c r="AM386" i="13"/>
  <c r="AI386" i="13"/>
  <c r="AE386" i="13"/>
  <c r="AA386" i="13"/>
  <c r="Z386" i="13"/>
  <c r="AB386" i="13" s="1"/>
  <c r="Y386" i="13"/>
  <c r="V386" i="13"/>
  <c r="S386" i="13"/>
  <c r="P386" i="13"/>
  <c r="M386" i="13"/>
  <c r="J386" i="13"/>
  <c r="AY385" i="13"/>
  <c r="AU385" i="13"/>
  <c r="AQ385" i="13"/>
  <c r="AM385" i="13"/>
  <c r="AI385" i="13"/>
  <c r="AE385" i="13"/>
  <c r="AA385" i="13"/>
  <c r="Z385" i="13"/>
  <c r="Y385" i="13"/>
  <c r="V385" i="13"/>
  <c r="S385" i="13"/>
  <c r="P385" i="13"/>
  <c r="M385" i="13"/>
  <c r="J385" i="13"/>
  <c r="AY384" i="13"/>
  <c r="AU384" i="13"/>
  <c r="AQ384" i="13"/>
  <c r="AM384" i="13"/>
  <c r="AI384" i="13"/>
  <c r="AE384" i="13"/>
  <c r="AA384" i="13"/>
  <c r="Z384" i="13"/>
  <c r="Y384" i="13"/>
  <c r="V384" i="13"/>
  <c r="S384" i="13"/>
  <c r="P384" i="13"/>
  <c r="M384" i="13"/>
  <c r="J384" i="13"/>
  <c r="AY383" i="13"/>
  <c r="AU383" i="13"/>
  <c r="AQ383" i="13"/>
  <c r="AM383" i="13"/>
  <c r="AI383" i="13"/>
  <c r="AE383" i="13"/>
  <c r="AA383" i="13"/>
  <c r="Z383" i="13"/>
  <c r="Y383" i="13"/>
  <c r="V383" i="13"/>
  <c r="S383" i="13"/>
  <c r="P383" i="13"/>
  <c r="M383" i="13"/>
  <c r="J383" i="13"/>
  <c r="AY382" i="13"/>
  <c r="AU382" i="13"/>
  <c r="AQ382" i="13"/>
  <c r="AM382" i="13"/>
  <c r="AI382" i="13"/>
  <c r="AE382" i="13"/>
  <c r="AA382" i="13"/>
  <c r="Z382" i="13"/>
  <c r="Y382" i="13"/>
  <c r="V382" i="13"/>
  <c r="S382" i="13"/>
  <c r="P382" i="13"/>
  <c r="M382" i="13"/>
  <c r="J382" i="13"/>
  <c r="AY381" i="13"/>
  <c r="AU381" i="13"/>
  <c r="AQ381" i="13"/>
  <c r="AM381" i="13"/>
  <c r="AI381" i="13"/>
  <c r="AE381" i="13"/>
  <c r="AA381" i="13"/>
  <c r="Z381" i="13"/>
  <c r="Y381" i="13"/>
  <c r="V381" i="13"/>
  <c r="S381" i="13"/>
  <c r="P381" i="13"/>
  <c r="M381" i="13"/>
  <c r="J381" i="13"/>
  <c r="AY380" i="13"/>
  <c r="AU380" i="13"/>
  <c r="AQ380" i="13"/>
  <c r="AM380" i="13"/>
  <c r="AI380" i="13"/>
  <c r="AE380" i="13"/>
  <c r="AA380" i="13"/>
  <c r="Z380" i="13"/>
  <c r="Y380" i="13"/>
  <c r="V380" i="13"/>
  <c r="S380" i="13"/>
  <c r="P380" i="13"/>
  <c r="M380" i="13"/>
  <c r="J380" i="13"/>
  <c r="AY379" i="13"/>
  <c r="AU379" i="13"/>
  <c r="AQ379" i="13"/>
  <c r="AM379" i="13"/>
  <c r="AI379" i="13"/>
  <c r="AE379" i="13"/>
  <c r="AA379" i="13"/>
  <c r="Z379" i="13"/>
  <c r="Y379" i="13"/>
  <c r="V379" i="13"/>
  <c r="S379" i="13"/>
  <c r="P379" i="13"/>
  <c r="M379" i="13"/>
  <c r="J379" i="13"/>
  <c r="AY378" i="13"/>
  <c r="AU378" i="13"/>
  <c r="AQ378" i="13"/>
  <c r="AM378" i="13"/>
  <c r="AI378" i="13"/>
  <c r="AE378" i="13"/>
  <c r="AA378" i="13"/>
  <c r="Z378" i="13"/>
  <c r="Y378" i="13"/>
  <c r="V378" i="13"/>
  <c r="S378" i="13"/>
  <c r="P378" i="13"/>
  <c r="M378" i="13"/>
  <c r="J378" i="13"/>
  <c r="AY377" i="13"/>
  <c r="AU377" i="13"/>
  <c r="AQ377" i="13"/>
  <c r="AM377" i="13"/>
  <c r="AI377" i="13"/>
  <c r="AE377" i="13"/>
  <c r="AA377" i="13"/>
  <c r="Z377" i="13"/>
  <c r="AY376" i="13"/>
  <c r="AU376" i="13"/>
  <c r="AQ376" i="13"/>
  <c r="AM376" i="13"/>
  <c r="AI376" i="13"/>
  <c r="AE376" i="13"/>
  <c r="AA376" i="13"/>
  <c r="Z376" i="13"/>
  <c r="AB376" i="13" s="1"/>
  <c r="Y376" i="13"/>
  <c r="V376" i="13"/>
  <c r="S376" i="13"/>
  <c r="P376" i="13"/>
  <c r="M376" i="13"/>
  <c r="J376" i="13"/>
  <c r="AY375" i="13"/>
  <c r="AU375" i="13"/>
  <c r="AQ375" i="13"/>
  <c r="AM375" i="13"/>
  <c r="AI375" i="13"/>
  <c r="AE375" i="13"/>
  <c r="AA375" i="13"/>
  <c r="Z375" i="13"/>
  <c r="AB375" i="13" s="1"/>
  <c r="Y375" i="13"/>
  <c r="V375" i="13"/>
  <c r="S375" i="13"/>
  <c r="P375" i="13"/>
  <c r="M375" i="13"/>
  <c r="J375" i="13"/>
  <c r="AY374" i="13"/>
  <c r="AU374" i="13"/>
  <c r="AQ374" i="13"/>
  <c r="AM374" i="13"/>
  <c r="AI374" i="13"/>
  <c r="AE374" i="13"/>
  <c r="AA374" i="13"/>
  <c r="Z374" i="13"/>
  <c r="Y374" i="13"/>
  <c r="V374" i="13"/>
  <c r="S374" i="13"/>
  <c r="P374" i="13"/>
  <c r="M374" i="13"/>
  <c r="J374" i="13"/>
  <c r="AY373" i="13"/>
  <c r="AU373" i="13"/>
  <c r="AQ373" i="13"/>
  <c r="AM373" i="13"/>
  <c r="AI373" i="13"/>
  <c r="AE373" i="13"/>
  <c r="AA373" i="13"/>
  <c r="Z373" i="13"/>
  <c r="Y373" i="13"/>
  <c r="V373" i="13"/>
  <c r="S373" i="13"/>
  <c r="P373" i="13"/>
  <c r="M373" i="13"/>
  <c r="J373" i="13"/>
  <c r="AY372" i="13"/>
  <c r="AU372" i="13"/>
  <c r="AQ372" i="13"/>
  <c r="AM372" i="13"/>
  <c r="AI372" i="13"/>
  <c r="AE372" i="13"/>
  <c r="AA372" i="13"/>
  <c r="Z372" i="13"/>
  <c r="AB372" i="13" s="1"/>
  <c r="Y372" i="13"/>
  <c r="V372" i="13"/>
  <c r="S372" i="13"/>
  <c r="P372" i="13"/>
  <c r="M372" i="13"/>
  <c r="J372" i="13"/>
  <c r="AY371" i="13"/>
  <c r="AU371" i="13"/>
  <c r="AQ371" i="13"/>
  <c r="AM371" i="13"/>
  <c r="AI371" i="13"/>
  <c r="AE371" i="13"/>
  <c r="AA371" i="13"/>
  <c r="Z371" i="13"/>
  <c r="AB371" i="13" s="1"/>
  <c r="Y371" i="13"/>
  <c r="V371" i="13"/>
  <c r="S371" i="13"/>
  <c r="P371" i="13"/>
  <c r="M371" i="13"/>
  <c r="J371" i="13"/>
  <c r="AY370" i="13"/>
  <c r="AU370" i="13"/>
  <c r="AQ370" i="13"/>
  <c r="AM370" i="13"/>
  <c r="AI370" i="13"/>
  <c r="AE370" i="13"/>
  <c r="AA370" i="13"/>
  <c r="Z370" i="13"/>
  <c r="Y370" i="13"/>
  <c r="V370" i="13"/>
  <c r="S370" i="13"/>
  <c r="P370" i="13"/>
  <c r="M370" i="13"/>
  <c r="J370" i="13"/>
  <c r="AY369" i="13"/>
  <c r="AU369" i="13"/>
  <c r="AQ369" i="13"/>
  <c r="AM369" i="13"/>
  <c r="AI369" i="13"/>
  <c r="AE369" i="13"/>
  <c r="AA369" i="13"/>
  <c r="Z369" i="13"/>
  <c r="AB369" i="13" s="1"/>
  <c r="Y369" i="13"/>
  <c r="V369" i="13"/>
  <c r="S369" i="13"/>
  <c r="P369" i="13"/>
  <c r="M369" i="13"/>
  <c r="J369" i="13"/>
  <c r="AY368" i="13"/>
  <c r="AU368" i="13"/>
  <c r="AQ368" i="13"/>
  <c r="AM368" i="13"/>
  <c r="AI368" i="13"/>
  <c r="AE368" i="13"/>
  <c r="AA368" i="13"/>
  <c r="Z368" i="13"/>
  <c r="Y368" i="13"/>
  <c r="V368" i="13"/>
  <c r="S368" i="13"/>
  <c r="P368" i="13"/>
  <c r="M368" i="13"/>
  <c r="J368" i="13"/>
  <c r="AY367" i="13"/>
  <c r="AU367" i="13"/>
  <c r="AQ367" i="13"/>
  <c r="AM367" i="13"/>
  <c r="AI367" i="13"/>
  <c r="AE367" i="13"/>
  <c r="AA367" i="13"/>
  <c r="Z367" i="13"/>
  <c r="Y367" i="13"/>
  <c r="V367" i="13"/>
  <c r="S367" i="13"/>
  <c r="P367" i="13"/>
  <c r="M367" i="13"/>
  <c r="J367" i="13"/>
  <c r="AY366" i="13"/>
  <c r="AU366" i="13"/>
  <c r="AQ366" i="13"/>
  <c r="AM366" i="13"/>
  <c r="AI366" i="13"/>
  <c r="AE366" i="13"/>
  <c r="AA366" i="13"/>
  <c r="Z366" i="13"/>
  <c r="Y366" i="13"/>
  <c r="V366" i="13"/>
  <c r="S366" i="13"/>
  <c r="P366" i="13"/>
  <c r="M366" i="13"/>
  <c r="J366" i="13"/>
  <c r="AY365" i="13"/>
  <c r="AU365" i="13"/>
  <c r="AQ365" i="13"/>
  <c r="AM365" i="13"/>
  <c r="AI365" i="13"/>
  <c r="AE365" i="13"/>
  <c r="AA365" i="13"/>
  <c r="Z365" i="13"/>
  <c r="Y365" i="13"/>
  <c r="V365" i="13"/>
  <c r="S365" i="13"/>
  <c r="P365" i="13"/>
  <c r="M365" i="13"/>
  <c r="J365" i="13"/>
  <c r="AY364" i="13"/>
  <c r="AU364" i="13"/>
  <c r="AQ364" i="13"/>
  <c r="AM364" i="13"/>
  <c r="AI364" i="13"/>
  <c r="AE364" i="13"/>
  <c r="AA364" i="13"/>
  <c r="Z364" i="13"/>
  <c r="AB364" i="13" s="1"/>
  <c r="Y364" i="13"/>
  <c r="V364" i="13"/>
  <c r="S364" i="13"/>
  <c r="P364" i="13"/>
  <c r="M364" i="13"/>
  <c r="J364" i="13"/>
  <c r="AY363" i="13"/>
  <c r="AU363" i="13"/>
  <c r="AQ363" i="13"/>
  <c r="AM363" i="13"/>
  <c r="AI363" i="13"/>
  <c r="AE363" i="13"/>
  <c r="AA363" i="13"/>
  <c r="Z363" i="13"/>
  <c r="AB363" i="13" s="1"/>
  <c r="Y363" i="13"/>
  <c r="V363" i="13"/>
  <c r="S363" i="13"/>
  <c r="P363" i="13"/>
  <c r="M363" i="13"/>
  <c r="J363" i="13"/>
  <c r="AY362" i="13"/>
  <c r="AU362" i="13"/>
  <c r="AQ362" i="13"/>
  <c r="AM362" i="13"/>
  <c r="AI362" i="13"/>
  <c r="AE362" i="13"/>
  <c r="AA362" i="13"/>
  <c r="Z362" i="13"/>
  <c r="Y362" i="13"/>
  <c r="V362" i="13"/>
  <c r="S362" i="13"/>
  <c r="P362" i="13"/>
  <c r="M362" i="13"/>
  <c r="J362" i="13"/>
  <c r="AY361" i="13"/>
  <c r="AU361" i="13"/>
  <c r="AQ361" i="13"/>
  <c r="AM361" i="13"/>
  <c r="AI361" i="13"/>
  <c r="AE361" i="13"/>
  <c r="AA361" i="13"/>
  <c r="Z361" i="13"/>
  <c r="Y361" i="13"/>
  <c r="V361" i="13"/>
  <c r="S361" i="13"/>
  <c r="P361" i="13"/>
  <c r="M361" i="13"/>
  <c r="J361" i="13"/>
  <c r="AY360" i="13"/>
  <c r="AU360" i="13"/>
  <c r="AQ360" i="13"/>
  <c r="AM360" i="13"/>
  <c r="AI360" i="13"/>
  <c r="AE360" i="13"/>
  <c r="AA360" i="13"/>
  <c r="Z360" i="13"/>
  <c r="Y360" i="13"/>
  <c r="V360" i="13"/>
  <c r="S360" i="13"/>
  <c r="P360" i="13"/>
  <c r="M360" i="13"/>
  <c r="J360" i="13"/>
  <c r="AY359" i="13"/>
  <c r="AU359" i="13"/>
  <c r="AQ359" i="13"/>
  <c r="AM359" i="13"/>
  <c r="AI359" i="13"/>
  <c r="AE359" i="13"/>
  <c r="AA359" i="13"/>
  <c r="Z359" i="13"/>
  <c r="Y359" i="13"/>
  <c r="V359" i="13"/>
  <c r="S359" i="13"/>
  <c r="P359" i="13"/>
  <c r="M359" i="13"/>
  <c r="J359" i="13"/>
  <c r="AY358" i="13"/>
  <c r="AU358" i="13"/>
  <c r="AQ358" i="13"/>
  <c r="AM358" i="13"/>
  <c r="AI358" i="13"/>
  <c r="AE358" i="13"/>
  <c r="AA358" i="13"/>
  <c r="Z358" i="13"/>
  <c r="Y358" i="13"/>
  <c r="V358" i="13"/>
  <c r="S358" i="13"/>
  <c r="P358" i="13"/>
  <c r="M358" i="13"/>
  <c r="J358" i="13"/>
  <c r="AY357" i="13"/>
  <c r="AU357" i="13"/>
  <c r="AQ357" i="13"/>
  <c r="AM357" i="13"/>
  <c r="AI357" i="13"/>
  <c r="AE357" i="13"/>
  <c r="AA357" i="13"/>
  <c r="Z357" i="13"/>
  <c r="Y357" i="13"/>
  <c r="V357" i="13"/>
  <c r="S357" i="13"/>
  <c r="P357" i="13"/>
  <c r="M357" i="13"/>
  <c r="J357" i="13"/>
  <c r="AY356" i="13"/>
  <c r="AU356" i="13"/>
  <c r="AQ356" i="13"/>
  <c r="AM356" i="13"/>
  <c r="AI356" i="13"/>
  <c r="AE356" i="13"/>
  <c r="AA356" i="13"/>
  <c r="Z356" i="13"/>
  <c r="Y356" i="13"/>
  <c r="V356" i="13"/>
  <c r="S356" i="13"/>
  <c r="P356" i="13"/>
  <c r="M356" i="13"/>
  <c r="J356" i="13"/>
  <c r="AY355" i="13"/>
  <c r="AU355" i="13"/>
  <c r="AQ355" i="13"/>
  <c r="AM355" i="13"/>
  <c r="AI355" i="13"/>
  <c r="AE355" i="13"/>
  <c r="AA355" i="13"/>
  <c r="Z355" i="13"/>
  <c r="Y355" i="13"/>
  <c r="V355" i="13"/>
  <c r="S355" i="13"/>
  <c r="P355" i="13"/>
  <c r="M355" i="13"/>
  <c r="J355" i="13"/>
  <c r="AY354" i="13"/>
  <c r="AU354" i="13"/>
  <c r="AQ354" i="13"/>
  <c r="AM354" i="13"/>
  <c r="AI354" i="13"/>
  <c r="AE354" i="13"/>
  <c r="AA354" i="13"/>
  <c r="Z354" i="13"/>
  <c r="Y354" i="13"/>
  <c r="V354" i="13"/>
  <c r="S354" i="13"/>
  <c r="P354" i="13"/>
  <c r="M354" i="13"/>
  <c r="J354" i="13"/>
  <c r="AY353" i="13"/>
  <c r="AU353" i="13"/>
  <c r="AQ353" i="13"/>
  <c r="AM353" i="13"/>
  <c r="AI353" i="13"/>
  <c r="AE353" i="13"/>
  <c r="AA353" i="13"/>
  <c r="Z353" i="13"/>
  <c r="Y353" i="13"/>
  <c r="V353" i="13"/>
  <c r="S353" i="13"/>
  <c r="P353" i="13"/>
  <c r="M353" i="13"/>
  <c r="J353" i="13"/>
  <c r="AY352" i="13"/>
  <c r="AU352" i="13"/>
  <c r="AQ352" i="13"/>
  <c r="AM352" i="13"/>
  <c r="AI352" i="13"/>
  <c r="AE352" i="13"/>
  <c r="AA352" i="13"/>
  <c r="Z352" i="13"/>
  <c r="Y352" i="13"/>
  <c r="V352" i="13"/>
  <c r="S352" i="13"/>
  <c r="P352" i="13"/>
  <c r="M352" i="13"/>
  <c r="J352" i="13"/>
  <c r="AY351" i="13"/>
  <c r="AU351" i="13"/>
  <c r="AQ351" i="13"/>
  <c r="AM351" i="13"/>
  <c r="AI351" i="13"/>
  <c r="AE351" i="13"/>
  <c r="AA351" i="13"/>
  <c r="Z351" i="13"/>
  <c r="AB351" i="13" s="1"/>
  <c r="Y351" i="13"/>
  <c r="V351" i="13"/>
  <c r="S351" i="13"/>
  <c r="P351" i="13"/>
  <c r="M351" i="13"/>
  <c r="J351" i="13"/>
  <c r="AY350" i="13"/>
  <c r="AU350" i="13"/>
  <c r="AQ350" i="13"/>
  <c r="AM350" i="13"/>
  <c r="AI350" i="13"/>
  <c r="AE350" i="13"/>
  <c r="AA350" i="13"/>
  <c r="Z350" i="13"/>
  <c r="AB350" i="13" s="1"/>
  <c r="Y350" i="13"/>
  <c r="V350" i="13"/>
  <c r="S350" i="13"/>
  <c r="P350" i="13"/>
  <c r="M350" i="13"/>
  <c r="J350" i="13"/>
  <c r="AY349" i="13"/>
  <c r="AU349" i="13"/>
  <c r="AQ349" i="13"/>
  <c r="AM349" i="13"/>
  <c r="AI349" i="13"/>
  <c r="AE349" i="13"/>
  <c r="AA349" i="13"/>
  <c r="Z349" i="13"/>
  <c r="Y349" i="13"/>
  <c r="V349" i="13"/>
  <c r="S349" i="13"/>
  <c r="P349" i="13"/>
  <c r="M349" i="13"/>
  <c r="J349" i="13"/>
  <c r="AY348" i="13"/>
  <c r="AU348" i="13"/>
  <c r="AQ348" i="13"/>
  <c r="AM348" i="13"/>
  <c r="AI348" i="13"/>
  <c r="AE348" i="13"/>
  <c r="AA348" i="13"/>
  <c r="Z348" i="13"/>
  <c r="Y348" i="13"/>
  <c r="V348" i="13"/>
  <c r="S348" i="13"/>
  <c r="P348" i="13"/>
  <c r="M348" i="13"/>
  <c r="J348" i="13"/>
  <c r="AY347" i="13"/>
  <c r="AU347" i="13"/>
  <c r="AQ347" i="13"/>
  <c r="AM347" i="13"/>
  <c r="AI347" i="13"/>
  <c r="AE347" i="13"/>
  <c r="AA347" i="13"/>
  <c r="Z347" i="13"/>
  <c r="Y347" i="13"/>
  <c r="AY346" i="13"/>
  <c r="AU346" i="13"/>
  <c r="AQ346" i="13"/>
  <c r="AM346" i="13"/>
  <c r="AI346" i="13"/>
  <c r="AE346" i="13"/>
  <c r="AA346" i="13"/>
  <c r="Z346" i="13"/>
  <c r="AB346" i="13" s="1"/>
  <c r="Y346" i="13"/>
  <c r="V346" i="13"/>
  <c r="S346" i="13"/>
  <c r="P346" i="13"/>
  <c r="M346" i="13"/>
  <c r="J346" i="13"/>
  <c r="AY345" i="13"/>
  <c r="AU345" i="13"/>
  <c r="AQ345" i="13"/>
  <c r="AM345" i="13"/>
  <c r="AI345" i="13"/>
  <c r="AE345" i="13"/>
  <c r="AA345" i="13"/>
  <c r="Z345" i="13"/>
  <c r="Y345" i="13"/>
  <c r="V345" i="13"/>
  <c r="S345" i="13"/>
  <c r="P345" i="13"/>
  <c r="M345" i="13"/>
  <c r="J345" i="13"/>
  <c r="AY344" i="13"/>
  <c r="AU344" i="13"/>
  <c r="AQ344" i="13"/>
  <c r="AM344" i="13"/>
  <c r="AI344" i="13"/>
  <c r="AE344" i="13"/>
  <c r="AA344" i="13"/>
  <c r="Z344" i="13"/>
  <c r="AB344" i="13" s="1"/>
  <c r="Y344" i="13"/>
  <c r="V344" i="13"/>
  <c r="S344" i="13"/>
  <c r="P344" i="13"/>
  <c r="M344" i="13"/>
  <c r="J344" i="13"/>
  <c r="AY343" i="13"/>
  <c r="AU343" i="13"/>
  <c r="AQ343" i="13"/>
  <c r="AM343" i="13"/>
  <c r="AI343" i="13"/>
  <c r="AE343" i="13"/>
  <c r="AA343" i="13"/>
  <c r="Z343" i="13"/>
  <c r="Y343" i="13"/>
  <c r="V343" i="13"/>
  <c r="S343" i="13"/>
  <c r="P343" i="13"/>
  <c r="M343" i="13"/>
  <c r="J343" i="13"/>
  <c r="AY342" i="13"/>
  <c r="AU342" i="13"/>
  <c r="AQ342" i="13"/>
  <c r="AM342" i="13"/>
  <c r="AI342" i="13"/>
  <c r="AE342" i="13"/>
  <c r="AA342" i="13"/>
  <c r="Z342" i="13"/>
  <c r="AB342" i="13" s="1"/>
  <c r="Y342" i="13"/>
  <c r="V342" i="13"/>
  <c r="S342" i="13"/>
  <c r="P342" i="13"/>
  <c r="M342" i="13"/>
  <c r="J342" i="13"/>
  <c r="AY341" i="13"/>
  <c r="AU341" i="13"/>
  <c r="AQ341" i="13"/>
  <c r="AM341" i="13"/>
  <c r="AI341" i="13"/>
  <c r="AE341" i="13"/>
  <c r="AA341" i="13"/>
  <c r="Z341" i="13"/>
  <c r="AB341" i="13" s="1"/>
  <c r="Y341" i="13"/>
  <c r="V341" i="13"/>
  <c r="S341" i="13"/>
  <c r="P341" i="13"/>
  <c r="M341" i="13"/>
  <c r="J341" i="13"/>
  <c r="AY340" i="13"/>
  <c r="AU340" i="13"/>
  <c r="AQ340" i="13"/>
  <c r="AM340" i="13"/>
  <c r="AI340" i="13"/>
  <c r="AE340" i="13"/>
  <c r="AA340" i="13"/>
  <c r="Z340" i="13"/>
  <c r="Y340" i="13"/>
  <c r="V340" i="13"/>
  <c r="S340" i="13"/>
  <c r="P340" i="13"/>
  <c r="M340" i="13"/>
  <c r="J340" i="13"/>
  <c r="AY339" i="13"/>
  <c r="AU339" i="13"/>
  <c r="AQ339" i="13"/>
  <c r="AM339" i="13"/>
  <c r="AI339" i="13"/>
  <c r="AE339" i="13"/>
  <c r="AA339" i="13"/>
  <c r="Z339" i="13"/>
  <c r="AB339" i="13" s="1"/>
  <c r="Y339" i="13"/>
  <c r="V339" i="13"/>
  <c r="S339" i="13"/>
  <c r="P339" i="13"/>
  <c r="M339" i="13"/>
  <c r="J339" i="13"/>
  <c r="AY338" i="13"/>
  <c r="AU338" i="13"/>
  <c r="AQ338" i="13"/>
  <c r="AM338" i="13"/>
  <c r="AI338" i="13"/>
  <c r="AE338" i="13"/>
  <c r="AA338" i="13"/>
  <c r="Z338" i="13"/>
  <c r="Y338" i="13"/>
  <c r="V338" i="13"/>
  <c r="S338" i="13"/>
  <c r="P338" i="13"/>
  <c r="M338" i="13"/>
  <c r="J338" i="13"/>
  <c r="AY337" i="13"/>
  <c r="AU337" i="13"/>
  <c r="AQ337" i="13"/>
  <c r="AM337" i="13"/>
  <c r="AI337" i="13"/>
  <c r="AE337" i="13"/>
  <c r="AA337" i="13"/>
  <c r="Z337" i="13"/>
  <c r="Y337" i="13"/>
  <c r="V337" i="13"/>
  <c r="S337" i="13"/>
  <c r="P337" i="13"/>
  <c r="M337" i="13"/>
  <c r="J337" i="13"/>
  <c r="AY336" i="13"/>
  <c r="AU336" i="13"/>
  <c r="AQ336" i="13"/>
  <c r="AM336" i="13"/>
  <c r="AI336" i="13"/>
  <c r="AE336" i="13"/>
  <c r="AA336" i="13"/>
  <c r="Z336" i="13"/>
  <c r="Y336" i="13"/>
  <c r="V336" i="13"/>
  <c r="S336" i="13"/>
  <c r="P336" i="13"/>
  <c r="M336" i="13"/>
  <c r="J336" i="13"/>
  <c r="AY335" i="13"/>
  <c r="AU335" i="13"/>
  <c r="AQ335" i="13"/>
  <c r="AM335" i="13"/>
  <c r="AI335" i="13"/>
  <c r="AE335" i="13"/>
  <c r="AA335" i="13"/>
  <c r="Z335" i="13"/>
  <c r="Y335" i="13"/>
  <c r="V335" i="13"/>
  <c r="S335" i="13"/>
  <c r="P335" i="13"/>
  <c r="M335" i="13"/>
  <c r="J335" i="13"/>
  <c r="AY334" i="13"/>
  <c r="AU334" i="13"/>
  <c r="AQ334" i="13"/>
  <c r="AM334" i="13"/>
  <c r="AI334" i="13"/>
  <c r="AE334" i="13"/>
  <c r="AA334" i="13"/>
  <c r="Z334" i="13"/>
  <c r="Y334" i="13"/>
  <c r="V334" i="13"/>
  <c r="S334" i="13"/>
  <c r="P334" i="13"/>
  <c r="M334" i="13"/>
  <c r="J334" i="13"/>
  <c r="AY333" i="13"/>
  <c r="AU333" i="13"/>
  <c r="AQ333" i="13"/>
  <c r="AM333" i="13"/>
  <c r="AI333" i="13"/>
  <c r="AE333" i="13"/>
  <c r="AA333" i="13"/>
  <c r="Z333" i="13"/>
  <c r="Y333" i="13"/>
  <c r="V333" i="13"/>
  <c r="S333" i="13"/>
  <c r="P333" i="13"/>
  <c r="M333" i="13"/>
  <c r="J333" i="13"/>
  <c r="AY332" i="13"/>
  <c r="AU332" i="13"/>
  <c r="AQ332" i="13"/>
  <c r="AM332" i="13"/>
  <c r="AI332" i="13"/>
  <c r="AE332" i="13"/>
  <c r="AA332" i="13"/>
  <c r="Z332" i="13"/>
  <c r="Y332" i="13"/>
  <c r="V332" i="13"/>
  <c r="S332" i="13"/>
  <c r="P332" i="13"/>
  <c r="M332" i="13"/>
  <c r="J332" i="13"/>
  <c r="AY331" i="13"/>
  <c r="AU331" i="13"/>
  <c r="AQ331" i="13"/>
  <c r="AM331" i="13"/>
  <c r="AI331" i="13"/>
  <c r="AE331" i="13"/>
  <c r="AA331" i="13"/>
  <c r="Z331" i="13"/>
  <c r="Y331" i="13"/>
  <c r="V331" i="13"/>
  <c r="S331" i="13"/>
  <c r="P331" i="13"/>
  <c r="M331" i="13"/>
  <c r="J331" i="13"/>
  <c r="AY330" i="13"/>
  <c r="AU330" i="13"/>
  <c r="AQ330" i="13"/>
  <c r="AM330" i="13"/>
  <c r="AI330" i="13"/>
  <c r="AE330" i="13"/>
  <c r="AA330" i="13"/>
  <c r="Z330" i="13"/>
  <c r="Y330" i="13"/>
  <c r="V330" i="13"/>
  <c r="S330" i="13"/>
  <c r="P330" i="13"/>
  <c r="M330" i="13"/>
  <c r="J330" i="13"/>
  <c r="AY329" i="13"/>
  <c r="AU329" i="13"/>
  <c r="AQ329" i="13"/>
  <c r="AM329" i="13"/>
  <c r="AI329" i="13"/>
  <c r="AE329" i="13"/>
  <c r="AA329" i="13"/>
  <c r="Z329" i="13"/>
  <c r="Y329" i="13"/>
  <c r="V329" i="13"/>
  <c r="S329" i="13"/>
  <c r="P329" i="13"/>
  <c r="M329" i="13"/>
  <c r="J329" i="13"/>
  <c r="AY328" i="13"/>
  <c r="AU328" i="13"/>
  <c r="AQ328" i="13"/>
  <c r="AM328" i="13"/>
  <c r="AI328" i="13"/>
  <c r="AE328" i="13"/>
  <c r="AA328" i="13"/>
  <c r="Z328" i="13"/>
  <c r="Y328" i="13"/>
  <c r="V328" i="13"/>
  <c r="S328" i="13"/>
  <c r="P328" i="13"/>
  <c r="M328" i="13"/>
  <c r="J328" i="13"/>
  <c r="AY327" i="13"/>
  <c r="AU327" i="13"/>
  <c r="AQ327" i="13"/>
  <c r="AM327" i="13"/>
  <c r="AI327" i="13"/>
  <c r="AE327" i="13"/>
  <c r="AA327" i="13"/>
  <c r="Z327" i="13"/>
  <c r="AB327" i="13" s="1"/>
  <c r="Y327" i="13"/>
  <c r="V327" i="13"/>
  <c r="S327" i="13"/>
  <c r="P327" i="13"/>
  <c r="M327" i="13"/>
  <c r="J327" i="13"/>
  <c r="AY326" i="13"/>
  <c r="AU326" i="13"/>
  <c r="AQ326" i="13"/>
  <c r="AM326" i="13"/>
  <c r="AI326" i="13"/>
  <c r="AE326" i="13"/>
  <c r="AA326" i="13"/>
  <c r="Z326" i="13"/>
  <c r="AB326" i="13" s="1"/>
  <c r="Y326" i="13"/>
  <c r="V326" i="13"/>
  <c r="S326" i="13"/>
  <c r="P326" i="13"/>
  <c r="M326" i="13"/>
  <c r="J326" i="13"/>
  <c r="AY325" i="13"/>
  <c r="AU325" i="13"/>
  <c r="AQ325" i="13"/>
  <c r="AM325" i="13"/>
  <c r="AI325" i="13"/>
  <c r="AE325" i="13"/>
  <c r="AA325" i="13"/>
  <c r="Z325" i="13"/>
  <c r="AB325" i="13" s="1"/>
  <c r="Y325" i="13"/>
  <c r="V325" i="13"/>
  <c r="S325" i="13"/>
  <c r="P325" i="13"/>
  <c r="M325" i="13"/>
  <c r="J325" i="13"/>
  <c r="AY324" i="13"/>
  <c r="AU324" i="13"/>
  <c r="AQ324" i="13"/>
  <c r="AM324" i="13"/>
  <c r="AI324" i="13"/>
  <c r="AE324" i="13"/>
  <c r="AA324" i="13"/>
  <c r="Z324" i="13"/>
  <c r="Y324" i="13"/>
  <c r="V324" i="13"/>
  <c r="S324" i="13"/>
  <c r="P324" i="13"/>
  <c r="M324" i="13"/>
  <c r="J324" i="13"/>
  <c r="AY323" i="13"/>
  <c r="AU323" i="13"/>
  <c r="AQ323" i="13"/>
  <c r="AM323" i="13"/>
  <c r="AI323" i="13"/>
  <c r="AE323" i="13"/>
  <c r="AA323" i="13"/>
  <c r="Z323" i="13"/>
  <c r="AB323" i="13" s="1"/>
  <c r="Y323" i="13"/>
  <c r="V323" i="13"/>
  <c r="S323" i="13"/>
  <c r="P323" i="13"/>
  <c r="M323" i="13"/>
  <c r="J323" i="13"/>
  <c r="AY322" i="13"/>
  <c r="AU322" i="13"/>
  <c r="AQ322" i="13"/>
  <c r="AM322" i="13"/>
  <c r="AI322" i="13"/>
  <c r="AE322" i="13"/>
  <c r="AA322" i="13"/>
  <c r="Z322" i="13"/>
  <c r="Y322" i="13"/>
  <c r="V322" i="13"/>
  <c r="S322" i="13"/>
  <c r="P322" i="13"/>
  <c r="M322" i="13"/>
  <c r="J322" i="13"/>
  <c r="AY321" i="13"/>
  <c r="AU321" i="13"/>
  <c r="AQ321" i="13"/>
  <c r="AM321" i="13"/>
  <c r="AI321" i="13"/>
  <c r="AE321" i="13"/>
  <c r="AA321" i="13"/>
  <c r="Z321" i="13"/>
  <c r="AB321" i="13" s="1"/>
  <c r="Y321" i="13"/>
  <c r="V321" i="13"/>
  <c r="S321" i="13"/>
  <c r="P321" i="13"/>
  <c r="M321" i="13"/>
  <c r="J321" i="13"/>
  <c r="AY320" i="13"/>
  <c r="AU320" i="13"/>
  <c r="AQ320" i="13"/>
  <c r="AM320" i="13"/>
  <c r="AI320" i="13"/>
  <c r="AE320" i="13"/>
  <c r="AA320" i="13"/>
  <c r="Z320" i="13"/>
  <c r="Y320" i="13"/>
  <c r="V320" i="13"/>
  <c r="S320" i="13"/>
  <c r="P320" i="13"/>
  <c r="M320" i="13"/>
  <c r="J320" i="13"/>
  <c r="AY319" i="13"/>
  <c r="AU319" i="13"/>
  <c r="AQ319" i="13"/>
  <c r="AM319" i="13"/>
  <c r="AI319" i="13"/>
  <c r="AE319" i="13"/>
  <c r="AA319" i="13"/>
  <c r="Z319" i="13"/>
  <c r="Y319" i="13"/>
  <c r="V319" i="13"/>
  <c r="S319" i="13"/>
  <c r="P319" i="13"/>
  <c r="M319" i="13"/>
  <c r="J319" i="13"/>
  <c r="AY318" i="13"/>
  <c r="AU318" i="13"/>
  <c r="AQ318" i="13"/>
  <c r="AM318" i="13"/>
  <c r="AI318" i="13"/>
  <c r="AE318" i="13"/>
  <c r="AA318" i="13"/>
  <c r="Z318" i="13"/>
  <c r="Y318" i="13"/>
  <c r="V318" i="13"/>
  <c r="S318" i="13"/>
  <c r="P318" i="13"/>
  <c r="M318" i="13"/>
  <c r="J318" i="13"/>
  <c r="AY317" i="13"/>
  <c r="AU317" i="13"/>
  <c r="AQ317" i="13"/>
  <c r="AM317" i="13"/>
  <c r="AI317" i="13"/>
  <c r="AE317" i="13"/>
  <c r="AA317" i="13"/>
  <c r="Z317" i="13"/>
  <c r="Y317" i="13"/>
  <c r="V317" i="13"/>
  <c r="S317" i="13"/>
  <c r="P317" i="13"/>
  <c r="M317" i="13"/>
  <c r="J317" i="13"/>
  <c r="AY316" i="13"/>
  <c r="AU316" i="13"/>
  <c r="AQ316" i="13"/>
  <c r="AM316" i="13"/>
  <c r="AI316" i="13"/>
  <c r="AE316" i="13"/>
  <c r="AA316" i="13"/>
  <c r="Z316" i="13"/>
  <c r="AY315" i="13"/>
  <c r="AU315" i="13"/>
  <c r="AQ315" i="13"/>
  <c r="AM315" i="13"/>
  <c r="AI315" i="13"/>
  <c r="AE315" i="13"/>
  <c r="AA315" i="13"/>
  <c r="Z315" i="13"/>
  <c r="AB315" i="13" s="1"/>
  <c r="Y315" i="13"/>
  <c r="V315" i="13"/>
  <c r="S315" i="13"/>
  <c r="P315" i="13"/>
  <c r="M315" i="13"/>
  <c r="J315" i="13"/>
  <c r="AY314" i="13"/>
  <c r="AU314" i="13"/>
  <c r="AQ314" i="13"/>
  <c r="AM314" i="13"/>
  <c r="AI314" i="13"/>
  <c r="AE314" i="13"/>
  <c r="AA314" i="13"/>
  <c r="Z314" i="13"/>
  <c r="Y314" i="13"/>
  <c r="V314" i="13"/>
  <c r="S314" i="13"/>
  <c r="P314" i="13"/>
  <c r="M314" i="13"/>
  <c r="J314" i="13"/>
  <c r="AY313" i="13"/>
  <c r="AU313" i="13"/>
  <c r="AQ313" i="13"/>
  <c r="AM313" i="13"/>
  <c r="AI313" i="13"/>
  <c r="AE313" i="13"/>
  <c r="AA313" i="13"/>
  <c r="Z313" i="13"/>
  <c r="AB313" i="13" s="1"/>
  <c r="Y313" i="13"/>
  <c r="V313" i="13"/>
  <c r="S313" i="13"/>
  <c r="P313" i="13"/>
  <c r="M313" i="13"/>
  <c r="J313" i="13"/>
  <c r="AY312" i="13"/>
  <c r="AU312" i="13"/>
  <c r="AQ312" i="13"/>
  <c r="AM312" i="13"/>
  <c r="AI312" i="13"/>
  <c r="AE312" i="13"/>
  <c r="AA312" i="13"/>
  <c r="Z312" i="13"/>
  <c r="Y312" i="13"/>
  <c r="V312" i="13"/>
  <c r="S312" i="13"/>
  <c r="P312" i="13"/>
  <c r="M312" i="13"/>
  <c r="J312" i="13"/>
  <c r="AY311" i="13"/>
  <c r="AU311" i="13"/>
  <c r="AQ311" i="13"/>
  <c r="AM311" i="13"/>
  <c r="AI311" i="13"/>
  <c r="AE311" i="13"/>
  <c r="AA311" i="13"/>
  <c r="Z311" i="13"/>
  <c r="AB311" i="13" s="1"/>
  <c r="Y311" i="13"/>
  <c r="V311" i="13"/>
  <c r="S311" i="13"/>
  <c r="P311" i="13"/>
  <c r="M311" i="13"/>
  <c r="J311" i="13"/>
  <c r="AY310" i="13"/>
  <c r="AU310" i="13"/>
  <c r="AQ310" i="13"/>
  <c r="AM310" i="13"/>
  <c r="AI310" i="13"/>
  <c r="AE310" i="13"/>
  <c r="AA310" i="13"/>
  <c r="Z310" i="13"/>
  <c r="AB310" i="13" s="1"/>
  <c r="Y310" i="13"/>
  <c r="V310" i="13"/>
  <c r="S310" i="13"/>
  <c r="P310" i="13"/>
  <c r="M310" i="13"/>
  <c r="J310" i="13"/>
  <c r="AY309" i="13"/>
  <c r="AU309" i="13"/>
  <c r="AQ309" i="13"/>
  <c r="AM309" i="13"/>
  <c r="AI309" i="13"/>
  <c r="AE309" i="13"/>
  <c r="AA309" i="13"/>
  <c r="Z309" i="13"/>
  <c r="Y309" i="13"/>
  <c r="V309" i="13"/>
  <c r="S309" i="13"/>
  <c r="P309" i="13"/>
  <c r="M309" i="13"/>
  <c r="J309" i="13"/>
  <c r="AY308" i="13"/>
  <c r="AU308" i="13"/>
  <c r="AQ308" i="13"/>
  <c r="AM308" i="13"/>
  <c r="AI308" i="13"/>
  <c r="AE308" i="13"/>
  <c r="AA308" i="13"/>
  <c r="Z308" i="13"/>
  <c r="AB308" i="13" s="1"/>
  <c r="Y308" i="13"/>
  <c r="V308" i="13"/>
  <c r="S308" i="13"/>
  <c r="P308" i="13"/>
  <c r="M308" i="13"/>
  <c r="J308" i="13"/>
  <c r="AY307" i="13"/>
  <c r="AU307" i="13"/>
  <c r="AQ307" i="13"/>
  <c r="AM307" i="13"/>
  <c r="AI307" i="13"/>
  <c r="AE307" i="13"/>
  <c r="AA307" i="13"/>
  <c r="Z307" i="13"/>
  <c r="Y307" i="13"/>
  <c r="V307" i="13"/>
  <c r="S307" i="13"/>
  <c r="P307" i="13"/>
  <c r="M307" i="13"/>
  <c r="J307" i="13"/>
  <c r="AY306" i="13"/>
  <c r="AU306" i="13"/>
  <c r="AQ306" i="13"/>
  <c r="AM306" i="13"/>
  <c r="AI306" i="13"/>
  <c r="AE306" i="13"/>
  <c r="AA306" i="13"/>
  <c r="Z306" i="13"/>
  <c r="Y306" i="13"/>
  <c r="V306" i="13"/>
  <c r="S306" i="13"/>
  <c r="P306" i="13"/>
  <c r="M306" i="13"/>
  <c r="J306" i="13"/>
  <c r="AY305" i="13"/>
  <c r="AU305" i="13"/>
  <c r="AQ305" i="13"/>
  <c r="AM305" i="13"/>
  <c r="AI305" i="13"/>
  <c r="AE305" i="13"/>
  <c r="AA305" i="13"/>
  <c r="Z305" i="13"/>
  <c r="Y305" i="13"/>
  <c r="V305" i="13"/>
  <c r="S305" i="13"/>
  <c r="P305" i="13"/>
  <c r="M305" i="13"/>
  <c r="J305" i="13"/>
  <c r="AY304" i="13"/>
  <c r="AU304" i="13"/>
  <c r="AQ304" i="13"/>
  <c r="AM304" i="13"/>
  <c r="AI304" i="13"/>
  <c r="AE304" i="13"/>
  <c r="AA304" i="13"/>
  <c r="Z304" i="13"/>
  <c r="Y304" i="13"/>
  <c r="V304" i="13"/>
  <c r="S304" i="13"/>
  <c r="P304" i="13"/>
  <c r="M304" i="13"/>
  <c r="J304" i="13"/>
  <c r="AY303" i="13"/>
  <c r="AU303" i="13"/>
  <c r="AQ303" i="13"/>
  <c r="AM303" i="13"/>
  <c r="AI303" i="13"/>
  <c r="AE303" i="13"/>
  <c r="AA303" i="13"/>
  <c r="Z303" i="13"/>
  <c r="Y303" i="13"/>
  <c r="V303" i="13"/>
  <c r="S303" i="13"/>
  <c r="P303" i="13"/>
  <c r="M303" i="13"/>
  <c r="J303" i="13"/>
  <c r="AY302" i="13"/>
  <c r="AU302" i="13"/>
  <c r="AQ302" i="13"/>
  <c r="AM302" i="13"/>
  <c r="AI302" i="13"/>
  <c r="AE302" i="13"/>
  <c r="AA302" i="13"/>
  <c r="Z302" i="13"/>
  <c r="Y302" i="13"/>
  <c r="V302" i="13"/>
  <c r="S302" i="13"/>
  <c r="P302" i="13"/>
  <c r="M302" i="13"/>
  <c r="J302" i="13"/>
  <c r="AY301" i="13"/>
  <c r="AU301" i="13"/>
  <c r="AQ301" i="13"/>
  <c r="AM301" i="13"/>
  <c r="AI301" i="13"/>
  <c r="AE301" i="13"/>
  <c r="AA301" i="13"/>
  <c r="Z301" i="13"/>
  <c r="Y301" i="13"/>
  <c r="V301" i="13"/>
  <c r="S301" i="13"/>
  <c r="P301" i="13"/>
  <c r="M301" i="13"/>
  <c r="J301" i="13"/>
  <c r="AY300" i="13"/>
  <c r="AU300" i="13"/>
  <c r="AQ300" i="13"/>
  <c r="AM300" i="13"/>
  <c r="AI300" i="13"/>
  <c r="AE300" i="13"/>
  <c r="AA300" i="13"/>
  <c r="Z300" i="13"/>
  <c r="Y300" i="13"/>
  <c r="V300" i="13"/>
  <c r="S300" i="13"/>
  <c r="P300" i="13"/>
  <c r="M300" i="13"/>
  <c r="J300" i="13"/>
  <c r="AY299" i="13"/>
  <c r="AU299" i="13"/>
  <c r="AQ299" i="13"/>
  <c r="AM299" i="13"/>
  <c r="AI299" i="13"/>
  <c r="AE299" i="13"/>
  <c r="AA299" i="13"/>
  <c r="Z299" i="13"/>
  <c r="Y299" i="13"/>
  <c r="V299" i="13"/>
  <c r="S299" i="13"/>
  <c r="P299" i="13"/>
  <c r="M299" i="13"/>
  <c r="J299" i="13"/>
  <c r="AY298" i="13"/>
  <c r="AU298" i="13"/>
  <c r="AQ298" i="13"/>
  <c r="AM298" i="13"/>
  <c r="AI298" i="13"/>
  <c r="AE298" i="13"/>
  <c r="AA298" i="13"/>
  <c r="Z298" i="13"/>
  <c r="Y298" i="13"/>
  <c r="V298" i="13"/>
  <c r="S298" i="13"/>
  <c r="P298" i="13"/>
  <c r="M298" i="13"/>
  <c r="J298" i="13"/>
  <c r="AY297" i="13"/>
  <c r="AU297" i="13"/>
  <c r="AQ297" i="13"/>
  <c r="AM297" i="13"/>
  <c r="AI297" i="13"/>
  <c r="AE297" i="13"/>
  <c r="AA297" i="13"/>
  <c r="Z297" i="13"/>
  <c r="Y297" i="13"/>
  <c r="V297" i="13"/>
  <c r="S297" i="13"/>
  <c r="P297" i="13"/>
  <c r="M297" i="13"/>
  <c r="J297" i="13"/>
  <c r="AY296" i="13"/>
  <c r="AU296" i="13"/>
  <c r="AQ296" i="13"/>
  <c r="AM296" i="13"/>
  <c r="AI296" i="13"/>
  <c r="AE296" i="13"/>
  <c r="AA296" i="13"/>
  <c r="Z296" i="13"/>
  <c r="Y296" i="13"/>
  <c r="V296" i="13"/>
  <c r="S296" i="13"/>
  <c r="P296" i="13"/>
  <c r="M296" i="13"/>
  <c r="J296" i="13"/>
  <c r="AY295" i="13"/>
  <c r="AU295" i="13"/>
  <c r="AQ295" i="13"/>
  <c r="AM295" i="13"/>
  <c r="AI295" i="13"/>
  <c r="AE295" i="13"/>
  <c r="AA295" i="13"/>
  <c r="Z295" i="13"/>
  <c r="AB295" i="13" s="1"/>
  <c r="Y295" i="13"/>
  <c r="V295" i="13"/>
  <c r="S295" i="13"/>
  <c r="P295" i="13"/>
  <c r="M295" i="13"/>
  <c r="J295" i="13"/>
  <c r="AY294" i="13"/>
  <c r="AU294" i="13"/>
  <c r="AQ294" i="13"/>
  <c r="AM294" i="13"/>
  <c r="AI294" i="13"/>
  <c r="AE294" i="13"/>
  <c r="AA294" i="13"/>
  <c r="Z294" i="13"/>
  <c r="AB294" i="13" s="1"/>
  <c r="Y294" i="13"/>
  <c r="V294" i="13"/>
  <c r="S294" i="13"/>
  <c r="P294" i="13"/>
  <c r="M294" i="13"/>
  <c r="J294" i="13"/>
  <c r="AY293" i="13"/>
  <c r="AU293" i="13"/>
  <c r="AQ293" i="13"/>
  <c r="AM293" i="13"/>
  <c r="AI293" i="13"/>
  <c r="AE293" i="13"/>
  <c r="AA293" i="13"/>
  <c r="Z293" i="13"/>
  <c r="Y293" i="13"/>
  <c r="V293" i="13"/>
  <c r="S293" i="13"/>
  <c r="P293" i="13"/>
  <c r="M293" i="13"/>
  <c r="J293" i="13"/>
  <c r="AY292" i="13"/>
  <c r="AU292" i="13"/>
  <c r="AQ292" i="13"/>
  <c r="AM292" i="13"/>
  <c r="AI292" i="13"/>
  <c r="AE292" i="13"/>
  <c r="AA292" i="13"/>
  <c r="Z292" i="13"/>
  <c r="Y292" i="13"/>
  <c r="V292" i="13"/>
  <c r="S292" i="13"/>
  <c r="P292" i="13"/>
  <c r="M292" i="13"/>
  <c r="J292" i="13"/>
  <c r="AY291" i="13"/>
  <c r="AU291" i="13"/>
  <c r="AQ291" i="13"/>
  <c r="AM291" i="13"/>
  <c r="AI291" i="13"/>
  <c r="AE291" i="13"/>
  <c r="AA291" i="13"/>
  <c r="Z291" i="13"/>
  <c r="Y291" i="13"/>
  <c r="V291" i="13"/>
  <c r="S291" i="13"/>
  <c r="P291" i="13"/>
  <c r="M291" i="13"/>
  <c r="J291" i="13"/>
  <c r="AY290" i="13"/>
  <c r="AU290" i="13"/>
  <c r="AQ290" i="13"/>
  <c r="AM290" i="13"/>
  <c r="AI290" i="13"/>
  <c r="AE290" i="13"/>
  <c r="AA290" i="13"/>
  <c r="Z290" i="13"/>
  <c r="Y290" i="13"/>
  <c r="V290" i="13"/>
  <c r="S290" i="13"/>
  <c r="P290" i="13"/>
  <c r="M290" i="13"/>
  <c r="J290" i="13"/>
  <c r="AY289" i="13"/>
  <c r="AU289" i="13"/>
  <c r="AQ289" i="13"/>
  <c r="AM289" i="13"/>
  <c r="AI289" i="13"/>
  <c r="AE289" i="13"/>
  <c r="AA289" i="13"/>
  <c r="Z289" i="13"/>
  <c r="Y289" i="13"/>
  <c r="V289" i="13"/>
  <c r="S289" i="13"/>
  <c r="P289" i="13"/>
  <c r="M289" i="13"/>
  <c r="J289" i="13"/>
  <c r="AY288" i="13"/>
  <c r="AU288" i="13"/>
  <c r="AQ288" i="13"/>
  <c r="AM288" i="13"/>
  <c r="AI288" i="13"/>
  <c r="AE288" i="13"/>
  <c r="AA288" i="13"/>
  <c r="Z288" i="13"/>
  <c r="Y288" i="13"/>
  <c r="V288" i="13"/>
  <c r="S288" i="13"/>
  <c r="P288" i="13"/>
  <c r="M288" i="13"/>
  <c r="J288" i="13"/>
  <c r="AY287" i="13"/>
  <c r="AU287" i="13"/>
  <c r="AQ287" i="13"/>
  <c r="AM287" i="13"/>
  <c r="AI287" i="13"/>
  <c r="AE287" i="13"/>
  <c r="AA287" i="13"/>
  <c r="Z287" i="13"/>
  <c r="Y287" i="13"/>
  <c r="V287" i="13"/>
  <c r="S287" i="13"/>
  <c r="P287" i="13"/>
  <c r="M287" i="13"/>
  <c r="J287" i="13"/>
  <c r="AY286" i="13"/>
  <c r="AU286" i="13"/>
  <c r="AQ286" i="13"/>
  <c r="AM286" i="13"/>
  <c r="AI286" i="13"/>
  <c r="AE286" i="13"/>
  <c r="AA286" i="13"/>
  <c r="Z286" i="13"/>
  <c r="Y286" i="13"/>
  <c r="V286" i="13"/>
  <c r="S286" i="13"/>
  <c r="P286" i="13"/>
  <c r="M286" i="13"/>
  <c r="J286" i="13"/>
  <c r="AY285" i="13"/>
  <c r="AU285" i="13"/>
  <c r="AQ285" i="13"/>
  <c r="AM285" i="13"/>
  <c r="AI285" i="13"/>
  <c r="AE285" i="13"/>
  <c r="AA285" i="13"/>
  <c r="Z285" i="13"/>
  <c r="AY284" i="13"/>
  <c r="AU284" i="13"/>
  <c r="AQ284" i="13"/>
  <c r="AM284" i="13"/>
  <c r="AI284" i="13"/>
  <c r="AE284" i="13"/>
  <c r="AA284" i="13"/>
  <c r="Z284" i="13"/>
  <c r="AB284" i="13" s="1"/>
  <c r="Y284" i="13"/>
  <c r="V284" i="13"/>
  <c r="S284" i="13"/>
  <c r="P284" i="13"/>
  <c r="M284" i="13"/>
  <c r="J284" i="13"/>
  <c r="AY283" i="13"/>
  <c r="AU283" i="13"/>
  <c r="AQ283" i="13"/>
  <c r="AM283" i="13"/>
  <c r="AI283" i="13"/>
  <c r="AE283" i="13"/>
  <c r="AA283" i="13"/>
  <c r="Z283" i="13"/>
  <c r="Y283" i="13"/>
  <c r="V283" i="13"/>
  <c r="S283" i="13"/>
  <c r="P283" i="13"/>
  <c r="M283" i="13"/>
  <c r="J283" i="13"/>
  <c r="AY282" i="13"/>
  <c r="AU282" i="13"/>
  <c r="AQ282" i="13"/>
  <c r="AM282" i="13"/>
  <c r="AI282" i="13"/>
  <c r="AE282" i="13"/>
  <c r="AA282" i="13"/>
  <c r="Z282" i="13"/>
  <c r="AB282" i="13" s="1"/>
  <c r="Y282" i="13"/>
  <c r="V282" i="13"/>
  <c r="S282" i="13"/>
  <c r="P282" i="13"/>
  <c r="M282" i="13"/>
  <c r="J282" i="13"/>
  <c r="AY281" i="13"/>
  <c r="AU281" i="13"/>
  <c r="AQ281" i="13"/>
  <c r="AM281" i="13"/>
  <c r="AI281" i="13"/>
  <c r="AE281" i="13"/>
  <c r="AA281" i="13"/>
  <c r="Z281" i="13"/>
  <c r="Y281" i="13"/>
  <c r="V281" i="13"/>
  <c r="S281" i="13"/>
  <c r="P281" i="13"/>
  <c r="M281" i="13"/>
  <c r="J281" i="13"/>
  <c r="AY280" i="13"/>
  <c r="AU280" i="13"/>
  <c r="AQ280" i="13"/>
  <c r="AM280" i="13"/>
  <c r="AI280" i="13"/>
  <c r="AE280" i="13"/>
  <c r="AA280" i="13"/>
  <c r="Z280" i="13"/>
  <c r="AB280" i="13" s="1"/>
  <c r="Y280" i="13"/>
  <c r="V280" i="13"/>
  <c r="S280" i="13"/>
  <c r="P280" i="13"/>
  <c r="M280" i="13"/>
  <c r="J280" i="13"/>
  <c r="AY279" i="13"/>
  <c r="AU279" i="13"/>
  <c r="AQ279" i="13"/>
  <c r="AM279" i="13"/>
  <c r="AI279" i="13"/>
  <c r="AE279" i="13"/>
  <c r="AA279" i="13"/>
  <c r="Z279" i="13"/>
  <c r="AB279" i="13" s="1"/>
  <c r="Y279" i="13"/>
  <c r="V279" i="13"/>
  <c r="S279" i="13"/>
  <c r="P279" i="13"/>
  <c r="M279" i="13"/>
  <c r="J279" i="13"/>
  <c r="AY278" i="13"/>
  <c r="AU278" i="13"/>
  <c r="AQ278" i="13"/>
  <c r="AM278" i="13"/>
  <c r="AI278" i="13"/>
  <c r="AE278" i="13"/>
  <c r="AA278" i="13"/>
  <c r="Z278" i="13"/>
  <c r="Y278" i="13"/>
  <c r="V278" i="13"/>
  <c r="S278" i="13"/>
  <c r="P278" i="13"/>
  <c r="M278" i="13"/>
  <c r="J278" i="13"/>
  <c r="AY277" i="13"/>
  <c r="AU277" i="13"/>
  <c r="AQ277" i="13"/>
  <c r="AM277" i="13"/>
  <c r="AI277" i="13"/>
  <c r="AE277" i="13"/>
  <c r="AA277" i="13"/>
  <c r="Z277" i="13"/>
  <c r="AB277" i="13" s="1"/>
  <c r="Y277" i="13"/>
  <c r="V277" i="13"/>
  <c r="S277" i="13"/>
  <c r="P277" i="13"/>
  <c r="M277" i="13"/>
  <c r="J277" i="13"/>
  <c r="AY276" i="13"/>
  <c r="AU276" i="13"/>
  <c r="AQ276" i="13"/>
  <c r="AM276" i="13"/>
  <c r="AI276" i="13"/>
  <c r="AE276" i="13"/>
  <c r="AA276" i="13"/>
  <c r="Z276" i="13"/>
  <c r="Y276" i="13"/>
  <c r="V276" i="13"/>
  <c r="S276" i="13"/>
  <c r="P276" i="13"/>
  <c r="M276" i="13"/>
  <c r="J276" i="13"/>
  <c r="AY275" i="13"/>
  <c r="AU275" i="13"/>
  <c r="AQ275" i="13"/>
  <c r="AM275" i="13"/>
  <c r="AI275" i="13"/>
  <c r="AE275" i="13"/>
  <c r="AA275" i="13"/>
  <c r="Z275" i="13"/>
  <c r="Y275" i="13"/>
  <c r="V275" i="13"/>
  <c r="S275" i="13"/>
  <c r="P275" i="13"/>
  <c r="M275" i="13"/>
  <c r="J275" i="13"/>
  <c r="AY274" i="13"/>
  <c r="AU274" i="13"/>
  <c r="AQ274" i="13"/>
  <c r="AM274" i="13"/>
  <c r="AI274" i="13"/>
  <c r="AE274" i="13"/>
  <c r="AA274" i="13"/>
  <c r="Z274" i="13"/>
  <c r="Y274" i="13"/>
  <c r="V274" i="13"/>
  <c r="S274" i="13"/>
  <c r="P274" i="13"/>
  <c r="M274" i="13"/>
  <c r="J274" i="13"/>
  <c r="AY273" i="13"/>
  <c r="AU273" i="13"/>
  <c r="AQ273" i="13"/>
  <c r="AM273" i="13"/>
  <c r="AI273" i="13"/>
  <c r="AE273" i="13"/>
  <c r="AA273" i="13"/>
  <c r="Z273" i="13"/>
  <c r="Y273" i="13"/>
  <c r="V273" i="13"/>
  <c r="S273" i="13"/>
  <c r="P273" i="13"/>
  <c r="M273" i="13"/>
  <c r="J273" i="13"/>
  <c r="AY272" i="13"/>
  <c r="AU272" i="13"/>
  <c r="AQ272" i="13"/>
  <c r="AM272" i="13"/>
  <c r="AI272" i="13"/>
  <c r="AE272" i="13"/>
  <c r="AA272" i="13"/>
  <c r="Z272" i="13"/>
  <c r="Y272" i="13"/>
  <c r="V272" i="13"/>
  <c r="S272" i="13"/>
  <c r="P272" i="13"/>
  <c r="M272" i="13"/>
  <c r="J272" i="13"/>
  <c r="AY271" i="13"/>
  <c r="AU271" i="13"/>
  <c r="AQ271" i="13"/>
  <c r="AM271" i="13"/>
  <c r="AI271" i="13"/>
  <c r="AE271" i="13"/>
  <c r="AA271" i="13"/>
  <c r="Z271" i="13"/>
  <c r="Y271" i="13"/>
  <c r="V271" i="13"/>
  <c r="S271" i="13"/>
  <c r="P271" i="13"/>
  <c r="M271" i="13"/>
  <c r="J271" i="13"/>
  <c r="AY270" i="13"/>
  <c r="AU270" i="13"/>
  <c r="AQ270" i="13"/>
  <c r="AM270" i="13"/>
  <c r="AI270" i="13"/>
  <c r="AE270" i="13"/>
  <c r="AA270" i="13"/>
  <c r="Z270" i="13"/>
  <c r="Y270" i="13"/>
  <c r="V270" i="13"/>
  <c r="S270" i="13"/>
  <c r="P270" i="13"/>
  <c r="M270" i="13"/>
  <c r="J270" i="13"/>
  <c r="AY269" i="13"/>
  <c r="AU269" i="13"/>
  <c r="AQ269" i="13"/>
  <c r="AM269" i="13"/>
  <c r="AI269" i="13"/>
  <c r="AE269" i="13"/>
  <c r="AA269" i="13"/>
  <c r="Z269" i="13"/>
  <c r="Y269" i="13"/>
  <c r="V269" i="13"/>
  <c r="S269" i="13"/>
  <c r="P269" i="13"/>
  <c r="M269" i="13"/>
  <c r="J269" i="13"/>
  <c r="AY268" i="13"/>
  <c r="AU268" i="13"/>
  <c r="AQ268" i="13"/>
  <c r="AM268" i="13"/>
  <c r="AI268" i="13"/>
  <c r="AE268" i="13"/>
  <c r="AA268" i="13"/>
  <c r="Z268" i="13"/>
  <c r="Y268" i="13"/>
  <c r="V268" i="13"/>
  <c r="S268" i="13"/>
  <c r="P268" i="13"/>
  <c r="M268" i="13"/>
  <c r="J268" i="13"/>
  <c r="AY267" i="13"/>
  <c r="AU267" i="13"/>
  <c r="AQ267" i="13"/>
  <c r="AM267" i="13"/>
  <c r="AI267" i="13"/>
  <c r="AE267" i="13"/>
  <c r="AA267" i="13"/>
  <c r="Z267" i="13"/>
  <c r="Y267" i="13"/>
  <c r="V267" i="13"/>
  <c r="S267" i="13"/>
  <c r="P267" i="13"/>
  <c r="M267" i="13"/>
  <c r="J267" i="13"/>
  <c r="AY266" i="13"/>
  <c r="AU266" i="13"/>
  <c r="AQ266" i="13"/>
  <c r="AM266" i="13"/>
  <c r="AI266" i="13"/>
  <c r="AE266" i="13"/>
  <c r="AA266" i="13"/>
  <c r="Z266" i="13"/>
  <c r="AB266" i="13" s="1"/>
  <c r="Y266" i="13"/>
  <c r="V266" i="13"/>
  <c r="S266" i="13"/>
  <c r="P266" i="13"/>
  <c r="M266" i="13"/>
  <c r="J266" i="13"/>
  <c r="AY265" i="13"/>
  <c r="AU265" i="13"/>
  <c r="AQ265" i="13"/>
  <c r="AM265" i="13"/>
  <c r="AI265" i="13"/>
  <c r="AE265" i="13"/>
  <c r="AA265" i="13"/>
  <c r="Z265" i="13"/>
  <c r="Y265" i="13"/>
  <c r="V265" i="13"/>
  <c r="S265" i="13"/>
  <c r="P265" i="13"/>
  <c r="M265" i="13"/>
  <c r="J265" i="13"/>
  <c r="AY264" i="13"/>
  <c r="AU264" i="13"/>
  <c r="AQ264" i="13"/>
  <c r="AM264" i="13"/>
  <c r="AI264" i="13"/>
  <c r="AE264" i="13"/>
  <c r="AA264" i="13"/>
  <c r="Z264" i="13"/>
  <c r="AB264" i="13" s="1"/>
  <c r="Y264" i="13"/>
  <c r="V264" i="13"/>
  <c r="S264" i="13"/>
  <c r="P264" i="13"/>
  <c r="M264" i="13"/>
  <c r="J264" i="13"/>
  <c r="AY263" i="13"/>
  <c r="AU263" i="13"/>
  <c r="AQ263" i="13"/>
  <c r="AM263" i="13"/>
  <c r="AI263" i="13"/>
  <c r="AE263" i="13"/>
  <c r="AA263" i="13"/>
  <c r="Z263" i="13"/>
  <c r="AB263" i="13" s="1"/>
  <c r="Y263" i="13"/>
  <c r="V263" i="13"/>
  <c r="S263" i="13"/>
  <c r="P263" i="13"/>
  <c r="M263" i="13"/>
  <c r="J263" i="13"/>
  <c r="AY262" i="13"/>
  <c r="AU262" i="13"/>
  <c r="AQ262" i="13"/>
  <c r="AM262" i="13"/>
  <c r="AI262" i="13"/>
  <c r="AE262" i="13"/>
  <c r="AA262" i="13"/>
  <c r="Z262" i="13"/>
  <c r="Y262" i="13"/>
  <c r="V262" i="13"/>
  <c r="S262" i="13"/>
  <c r="P262" i="13"/>
  <c r="M262" i="13"/>
  <c r="J262" i="13"/>
  <c r="AY261" i="13"/>
  <c r="AU261" i="13"/>
  <c r="AQ261" i="13"/>
  <c r="AM261" i="13"/>
  <c r="AI261" i="13"/>
  <c r="AE261" i="13"/>
  <c r="AA261" i="13"/>
  <c r="Z261" i="13"/>
  <c r="Y261" i="13"/>
  <c r="V261" i="13"/>
  <c r="S261" i="13"/>
  <c r="P261" i="13"/>
  <c r="M261" i="13"/>
  <c r="J261" i="13"/>
  <c r="AY260" i="13"/>
  <c r="AU260" i="13"/>
  <c r="AQ260" i="13"/>
  <c r="AM260" i="13"/>
  <c r="AI260" i="13"/>
  <c r="AE260" i="13"/>
  <c r="AA260" i="13"/>
  <c r="Z260" i="13"/>
  <c r="Y260" i="13"/>
  <c r="V260" i="13"/>
  <c r="S260" i="13"/>
  <c r="P260" i="13"/>
  <c r="M260" i="13"/>
  <c r="J260" i="13"/>
  <c r="AY259" i="13"/>
  <c r="AU259" i="13"/>
  <c r="AQ259" i="13"/>
  <c r="AM259" i="13"/>
  <c r="AI259" i="13"/>
  <c r="AE259" i="13"/>
  <c r="AA259" i="13"/>
  <c r="Z259" i="13"/>
  <c r="Y259" i="13"/>
  <c r="V259" i="13"/>
  <c r="S259" i="13"/>
  <c r="P259" i="13"/>
  <c r="M259" i="13"/>
  <c r="J259" i="13"/>
  <c r="AY258" i="13"/>
  <c r="AU258" i="13"/>
  <c r="AQ258" i="13"/>
  <c r="AM258" i="13"/>
  <c r="AI258" i="13"/>
  <c r="AE258" i="13"/>
  <c r="AA258" i="13"/>
  <c r="Z258" i="13"/>
  <c r="Y258" i="13"/>
  <c r="V258" i="13"/>
  <c r="S258" i="13"/>
  <c r="P258" i="13"/>
  <c r="M258" i="13"/>
  <c r="J258" i="13"/>
  <c r="AY257" i="13"/>
  <c r="AU257" i="13"/>
  <c r="AQ257" i="13"/>
  <c r="AM257" i="13"/>
  <c r="AI257" i="13"/>
  <c r="AE257" i="13"/>
  <c r="AA257" i="13"/>
  <c r="Z257" i="13"/>
  <c r="Y257" i="13"/>
  <c r="V257" i="13"/>
  <c r="S257" i="13"/>
  <c r="P257" i="13"/>
  <c r="M257" i="13"/>
  <c r="J257" i="13"/>
  <c r="AY256" i="13"/>
  <c r="AU256" i="13"/>
  <c r="AQ256" i="13"/>
  <c r="AM256" i="13"/>
  <c r="AI256" i="13"/>
  <c r="AE256" i="13"/>
  <c r="AA256" i="13"/>
  <c r="Z256" i="13"/>
  <c r="Y256" i="13"/>
  <c r="V256" i="13"/>
  <c r="S256" i="13"/>
  <c r="P256" i="13"/>
  <c r="M256" i="13"/>
  <c r="J256" i="13"/>
  <c r="AY255" i="13"/>
  <c r="AU255" i="13"/>
  <c r="AQ255" i="13"/>
  <c r="AM255" i="13"/>
  <c r="AI255" i="13"/>
  <c r="AE255" i="13"/>
  <c r="AA255" i="13"/>
  <c r="Z255" i="13"/>
  <c r="Y255" i="13"/>
  <c r="V255" i="13"/>
  <c r="S255" i="13"/>
  <c r="P255" i="13"/>
  <c r="M255" i="13"/>
  <c r="J255" i="13"/>
  <c r="AY254" i="13"/>
  <c r="AU254" i="13"/>
  <c r="AQ254" i="13"/>
  <c r="AM254" i="13"/>
  <c r="AI254" i="13"/>
  <c r="AE254" i="13"/>
  <c r="AA254" i="13"/>
  <c r="Z254" i="13"/>
  <c r="AY253" i="13"/>
  <c r="AU253" i="13"/>
  <c r="AQ253" i="13"/>
  <c r="AM253" i="13"/>
  <c r="AI253" i="13"/>
  <c r="AE253" i="13"/>
  <c r="AA253" i="13"/>
  <c r="Z253" i="13"/>
  <c r="AB253" i="13" s="1"/>
  <c r="Y253" i="13"/>
  <c r="V253" i="13"/>
  <c r="S253" i="13"/>
  <c r="P253" i="13"/>
  <c r="M253" i="13"/>
  <c r="J253" i="13"/>
  <c r="AY252" i="13"/>
  <c r="AU252" i="13"/>
  <c r="AQ252" i="13"/>
  <c r="AM252" i="13"/>
  <c r="AI252" i="13"/>
  <c r="AE252" i="13"/>
  <c r="AA252" i="13"/>
  <c r="Z252" i="13"/>
  <c r="Y252" i="13"/>
  <c r="V252" i="13"/>
  <c r="S252" i="13"/>
  <c r="P252" i="13"/>
  <c r="M252" i="13"/>
  <c r="J252" i="13"/>
  <c r="AY251" i="13"/>
  <c r="AU251" i="13"/>
  <c r="AQ251" i="13"/>
  <c r="AM251" i="13"/>
  <c r="AI251" i="13"/>
  <c r="AE251" i="13"/>
  <c r="AA251" i="13"/>
  <c r="Z251" i="13"/>
  <c r="AB251" i="13" s="1"/>
  <c r="Y251" i="13"/>
  <c r="V251" i="13"/>
  <c r="S251" i="13"/>
  <c r="P251" i="13"/>
  <c r="M251" i="13"/>
  <c r="J251" i="13"/>
  <c r="AY250" i="13"/>
  <c r="AU250" i="13"/>
  <c r="AQ250" i="13"/>
  <c r="AM250" i="13"/>
  <c r="AI250" i="13"/>
  <c r="AE250" i="13"/>
  <c r="AA250" i="13"/>
  <c r="Z250" i="13"/>
  <c r="Y250" i="13"/>
  <c r="V250" i="13"/>
  <c r="S250" i="13"/>
  <c r="P250" i="13"/>
  <c r="M250" i="13"/>
  <c r="J250" i="13"/>
  <c r="AY249" i="13"/>
  <c r="AU249" i="13"/>
  <c r="AQ249" i="13"/>
  <c r="AM249" i="13"/>
  <c r="AI249" i="13"/>
  <c r="AE249" i="13"/>
  <c r="AA249" i="13"/>
  <c r="Z249" i="13"/>
  <c r="AB249" i="13" s="1"/>
  <c r="Y249" i="13"/>
  <c r="V249" i="13"/>
  <c r="S249" i="13"/>
  <c r="P249" i="13"/>
  <c r="M249" i="13"/>
  <c r="J249" i="13"/>
  <c r="AY248" i="13"/>
  <c r="AU248" i="13"/>
  <c r="AQ248" i="13"/>
  <c r="AM248" i="13"/>
  <c r="AI248" i="13"/>
  <c r="AE248" i="13"/>
  <c r="AA248" i="13"/>
  <c r="Z248" i="13"/>
  <c r="AB248" i="13" s="1"/>
  <c r="Y248" i="13"/>
  <c r="V248" i="13"/>
  <c r="S248" i="13"/>
  <c r="P248" i="13"/>
  <c r="M248" i="13"/>
  <c r="J248" i="13"/>
  <c r="AY247" i="13"/>
  <c r="AU247" i="13"/>
  <c r="AQ247" i="13"/>
  <c r="AM247" i="13"/>
  <c r="AI247" i="13"/>
  <c r="AE247" i="13"/>
  <c r="AA247" i="13"/>
  <c r="Z247" i="13"/>
  <c r="AB247" i="13" s="1"/>
  <c r="Y247" i="13"/>
  <c r="V247" i="13"/>
  <c r="S247" i="13"/>
  <c r="P247" i="13"/>
  <c r="M247" i="13"/>
  <c r="J247" i="13"/>
  <c r="AY246" i="13"/>
  <c r="AU246" i="13"/>
  <c r="AQ246" i="13"/>
  <c r="AM246" i="13"/>
  <c r="AI246" i="13"/>
  <c r="AE246" i="13"/>
  <c r="AA246" i="13"/>
  <c r="Z246" i="13"/>
  <c r="AB246" i="13" s="1"/>
  <c r="Y246" i="13"/>
  <c r="V246" i="13"/>
  <c r="S246" i="13"/>
  <c r="P246" i="13"/>
  <c r="M246" i="13"/>
  <c r="J246" i="13"/>
  <c r="AY245" i="13"/>
  <c r="AU245" i="13"/>
  <c r="AQ245" i="13"/>
  <c r="AM245" i="13"/>
  <c r="AI245" i="13"/>
  <c r="AE245" i="13"/>
  <c r="AA245" i="13"/>
  <c r="Z245" i="13"/>
  <c r="Y245" i="13"/>
  <c r="V245" i="13"/>
  <c r="S245" i="13"/>
  <c r="P245" i="13"/>
  <c r="M245" i="13"/>
  <c r="J245" i="13"/>
  <c r="AY244" i="13"/>
  <c r="AU244" i="13"/>
  <c r="AQ244" i="13"/>
  <c r="AM244" i="13"/>
  <c r="AI244" i="13"/>
  <c r="AE244" i="13"/>
  <c r="AA244" i="13"/>
  <c r="Z244" i="13"/>
  <c r="Y244" i="13"/>
  <c r="V244" i="13"/>
  <c r="S244" i="13"/>
  <c r="P244" i="13"/>
  <c r="M244" i="13"/>
  <c r="J244" i="13"/>
  <c r="AY243" i="13"/>
  <c r="AU243" i="13"/>
  <c r="AQ243" i="13"/>
  <c r="AM243" i="13"/>
  <c r="AI243" i="13"/>
  <c r="AE243" i="13"/>
  <c r="AA243" i="13"/>
  <c r="Z243" i="13"/>
  <c r="AB243" i="13" s="1"/>
  <c r="Y243" i="13"/>
  <c r="V243" i="13"/>
  <c r="S243" i="13"/>
  <c r="P243" i="13"/>
  <c r="M243" i="13"/>
  <c r="J243" i="13"/>
  <c r="AY242" i="13"/>
  <c r="AU242" i="13"/>
  <c r="AQ242" i="13"/>
  <c r="AM242" i="13"/>
  <c r="AI242" i="13"/>
  <c r="AE242" i="13"/>
  <c r="AA242" i="13"/>
  <c r="Z242" i="13"/>
  <c r="Y242" i="13"/>
  <c r="V242" i="13"/>
  <c r="S242" i="13"/>
  <c r="P242" i="13"/>
  <c r="M242" i="13"/>
  <c r="J242" i="13"/>
  <c r="AY241" i="13"/>
  <c r="AU241" i="13"/>
  <c r="AQ241" i="13"/>
  <c r="AM241" i="13"/>
  <c r="AI241" i="13"/>
  <c r="AE241" i="13"/>
  <c r="AA241" i="13"/>
  <c r="Z241" i="13"/>
  <c r="Y241" i="13"/>
  <c r="V241" i="13"/>
  <c r="S241" i="13"/>
  <c r="P241" i="13"/>
  <c r="M241" i="13"/>
  <c r="J241" i="13"/>
  <c r="AY240" i="13"/>
  <c r="AU240" i="13"/>
  <c r="AQ240" i="13"/>
  <c r="AM240" i="13"/>
  <c r="AI240" i="13"/>
  <c r="AE240" i="13"/>
  <c r="AA240" i="13"/>
  <c r="Z240" i="13"/>
  <c r="AB240" i="13" s="1"/>
  <c r="Y240" i="13"/>
  <c r="V240" i="13"/>
  <c r="S240" i="13"/>
  <c r="P240" i="13"/>
  <c r="M240" i="13"/>
  <c r="J240" i="13"/>
  <c r="AY239" i="13"/>
  <c r="AU239" i="13"/>
  <c r="AQ239" i="13"/>
  <c r="AM239" i="13"/>
  <c r="AI239" i="13"/>
  <c r="AE239" i="13"/>
  <c r="AA239" i="13"/>
  <c r="Z239" i="13"/>
  <c r="AB239" i="13" s="1"/>
  <c r="Y239" i="13"/>
  <c r="V239" i="13"/>
  <c r="S239" i="13"/>
  <c r="P239" i="13"/>
  <c r="M239" i="13"/>
  <c r="J239" i="13"/>
  <c r="AY238" i="13"/>
  <c r="AU238" i="13"/>
  <c r="AQ238" i="13"/>
  <c r="AM238" i="13"/>
  <c r="AI238" i="13"/>
  <c r="AE238" i="13"/>
  <c r="AA238" i="13"/>
  <c r="Z238" i="13"/>
  <c r="Y238" i="13"/>
  <c r="V238" i="13"/>
  <c r="S238" i="13"/>
  <c r="P238" i="13"/>
  <c r="M238" i="13"/>
  <c r="J238" i="13"/>
  <c r="AY237" i="13"/>
  <c r="AU237" i="13"/>
  <c r="AQ237" i="13"/>
  <c r="AM237" i="13"/>
  <c r="AI237" i="13"/>
  <c r="AE237" i="13"/>
  <c r="AA237" i="13"/>
  <c r="Z237" i="13"/>
  <c r="AB237" i="13" s="1"/>
  <c r="Y237" i="13"/>
  <c r="V237" i="13"/>
  <c r="S237" i="13"/>
  <c r="P237" i="13"/>
  <c r="M237" i="13"/>
  <c r="J237" i="13"/>
  <c r="AY236" i="13"/>
  <c r="AU236" i="13"/>
  <c r="AQ236" i="13"/>
  <c r="AM236" i="13"/>
  <c r="AI236" i="13"/>
  <c r="AE236" i="13"/>
  <c r="AA236" i="13"/>
  <c r="Z236" i="13"/>
  <c r="AB236" i="13" s="1"/>
  <c r="Y236" i="13"/>
  <c r="V236" i="13"/>
  <c r="S236" i="13"/>
  <c r="P236" i="13"/>
  <c r="M236" i="13"/>
  <c r="J236" i="13"/>
  <c r="AY235" i="13"/>
  <c r="AU235" i="13"/>
  <c r="AQ235" i="13"/>
  <c r="AM235" i="13"/>
  <c r="AI235" i="13"/>
  <c r="AE235" i="13"/>
  <c r="AA235" i="13"/>
  <c r="Z235" i="13"/>
  <c r="AB235" i="13" s="1"/>
  <c r="Y235" i="13"/>
  <c r="V235" i="13"/>
  <c r="S235" i="13"/>
  <c r="P235" i="13"/>
  <c r="M235" i="13"/>
  <c r="J235" i="13"/>
  <c r="AY234" i="13"/>
  <c r="AU234" i="13"/>
  <c r="AQ234" i="13"/>
  <c r="AM234" i="13"/>
  <c r="AI234" i="13"/>
  <c r="AE234" i="13"/>
  <c r="AA234" i="13"/>
  <c r="Z234" i="13"/>
  <c r="AB234" i="13" s="1"/>
  <c r="Y234" i="13"/>
  <c r="V234" i="13"/>
  <c r="S234" i="13"/>
  <c r="P234" i="13"/>
  <c r="M234" i="13"/>
  <c r="J234" i="13"/>
  <c r="AY233" i="13"/>
  <c r="AU233" i="13"/>
  <c r="AQ233" i="13"/>
  <c r="AM233" i="13"/>
  <c r="AI233" i="13"/>
  <c r="AE233" i="13"/>
  <c r="AA233" i="13"/>
  <c r="Z233" i="13"/>
  <c r="AB233" i="13" s="1"/>
  <c r="Y233" i="13"/>
  <c r="V233" i="13"/>
  <c r="S233" i="13"/>
  <c r="P233" i="13"/>
  <c r="M233" i="13"/>
  <c r="J233" i="13"/>
  <c r="AY232" i="13"/>
  <c r="AU232" i="13"/>
  <c r="AQ232" i="13"/>
  <c r="AM232" i="13"/>
  <c r="AI232" i="13"/>
  <c r="AE232" i="13"/>
  <c r="AA232" i="13"/>
  <c r="Z232" i="13"/>
  <c r="AB232" i="13" s="1"/>
  <c r="Y232" i="13"/>
  <c r="V232" i="13"/>
  <c r="S232" i="13"/>
  <c r="P232" i="13"/>
  <c r="M232" i="13"/>
  <c r="J232" i="13"/>
  <c r="AY231" i="13"/>
  <c r="AU231" i="13"/>
  <c r="AQ231" i="13"/>
  <c r="AM231" i="13"/>
  <c r="AI231" i="13"/>
  <c r="AE231" i="13"/>
  <c r="AA231" i="13"/>
  <c r="Z231" i="13"/>
  <c r="Y231" i="13"/>
  <c r="V231" i="13"/>
  <c r="S231" i="13"/>
  <c r="P231" i="13"/>
  <c r="M231" i="13"/>
  <c r="J231" i="13"/>
  <c r="AY230" i="13"/>
  <c r="AU230" i="13"/>
  <c r="AQ230" i="13"/>
  <c r="AM230" i="13"/>
  <c r="AI230" i="13"/>
  <c r="AE230" i="13"/>
  <c r="AA230" i="13"/>
  <c r="Z230" i="13"/>
  <c r="AB230" i="13" s="1"/>
  <c r="Y230" i="13"/>
  <c r="V230" i="13"/>
  <c r="S230" i="13"/>
  <c r="P230" i="13"/>
  <c r="M230" i="13"/>
  <c r="J230" i="13"/>
  <c r="AY229" i="13"/>
  <c r="AU229" i="13"/>
  <c r="AQ229" i="13"/>
  <c r="AM229" i="13"/>
  <c r="AI229" i="13"/>
  <c r="AE229" i="13"/>
  <c r="AA229" i="13"/>
  <c r="Z229" i="13"/>
  <c r="Y229" i="13"/>
  <c r="V229" i="13"/>
  <c r="S229" i="13"/>
  <c r="P229" i="13"/>
  <c r="M229" i="13"/>
  <c r="J229" i="13"/>
  <c r="AY228" i="13"/>
  <c r="AU228" i="13"/>
  <c r="AQ228" i="13"/>
  <c r="AM228" i="13"/>
  <c r="AI228" i="13"/>
  <c r="AE228" i="13"/>
  <c r="AA228" i="13"/>
  <c r="Z228" i="13"/>
  <c r="AB228" i="13" s="1"/>
  <c r="Y228" i="13"/>
  <c r="V228" i="13"/>
  <c r="S228" i="13"/>
  <c r="P228" i="13"/>
  <c r="M228" i="13"/>
  <c r="J228" i="13"/>
  <c r="AY227" i="13"/>
  <c r="AU227" i="13"/>
  <c r="AQ227" i="13"/>
  <c r="AM227" i="13"/>
  <c r="AI227" i="13"/>
  <c r="AE227" i="13"/>
  <c r="AA227" i="13"/>
  <c r="Z227" i="13"/>
  <c r="AB227" i="13" s="1"/>
  <c r="Y227" i="13"/>
  <c r="V227" i="13"/>
  <c r="S227" i="13"/>
  <c r="P227" i="13"/>
  <c r="M227" i="13"/>
  <c r="J227" i="13"/>
  <c r="AY226" i="13"/>
  <c r="AU226" i="13"/>
  <c r="AQ226" i="13"/>
  <c r="AM226" i="13"/>
  <c r="AI226" i="13"/>
  <c r="AE226" i="13"/>
  <c r="AA226" i="13"/>
  <c r="Z226" i="13"/>
  <c r="Y226" i="13"/>
  <c r="V226" i="13"/>
  <c r="S226" i="13"/>
  <c r="P226" i="13"/>
  <c r="M226" i="13"/>
  <c r="J226" i="13"/>
  <c r="AY225" i="13"/>
  <c r="AU225" i="13"/>
  <c r="AQ225" i="13"/>
  <c r="AM225" i="13"/>
  <c r="AI225" i="13"/>
  <c r="AE225" i="13"/>
  <c r="AA225" i="13"/>
  <c r="Z225" i="13"/>
  <c r="Y225" i="13"/>
  <c r="V225" i="13"/>
  <c r="S225" i="13"/>
  <c r="P225" i="13"/>
  <c r="M225" i="13"/>
  <c r="J225" i="13"/>
  <c r="AY224" i="13"/>
  <c r="AU224" i="13"/>
  <c r="AQ224" i="13"/>
  <c r="AM224" i="13"/>
  <c r="AI224" i="13"/>
  <c r="AE224" i="13"/>
  <c r="AA224" i="13"/>
  <c r="Z224" i="13"/>
  <c r="Y224" i="13"/>
  <c r="V224" i="13"/>
  <c r="S224" i="13"/>
  <c r="P224" i="13"/>
  <c r="M224" i="13"/>
  <c r="J224" i="13"/>
  <c r="AY223" i="13"/>
  <c r="AU223" i="13"/>
  <c r="AQ223" i="13"/>
  <c r="AM223" i="13"/>
  <c r="AI223" i="13"/>
  <c r="AE223" i="13"/>
  <c r="AA223" i="13"/>
  <c r="Z223" i="13"/>
  <c r="AY222" i="13"/>
  <c r="AU222" i="13"/>
  <c r="AQ222" i="13"/>
  <c r="AM222" i="13"/>
  <c r="AI222" i="13"/>
  <c r="AE222" i="13"/>
  <c r="AA222" i="13"/>
  <c r="Z222" i="13"/>
  <c r="AB222" i="13" s="1"/>
  <c r="Y222" i="13"/>
  <c r="V222" i="13"/>
  <c r="S222" i="13"/>
  <c r="P222" i="13"/>
  <c r="M222" i="13"/>
  <c r="J222" i="13"/>
  <c r="AY221" i="13"/>
  <c r="AU221" i="13"/>
  <c r="AQ221" i="13"/>
  <c r="AM221" i="13"/>
  <c r="AI221" i="13"/>
  <c r="AE221" i="13"/>
  <c r="AA221" i="13"/>
  <c r="Z221" i="13"/>
  <c r="Y221" i="13"/>
  <c r="V221" i="13"/>
  <c r="S221" i="13"/>
  <c r="P221" i="13"/>
  <c r="M221" i="13"/>
  <c r="J221" i="13"/>
  <c r="AY220" i="13"/>
  <c r="AU220" i="13"/>
  <c r="AQ220" i="13"/>
  <c r="AM220" i="13"/>
  <c r="AI220" i="13"/>
  <c r="AE220" i="13"/>
  <c r="AA220" i="13"/>
  <c r="Z220" i="13"/>
  <c r="AB220" i="13" s="1"/>
  <c r="Y220" i="13"/>
  <c r="V220" i="13"/>
  <c r="S220" i="13"/>
  <c r="P220" i="13"/>
  <c r="M220" i="13"/>
  <c r="J220" i="13"/>
  <c r="AY219" i="13"/>
  <c r="AU219" i="13"/>
  <c r="AQ219" i="13"/>
  <c r="AM219" i="13"/>
  <c r="AI219" i="13"/>
  <c r="AE219" i="13"/>
  <c r="AA219" i="13"/>
  <c r="Z219" i="13"/>
  <c r="Y219" i="13"/>
  <c r="V219" i="13"/>
  <c r="S219" i="13"/>
  <c r="P219" i="13"/>
  <c r="M219" i="13"/>
  <c r="J219" i="13"/>
  <c r="AY218" i="13"/>
  <c r="AU218" i="13"/>
  <c r="AQ218" i="13"/>
  <c r="AM218" i="13"/>
  <c r="AI218" i="13"/>
  <c r="AE218" i="13"/>
  <c r="AA218" i="13"/>
  <c r="Z218" i="13"/>
  <c r="AB218" i="13" s="1"/>
  <c r="Y218" i="13"/>
  <c r="V218" i="13"/>
  <c r="S218" i="13"/>
  <c r="P218" i="13"/>
  <c r="M218" i="13"/>
  <c r="J218" i="13"/>
  <c r="AY217" i="13"/>
  <c r="AU217" i="13"/>
  <c r="AQ217" i="13"/>
  <c r="AM217" i="13"/>
  <c r="AI217" i="13"/>
  <c r="AE217" i="13"/>
  <c r="AA217" i="13"/>
  <c r="Z217" i="13"/>
  <c r="AB217" i="13" s="1"/>
  <c r="Y217" i="13"/>
  <c r="V217" i="13"/>
  <c r="S217" i="13"/>
  <c r="P217" i="13"/>
  <c r="M217" i="13"/>
  <c r="J217" i="13"/>
  <c r="AY216" i="13"/>
  <c r="AU216" i="13"/>
  <c r="AQ216" i="13"/>
  <c r="AM216" i="13"/>
  <c r="AI216" i="13"/>
  <c r="AE216" i="13"/>
  <c r="AA216" i="13"/>
  <c r="Z216" i="13"/>
  <c r="AB216" i="13" s="1"/>
  <c r="Y216" i="13"/>
  <c r="V216" i="13"/>
  <c r="S216" i="13"/>
  <c r="P216" i="13"/>
  <c r="M216" i="13"/>
  <c r="J216" i="13"/>
  <c r="AY215" i="13"/>
  <c r="AU215" i="13"/>
  <c r="AQ215" i="13"/>
  <c r="AM215" i="13"/>
  <c r="AI215" i="13"/>
  <c r="AE215" i="13"/>
  <c r="AA215" i="13"/>
  <c r="Z215" i="13"/>
  <c r="AB215" i="13" s="1"/>
  <c r="Y215" i="13"/>
  <c r="V215" i="13"/>
  <c r="S215" i="13"/>
  <c r="P215" i="13"/>
  <c r="M215" i="13"/>
  <c r="J215" i="13"/>
  <c r="AY214" i="13"/>
  <c r="AU214" i="13"/>
  <c r="AQ214" i="13"/>
  <c r="AM214" i="13"/>
  <c r="AI214" i="13"/>
  <c r="AE214" i="13"/>
  <c r="AA214" i="13"/>
  <c r="Z214" i="13"/>
  <c r="Y214" i="13"/>
  <c r="V214" i="13"/>
  <c r="S214" i="13"/>
  <c r="P214" i="13"/>
  <c r="M214" i="13"/>
  <c r="J214" i="13"/>
  <c r="AY213" i="13"/>
  <c r="AU213" i="13"/>
  <c r="AQ213" i="13"/>
  <c r="AM213" i="13"/>
  <c r="AI213" i="13"/>
  <c r="AE213" i="13"/>
  <c r="AA213" i="13"/>
  <c r="Z213" i="13"/>
  <c r="Y213" i="13"/>
  <c r="V213" i="13"/>
  <c r="S213" i="13"/>
  <c r="P213" i="13"/>
  <c r="M213" i="13"/>
  <c r="J213" i="13"/>
  <c r="AY212" i="13"/>
  <c r="AU212" i="13"/>
  <c r="AQ212" i="13"/>
  <c r="AM212" i="13"/>
  <c r="AI212" i="13"/>
  <c r="AE212" i="13"/>
  <c r="AA212" i="13"/>
  <c r="Z212" i="13"/>
  <c r="AB212" i="13" s="1"/>
  <c r="Y212" i="13"/>
  <c r="V212" i="13"/>
  <c r="S212" i="13"/>
  <c r="P212" i="13"/>
  <c r="M212" i="13"/>
  <c r="J212" i="13"/>
  <c r="AY211" i="13"/>
  <c r="AU211" i="13"/>
  <c r="AQ211" i="13"/>
  <c r="AM211" i="13"/>
  <c r="AI211" i="13"/>
  <c r="AE211" i="13"/>
  <c r="AA211" i="13"/>
  <c r="Z211" i="13"/>
  <c r="Y211" i="13"/>
  <c r="V211" i="13"/>
  <c r="S211" i="13"/>
  <c r="P211" i="13"/>
  <c r="M211" i="13"/>
  <c r="J211" i="13"/>
  <c r="AY210" i="13"/>
  <c r="AU210" i="13"/>
  <c r="AQ210" i="13"/>
  <c r="AM210" i="13"/>
  <c r="AI210" i="13"/>
  <c r="AE210" i="13"/>
  <c r="AA210" i="13"/>
  <c r="Z210" i="13"/>
  <c r="Y210" i="13"/>
  <c r="V210" i="13"/>
  <c r="S210" i="13"/>
  <c r="P210" i="13"/>
  <c r="M210" i="13"/>
  <c r="J210" i="13"/>
  <c r="AY209" i="13"/>
  <c r="AU209" i="13"/>
  <c r="AQ209" i="13"/>
  <c r="AM209" i="13"/>
  <c r="AI209" i="13"/>
  <c r="AE209" i="13"/>
  <c r="AA209" i="13"/>
  <c r="Z209" i="13"/>
  <c r="AB209" i="13" s="1"/>
  <c r="Y209" i="13"/>
  <c r="V209" i="13"/>
  <c r="S209" i="13"/>
  <c r="P209" i="13"/>
  <c r="M209" i="13"/>
  <c r="J209" i="13"/>
  <c r="AY208" i="13"/>
  <c r="AU208" i="13"/>
  <c r="AQ208" i="13"/>
  <c r="AM208" i="13"/>
  <c r="AI208" i="13"/>
  <c r="AE208" i="13"/>
  <c r="AA208" i="13"/>
  <c r="Z208" i="13"/>
  <c r="AB208" i="13" s="1"/>
  <c r="Y208" i="13"/>
  <c r="V208" i="13"/>
  <c r="S208" i="13"/>
  <c r="P208" i="13"/>
  <c r="M208" i="13"/>
  <c r="J208" i="13"/>
  <c r="AY207" i="13"/>
  <c r="AU207" i="13"/>
  <c r="AQ207" i="13"/>
  <c r="AM207" i="13"/>
  <c r="AI207" i="13"/>
  <c r="AE207" i="13"/>
  <c r="AA207" i="13"/>
  <c r="Z207" i="13"/>
  <c r="Y207" i="13"/>
  <c r="V207" i="13"/>
  <c r="S207" i="13"/>
  <c r="P207" i="13"/>
  <c r="M207" i="13"/>
  <c r="J207" i="13"/>
  <c r="AY206" i="13"/>
  <c r="AU206" i="13"/>
  <c r="AQ206" i="13"/>
  <c r="AM206" i="13"/>
  <c r="AI206" i="13"/>
  <c r="AE206" i="13"/>
  <c r="AA206" i="13"/>
  <c r="Z206" i="13"/>
  <c r="AB206" i="13" s="1"/>
  <c r="Y206" i="13"/>
  <c r="V206" i="13"/>
  <c r="S206" i="13"/>
  <c r="P206" i="13"/>
  <c r="M206" i="13"/>
  <c r="J206" i="13"/>
  <c r="AY205" i="13"/>
  <c r="AU205" i="13"/>
  <c r="AQ205" i="13"/>
  <c r="AM205" i="13"/>
  <c r="AI205" i="13"/>
  <c r="AE205" i="13"/>
  <c r="AA205" i="13"/>
  <c r="Z205" i="13"/>
  <c r="AB205" i="13" s="1"/>
  <c r="Y205" i="13"/>
  <c r="V205" i="13"/>
  <c r="S205" i="13"/>
  <c r="P205" i="13"/>
  <c r="M205" i="13"/>
  <c r="J205" i="13"/>
  <c r="AY204" i="13"/>
  <c r="AU204" i="13"/>
  <c r="AQ204" i="13"/>
  <c r="AM204" i="13"/>
  <c r="AI204" i="13"/>
  <c r="AE204" i="13"/>
  <c r="AA204" i="13"/>
  <c r="Z204" i="13"/>
  <c r="AB204" i="13" s="1"/>
  <c r="Y204" i="13"/>
  <c r="V204" i="13"/>
  <c r="S204" i="13"/>
  <c r="P204" i="13"/>
  <c r="M204" i="13"/>
  <c r="J204" i="13"/>
  <c r="AY203" i="13"/>
  <c r="AU203" i="13"/>
  <c r="AQ203" i="13"/>
  <c r="AM203" i="13"/>
  <c r="AI203" i="13"/>
  <c r="AE203" i="13"/>
  <c r="AA203" i="13"/>
  <c r="Z203" i="13"/>
  <c r="AB203" i="13" s="1"/>
  <c r="Y203" i="13"/>
  <c r="V203" i="13"/>
  <c r="S203" i="13"/>
  <c r="P203" i="13"/>
  <c r="M203" i="13"/>
  <c r="J203" i="13"/>
  <c r="AY202" i="13"/>
  <c r="AU202" i="13"/>
  <c r="AQ202" i="13"/>
  <c r="AM202" i="13"/>
  <c r="AI202" i="13"/>
  <c r="AE202" i="13"/>
  <c r="AA202" i="13"/>
  <c r="Z202" i="13"/>
  <c r="AB202" i="13" s="1"/>
  <c r="Y202" i="13"/>
  <c r="V202" i="13"/>
  <c r="S202" i="13"/>
  <c r="P202" i="13"/>
  <c r="M202" i="13"/>
  <c r="J202" i="13"/>
  <c r="AY201" i="13"/>
  <c r="AU201" i="13"/>
  <c r="AQ201" i="13"/>
  <c r="AM201" i="13"/>
  <c r="AI201" i="13"/>
  <c r="AE201" i="13"/>
  <c r="AA201" i="13"/>
  <c r="Z201" i="13"/>
  <c r="AB201" i="13" s="1"/>
  <c r="Y201" i="13"/>
  <c r="V201" i="13"/>
  <c r="S201" i="13"/>
  <c r="P201" i="13"/>
  <c r="M201" i="13"/>
  <c r="J201" i="13"/>
  <c r="AY200" i="13"/>
  <c r="AU200" i="13"/>
  <c r="AQ200" i="13"/>
  <c r="AM200" i="13"/>
  <c r="AI200" i="13"/>
  <c r="AE200" i="13"/>
  <c r="AA200" i="13"/>
  <c r="Z200" i="13"/>
  <c r="Y200" i="13"/>
  <c r="V200" i="13"/>
  <c r="S200" i="13"/>
  <c r="P200" i="13"/>
  <c r="M200" i="13"/>
  <c r="J200" i="13"/>
  <c r="AY199" i="13"/>
  <c r="AU199" i="13"/>
  <c r="AQ199" i="13"/>
  <c r="AM199" i="13"/>
  <c r="AI199" i="13"/>
  <c r="AE199" i="13"/>
  <c r="AA199" i="13"/>
  <c r="Z199" i="13"/>
  <c r="AB199" i="13" s="1"/>
  <c r="Y199" i="13"/>
  <c r="V199" i="13"/>
  <c r="S199" i="13"/>
  <c r="P199" i="13"/>
  <c r="M199" i="13"/>
  <c r="J199" i="13"/>
  <c r="AY198" i="13"/>
  <c r="AU198" i="13"/>
  <c r="AQ198" i="13"/>
  <c r="AM198" i="13"/>
  <c r="AI198" i="13"/>
  <c r="AE198" i="13"/>
  <c r="AA198" i="13"/>
  <c r="Z198" i="13"/>
  <c r="Y198" i="13"/>
  <c r="V198" i="13"/>
  <c r="S198" i="13"/>
  <c r="P198" i="13"/>
  <c r="M198" i="13"/>
  <c r="J198" i="13"/>
  <c r="AY197" i="13"/>
  <c r="AU197" i="13"/>
  <c r="AQ197" i="13"/>
  <c r="AM197" i="13"/>
  <c r="AI197" i="13"/>
  <c r="AE197" i="13"/>
  <c r="AA197" i="13"/>
  <c r="Z197" i="13"/>
  <c r="AB197" i="13" s="1"/>
  <c r="Y197" i="13"/>
  <c r="V197" i="13"/>
  <c r="S197" i="13"/>
  <c r="P197" i="13"/>
  <c r="M197" i="13"/>
  <c r="J197" i="13"/>
  <c r="AY196" i="13"/>
  <c r="AU196" i="13"/>
  <c r="AQ196" i="13"/>
  <c r="AM196" i="13"/>
  <c r="AI196" i="13"/>
  <c r="AE196" i="13"/>
  <c r="AA196" i="13"/>
  <c r="Z196" i="13"/>
  <c r="AB196" i="13" s="1"/>
  <c r="Y196" i="13"/>
  <c r="V196" i="13"/>
  <c r="S196" i="13"/>
  <c r="P196" i="13"/>
  <c r="M196" i="13"/>
  <c r="J196" i="13"/>
  <c r="AY195" i="13"/>
  <c r="AU195" i="13"/>
  <c r="AQ195" i="13"/>
  <c r="AM195" i="13"/>
  <c r="AI195" i="13"/>
  <c r="AE195" i="13"/>
  <c r="AA195" i="13"/>
  <c r="Z195" i="13"/>
  <c r="Y195" i="13"/>
  <c r="V195" i="13"/>
  <c r="S195" i="13"/>
  <c r="P195" i="13"/>
  <c r="M195" i="13"/>
  <c r="J195" i="13"/>
  <c r="AY194" i="13"/>
  <c r="AU194" i="13"/>
  <c r="AQ194" i="13"/>
  <c r="AM194" i="13"/>
  <c r="AI194" i="13"/>
  <c r="AE194" i="13"/>
  <c r="AA194" i="13"/>
  <c r="Z194" i="13"/>
  <c r="Y194" i="13"/>
  <c r="V194" i="13"/>
  <c r="S194" i="13"/>
  <c r="P194" i="13"/>
  <c r="M194" i="13"/>
  <c r="J194" i="13"/>
  <c r="AY193" i="13"/>
  <c r="AU193" i="13"/>
  <c r="AQ193" i="13"/>
  <c r="AM193" i="13"/>
  <c r="AI193" i="13"/>
  <c r="AE193" i="13"/>
  <c r="AA193" i="13"/>
  <c r="Z193" i="13"/>
  <c r="Y193" i="13"/>
  <c r="V193" i="13"/>
  <c r="S193" i="13"/>
  <c r="P193" i="13"/>
  <c r="M193" i="13"/>
  <c r="J193" i="13"/>
  <c r="AY192" i="13"/>
  <c r="AU192" i="13"/>
  <c r="AQ192" i="13"/>
  <c r="AM192" i="13"/>
  <c r="AI192" i="13"/>
  <c r="AE192" i="13"/>
  <c r="AA192" i="13"/>
  <c r="Z192" i="13"/>
  <c r="AY191" i="13"/>
  <c r="AU191" i="13"/>
  <c r="AQ191" i="13"/>
  <c r="AM191" i="13"/>
  <c r="AI191" i="13"/>
  <c r="AE191" i="13"/>
  <c r="AA191" i="13"/>
  <c r="Z191" i="13"/>
  <c r="AB191" i="13" s="1"/>
  <c r="Y191" i="13"/>
  <c r="V191" i="13"/>
  <c r="S191" i="13"/>
  <c r="P191" i="13"/>
  <c r="M191" i="13"/>
  <c r="J191" i="13"/>
  <c r="AY190" i="13"/>
  <c r="AU190" i="13"/>
  <c r="AQ190" i="13"/>
  <c r="AM190" i="13"/>
  <c r="AI190" i="13"/>
  <c r="AE190" i="13"/>
  <c r="AA190" i="13"/>
  <c r="Z190" i="13"/>
  <c r="Y190" i="13"/>
  <c r="V190" i="13"/>
  <c r="S190" i="13"/>
  <c r="P190" i="13"/>
  <c r="M190" i="13"/>
  <c r="J190" i="13"/>
  <c r="AY189" i="13"/>
  <c r="AU189" i="13"/>
  <c r="AQ189" i="13"/>
  <c r="AM189" i="13"/>
  <c r="AI189" i="13"/>
  <c r="AE189" i="13"/>
  <c r="AA189" i="13"/>
  <c r="Z189" i="13"/>
  <c r="AB189" i="13" s="1"/>
  <c r="Y189" i="13"/>
  <c r="V189" i="13"/>
  <c r="S189" i="13"/>
  <c r="P189" i="13"/>
  <c r="M189" i="13"/>
  <c r="J189" i="13"/>
  <c r="AY188" i="13"/>
  <c r="AU188" i="13"/>
  <c r="AQ188" i="13"/>
  <c r="AM188" i="13"/>
  <c r="AI188" i="13"/>
  <c r="AE188" i="13"/>
  <c r="AA188" i="13"/>
  <c r="Z188" i="13"/>
  <c r="Y188" i="13"/>
  <c r="V188" i="13"/>
  <c r="S188" i="13"/>
  <c r="P188" i="13"/>
  <c r="M188" i="13"/>
  <c r="J188" i="13"/>
  <c r="AY187" i="13"/>
  <c r="AU187" i="13"/>
  <c r="AQ187" i="13"/>
  <c r="AM187" i="13"/>
  <c r="AI187" i="13"/>
  <c r="AE187" i="13"/>
  <c r="AA187" i="13"/>
  <c r="Z187" i="13"/>
  <c r="AB187" i="13" s="1"/>
  <c r="Y187" i="13"/>
  <c r="V187" i="13"/>
  <c r="S187" i="13"/>
  <c r="P187" i="13"/>
  <c r="M187" i="13"/>
  <c r="J187" i="13"/>
  <c r="AY186" i="13"/>
  <c r="AU186" i="13"/>
  <c r="AQ186" i="13"/>
  <c r="AM186" i="13"/>
  <c r="AI186" i="13"/>
  <c r="AE186" i="13"/>
  <c r="AA186" i="13"/>
  <c r="Z186" i="13"/>
  <c r="AB186" i="13" s="1"/>
  <c r="Y186" i="13"/>
  <c r="V186" i="13"/>
  <c r="S186" i="13"/>
  <c r="P186" i="13"/>
  <c r="M186" i="13"/>
  <c r="J186" i="13"/>
  <c r="AY185" i="13"/>
  <c r="AU185" i="13"/>
  <c r="AQ185" i="13"/>
  <c r="AM185" i="13"/>
  <c r="AI185" i="13"/>
  <c r="AE185" i="13"/>
  <c r="AA185" i="13"/>
  <c r="Z185" i="13"/>
  <c r="AB185" i="13" s="1"/>
  <c r="Y185" i="13"/>
  <c r="V185" i="13"/>
  <c r="S185" i="13"/>
  <c r="P185" i="13"/>
  <c r="M185" i="13"/>
  <c r="J185" i="13"/>
  <c r="AY184" i="13"/>
  <c r="AU184" i="13"/>
  <c r="AQ184" i="13"/>
  <c r="AM184" i="13"/>
  <c r="AI184" i="13"/>
  <c r="AE184" i="13"/>
  <c r="AA184" i="13"/>
  <c r="Z184" i="13"/>
  <c r="AB184" i="13" s="1"/>
  <c r="Y184" i="13"/>
  <c r="V184" i="13"/>
  <c r="S184" i="13"/>
  <c r="P184" i="13"/>
  <c r="M184" i="13"/>
  <c r="J184" i="13"/>
  <c r="AY183" i="13"/>
  <c r="AU183" i="13"/>
  <c r="AQ183" i="13"/>
  <c r="AM183" i="13"/>
  <c r="AI183" i="13"/>
  <c r="AE183" i="13"/>
  <c r="AA183" i="13"/>
  <c r="Z183" i="13"/>
  <c r="Y183" i="13"/>
  <c r="V183" i="13"/>
  <c r="S183" i="13"/>
  <c r="P183" i="13"/>
  <c r="M183" i="13"/>
  <c r="J183" i="13"/>
  <c r="AY182" i="13"/>
  <c r="AU182" i="13"/>
  <c r="AQ182" i="13"/>
  <c r="AM182" i="13"/>
  <c r="AI182" i="13"/>
  <c r="AE182" i="13"/>
  <c r="AA182" i="13"/>
  <c r="Z182" i="13"/>
  <c r="Y182" i="13"/>
  <c r="V182" i="13"/>
  <c r="S182" i="13"/>
  <c r="P182" i="13"/>
  <c r="M182" i="13"/>
  <c r="J182" i="13"/>
  <c r="AY181" i="13"/>
  <c r="AU181" i="13"/>
  <c r="AQ181" i="13"/>
  <c r="AM181" i="13"/>
  <c r="AI181" i="13"/>
  <c r="AE181" i="13"/>
  <c r="AA181" i="13"/>
  <c r="Z181" i="13"/>
  <c r="AB181" i="13" s="1"/>
  <c r="Y181" i="13"/>
  <c r="V181" i="13"/>
  <c r="S181" i="13"/>
  <c r="P181" i="13"/>
  <c r="M181" i="13"/>
  <c r="J181" i="13"/>
  <c r="AY180" i="13"/>
  <c r="AU180" i="13"/>
  <c r="AQ180" i="13"/>
  <c r="AM180" i="13"/>
  <c r="AI180" i="13"/>
  <c r="AE180" i="13"/>
  <c r="AA180" i="13"/>
  <c r="Z180" i="13"/>
  <c r="Y180" i="13"/>
  <c r="V180" i="13"/>
  <c r="S180" i="13"/>
  <c r="P180" i="13"/>
  <c r="M180" i="13"/>
  <c r="J180" i="13"/>
  <c r="AY179" i="13"/>
  <c r="AU179" i="13"/>
  <c r="AQ179" i="13"/>
  <c r="AM179" i="13"/>
  <c r="AI179" i="13"/>
  <c r="AE179" i="13"/>
  <c r="AA179" i="13"/>
  <c r="Z179" i="13"/>
  <c r="Y179" i="13"/>
  <c r="V179" i="13"/>
  <c r="S179" i="13"/>
  <c r="P179" i="13"/>
  <c r="M179" i="13"/>
  <c r="J179" i="13"/>
  <c r="AY178" i="13"/>
  <c r="AU178" i="13"/>
  <c r="AQ178" i="13"/>
  <c r="AM178" i="13"/>
  <c r="AI178" i="13"/>
  <c r="AE178" i="13"/>
  <c r="AA178" i="13"/>
  <c r="Z178" i="13"/>
  <c r="AB178" i="13" s="1"/>
  <c r="Y178" i="13"/>
  <c r="V178" i="13"/>
  <c r="S178" i="13"/>
  <c r="P178" i="13"/>
  <c r="M178" i="13"/>
  <c r="J178" i="13"/>
  <c r="AY177" i="13"/>
  <c r="AU177" i="13"/>
  <c r="AQ177" i="13"/>
  <c r="AM177" i="13"/>
  <c r="AI177" i="13"/>
  <c r="AE177" i="13"/>
  <c r="AA177" i="13"/>
  <c r="Z177" i="13"/>
  <c r="AB177" i="13" s="1"/>
  <c r="Y177" i="13"/>
  <c r="V177" i="13"/>
  <c r="S177" i="13"/>
  <c r="P177" i="13"/>
  <c r="M177" i="13"/>
  <c r="J177" i="13"/>
  <c r="AY176" i="13"/>
  <c r="AU176" i="13"/>
  <c r="AQ176" i="13"/>
  <c r="AM176" i="13"/>
  <c r="AI176" i="13"/>
  <c r="AE176" i="13"/>
  <c r="AA176" i="13"/>
  <c r="Z176" i="13"/>
  <c r="Y176" i="13"/>
  <c r="V176" i="13"/>
  <c r="S176" i="13"/>
  <c r="P176" i="13"/>
  <c r="M176" i="13"/>
  <c r="J176" i="13"/>
  <c r="AY175" i="13"/>
  <c r="AU175" i="13"/>
  <c r="AQ175" i="13"/>
  <c r="AM175" i="13"/>
  <c r="AI175" i="13"/>
  <c r="AE175" i="13"/>
  <c r="AA175" i="13"/>
  <c r="Z175" i="13"/>
  <c r="AB175" i="13" s="1"/>
  <c r="Y175" i="13"/>
  <c r="V175" i="13"/>
  <c r="S175" i="13"/>
  <c r="P175" i="13"/>
  <c r="M175" i="13"/>
  <c r="J175" i="13"/>
  <c r="AY174" i="13"/>
  <c r="AU174" i="13"/>
  <c r="AQ174" i="13"/>
  <c r="AM174" i="13"/>
  <c r="AI174" i="13"/>
  <c r="AE174" i="13"/>
  <c r="AA174" i="13"/>
  <c r="Z174" i="13"/>
  <c r="AB174" i="13" s="1"/>
  <c r="Y174" i="13"/>
  <c r="V174" i="13"/>
  <c r="S174" i="13"/>
  <c r="P174" i="13"/>
  <c r="M174" i="13"/>
  <c r="J174" i="13"/>
  <c r="AY173" i="13"/>
  <c r="AU173" i="13"/>
  <c r="AQ173" i="13"/>
  <c r="AM173" i="13"/>
  <c r="AI173" i="13"/>
  <c r="AE173" i="13"/>
  <c r="AA173" i="13"/>
  <c r="Z173" i="13"/>
  <c r="AB173" i="13" s="1"/>
  <c r="Y173" i="13"/>
  <c r="V173" i="13"/>
  <c r="S173" i="13"/>
  <c r="P173" i="13"/>
  <c r="M173" i="13"/>
  <c r="J173" i="13"/>
  <c r="AY172" i="13"/>
  <c r="AU172" i="13"/>
  <c r="AQ172" i="13"/>
  <c r="AM172" i="13"/>
  <c r="AI172" i="13"/>
  <c r="AE172" i="13"/>
  <c r="AA172" i="13"/>
  <c r="Z172" i="13"/>
  <c r="AB172" i="13" s="1"/>
  <c r="Y172" i="13"/>
  <c r="V172" i="13"/>
  <c r="S172" i="13"/>
  <c r="P172" i="13"/>
  <c r="M172" i="13"/>
  <c r="J172" i="13"/>
  <c r="AY171" i="13"/>
  <c r="AU171" i="13"/>
  <c r="AQ171" i="13"/>
  <c r="AM171" i="13"/>
  <c r="AI171" i="13"/>
  <c r="AE171" i="13"/>
  <c r="AA171" i="13"/>
  <c r="Z171" i="13"/>
  <c r="AB171" i="13" s="1"/>
  <c r="Y171" i="13"/>
  <c r="V171" i="13"/>
  <c r="S171" i="13"/>
  <c r="P171" i="13"/>
  <c r="M171" i="13"/>
  <c r="J171" i="13"/>
  <c r="AY170" i="13"/>
  <c r="AU170" i="13"/>
  <c r="AQ170" i="13"/>
  <c r="AM170" i="13"/>
  <c r="AI170" i="13"/>
  <c r="AE170" i="13"/>
  <c r="AA170" i="13"/>
  <c r="Z170" i="13"/>
  <c r="AB170" i="13" s="1"/>
  <c r="Y170" i="13"/>
  <c r="V170" i="13"/>
  <c r="S170" i="13"/>
  <c r="P170" i="13"/>
  <c r="M170" i="13"/>
  <c r="J170" i="13"/>
  <c r="AY169" i="13"/>
  <c r="AU169" i="13"/>
  <c r="AQ169" i="13"/>
  <c r="AM169" i="13"/>
  <c r="AI169" i="13"/>
  <c r="AE169" i="13"/>
  <c r="AA169" i="13"/>
  <c r="Z169" i="13"/>
  <c r="Y169" i="13"/>
  <c r="V169" i="13"/>
  <c r="S169" i="13"/>
  <c r="P169" i="13"/>
  <c r="M169" i="13"/>
  <c r="J169" i="13"/>
  <c r="AY168" i="13"/>
  <c r="AU168" i="13"/>
  <c r="AQ168" i="13"/>
  <c r="AM168" i="13"/>
  <c r="AI168" i="13"/>
  <c r="AE168" i="13"/>
  <c r="AA168" i="13"/>
  <c r="Z168" i="13"/>
  <c r="AB168" i="13" s="1"/>
  <c r="Y168" i="13"/>
  <c r="V168" i="13"/>
  <c r="S168" i="13"/>
  <c r="P168" i="13"/>
  <c r="M168" i="13"/>
  <c r="J168" i="13"/>
  <c r="AY167" i="13"/>
  <c r="AU167" i="13"/>
  <c r="AQ167" i="13"/>
  <c r="AM167" i="13"/>
  <c r="AI167" i="13"/>
  <c r="AE167" i="13"/>
  <c r="AA167" i="13"/>
  <c r="Z167" i="13"/>
  <c r="Y167" i="13"/>
  <c r="V167" i="13"/>
  <c r="S167" i="13"/>
  <c r="P167" i="13"/>
  <c r="M167" i="13"/>
  <c r="J167" i="13"/>
  <c r="AY166" i="13"/>
  <c r="AU166" i="13"/>
  <c r="AQ166" i="13"/>
  <c r="AM166" i="13"/>
  <c r="AI166" i="13"/>
  <c r="AE166" i="13"/>
  <c r="AA166" i="13"/>
  <c r="Z166" i="13"/>
  <c r="AB166" i="13" s="1"/>
  <c r="Y166" i="13"/>
  <c r="V166" i="13"/>
  <c r="S166" i="13"/>
  <c r="P166" i="13"/>
  <c r="M166" i="13"/>
  <c r="J166" i="13"/>
  <c r="AY165" i="13"/>
  <c r="AU165" i="13"/>
  <c r="AQ165" i="13"/>
  <c r="AM165" i="13"/>
  <c r="AI165" i="13"/>
  <c r="AE165" i="13"/>
  <c r="AA165" i="13"/>
  <c r="Z165" i="13"/>
  <c r="AB165" i="13" s="1"/>
  <c r="Y165" i="13"/>
  <c r="V165" i="13"/>
  <c r="S165" i="13"/>
  <c r="P165" i="13"/>
  <c r="M165" i="13"/>
  <c r="J165" i="13"/>
  <c r="AY164" i="13"/>
  <c r="AU164" i="13"/>
  <c r="AQ164" i="13"/>
  <c r="AM164" i="13"/>
  <c r="AI164" i="13"/>
  <c r="AE164" i="13"/>
  <c r="AA164" i="13"/>
  <c r="Z164" i="13"/>
  <c r="Y164" i="13"/>
  <c r="V164" i="13"/>
  <c r="S164" i="13"/>
  <c r="P164" i="13"/>
  <c r="M164" i="13"/>
  <c r="J164" i="13"/>
  <c r="AY163" i="13"/>
  <c r="AU163" i="13"/>
  <c r="AQ163" i="13"/>
  <c r="AM163" i="13"/>
  <c r="AI163" i="13"/>
  <c r="AE163" i="13"/>
  <c r="AA163" i="13"/>
  <c r="Z163" i="13"/>
  <c r="Y163" i="13"/>
  <c r="V163" i="13"/>
  <c r="S163" i="13"/>
  <c r="P163" i="13"/>
  <c r="M163" i="13"/>
  <c r="J163" i="13"/>
  <c r="AY162" i="13"/>
  <c r="AU162" i="13"/>
  <c r="AQ162" i="13"/>
  <c r="AM162" i="13"/>
  <c r="AI162" i="13"/>
  <c r="AE162" i="13"/>
  <c r="AA162" i="13"/>
  <c r="Z162" i="13"/>
  <c r="Y162" i="13"/>
  <c r="V162" i="13"/>
  <c r="S162" i="13"/>
  <c r="P162" i="13"/>
  <c r="M162" i="13"/>
  <c r="J162" i="13"/>
  <c r="AY161" i="13"/>
  <c r="AU161" i="13"/>
  <c r="AQ161" i="13"/>
  <c r="AM161" i="13"/>
  <c r="AI161" i="13"/>
  <c r="AE161" i="13"/>
  <c r="AA161" i="13"/>
  <c r="Z161" i="13"/>
  <c r="AY160" i="13"/>
  <c r="AU160" i="13"/>
  <c r="AQ160" i="13"/>
  <c r="AM160" i="13"/>
  <c r="AI160" i="13"/>
  <c r="AE160" i="13"/>
  <c r="AA160" i="13"/>
  <c r="Z160" i="13"/>
  <c r="AB160" i="13" s="1"/>
  <c r="Y160" i="13"/>
  <c r="V160" i="13"/>
  <c r="S160" i="13"/>
  <c r="P160" i="13"/>
  <c r="M160" i="13"/>
  <c r="J160" i="13"/>
  <c r="AY159" i="13"/>
  <c r="AU159" i="13"/>
  <c r="AQ159" i="13"/>
  <c r="AM159" i="13"/>
  <c r="AI159" i="13"/>
  <c r="AE159" i="13"/>
  <c r="AA159" i="13"/>
  <c r="Z159" i="13"/>
  <c r="Y159" i="13"/>
  <c r="V159" i="13"/>
  <c r="S159" i="13"/>
  <c r="P159" i="13"/>
  <c r="M159" i="13"/>
  <c r="J159" i="13"/>
  <c r="AY158" i="13"/>
  <c r="AU158" i="13"/>
  <c r="AQ158" i="13"/>
  <c r="AM158" i="13"/>
  <c r="AI158" i="13"/>
  <c r="AE158" i="13"/>
  <c r="AA158" i="13"/>
  <c r="Z158" i="13"/>
  <c r="AB158" i="13" s="1"/>
  <c r="Y158" i="13"/>
  <c r="V158" i="13"/>
  <c r="S158" i="13"/>
  <c r="P158" i="13"/>
  <c r="M158" i="13"/>
  <c r="J158" i="13"/>
  <c r="AY157" i="13"/>
  <c r="AU157" i="13"/>
  <c r="AQ157" i="13"/>
  <c r="AM157" i="13"/>
  <c r="AI157" i="13"/>
  <c r="AE157" i="13"/>
  <c r="AA157" i="13"/>
  <c r="Z157" i="13"/>
  <c r="Y157" i="13"/>
  <c r="V157" i="13"/>
  <c r="S157" i="13"/>
  <c r="P157" i="13"/>
  <c r="M157" i="13"/>
  <c r="J157" i="13"/>
  <c r="AY156" i="13"/>
  <c r="AU156" i="13"/>
  <c r="AQ156" i="13"/>
  <c r="AM156" i="13"/>
  <c r="AI156" i="13"/>
  <c r="AE156" i="13"/>
  <c r="AA156" i="13"/>
  <c r="Z156" i="13"/>
  <c r="AB156" i="13" s="1"/>
  <c r="Y156" i="13"/>
  <c r="V156" i="13"/>
  <c r="S156" i="13"/>
  <c r="P156" i="13"/>
  <c r="M156" i="13"/>
  <c r="J156" i="13"/>
  <c r="AY155" i="13"/>
  <c r="AU155" i="13"/>
  <c r="AQ155" i="13"/>
  <c r="AM155" i="13"/>
  <c r="AI155" i="13"/>
  <c r="AE155" i="13"/>
  <c r="AA155" i="13"/>
  <c r="Z155" i="13"/>
  <c r="AB155" i="13" s="1"/>
  <c r="Y155" i="13"/>
  <c r="V155" i="13"/>
  <c r="S155" i="13"/>
  <c r="P155" i="13"/>
  <c r="M155" i="13"/>
  <c r="J155" i="13"/>
  <c r="AY154" i="13"/>
  <c r="AU154" i="13"/>
  <c r="AQ154" i="13"/>
  <c r="AM154" i="13"/>
  <c r="AI154" i="13"/>
  <c r="AE154" i="13"/>
  <c r="AA154" i="13"/>
  <c r="Z154" i="13"/>
  <c r="AB154" i="13" s="1"/>
  <c r="Y154" i="13"/>
  <c r="V154" i="13"/>
  <c r="S154" i="13"/>
  <c r="P154" i="13"/>
  <c r="M154" i="13"/>
  <c r="J154" i="13"/>
  <c r="AY153" i="13"/>
  <c r="AU153" i="13"/>
  <c r="AQ153" i="13"/>
  <c r="AM153" i="13"/>
  <c r="AI153" i="13"/>
  <c r="AE153" i="13"/>
  <c r="AA153" i="13"/>
  <c r="Z153" i="13"/>
  <c r="AB153" i="13" s="1"/>
  <c r="Y153" i="13"/>
  <c r="V153" i="13"/>
  <c r="S153" i="13"/>
  <c r="P153" i="13"/>
  <c r="M153" i="13"/>
  <c r="J153" i="13"/>
  <c r="AY152" i="13"/>
  <c r="AU152" i="13"/>
  <c r="AQ152" i="13"/>
  <c r="AM152" i="13"/>
  <c r="AI152" i="13"/>
  <c r="AE152" i="13"/>
  <c r="AA152" i="13"/>
  <c r="Z152" i="13"/>
  <c r="Y152" i="13"/>
  <c r="V152" i="13"/>
  <c r="S152" i="13"/>
  <c r="P152" i="13"/>
  <c r="M152" i="13"/>
  <c r="J152" i="13"/>
  <c r="AY151" i="13"/>
  <c r="AU151" i="13"/>
  <c r="AQ151" i="13"/>
  <c r="AM151" i="13"/>
  <c r="AI151" i="13"/>
  <c r="AE151" i="13"/>
  <c r="AA151" i="13"/>
  <c r="Z151" i="13"/>
  <c r="Y151" i="13"/>
  <c r="V151" i="13"/>
  <c r="S151" i="13"/>
  <c r="P151" i="13"/>
  <c r="M151" i="13"/>
  <c r="J151" i="13"/>
  <c r="AY150" i="13"/>
  <c r="AU150" i="13"/>
  <c r="AQ150" i="13"/>
  <c r="AM150" i="13"/>
  <c r="AI150" i="13"/>
  <c r="AE150" i="13"/>
  <c r="AA150" i="13"/>
  <c r="Z150" i="13"/>
  <c r="AB150" i="13" s="1"/>
  <c r="Y150" i="13"/>
  <c r="V150" i="13"/>
  <c r="S150" i="13"/>
  <c r="P150" i="13"/>
  <c r="M150" i="13"/>
  <c r="J150" i="13"/>
  <c r="AY149" i="13"/>
  <c r="AU149" i="13"/>
  <c r="AQ149" i="13"/>
  <c r="AM149" i="13"/>
  <c r="AI149" i="13"/>
  <c r="AE149" i="13"/>
  <c r="AA149" i="13"/>
  <c r="Z149" i="13"/>
  <c r="Y149" i="13"/>
  <c r="V149" i="13"/>
  <c r="S149" i="13"/>
  <c r="P149" i="13"/>
  <c r="M149" i="13"/>
  <c r="J149" i="13"/>
  <c r="AY148" i="13"/>
  <c r="AU148" i="13"/>
  <c r="AQ148" i="13"/>
  <c r="AM148" i="13"/>
  <c r="AI148" i="13"/>
  <c r="AE148" i="13"/>
  <c r="AA148" i="13"/>
  <c r="Z148" i="13"/>
  <c r="Y148" i="13"/>
  <c r="V148" i="13"/>
  <c r="S148" i="13"/>
  <c r="P148" i="13"/>
  <c r="M148" i="13"/>
  <c r="J148" i="13"/>
  <c r="AY147" i="13"/>
  <c r="AU147" i="13"/>
  <c r="AQ147" i="13"/>
  <c r="AM147" i="13"/>
  <c r="AI147" i="13"/>
  <c r="AE147" i="13"/>
  <c r="AA147" i="13"/>
  <c r="Z147" i="13"/>
  <c r="AB147" i="13" s="1"/>
  <c r="Y147" i="13"/>
  <c r="V147" i="13"/>
  <c r="S147" i="13"/>
  <c r="P147" i="13"/>
  <c r="M147" i="13"/>
  <c r="J147" i="13"/>
  <c r="AY146" i="13"/>
  <c r="AU146" i="13"/>
  <c r="AQ146" i="13"/>
  <c r="AM146" i="13"/>
  <c r="AI146" i="13"/>
  <c r="AE146" i="13"/>
  <c r="AA146" i="13"/>
  <c r="Z146" i="13"/>
  <c r="AB146" i="13" s="1"/>
  <c r="Y146" i="13"/>
  <c r="V146" i="13"/>
  <c r="S146" i="13"/>
  <c r="P146" i="13"/>
  <c r="M146" i="13"/>
  <c r="J146" i="13"/>
  <c r="AY145" i="13"/>
  <c r="AU145" i="13"/>
  <c r="AQ145" i="13"/>
  <c r="AM145" i="13"/>
  <c r="AI145" i="13"/>
  <c r="AE145" i="13"/>
  <c r="AA145" i="13"/>
  <c r="Z145" i="13"/>
  <c r="Y145" i="13"/>
  <c r="V145" i="13"/>
  <c r="S145" i="13"/>
  <c r="P145" i="13"/>
  <c r="M145" i="13"/>
  <c r="J145" i="13"/>
  <c r="AY144" i="13"/>
  <c r="AU144" i="13"/>
  <c r="AQ144" i="13"/>
  <c r="AM144" i="13"/>
  <c r="AI144" i="13"/>
  <c r="AE144" i="13"/>
  <c r="AA144" i="13"/>
  <c r="Z144" i="13"/>
  <c r="AB144" i="13" s="1"/>
  <c r="Y144" i="13"/>
  <c r="V144" i="13"/>
  <c r="S144" i="13"/>
  <c r="P144" i="13"/>
  <c r="M144" i="13"/>
  <c r="J144" i="13"/>
  <c r="AY143" i="13"/>
  <c r="AU143" i="13"/>
  <c r="AQ143" i="13"/>
  <c r="AM143" i="13"/>
  <c r="AI143" i="13"/>
  <c r="AE143" i="13"/>
  <c r="AA143" i="13"/>
  <c r="Z143" i="13"/>
  <c r="AB143" i="13" s="1"/>
  <c r="Y143" i="13"/>
  <c r="V143" i="13"/>
  <c r="S143" i="13"/>
  <c r="P143" i="13"/>
  <c r="M143" i="13"/>
  <c r="J143" i="13"/>
  <c r="AY142" i="13"/>
  <c r="AU142" i="13"/>
  <c r="AQ142" i="13"/>
  <c r="AM142" i="13"/>
  <c r="AI142" i="13"/>
  <c r="AE142" i="13"/>
  <c r="AA142" i="13"/>
  <c r="Z142" i="13"/>
  <c r="AB142" i="13" s="1"/>
  <c r="Y142" i="13"/>
  <c r="V142" i="13"/>
  <c r="S142" i="13"/>
  <c r="P142" i="13"/>
  <c r="M142" i="13"/>
  <c r="J142" i="13"/>
  <c r="AY141" i="13"/>
  <c r="AU141" i="13"/>
  <c r="AQ141" i="13"/>
  <c r="AM141" i="13"/>
  <c r="AI141" i="13"/>
  <c r="AE141" i="13"/>
  <c r="AA141" i="13"/>
  <c r="Z141" i="13"/>
  <c r="AB141" i="13" s="1"/>
  <c r="Y141" i="13"/>
  <c r="V141" i="13"/>
  <c r="S141" i="13"/>
  <c r="P141" i="13"/>
  <c r="M141" i="13"/>
  <c r="J141" i="13"/>
  <c r="AY140" i="13"/>
  <c r="AU140" i="13"/>
  <c r="AQ140" i="13"/>
  <c r="AM140" i="13"/>
  <c r="AI140" i="13"/>
  <c r="AE140" i="13"/>
  <c r="AA140" i="13"/>
  <c r="Z140" i="13"/>
  <c r="AB140" i="13" s="1"/>
  <c r="Y140" i="13"/>
  <c r="V140" i="13"/>
  <c r="S140" i="13"/>
  <c r="P140" i="13"/>
  <c r="M140" i="13"/>
  <c r="J140" i="13"/>
  <c r="AY139" i="13"/>
  <c r="AU139" i="13"/>
  <c r="AQ139" i="13"/>
  <c r="AM139" i="13"/>
  <c r="AI139" i="13"/>
  <c r="AE139" i="13"/>
  <c r="AA139" i="13"/>
  <c r="Z139" i="13"/>
  <c r="AB139" i="13" s="1"/>
  <c r="Y139" i="13"/>
  <c r="V139" i="13"/>
  <c r="S139" i="13"/>
  <c r="P139" i="13"/>
  <c r="M139" i="13"/>
  <c r="J139" i="13"/>
  <c r="AY138" i="13"/>
  <c r="AU138" i="13"/>
  <c r="AQ138" i="13"/>
  <c r="AM138" i="13"/>
  <c r="AI138" i="13"/>
  <c r="AE138" i="13"/>
  <c r="AA138" i="13"/>
  <c r="Z138" i="13"/>
  <c r="Y138" i="13"/>
  <c r="V138" i="13"/>
  <c r="S138" i="13"/>
  <c r="P138" i="13"/>
  <c r="M138" i="13"/>
  <c r="J138" i="13"/>
  <c r="AY137" i="13"/>
  <c r="AU137" i="13"/>
  <c r="AQ137" i="13"/>
  <c r="AM137" i="13"/>
  <c r="AI137" i="13"/>
  <c r="AE137" i="13"/>
  <c r="AA137" i="13"/>
  <c r="Z137" i="13"/>
  <c r="AB137" i="13" s="1"/>
  <c r="Y137" i="13"/>
  <c r="V137" i="13"/>
  <c r="S137" i="13"/>
  <c r="P137" i="13"/>
  <c r="M137" i="13"/>
  <c r="J137" i="13"/>
  <c r="AY136" i="13"/>
  <c r="AU136" i="13"/>
  <c r="AQ136" i="13"/>
  <c r="AM136" i="13"/>
  <c r="AI136" i="13"/>
  <c r="AE136" i="13"/>
  <c r="AA136" i="13"/>
  <c r="Z136" i="13"/>
  <c r="Y136" i="13"/>
  <c r="V136" i="13"/>
  <c r="S136" i="13"/>
  <c r="P136" i="13"/>
  <c r="M136" i="13"/>
  <c r="J136" i="13"/>
  <c r="AY135" i="13"/>
  <c r="AU135" i="13"/>
  <c r="AQ135" i="13"/>
  <c r="AM135" i="13"/>
  <c r="AI135" i="13"/>
  <c r="AE135" i="13"/>
  <c r="AA135" i="13"/>
  <c r="Z135" i="13"/>
  <c r="AB135" i="13" s="1"/>
  <c r="Y135" i="13"/>
  <c r="V135" i="13"/>
  <c r="S135" i="13"/>
  <c r="P135" i="13"/>
  <c r="M135" i="13"/>
  <c r="J135" i="13"/>
  <c r="AY134" i="13"/>
  <c r="AU134" i="13"/>
  <c r="AQ134" i="13"/>
  <c r="AM134" i="13"/>
  <c r="AI134" i="13"/>
  <c r="AE134" i="13"/>
  <c r="AA134" i="13"/>
  <c r="Z134" i="13"/>
  <c r="AB134" i="13" s="1"/>
  <c r="Y134" i="13"/>
  <c r="V134" i="13"/>
  <c r="S134" i="13"/>
  <c r="P134" i="13"/>
  <c r="M134" i="13"/>
  <c r="J134" i="13"/>
  <c r="AY133" i="13"/>
  <c r="AU133" i="13"/>
  <c r="AQ133" i="13"/>
  <c r="AM133" i="13"/>
  <c r="AI133" i="13"/>
  <c r="AE133" i="13"/>
  <c r="AA133" i="13"/>
  <c r="Z133" i="13"/>
  <c r="Y133" i="13"/>
  <c r="V133" i="13"/>
  <c r="S133" i="13"/>
  <c r="P133" i="13"/>
  <c r="M133" i="13"/>
  <c r="J133" i="13"/>
  <c r="AY132" i="13"/>
  <c r="AU132" i="13"/>
  <c r="AQ132" i="13"/>
  <c r="AM132" i="13"/>
  <c r="AI132" i="13"/>
  <c r="AE132" i="13"/>
  <c r="AA132" i="13"/>
  <c r="Z132" i="13"/>
  <c r="Y132" i="13"/>
  <c r="V132" i="13"/>
  <c r="S132" i="13"/>
  <c r="P132" i="13"/>
  <c r="M132" i="13"/>
  <c r="J132" i="13"/>
  <c r="AY131" i="13"/>
  <c r="AU131" i="13"/>
  <c r="AQ131" i="13"/>
  <c r="AM131" i="13"/>
  <c r="AI131" i="13"/>
  <c r="AE131" i="13"/>
  <c r="AA131" i="13"/>
  <c r="Z131" i="13"/>
  <c r="Y131" i="13"/>
  <c r="V131" i="13"/>
  <c r="S131" i="13"/>
  <c r="P131" i="13"/>
  <c r="M131" i="13"/>
  <c r="J131" i="13"/>
  <c r="AY130" i="13"/>
  <c r="AU130" i="13"/>
  <c r="AQ130" i="13"/>
  <c r="AM130" i="13"/>
  <c r="AI130" i="13"/>
  <c r="AE130" i="13"/>
  <c r="AA130" i="13"/>
  <c r="Z130" i="13"/>
  <c r="AY129" i="13"/>
  <c r="AU129" i="13"/>
  <c r="AQ129" i="13"/>
  <c r="AM129" i="13"/>
  <c r="AI129" i="13"/>
  <c r="AE129" i="13"/>
  <c r="AA129" i="13"/>
  <c r="Z129" i="13"/>
  <c r="AB129" i="13" s="1"/>
  <c r="Y129" i="13"/>
  <c r="V129" i="13"/>
  <c r="S129" i="13"/>
  <c r="P129" i="13"/>
  <c r="M129" i="13"/>
  <c r="J129" i="13"/>
  <c r="AY128" i="13"/>
  <c r="AU128" i="13"/>
  <c r="AQ128" i="13"/>
  <c r="AM128" i="13"/>
  <c r="AI128" i="13"/>
  <c r="AE128" i="13"/>
  <c r="AA128" i="13"/>
  <c r="Z128" i="13"/>
  <c r="Y128" i="13"/>
  <c r="V128" i="13"/>
  <c r="S128" i="13"/>
  <c r="P128" i="13"/>
  <c r="M128" i="13"/>
  <c r="J128" i="13"/>
  <c r="AY127" i="13"/>
  <c r="AU127" i="13"/>
  <c r="AQ127" i="13"/>
  <c r="AM127" i="13"/>
  <c r="AI127" i="13"/>
  <c r="AE127" i="13"/>
  <c r="AA127" i="13"/>
  <c r="Z127" i="13"/>
  <c r="AB127" i="13" s="1"/>
  <c r="Y127" i="13"/>
  <c r="V127" i="13"/>
  <c r="S127" i="13"/>
  <c r="P127" i="13"/>
  <c r="M127" i="13"/>
  <c r="J127" i="13"/>
  <c r="AY126" i="13"/>
  <c r="AU126" i="13"/>
  <c r="AQ126" i="13"/>
  <c r="AM126" i="13"/>
  <c r="AI126" i="13"/>
  <c r="AE126" i="13"/>
  <c r="AA126" i="13"/>
  <c r="Z126" i="13"/>
  <c r="Y126" i="13"/>
  <c r="V126" i="13"/>
  <c r="S126" i="13"/>
  <c r="P126" i="13"/>
  <c r="M126" i="13"/>
  <c r="J126" i="13"/>
  <c r="AY125" i="13"/>
  <c r="AU125" i="13"/>
  <c r="AQ125" i="13"/>
  <c r="AM125" i="13"/>
  <c r="AI125" i="13"/>
  <c r="AE125" i="13"/>
  <c r="AA125" i="13"/>
  <c r="Z125" i="13"/>
  <c r="AB125" i="13" s="1"/>
  <c r="Y125" i="13"/>
  <c r="V125" i="13"/>
  <c r="S125" i="13"/>
  <c r="P125" i="13"/>
  <c r="M125" i="13"/>
  <c r="J125" i="13"/>
  <c r="AY124" i="13"/>
  <c r="AU124" i="13"/>
  <c r="AQ124" i="13"/>
  <c r="AM124" i="13"/>
  <c r="AI124" i="13"/>
  <c r="AE124" i="13"/>
  <c r="AA124" i="13"/>
  <c r="Z124" i="13"/>
  <c r="AB124" i="13" s="1"/>
  <c r="Y124" i="13"/>
  <c r="V124" i="13"/>
  <c r="S124" i="13"/>
  <c r="P124" i="13"/>
  <c r="M124" i="13"/>
  <c r="J124" i="13"/>
  <c r="AY123" i="13"/>
  <c r="AU123" i="13"/>
  <c r="AQ123" i="13"/>
  <c r="AM123" i="13"/>
  <c r="AI123" i="13"/>
  <c r="AE123" i="13"/>
  <c r="AA123" i="13"/>
  <c r="Z123" i="13"/>
  <c r="AB123" i="13" s="1"/>
  <c r="Y123" i="13"/>
  <c r="V123" i="13"/>
  <c r="S123" i="13"/>
  <c r="P123" i="13"/>
  <c r="M123" i="13"/>
  <c r="J123" i="13"/>
  <c r="AY122" i="13"/>
  <c r="AU122" i="13"/>
  <c r="AQ122" i="13"/>
  <c r="AM122" i="13"/>
  <c r="AI122" i="13"/>
  <c r="AE122" i="13"/>
  <c r="AA122" i="13"/>
  <c r="Z122" i="13"/>
  <c r="AB122" i="13" s="1"/>
  <c r="Y122" i="13"/>
  <c r="V122" i="13"/>
  <c r="S122" i="13"/>
  <c r="P122" i="13"/>
  <c r="M122" i="13"/>
  <c r="J122" i="13"/>
  <c r="AY121" i="13"/>
  <c r="AU121" i="13"/>
  <c r="AQ121" i="13"/>
  <c r="AM121" i="13"/>
  <c r="AI121" i="13"/>
  <c r="AE121" i="13"/>
  <c r="AA121" i="13"/>
  <c r="Z121" i="13"/>
  <c r="Y121" i="13"/>
  <c r="V121" i="13"/>
  <c r="S121" i="13"/>
  <c r="P121" i="13"/>
  <c r="M121" i="13"/>
  <c r="J121" i="13"/>
  <c r="AY120" i="13"/>
  <c r="AU120" i="13"/>
  <c r="AQ120" i="13"/>
  <c r="AM120" i="13"/>
  <c r="AI120" i="13"/>
  <c r="AE120" i="13"/>
  <c r="AA120" i="13"/>
  <c r="Z120" i="13"/>
  <c r="Y120" i="13"/>
  <c r="V120" i="13"/>
  <c r="S120" i="13"/>
  <c r="P120" i="13"/>
  <c r="M120" i="13"/>
  <c r="J120" i="13"/>
  <c r="AY119" i="13"/>
  <c r="AU119" i="13"/>
  <c r="AQ119" i="13"/>
  <c r="AM119" i="13"/>
  <c r="AI119" i="13"/>
  <c r="AE119" i="13"/>
  <c r="AA119" i="13"/>
  <c r="Z119" i="13"/>
  <c r="AB119" i="13" s="1"/>
  <c r="Y119" i="13"/>
  <c r="V119" i="13"/>
  <c r="S119" i="13"/>
  <c r="P119" i="13"/>
  <c r="M119" i="13"/>
  <c r="J119" i="13"/>
  <c r="AY118" i="13"/>
  <c r="AU118" i="13"/>
  <c r="AQ118" i="13"/>
  <c r="AM118" i="13"/>
  <c r="AI118" i="13"/>
  <c r="AE118" i="13"/>
  <c r="AA118" i="13"/>
  <c r="Z118" i="13"/>
  <c r="Y118" i="13"/>
  <c r="V118" i="13"/>
  <c r="S118" i="13"/>
  <c r="P118" i="13"/>
  <c r="M118" i="13"/>
  <c r="J118" i="13"/>
  <c r="AY117" i="13"/>
  <c r="AU117" i="13"/>
  <c r="AQ117" i="13"/>
  <c r="AM117" i="13"/>
  <c r="AI117" i="13"/>
  <c r="AE117" i="13"/>
  <c r="AA117" i="13"/>
  <c r="Z117" i="13"/>
  <c r="Y117" i="13"/>
  <c r="V117" i="13"/>
  <c r="S117" i="13"/>
  <c r="P117" i="13"/>
  <c r="M117" i="13"/>
  <c r="J117" i="13"/>
  <c r="AY116" i="13"/>
  <c r="AU116" i="13"/>
  <c r="AQ116" i="13"/>
  <c r="AM116" i="13"/>
  <c r="AI116" i="13"/>
  <c r="AE116" i="13"/>
  <c r="AA116" i="13"/>
  <c r="Z116" i="13"/>
  <c r="AB116" i="13" s="1"/>
  <c r="Y116" i="13"/>
  <c r="V116" i="13"/>
  <c r="S116" i="13"/>
  <c r="P116" i="13"/>
  <c r="M116" i="13"/>
  <c r="J116" i="13"/>
  <c r="AY115" i="13"/>
  <c r="AU115" i="13"/>
  <c r="AQ115" i="13"/>
  <c r="AM115" i="13"/>
  <c r="AI115" i="13"/>
  <c r="AE115" i="13"/>
  <c r="AA115" i="13"/>
  <c r="Z115" i="13"/>
  <c r="AB115" i="13" s="1"/>
  <c r="Y115" i="13"/>
  <c r="V115" i="13"/>
  <c r="S115" i="13"/>
  <c r="P115" i="13"/>
  <c r="M115" i="13"/>
  <c r="J115" i="13"/>
  <c r="AY114" i="13"/>
  <c r="AU114" i="13"/>
  <c r="AQ114" i="13"/>
  <c r="AM114" i="13"/>
  <c r="AI114" i="13"/>
  <c r="AE114" i="13"/>
  <c r="AA114" i="13"/>
  <c r="Z114" i="13"/>
  <c r="Y114" i="13"/>
  <c r="V114" i="13"/>
  <c r="S114" i="13"/>
  <c r="P114" i="13"/>
  <c r="M114" i="13"/>
  <c r="J114" i="13"/>
  <c r="AY113" i="13"/>
  <c r="AU113" i="13"/>
  <c r="AQ113" i="13"/>
  <c r="AM113" i="13"/>
  <c r="AI113" i="13"/>
  <c r="AE113" i="13"/>
  <c r="AA113" i="13"/>
  <c r="Z113" i="13"/>
  <c r="AB113" i="13" s="1"/>
  <c r="Y113" i="13"/>
  <c r="V113" i="13"/>
  <c r="S113" i="13"/>
  <c r="P113" i="13"/>
  <c r="M113" i="13"/>
  <c r="J113" i="13"/>
  <c r="AY112" i="13"/>
  <c r="AU112" i="13"/>
  <c r="AQ112" i="13"/>
  <c r="AM112" i="13"/>
  <c r="AI112" i="13"/>
  <c r="AE112" i="13"/>
  <c r="AA112" i="13"/>
  <c r="Z112" i="13"/>
  <c r="AB112" i="13" s="1"/>
  <c r="Y112" i="13"/>
  <c r="V112" i="13"/>
  <c r="S112" i="13"/>
  <c r="P112" i="13"/>
  <c r="M112" i="13"/>
  <c r="J112" i="13"/>
  <c r="AY111" i="13"/>
  <c r="AU111" i="13"/>
  <c r="AQ111" i="13"/>
  <c r="AM111" i="13"/>
  <c r="AI111" i="13"/>
  <c r="AE111" i="13"/>
  <c r="AA111" i="13"/>
  <c r="Z111" i="13"/>
  <c r="AB111" i="13" s="1"/>
  <c r="Y111" i="13"/>
  <c r="V111" i="13"/>
  <c r="S111" i="13"/>
  <c r="P111" i="13"/>
  <c r="M111" i="13"/>
  <c r="J111" i="13"/>
  <c r="AY110" i="13"/>
  <c r="AU110" i="13"/>
  <c r="AQ110" i="13"/>
  <c r="AM110" i="13"/>
  <c r="AI110" i="13"/>
  <c r="AE110" i="13"/>
  <c r="AA110" i="13"/>
  <c r="Z110" i="13"/>
  <c r="AB110" i="13" s="1"/>
  <c r="Y110" i="13"/>
  <c r="V110" i="13"/>
  <c r="S110" i="13"/>
  <c r="P110" i="13"/>
  <c r="M110" i="13"/>
  <c r="J110" i="13"/>
  <c r="AY109" i="13"/>
  <c r="AU109" i="13"/>
  <c r="AQ109" i="13"/>
  <c r="AM109" i="13"/>
  <c r="AI109" i="13"/>
  <c r="AE109" i="13"/>
  <c r="AA109" i="13"/>
  <c r="Z109" i="13"/>
  <c r="AB109" i="13" s="1"/>
  <c r="Y109" i="13"/>
  <c r="V109" i="13"/>
  <c r="S109" i="13"/>
  <c r="P109" i="13"/>
  <c r="M109" i="13"/>
  <c r="J109" i="13"/>
  <c r="AY108" i="13"/>
  <c r="AU108" i="13"/>
  <c r="AQ108" i="13"/>
  <c r="AM108" i="13"/>
  <c r="AI108" i="13"/>
  <c r="AE108" i="13"/>
  <c r="AA108" i="13"/>
  <c r="Z108" i="13"/>
  <c r="AB108" i="13" s="1"/>
  <c r="Y108" i="13"/>
  <c r="V108" i="13"/>
  <c r="S108" i="13"/>
  <c r="P108" i="13"/>
  <c r="M108" i="13"/>
  <c r="J108" i="13"/>
  <c r="AY107" i="13"/>
  <c r="AU107" i="13"/>
  <c r="AQ107" i="13"/>
  <c r="AM107" i="13"/>
  <c r="AI107" i="13"/>
  <c r="AE107" i="13"/>
  <c r="AA107" i="13"/>
  <c r="Z107" i="13"/>
  <c r="Y107" i="13"/>
  <c r="V107" i="13"/>
  <c r="S107" i="13"/>
  <c r="P107" i="13"/>
  <c r="M107" i="13"/>
  <c r="J107" i="13"/>
  <c r="AY106" i="13"/>
  <c r="AU106" i="13"/>
  <c r="AQ106" i="13"/>
  <c r="AM106" i="13"/>
  <c r="AI106" i="13"/>
  <c r="AE106" i="13"/>
  <c r="AA106" i="13"/>
  <c r="Z106" i="13"/>
  <c r="AB106" i="13" s="1"/>
  <c r="Y106" i="13"/>
  <c r="V106" i="13"/>
  <c r="S106" i="13"/>
  <c r="P106" i="13"/>
  <c r="M106" i="13"/>
  <c r="J106" i="13"/>
  <c r="AY105" i="13"/>
  <c r="AU105" i="13"/>
  <c r="AQ105" i="13"/>
  <c r="AM105" i="13"/>
  <c r="AI105" i="13"/>
  <c r="AE105" i="13"/>
  <c r="AA105" i="13"/>
  <c r="Z105" i="13"/>
  <c r="Y105" i="13"/>
  <c r="V105" i="13"/>
  <c r="S105" i="13"/>
  <c r="P105" i="13"/>
  <c r="M105" i="13"/>
  <c r="J105" i="13"/>
  <c r="AY104" i="13"/>
  <c r="AU104" i="13"/>
  <c r="AQ104" i="13"/>
  <c r="AM104" i="13"/>
  <c r="AI104" i="13"/>
  <c r="AE104" i="13"/>
  <c r="AA104" i="13"/>
  <c r="Z104" i="13"/>
  <c r="AB104" i="13" s="1"/>
  <c r="Y104" i="13"/>
  <c r="V104" i="13"/>
  <c r="S104" i="13"/>
  <c r="P104" i="13"/>
  <c r="M104" i="13"/>
  <c r="J104" i="13"/>
  <c r="AY103" i="13"/>
  <c r="AU103" i="13"/>
  <c r="AQ103" i="13"/>
  <c r="AM103" i="13"/>
  <c r="AI103" i="13"/>
  <c r="AE103" i="13"/>
  <c r="AA103" i="13"/>
  <c r="Z103" i="13"/>
  <c r="AB103" i="13" s="1"/>
  <c r="Y103" i="13"/>
  <c r="V103" i="13"/>
  <c r="S103" i="13"/>
  <c r="P103" i="13"/>
  <c r="M103" i="13"/>
  <c r="J103" i="13"/>
  <c r="AY102" i="13"/>
  <c r="AU102" i="13"/>
  <c r="AQ102" i="13"/>
  <c r="AM102" i="13"/>
  <c r="AI102" i="13"/>
  <c r="AE102" i="13"/>
  <c r="AA102" i="13"/>
  <c r="Z102" i="13"/>
  <c r="Y102" i="13"/>
  <c r="V102" i="13"/>
  <c r="S102" i="13"/>
  <c r="P102" i="13"/>
  <c r="M102" i="13"/>
  <c r="J102" i="13"/>
  <c r="AY101" i="13"/>
  <c r="AU101" i="13"/>
  <c r="AQ101" i="13"/>
  <c r="AM101" i="13"/>
  <c r="AI101" i="13"/>
  <c r="AE101" i="13"/>
  <c r="AA101" i="13"/>
  <c r="Z101" i="13"/>
  <c r="Y101" i="13"/>
  <c r="V101" i="13"/>
  <c r="S101" i="13"/>
  <c r="P101" i="13"/>
  <c r="M101" i="13"/>
  <c r="J101" i="13"/>
  <c r="AY100" i="13"/>
  <c r="AU100" i="13"/>
  <c r="AQ100" i="13"/>
  <c r="AM100" i="13"/>
  <c r="AI100" i="13"/>
  <c r="AE100" i="13"/>
  <c r="AA100" i="13"/>
  <c r="Z100" i="13"/>
  <c r="Y100" i="13"/>
  <c r="V100" i="13"/>
  <c r="S100" i="13"/>
  <c r="P100" i="13"/>
  <c r="M100" i="13"/>
  <c r="J100" i="13"/>
  <c r="AY99" i="13"/>
  <c r="AU99" i="13"/>
  <c r="AQ99" i="13"/>
  <c r="AM99" i="13"/>
  <c r="AI99" i="13"/>
  <c r="AE99" i="13"/>
  <c r="AA99" i="13"/>
  <c r="Z99" i="13"/>
  <c r="AY98" i="13"/>
  <c r="AU98" i="13"/>
  <c r="AQ98" i="13"/>
  <c r="AM98" i="13"/>
  <c r="AI98" i="13"/>
  <c r="AE98" i="13"/>
  <c r="AA98" i="13"/>
  <c r="Z98" i="13"/>
  <c r="AB98" i="13" s="1"/>
  <c r="Y98" i="13"/>
  <c r="V98" i="13"/>
  <c r="S98" i="13"/>
  <c r="P98" i="13"/>
  <c r="M98" i="13"/>
  <c r="J98" i="13"/>
  <c r="AY97" i="13"/>
  <c r="AU97" i="13"/>
  <c r="AQ97" i="13"/>
  <c r="AM97" i="13"/>
  <c r="AI97" i="13"/>
  <c r="AE97" i="13"/>
  <c r="AA97" i="13"/>
  <c r="Z97" i="13"/>
  <c r="Y97" i="13"/>
  <c r="V97" i="13"/>
  <c r="S97" i="13"/>
  <c r="P97" i="13"/>
  <c r="M97" i="13"/>
  <c r="J97" i="13"/>
  <c r="AY96" i="13"/>
  <c r="AU96" i="13"/>
  <c r="AQ96" i="13"/>
  <c r="AM96" i="13"/>
  <c r="AI96" i="13"/>
  <c r="AE96" i="13"/>
  <c r="AA96" i="13"/>
  <c r="Z96" i="13"/>
  <c r="AB96" i="13" s="1"/>
  <c r="Y96" i="13"/>
  <c r="V96" i="13"/>
  <c r="S96" i="13"/>
  <c r="P96" i="13"/>
  <c r="M96" i="13"/>
  <c r="J96" i="13"/>
  <c r="AY95" i="13"/>
  <c r="AU95" i="13"/>
  <c r="AQ95" i="13"/>
  <c r="AM95" i="13"/>
  <c r="AI95" i="13"/>
  <c r="AE95" i="13"/>
  <c r="AA95" i="13"/>
  <c r="Z95" i="13"/>
  <c r="Y95" i="13"/>
  <c r="V95" i="13"/>
  <c r="S95" i="13"/>
  <c r="P95" i="13"/>
  <c r="M95" i="13"/>
  <c r="J95" i="13"/>
  <c r="AY94" i="13"/>
  <c r="AU94" i="13"/>
  <c r="AQ94" i="13"/>
  <c r="AM94" i="13"/>
  <c r="AI94" i="13"/>
  <c r="AE94" i="13"/>
  <c r="AA94" i="13"/>
  <c r="Z94" i="13"/>
  <c r="AB94" i="13" s="1"/>
  <c r="Y94" i="13"/>
  <c r="V94" i="13"/>
  <c r="S94" i="13"/>
  <c r="P94" i="13"/>
  <c r="M94" i="13"/>
  <c r="J94" i="13"/>
  <c r="AY93" i="13"/>
  <c r="AU93" i="13"/>
  <c r="AQ93" i="13"/>
  <c r="AM93" i="13"/>
  <c r="AI93" i="13"/>
  <c r="AE93" i="13"/>
  <c r="AA93" i="13"/>
  <c r="Z93" i="13"/>
  <c r="AB93" i="13" s="1"/>
  <c r="Y93" i="13"/>
  <c r="V93" i="13"/>
  <c r="S93" i="13"/>
  <c r="P93" i="13"/>
  <c r="M93" i="13"/>
  <c r="J93" i="13"/>
  <c r="AY92" i="13"/>
  <c r="AU92" i="13"/>
  <c r="AQ92" i="13"/>
  <c r="AM92" i="13"/>
  <c r="AI92" i="13"/>
  <c r="AE92" i="13"/>
  <c r="AA92" i="13"/>
  <c r="Z92" i="13"/>
  <c r="AB92" i="13" s="1"/>
  <c r="Y92" i="13"/>
  <c r="V92" i="13"/>
  <c r="S92" i="13"/>
  <c r="P92" i="13"/>
  <c r="M92" i="13"/>
  <c r="J92" i="13"/>
  <c r="AY91" i="13"/>
  <c r="AU91" i="13"/>
  <c r="AQ91" i="13"/>
  <c r="AM91" i="13"/>
  <c r="AI91" i="13"/>
  <c r="AE91" i="13"/>
  <c r="AA91" i="13"/>
  <c r="Z91" i="13"/>
  <c r="AB91" i="13" s="1"/>
  <c r="Y91" i="13"/>
  <c r="V91" i="13"/>
  <c r="S91" i="13"/>
  <c r="P91" i="13"/>
  <c r="M91" i="13"/>
  <c r="J91" i="13"/>
  <c r="AY90" i="13"/>
  <c r="AU90" i="13"/>
  <c r="AQ90" i="13"/>
  <c r="AM90" i="13"/>
  <c r="AI90" i="13"/>
  <c r="AE90" i="13"/>
  <c r="AA90" i="13"/>
  <c r="Z90" i="13"/>
  <c r="Y90" i="13"/>
  <c r="V90" i="13"/>
  <c r="S90" i="13"/>
  <c r="P90" i="13"/>
  <c r="M90" i="13"/>
  <c r="J90" i="13"/>
  <c r="AY89" i="13"/>
  <c r="AU89" i="13"/>
  <c r="AQ89" i="13"/>
  <c r="AM89" i="13"/>
  <c r="AI89" i="13"/>
  <c r="AE89" i="13"/>
  <c r="AA89" i="13"/>
  <c r="Z89" i="13"/>
  <c r="Y89" i="13"/>
  <c r="V89" i="13"/>
  <c r="S89" i="13"/>
  <c r="P89" i="13"/>
  <c r="M89" i="13"/>
  <c r="J89" i="13"/>
  <c r="AY88" i="13"/>
  <c r="AU88" i="13"/>
  <c r="AQ88" i="13"/>
  <c r="AM88" i="13"/>
  <c r="AI88" i="13"/>
  <c r="AE88" i="13"/>
  <c r="AA88" i="13"/>
  <c r="Z88" i="13"/>
  <c r="AB88" i="13" s="1"/>
  <c r="Y88" i="13"/>
  <c r="V88" i="13"/>
  <c r="S88" i="13"/>
  <c r="P88" i="13"/>
  <c r="M88" i="13"/>
  <c r="J88" i="13"/>
  <c r="AY87" i="13"/>
  <c r="AU87" i="13"/>
  <c r="AQ87" i="13"/>
  <c r="AM87" i="13"/>
  <c r="AI87" i="13"/>
  <c r="AE87" i="13"/>
  <c r="AA87" i="13"/>
  <c r="Z87" i="13"/>
  <c r="Y87" i="13"/>
  <c r="V87" i="13"/>
  <c r="S87" i="13"/>
  <c r="P87" i="13"/>
  <c r="M87" i="13"/>
  <c r="J87" i="13"/>
  <c r="AY86" i="13"/>
  <c r="AU86" i="13"/>
  <c r="AQ86" i="13"/>
  <c r="AM86" i="13"/>
  <c r="AI86" i="13"/>
  <c r="AE86" i="13"/>
  <c r="AA86" i="13"/>
  <c r="Z86" i="13"/>
  <c r="Y86" i="13"/>
  <c r="V86" i="13"/>
  <c r="S86" i="13"/>
  <c r="P86" i="13"/>
  <c r="M86" i="13"/>
  <c r="J86" i="13"/>
  <c r="AY85" i="13"/>
  <c r="AU85" i="13"/>
  <c r="AQ85" i="13"/>
  <c r="AM85" i="13"/>
  <c r="AI85" i="13"/>
  <c r="AE85" i="13"/>
  <c r="AA85" i="13"/>
  <c r="Z85" i="13"/>
  <c r="AB85" i="13" s="1"/>
  <c r="Y85" i="13"/>
  <c r="V85" i="13"/>
  <c r="S85" i="13"/>
  <c r="P85" i="13"/>
  <c r="M85" i="13"/>
  <c r="J85" i="13"/>
  <c r="AY84" i="13"/>
  <c r="AU84" i="13"/>
  <c r="AQ84" i="13"/>
  <c r="AM84" i="13"/>
  <c r="AI84" i="13"/>
  <c r="AE84" i="13"/>
  <c r="AA84" i="13"/>
  <c r="Z84" i="13"/>
  <c r="AB84" i="13" s="1"/>
  <c r="Y84" i="13"/>
  <c r="V84" i="13"/>
  <c r="S84" i="13"/>
  <c r="P84" i="13"/>
  <c r="M84" i="13"/>
  <c r="J84" i="13"/>
  <c r="AY83" i="13"/>
  <c r="AU83" i="13"/>
  <c r="AQ83" i="13"/>
  <c r="AM83" i="13"/>
  <c r="AI83" i="13"/>
  <c r="AE83" i="13"/>
  <c r="AA83" i="13"/>
  <c r="Z83" i="13"/>
  <c r="Y83" i="13"/>
  <c r="V83" i="13"/>
  <c r="S83" i="13"/>
  <c r="P83" i="13"/>
  <c r="M83" i="13"/>
  <c r="J83" i="13"/>
  <c r="AY82" i="13"/>
  <c r="AU82" i="13"/>
  <c r="AQ82" i="13"/>
  <c r="AM82" i="13"/>
  <c r="AI82" i="13"/>
  <c r="AE82" i="13"/>
  <c r="AA82" i="13"/>
  <c r="Z82" i="13"/>
  <c r="AB82" i="13" s="1"/>
  <c r="Y82" i="13"/>
  <c r="V82" i="13"/>
  <c r="S82" i="13"/>
  <c r="P82" i="13"/>
  <c r="M82" i="13"/>
  <c r="J82" i="13"/>
  <c r="AY81" i="13"/>
  <c r="AU81" i="13"/>
  <c r="AQ81" i="13"/>
  <c r="AM81" i="13"/>
  <c r="AI81" i="13"/>
  <c r="AE81" i="13"/>
  <c r="AA81" i="13"/>
  <c r="Z81" i="13"/>
  <c r="AB81" i="13" s="1"/>
  <c r="Y81" i="13"/>
  <c r="V81" i="13"/>
  <c r="S81" i="13"/>
  <c r="P81" i="13"/>
  <c r="M81" i="13"/>
  <c r="J81" i="13"/>
  <c r="AY80" i="13"/>
  <c r="AU80" i="13"/>
  <c r="AQ80" i="13"/>
  <c r="AM80" i="13"/>
  <c r="AI80" i="13"/>
  <c r="AE80" i="13"/>
  <c r="AA80" i="13"/>
  <c r="Z80" i="13"/>
  <c r="AB80" i="13" s="1"/>
  <c r="Y80" i="13"/>
  <c r="V80" i="13"/>
  <c r="S80" i="13"/>
  <c r="P80" i="13"/>
  <c r="M80" i="13"/>
  <c r="J80" i="13"/>
  <c r="AY79" i="13"/>
  <c r="AU79" i="13"/>
  <c r="AQ79" i="13"/>
  <c r="AM79" i="13"/>
  <c r="AI79" i="13"/>
  <c r="AE79" i="13"/>
  <c r="AA79" i="13"/>
  <c r="Z79" i="13"/>
  <c r="AB79" i="13" s="1"/>
  <c r="Y79" i="13"/>
  <c r="V79" i="13"/>
  <c r="S79" i="13"/>
  <c r="P79" i="13"/>
  <c r="M79" i="13"/>
  <c r="J79" i="13"/>
  <c r="AY78" i="13"/>
  <c r="AU78" i="13"/>
  <c r="AQ78" i="13"/>
  <c r="AM78" i="13"/>
  <c r="AI78" i="13"/>
  <c r="AE78" i="13"/>
  <c r="AA78" i="13"/>
  <c r="Z78" i="13"/>
  <c r="AB78" i="13" s="1"/>
  <c r="Y78" i="13"/>
  <c r="V78" i="13"/>
  <c r="S78" i="13"/>
  <c r="P78" i="13"/>
  <c r="M78" i="13"/>
  <c r="J78" i="13"/>
  <c r="AY77" i="13"/>
  <c r="AU77" i="13"/>
  <c r="AQ77" i="13"/>
  <c r="AM77" i="13"/>
  <c r="AI77" i="13"/>
  <c r="AE77" i="13"/>
  <c r="AA77" i="13"/>
  <c r="Z77" i="13"/>
  <c r="AB77" i="13" s="1"/>
  <c r="Y77" i="13"/>
  <c r="V77" i="13"/>
  <c r="S77" i="13"/>
  <c r="P77" i="13"/>
  <c r="M77" i="13"/>
  <c r="J77" i="13"/>
  <c r="AY76" i="13"/>
  <c r="AU76" i="13"/>
  <c r="AQ76" i="13"/>
  <c r="AM76" i="13"/>
  <c r="AI76" i="13"/>
  <c r="AE76" i="13"/>
  <c r="AA76" i="13"/>
  <c r="Z76" i="13"/>
  <c r="Y76" i="13"/>
  <c r="V76" i="13"/>
  <c r="S76" i="13"/>
  <c r="P76" i="13"/>
  <c r="M76" i="13"/>
  <c r="J76" i="13"/>
  <c r="AY75" i="13"/>
  <c r="AU75" i="13"/>
  <c r="AQ75" i="13"/>
  <c r="AM75" i="13"/>
  <c r="AI75" i="13"/>
  <c r="AE75" i="13"/>
  <c r="AA75" i="13"/>
  <c r="Z75" i="13"/>
  <c r="AB75" i="13" s="1"/>
  <c r="Y75" i="13"/>
  <c r="V75" i="13"/>
  <c r="S75" i="13"/>
  <c r="P75" i="13"/>
  <c r="M75" i="13"/>
  <c r="J75" i="13"/>
  <c r="AY74" i="13"/>
  <c r="AU74" i="13"/>
  <c r="AQ74" i="13"/>
  <c r="AM74" i="13"/>
  <c r="AI74" i="13"/>
  <c r="AE74" i="13"/>
  <c r="AA74" i="13"/>
  <c r="Z74" i="13"/>
  <c r="Y74" i="13"/>
  <c r="V74" i="13"/>
  <c r="S74" i="13"/>
  <c r="P74" i="13"/>
  <c r="M74" i="13"/>
  <c r="J74" i="13"/>
  <c r="AY73" i="13"/>
  <c r="AU73" i="13"/>
  <c r="AQ73" i="13"/>
  <c r="AM73" i="13"/>
  <c r="AI73" i="13"/>
  <c r="AE73" i="13"/>
  <c r="AA73" i="13"/>
  <c r="Z73" i="13"/>
  <c r="AB73" i="13" s="1"/>
  <c r="Y73" i="13"/>
  <c r="V73" i="13"/>
  <c r="S73" i="13"/>
  <c r="P73" i="13"/>
  <c r="M73" i="13"/>
  <c r="J73" i="13"/>
  <c r="AY72" i="13"/>
  <c r="AU72" i="13"/>
  <c r="AQ72" i="13"/>
  <c r="AM72" i="13"/>
  <c r="AI72" i="13"/>
  <c r="AE72" i="13"/>
  <c r="AA72" i="13"/>
  <c r="Z72" i="13"/>
  <c r="AB72" i="13" s="1"/>
  <c r="Y72" i="13"/>
  <c r="V72" i="13"/>
  <c r="S72" i="13"/>
  <c r="P72" i="13"/>
  <c r="M72" i="13"/>
  <c r="J72" i="13"/>
  <c r="AY71" i="13"/>
  <c r="AU71" i="13"/>
  <c r="AQ71" i="13"/>
  <c r="AM71" i="13"/>
  <c r="AI71" i="13"/>
  <c r="AE71" i="13"/>
  <c r="AA71" i="13"/>
  <c r="Z71" i="13"/>
  <c r="Y71" i="13"/>
  <c r="V71" i="13"/>
  <c r="S71" i="13"/>
  <c r="P71" i="13"/>
  <c r="M71" i="13"/>
  <c r="J71" i="13"/>
  <c r="AY70" i="13"/>
  <c r="AU70" i="13"/>
  <c r="AQ70" i="13"/>
  <c r="AM70" i="13"/>
  <c r="AI70" i="13"/>
  <c r="AE70" i="13"/>
  <c r="AA70" i="13"/>
  <c r="Z70" i="13"/>
  <c r="Y70" i="13"/>
  <c r="V70" i="13"/>
  <c r="S70" i="13"/>
  <c r="P70" i="13"/>
  <c r="M70" i="13"/>
  <c r="J70" i="13"/>
  <c r="AY69" i="13"/>
  <c r="AU69" i="13"/>
  <c r="AQ69" i="13"/>
  <c r="AM69" i="13"/>
  <c r="AI69" i="13"/>
  <c r="AE69" i="13"/>
  <c r="AA69" i="13"/>
  <c r="Z69" i="13"/>
  <c r="Y69" i="13"/>
  <c r="V69" i="13"/>
  <c r="S69" i="13"/>
  <c r="P69" i="13"/>
  <c r="M69" i="13"/>
  <c r="J69" i="13"/>
  <c r="AY68" i="13"/>
  <c r="AU68" i="13"/>
  <c r="AQ68" i="13"/>
  <c r="AM68" i="13"/>
  <c r="AI68" i="13"/>
  <c r="AE68" i="13"/>
  <c r="AA68" i="13"/>
  <c r="Z68" i="13"/>
  <c r="AY67" i="13"/>
  <c r="AU67" i="13"/>
  <c r="AQ67" i="13"/>
  <c r="AM67" i="13"/>
  <c r="AI67" i="13"/>
  <c r="AE67" i="13"/>
  <c r="AA67" i="13"/>
  <c r="Z67" i="13"/>
  <c r="AB67" i="13" s="1"/>
  <c r="Y67" i="13"/>
  <c r="V67" i="13"/>
  <c r="S67" i="13"/>
  <c r="P67" i="13"/>
  <c r="M67" i="13"/>
  <c r="J67" i="13"/>
  <c r="AY66" i="13"/>
  <c r="AU66" i="13"/>
  <c r="AQ66" i="13"/>
  <c r="AM66" i="13"/>
  <c r="AI66" i="13"/>
  <c r="AE66" i="13"/>
  <c r="AA66" i="13"/>
  <c r="Z66" i="13"/>
  <c r="Y66" i="13"/>
  <c r="V66" i="13"/>
  <c r="S66" i="13"/>
  <c r="P66" i="13"/>
  <c r="M66" i="13"/>
  <c r="J66" i="13"/>
  <c r="AY65" i="13"/>
  <c r="AU65" i="13"/>
  <c r="AQ65" i="13"/>
  <c r="AM65" i="13"/>
  <c r="AI65" i="13"/>
  <c r="AE65" i="13"/>
  <c r="AA65" i="13"/>
  <c r="Z65" i="13"/>
  <c r="AB65" i="13" s="1"/>
  <c r="Y65" i="13"/>
  <c r="V65" i="13"/>
  <c r="S65" i="13"/>
  <c r="P65" i="13"/>
  <c r="M65" i="13"/>
  <c r="J65" i="13"/>
  <c r="AY64" i="13"/>
  <c r="AU64" i="13"/>
  <c r="AQ64" i="13"/>
  <c r="AM64" i="13"/>
  <c r="AI64" i="13"/>
  <c r="AE64" i="13"/>
  <c r="AA64" i="13"/>
  <c r="Z64" i="13"/>
  <c r="Y64" i="13"/>
  <c r="V64" i="13"/>
  <c r="S64" i="13"/>
  <c r="P64" i="13"/>
  <c r="M64" i="13"/>
  <c r="J64" i="13"/>
  <c r="AY63" i="13"/>
  <c r="AU63" i="13"/>
  <c r="AQ63" i="13"/>
  <c r="AM63" i="13"/>
  <c r="AI63" i="13"/>
  <c r="AE63" i="13"/>
  <c r="AA63" i="13"/>
  <c r="Z63" i="13"/>
  <c r="AB63" i="13" s="1"/>
  <c r="Y63" i="13"/>
  <c r="V63" i="13"/>
  <c r="S63" i="13"/>
  <c r="P63" i="13"/>
  <c r="M63" i="13"/>
  <c r="J63" i="13"/>
  <c r="AY62" i="13"/>
  <c r="AU62" i="13"/>
  <c r="AQ62" i="13"/>
  <c r="AM62" i="13"/>
  <c r="AI62" i="13"/>
  <c r="AE62" i="13"/>
  <c r="AA62" i="13"/>
  <c r="Z62" i="13"/>
  <c r="AB62" i="13" s="1"/>
  <c r="Y62" i="13"/>
  <c r="V62" i="13"/>
  <c r="S62" i="13"/>
  <c r="P62" i="13"/>
  <c r="M62" i="13"/>
  <c r="J62" i="13"/>
  <c r="AY61" i="13"/>
  <c r="AU61" i="13"/>
  <c r="AQ61" i="13"/>
  <c r="AM61" i="13"/>
  <c r="AI61" i="13"/>
  <c r="AE61" i="13"/>
  <c r="AA61" i="13"/>
  <c r="Z61" i="13"/>
  <c r="AB61" i="13" s="1"/>
  <c r="Y61" i="13"/>
  <c r="V61" i="13"/>
  <c r="S61" i="13"/>
  <c r="P61" i="13"/>
  <c r="M61" i="13"/>
  <c r="J61" i="13"/>
  <c r="AY60" i="13"/>
  <c r="AU60" i="13"/>
  <c r="AQ60" i="13"/>
  <c r="AM60" i="13"/>
  <c r="AI60" i="13"/>
  <c r="AE60" i="13"/>
  <c r="AA60" i="13"/>
  <c r="Z60" i="13"/>
  <c r="AB60" i="13" s="1"/>
  <c r="Y60" i="13"/>
  <c r="V60" i="13"/>
  <c r="S60" i="13"/>
  <c r="P60" i="13"/>
  <c r="M60" i="13"/>
  <c r="J60" i="13"/>
  <c r="AY59" i="13"/>
  <c r="AU59" i="13"/>
  <c r="AQ59" i="13"/>
  <c r="AM59" i="13"/>
  <c r="AI59" i="13"/>
  <c r="AE59" i="13"/>
  <c r="AA59" i="13"/>
  <c r="Z59" i="13"/>
  <c r="Y59" i="13"/>
  <c r="V59" i="13"/>
  <c r="S59" i="13"/>
  <c r="P59" i="13"/>
  <c r="M59" i="13"/>
  <c r="J59" i="13"/>
  <c r="AY58" i="13"/>
  <c r="AU58" i="13"/>
  <c r="AQ58" i="13"/>
  <c r="AM58" i="13"/>
  <c r="AI58" i="13"/>
  <c r="AE58" i="13"/>
  <c r="AA58" i="13"/>
  <c r="Z58" i="13"/>
  <c r="Y58" i="13"/>
  <c r="V58" i="13"/>
  <c r="S58" i="13"/>
  <c r="P58" i="13"/>
  <c r="M58" i="13"/>
  <c r="J58" i="13"/>
  <c r="AY57" i="13"/>
  <c r="AU57" i="13"/>
  <c r="AQ57" i="13"/>
  <c r="AM57" i="13"/>
  <c r="AI57" i="13"/>
  <c r="AE57" i="13"/>
  <c r="AA57" i="13"/>
  <c r="Z57" i="13"/>
  <c r="AB57" i="13" s="1"/>
  <c r="Y57" i="13"/>
  <c r="V57" i="13"/>
  <c r="S57" i="13"/>
  <c r="P57" i="13"/>
  <c r="M57" i="13"/>
  <c r="J57" i="13"/>
  <c r="AY56" i="13"/>
  <c r="AU56" i="13"/>
  <c r="AQ56" i="13"/>
  <c r="AM56" i="13"/>
  <c r="AI56" i="13"/>
  <c r="AE56" i="13"/>
  <c r="AA56" i="13"/>
  <c r="Z56" i="13"/>
  <c r="Y56" i="13"/>
  <c r="V56" i="13"/>
  <c r="S56" i="13"/>
  <c r="P56" i="13"/>
  <c r="M56" i="13"/>
  <c r="J56" i="13"/>
  <c r="AY55" i="13"/>
  <c r="AU55" i="13"/>
  <c r="AQ55" i="13"/>
  <c r="AM55" i="13"/>
  <c r="AI55" i="13"/>
  <c r="AE55" i="13"/>
  <c r="AA55" i="13"/>
  <c r="Z55" i="13"/>
  <c r="Y55" i="13"/>
  <c r="V55" i="13"/>
  <c r="S55" i="13"/>
  <c r="P55" i="13"/>
  <c r="M55" i="13"/>
  <c r="J55" i="13"/>
  <c r="AY54" i="13"/>
  <c r="AU54" i="13"/>
  <c r="AQ54" i="13"/>
  <c r="AM54" i="13"/>
  <c r="AI54" i="13"/>
  <c r="AE54" i="13"/>
  <c r="AA54" i="13"/>
  <c r="Z54" i="13"/>
  <c r="AB54" i="13" s="1"/>
  <c r="Y54" i="13"/>
  <c r="V54" i="13"/>
  <c r="S54" i="13"/>
  <c r="P54" i="13"/>
  <c r="M54" i="13"/>
  <c r="J54" i="13"/>
  <c r="AY53" i="13"/>
  <c r="AU53" i="13"/>
  <c r="AQ53" i="13"/>
  <c r="AM53" i="13"/>
  <c r="AI53" i="13"/>
  <c r="AE53" i="13"/>
  <c r="AA53" i="13"/>
  <c r="Z53" i="13"/>
  <c r="AB53" i="13" s="1"/>
  <c r="Y53" i="13"/>
  <c r="V53" i="13"/>
  <c r="S53" i="13"/>
  <c r="P53" i="13"/>
  <c r="M53" i="13"/>
  <c r="J53" i="13"/>
  <c r="AY52" i="13"/>
  <c r="AU52" i="13"/>
  <c r="AQ52" i="13"/>
  <c r="AM52" i="13"/>
  <c r="AI52" i="13"/>
  <c r="AE52" i="13"/>
  <c r="AA52" i="13"/>
  <c r="Z52" i="13"/>
  <c r="Y52" i="13"/>
  <c r="V52" i="13"/>
  <c r="S52" i="13"/>
  <c r="P52" i="13"/>
  <c r="M52" i="13"/>
  <c r="J52" i="13"/>
  <c r="AY51" i="13"/>
  <c r="AU51" i="13"/>
  <c r="AQ51" i="13"/>
  <c r="AM51" i="13"/>
  <c r="AI51" i="13"/>
  <c r="AE51" i="13"/>
  <c r="AA51" i="13"/>
  <c r="Z51" i="13"/>
  <c r="AB51" i="13" s="1"/>
  <c r="Y51" i="13"/>
  <c r="V51" i="13"/>
  <c r="S51" i="13"/>
  <c r="P51" i="13"/>
  <c r="M51" i="13"/>
  <c r="J51" i="13"/>
  <c r="AY50" i="13"/>
  <c r="AU50" i="13"/>
  <c r="AQ50" i="13"/>
  <c r="AM50" i="13"/>
  <c r="AI50" i="13"/>
  <c r="AE50" i="13"/>
  <c r="AA50" i="13"/>
  <c r="Z50" i="13"/>
  <c r="AB50" i="13" s="1"/>
  <c r="Y50" i="13"/>
  <c r="V50" i="13"/>
  <c r="S50" i="13"/>
  <c r="P50" i="13"/>
  <c r="M50" i="13"/>
  <c r="J50" i="13"/>
  <c r="AY49" i="13"/>
  <c r="AU49" i="13"/>
  <c r="AQ49" i="13"/>
  <c r="AM49" i="13"/>
  <c r="AI49" i="13"/>
  <c r="AE49" i="13"/>
  <c r="AA49" i="13"/>
  <c r="Z49" i="13"/>
  <c r="AB49" i="13" s="1"/>
  <c r="Y49" i="13"/>
  <c r="V49" i="13"/>
  <c r="S49" i="13"/>
  <c r="P49" i="13"/>
  <c r="M49" i="13"/>
  <c r="J49" i="13"/>
  <c r="AY48" i="13"/>
  <c r="AU48" i="13"/>
  <c r="AQ48" i="13"/>
  <c r="AM48" i="13"/>
  <c r="AI48" i="13"/>
  <c r="AE48" i="13"/>
  <c r="AA48" i="13"/>
  <c r="Z48" i="13"/>
  <c r="AB48" i="13" s="1"/>
  <c r="Y48" i="13"/>
  <c r="V48" i="13"/>
  <c r="S48" i="13"/>
  <c r="P48" i="13"/>
  <c r="M48" i="13"/>
  <c r="J48" i="13"/>
  <c r="AY47" i="13"/>
  <c r="AU47" i="13"/>
  <c r="AQ47" i="13"/>
  <c r="AM47" i="13"/>
  <c r="AI47" i="13"/>
  <c r="AE47" i="13"/>
  <c r="AA47" i="13"/>
  <c r="Z47" i="13"/>
  <c r="AB47" i="13" s="1"/>
  <c r="Y47" i="13"/>
  <c r="V47" i="13"/>
  <c r="S47" i="13"/>
  <c r="P47" i="13"/>
  <c r="M47" i="13"/>
  <c r="J47" i="13"/>
  <c r="AY46" i="13"/>
  <c r="AU46" i="13"/>
  <c r="AQ46" i="13"/>
  <c r="AM46" i="13"/>
  <c r="AI46" i="13"/>
  <c r="AE46" i="13"/>
  <c r="AA46" i="13"/>
  <c r="Z46" i="13"/>
  <c r="AB46" i="13" s="1"/>
  <c r="Y46" i="13"/>
  <c r="V46" i="13"/>
  <c r="S46" i="13"/>
  <c r="P46" i="13"/>
  <c r="M46" i="13"/>
  <c r="J46" i="13"/>
  <c r="AY45" i="13"/>
  <c r="AU45" i="13"/>
  <c r="AQ45" i="13"/>
  <c r="AM45" i="13"/>
  <c r="AI45" i="13"/>
  <c r="AE45" i="13"/>
  <c r="AA45" i="13"/>
  <c r="Z45" i="13"/>
  <c r="Y45" i="13"/>
  <c r="V45" i="13"/>
  <c r="S45" i="13"/>
  <c r="P45" i="13"/>
  <c r="M45" i="13"/>
  <c r="J45" i="13"/>
  <c r="AY44" i="13"/>
  <c r="AU44" i="13"/>
  <c r="AQ44" i="13"/>
  <c r="AM44" i="13"/>
  <c r="AI44" i="13"/>
  <c r="AE44" i="13"/>
  <c r="AA44" i="13"/>
  <c r="Z44" i="13"/>
  <c r="AB44" i="13" s="1"/>
  <c r="Y44" i="13"/>
  <c r="V44" i="13"/>
  <c r="S44" i="13"/>
  <c r="P44" i="13"/>
  <c r="M44" i="13"/>
  <c r="J44" i="13"/>
  <c r="AY43" i="13"/>
  <c r="AU43" i="13"/>
  <c r="AQ43" i="13"/>
  <c r="AM43" i="13"/>
  <c r="AI43" i="13"/>
  <c r="AE43" i="13"/>
  <c r="AA43" i="13"/>
  <c r="Z43" i="13"/>
  <c r="Y43" i="13"/>
  <c r="V43" i="13"/>
  <c r="S43" i="13"/>
  <c r="P43" i="13"/>
  <c r="M43" i="13"/>
  <c r="J43" i="13"/>
  <c r="AY42" i="13"/>
  <c r="AU42" i="13"/>
  <c r="AQ42" i="13"/>
  <c r="AM42" i="13"/>
  <c r="AI42" i="13"/>
  <c r="AE42" i="13"/>
  <c r="AA42" i="13"/>
  <c r="Z42" i="13"/>
  <c r="AB42" i="13" s="1"/>
  <c r="Y42" i="13"/>
  <c r="V42" i="13"/>
  <c r="S42" i="13"/>
  <c r="P42" i="13"/>
  <c r="M42" i="13"/>
  <c r="J42" i="13"/>
  <c r="AY41" i="13"/>
  <c r="AU41" i="13"/>
  <c r="AQ41" i="13"/>
  <c r="AM41" i="13"/>
  <c r="AI41" i="13"/>
  <c r="AE41" i="13"/>
  <c r="AA41" i="13"/>
  <c r="Z41" i="13"/>
  <c r="AB41" i="13" s="1"/>
  <c r="Y41" i="13"/>
  <c r="V41" i="13"/>
  <c r="S41" i="13"/>
  <c r="P41" i="13"/>
  <c r="M41" i="13"/>
  <c r="J41" i="13"/>
  <c r="AY40" i="13"/>
  <c r="AU40" i="13"/>
  <c r="AQ40" i="13"/>
  <c r="AM40" i="13"/>
  <c r="AI40" i="13"/>
  <c r="AE40" i="13"/>
  <c r="AA40" i="13"/>
  <c r="Z40" i="13"/>
  <c r="Y40" i="13"/>
  <c r="V40" i="13"/>
  <c r="S40" i="13"/>
  <c r="P40" i="13"/>
  <c r="M40" i="13"/>
  <c r="J40" i="13"/>
  <c r="AY39" i="13"/>
  <c r="AU39" i="13"/>
  <c r="AQ39" i="13"/>
  <c r="AM39" i="13"/>
  <c r="AI39" i="13"/>
  <c r="AE39" i="13"/>
  <c r="AA39" i="13"/>
  <c r="Z39" i="13"/>
  <c r="Y39" i="13"/>
  <c r="V39" i="13"/>
  <c r="S39" i="13"/>
  <c r="P39" i="13"/>
  <c r="M39" i="13"/>
  <c r="J39" i="13"/>
  <c r="AY38" i="13"/>
  <c r="AU38" i="13"/>
  <c r="AQ38" i="13"/>
  <c r="AM38" i="13"/>
  <c r="AI38" i="13"/>
  <c r="AE38" i="13"/>
  <c r="AA38" i="13"/>
  <c r="Z38" i="13"/>
  <c r="Y38" i="13"/>
  <c r="V38" i="13"/>
  <c r="S38" i="13"/>
  <c r="P38" i="13"/>
  <c r="M38" i="13"/>
  <c r="J38" i="13"/>
  <c r="AY37" i="13"/>
  <c r="AU37" i="13"/>
  <c r="AQ37" i="13"/>
  <c r="AM37" i="13"/>
  <c r="AI37" i="13"/>
  <c r="AE37" i="13"/>
  <c r="AA37" i="13"/>
  <c r="Z37" i="13"/>
  <c r="AY36" i="13"/>
  <c r="AU36" i="13"/>
  <c r="AQ36" i="13"/>
  <c r="AM36" i="13"/>
  <c r="AI36" i="13"/>
  <c r="AE36" i="13"/>
  <c r="AA36" i="13"/>
  <c r="Z36" i="13"/>
  <c r="AB36" i="13" s="1"/>
  <c r="Y36" i="13"/>
  <c r="V36" i="13"/>
  <c r="S36" i="13"/>
  <c r="P36" i="13"/>
  <c r="M36" i="13"/>
  <c r="J36" i="13"/>
  <c r="AY35" i="13"/>
  <c r="AU35" i="13"/>
  <c r="AQ35" i="13"/>
  <c r="AM35" i="13"/>
  <c r="AI35" i="13"/>
  <c r="AE35" i="13"/>
  <c r="AA35" i="13"/>
  <c r="Z35" i="13"/>
  <c r="Y35" i="13"/>
  <c r="V35" i="13"/>
  <c r="S35" i="13"/>
  <c r="P35" i="13"/>
  <c r="M35" i="13"/>
  <c r="J35" i="13"/>
  <c r="AY34" i="13"/>
  <c r="AU34" i="13"/>
  <c r="AQ34" i="13"/>
  <c r="AM34" i="13"/>
  <c r="AI34" i="13"/>
  <c r="AE34" i="13"/>
  <c r="AA34" i="13"/>
  <c r="Z34" i="13"/>
  <c r="AB34" i="13" s="1"/>
  <c r="Y34" i="13"/>
  <c r="V34" i="13"/>
  <c r="S34" i="13"/>
  <c r="P34" i="13"/>
  <c r="M34" i="13"/>
  <c r="J34" i="13"/>
  <c r="AY33" i="13"/>
  <c r="AU33" i="13"/>
  <c r="AQ33" i="13"/>
  <c r="AM33" i="13"/>
  <c r="AI33" i="13"/>
  <c r="AE33" i="13"/>
  <c r="AA33" i="13"/>
  <c r="Z33" i="13"/>
  <c r="Y33" i="13"/>
  <c r="V33" i="13"/>
  <c r="S33" i="13"/>
  <c r="P33" i="13"/>
  <c r="M33" i="13"/>
  <c r="J33" i="13"/>
  <c r="AY32" i="13"/>
  <c r="AU32" i="13"/>
  <c r="AQ32" i="13"/>
  <c r="AM32" i="13"/>
  <c r="AI32" i="13"/>
  <c r="AE32" i="13"/>
  <c r="AA32" i="13"/>
  <c r="Z32" i="13"/>
  <c r="AB32" i="13" s="1"/>
  <c r="Y32" i="13"/>
  <c r="V32" i="13"/>
  <c r="S32" i="13"/>
  <c r="P32" i="13"/>
  <c r="M32" i="13"/>
  <c r="J32" i="13"/>
  <c r="AY31" i="13"/>
  <c r="AU31" i="13"/>
  <c r="AQ31" i="13"/>
  <c r="AM31" i="13"/>
  <c r="AI31" i="13"/>
  <c r="AE31" i="13"/>
  <c r="AA31" i="13"/>
  <c r="Z31" i="13"/>
  <c r="AB31" i="13" s="1"/>
  <c r="Y31" i="13"/>
  <c r="V31" i="13"/>
  <c r="S31" i="13"/>
  <c r="P31" i="13"/>
  <c r="M31" i="13"/>
  <c r="J31" i="13"/>
  <c r="AY30" i="13"/>
  <c r="AU30" i="13"/>
  <c r="AQ30" i="13"/>
  <c r="AM30" i="13"/>
  <c r="AI30" i="13"/>
  <c r="AE30" i="13"/>
  <c r="AA30" i="13"/>
  <c r="Z30" i="13"/>
  <c r="AB30" i="13" s="1"/>
  <c r="Y30" i="13"/>
  <c r="V30" i="13"/>
  <c r="S30" i="13"/>
  <c r="P30" i="13"/>
  <c r="M30" i="13"/>
  <c r="J30" i="13"/>
  <c r="AY29" i="13"/>
  <c r="AU29" i="13"/>
  <c r="AQ29" i="13"/>
  <c r="AM29" i="13"/>
  <c r="AI29" i="13"/>
  <c r="AE29" i="13"/>
  <c r="AA29" i="13"/>
  <c r="Z29" i="13"/>
  <c r="AB29" i="13" s="1"/>
  <c r="Y29" i="13"/>
  <c r="V29" i="13"/>
  <c r="S29" i="13"/>
  <c r="P29" i="13"/>
  <c r="M29" i="13"/>
  <c r="J29" i="13"/>
  <c r="AY28" i="13"/>
  <c r="AU28" i="13"/>
  <c r="AQ28" i="13"/>
  <c r="AM28" i="13"/>
  <c r="AI28" i="13"/>
  <c r="AE28" i="13"/>
  <c r="AA28" i="13"/>
  <c r="Z28" i="13"/>
  <c r="Y28" i="13"/>
  <c r="V28" i="13"/>
  <c r="S28" i="13"/>
  <c r="P28" i="13"/>
  <c r="M28" i="13"/>
  <c r="J28" i="13"/>
  <c r="AY27" i="13"/>
  <c r="AU27" i="13"/>
  <c r="AQ27" i="13"/>
  <c r="AM27" i="13"/>
  <c r="AI27" i="13"/>
  <c r="AE27" i="13"/>
  <c r="AA27" i="13"/>
  <c r="Z27" i="13"/>
  <c r="Y27" i="13"/>
  <c r="V27" i="13"/>
  <c r="S27" i="13"/>
  <c r="P27" i="13"/>
  <c r="M27" i="13"/>
  <c r="J27" i="13"/>
  <c r="AY26" i="13"/>
  <c r="AU26" i="13"/>
  <c r="AQ26" i="13"/>
  <c r="AM26" i="13"/>
  <c r="AI26" i="13"/>
  <c r="AE26" i="13"/>
  <c r="AA26" i="13"/>
  <c r="Z26" i="13"/>
  <c r="AB26" i="13" s="1"/>
  <c r="Y26" i="13"/>
  <c r="V26" i="13"/>
  <c r="S26" i="13"/>
  <c r="P26" i="13"/>
  <c r="M26" i="13"/>
  <c r="J26" i="13"/>
  <c r="AY25" i="13"/>
  <c r="AU25" i="13"/>
  <c r="AQ25" i="13"/>
  <c r="AM25" i="13"/>
  <c r="AI25" i="13"/>
  <c r="AE25" i="13"/>
  <c r="AA25" i="13"/>
  <c r="Z25" i="13"/>
  <c r="Y25" i="13"/>
  <c r="V25" i="13"/>
  <c r="S25" i="13"/>
  <c r="P25" i="13"/>
  <c r="M25" i="13"/>
  <c r="J25" i="13"/>
  <c r="AY24" i="13"/>
  <c r="AU24" i="13"/>
  <c r="AQ24" i="13"/>
  <c r="AM24" i="13"/>
  <c r="AI24" i="13"/>
  <c r="AE24" i="13"/>
  <c r="AA24" i="13"/>
  <c r="Z24" i="13"/>
  <c r="Y24" i="13"/>
  <c r="V24" i="13"/>
  <c r="S24" i="13"/>
  <c r="P24" i="13"/>
  <c r="M24" i="13"/>
  <c r="J24" i="13"/>
  <c r="AY23" i="13"/>
  <c r="AU23" i="13"/>
  <c r="AQ23" i="13"/>
  <c r="AM23" i="13"/>
  <c r="AI23" i="13"/>
  <c r="AE23" i="13"/>
  <c r="AA23" i="13"/>
  <c r="Z23" i="13"/>
  <c r="AB23" i="13" s="1"/>
  <c r="Y23" i="13"/>
  <c r="V23" i="13"/>
  <c r="S23" i="13"/>
  <c r="P23" i="13"/>
  <c r="M23" i="13"/>
  <c r="J23" i="13"/>
  <c r="AY22" i="13"/>
  <c r="AU22" i="13"/>
  <c r="AQ22" i="13"/>
  <c r="AM22" i="13"/>
  <c r="AI22" i="13"/>
  <c r="AE22" i="13"/>
  <c r="AA22" i="13"/>
  <c r="Z22" i="13"/>
  <c r="AB22" i="13" s="1"/>
  <c r="Y22" i="13"/>
  <c r="V22" i="13"/>
  <c r="S22" i="13"/>
  <c r="P22" i="13"/>
  <c r="M22" i="13"/>
  <c r="J22" i="13"/>
  <c r="AY21" i="13"/>
  <c r="AU21" i="13"/>
  <c r="AQ21" i="13"/>
  <c r="AM21" i="13"/>
  <c r="AI21" i="13"/>
  <c r="AE21" i="13"/>
  <c r="AA21" i="13"/>
  <c r="Z21" i="13"/>
  <c r="Y21" i="13"/>
  <c r="V21" i="13"/>
  <c r="S21" i="13"/>
  <c r="P21" i="13"/>
  <c r="M21" i="13"/>
  <c r="J21" i="13"/>
  <c r="AY20" i="13"/>
  <c r="AU20" i="13"/>
  <c r="AQ20" i="13"/>
  <c r="AM20" i="13"/>
  <c r="AI20" i="13"/>
  <c r="AE20" i="13"/>
  <c r="AA20" i="13"/>
  <c r="Z20" i="13"/>
  <c r="AB20" i="13" s="1"/>
  <c r="Y20" i="13"/>
  <c r="V20" i="13"/>
  <c r="S20" i="13"/>
  <c r="P20" i="13"/>
  <c r="M20" i="13"/>
  <c r="J20" i="13"/>
  <c r="AY19" i="13"/>
  <c r="AU19" i="13"/>
  <c r="AQ19" i="13"/>
  <c r="AM19" i="13"/>
  <c r="AI19" i="13"/>
  <c r="AE19" i="13"/>
  <c r="AA19" i="13"/>
  <c r="Z19" i="13"/>
  <c r="AB19" i="13" s="1"/>
  <c r="Y19" i="13"/>
  <c r="V19" i="13"/>
  <c r="S19" i="13"/>
  <c r="P19" i="13"/>
  <c r="M19" i="13"/>
  <c r="J19" i="13"/>
  <c r="AY18" i="13"/>
  <c r="AU18" i="13"/>
  <c r="AQ18" i="13"/>
  <c r="AM18" i="13"/>
  <c r="AI18" i="13"/>
  <c r="AE18" i="13"/>
  <c r="AA18" i="13"/>
  <c r="Z18" i="13"/>
  <c r="AB18" i="13" s="1"/>
  <c r="Y18" i="13"/>
  <c r="V18" i="13"/>
  <c r="S18" i="13"/>
  <c r="P18" i="13"/>
  <c r="M18" i="13"/>
  <c r="J18" i="13"/>
  <c r="AY17" i="13"/>
  <c r="AU17" i="13"/>
  <c r="AQ17" i="13"/>
  <c r="AM17" i="13"/>
  <c r="AI17" i="13"/>
  <c r="AE17" i="13"/>
  <c r="AA17" i="13"/>
  <c r="Z17" i="13"/>
  <c r="AB17" i="13" s="1"/>
  <c r="Y17" i="13"/>
  <c r="V17" i="13"/>
  <c r="S17" i="13"/>
  <c r="P17" i="13"/>
  <c r="M17" i="13"/>
  <c r="J17" i="13"/>
  <c r="AY16" i="13"/>
  <c r="AU16" i="13"/>
  <c r="AQ16" i="13"/>
  <c r="AM16" i="13"/>
  <c r="AI16" i="13"/>
  <c r="AE16" i="13"/>
  <c r="AA16" i="13"/>
  <c r="Z16" i="13"/>
  <c r="AB16" i="13" s="1"/>
  <c r="Y16" i="13"/>
  <c r="V16" i="13"/>
  <c r="S16" i="13"/>
  <c r="P16" i="13"/>
  <c r="M16" i="13"/>
  <c r="J16" i="13"/>
  <c r="AY15" i="13"/>
  <c r="AU15" i="13"/>
  <c r="AQ15" i="13"/>
  <c r="AM15" i="13"/>
  <c r="AI15" i="13"/>
  <c r="AE15" i="13"/>
  <c r="AA15" i="13"/>
  <c r="Z15" i="13"/>
  <c r="AB15" i="13" s="1"/>
  <c r="Y15" i="13"/>
  <c r="V15" i="13"/>
  <c r="S15" i="13"/>
  <c r="P15" i="13"/>
  <c r="M15" i="13"/>
  <c r="J15" i="13"/>
  <c r="AY14" i="13"/>
  <c r="AU14" i="13"/>
  <c r="AQ14" i="13"/>
  <c r="AM14" i="13"/>
  <c r="AI14" i="13"/>
  <c r="AE14" i="13"/>
  <c r="AA14" i="13"/>
  <c r="Z14" i="13"/>
  <c r="Y14" i="13"/>
  <c r="V14" i="13"/>
  <c r="S14" i="13"/>
  <c r="P14" i="13"/>
  <c r="M14" i="13"/>
  <c r="J14" i="13"/>
  <c r="AY13" i="13"/>
  <c r="AU13" i="13"/>
  <c r="AQ13" i="13"/>
  <c r="AM13" i="13"/>
  <c r="AI13" i="13"/>
  <c r="AE13" i="13"/>
  <c r="AA13" i="13"/>
  <c r="Z13" i="13"/>
  <c r="AB13" i="13" s="1"/>
  <c r="Y13" i="13"/>
  <c r="V13" i="13"/>
  <c r="S13" i="13"/>
  <c r="P13" i="13"/>
  <c r="M13" i="13"/>
  <c r="J13" i="13"/>
  <c r="AY12" i="13"/>
  <c r="AU12" i="13"/>
  <c r="AQ12" i="13"/>
  <c r="AM12" i="13"/>
  <c r="AI12" i="13"/>
  <c r="AE12" i="13"/>
  <c r="AA12" i="13"/>
  <c r="Z12" i="13"/>
  <c r="Y12" i="13"/>
  <c r="V12" i="13"/>
  <c r="S12" i="13"/>
  <c r="P12" i="13"/>
  <c r="M12" i="13"/>
  <c r="J12" i="13"/>
  <c r="AY11" i="13"/>
  <c r="AU11" i="13"/>
  <c r="AQ11" i="13"/>
  <c r="AM11" i="13"/>
  <c r="AI11" i="13"/>
  <c r="AE11" i="13"/>
  <c r="AA11" i="13"/>
  <c r="Z11" i="13"/>
  <c r="AB11" i="13" s="1"/>
  <c r="Y11" i="13"/>
  <c r="V11" i="13"/>
  <c r="S11" i="13"/>
  <c r="P11" i="13"/>
  <c r="M11" i="13"/>
  <c r="J11" i="13"/>
  <c r="AY10" i="13"/>
  <c r="AU10" i="13"/>
  <c r="AQ10" i="13"/>
  <c r="AM10" i="13"/>
  <c r="AI10" i="13"/>
  <c r="AE10" i="13"/>
  <c r="AA10" i="13"/>
  <c r="Z10" i="13"/>
  <c r="AB10" i="13" s="1"/>
  <c r="Y10" i="13"/>
  <c r="V10" i="13"/>
  <c r="S10" i="13"/>
  <c r="P10" i="13"/>
  <c r="M10" i="13"/>
  <c r="J10" i="13"/>
  <c r="AY9" i="13"/>
  <c r="AU9" i="13"/>
  <c r="AQ9" i="13"/>
  <c r="AM9" i="13"/>
  <c r="AI9" i="13"/>
  <c r="AE9" i="13"/>
  <c r="AA9" i="13"/>
  <c r="Z9" i="13"/>
  <c r="Y9" i="13"/>
  <c r="V9" i="13"/>
  <c r="S9" i="13"/>
  <c r="P9" i="13"/>
  <c r="M9" i="13"/>
  <c r="J9" i="13"/>
  <c r="AY8" i="13"/>
  <c r="AU8" i="13"/>
  <c r="AQ8" i="13"/>
  <c r="AM8" i="13"/>
  <c r="AI8" i="13"/>
  <c r="AE8" i="13"/>
  <c r="AA8" i="13"/>
  <c r="Z8" i="13"/>
  <c r="Y8" i="13"/>
  <c r="V8" i="13"/>
  <c r="S8" i="13"/>
  <c r="P8" i="13"/>
  <c r="M8" i="13"/>
  <c r="J8" i="13"/>
  <c r="AY7" i="13"/>
  <c r="AU7" i="13"/>
  <c r="AQ7" i="13"/>
  <c r="AM7" i="13"/>
  <c r="AI7" i="13"/>
  <c r="AE7" i="13"/>
  <c r="AA7" i="13"/>
  <c r="Z7" i="13"/>
  <c r="Y7" i="13"/>
  <c r="V7" i="13"/>
  <c r="S7" i="13"/>
  <c r="P7" i="13"/>
  <c r="M7" i="13"/>
  <c r="J7" i="13"/>
  <c r="AY6" i="13"/>
  <c r="AU6" i="13"/>
  <c r="AQ6" i="13"/>
  <c r="AM6" i="13"/>
  <c r="AI6" i="13"/>
  <c r="AE6" i="13"/>
  <c r="AA6" i="13"/>
  <c r="Z6" i="13"/>
  <c r="G9" i="12"/>
  <c r="G4" i="12"/>
  <c r="K249" i="11"/>
  <c r="I249" i="11"/>
  <c r="I248" i="11" s="1"/>
  <c r="Y248" i="11" s="1"/>
  <c r="G249" i="11"/>
  <c r="M248" i="11"/>
  <c r="F120" i="27" s="1"/>
  <c r="K246" i="11"/>
  <c r="K245" i="11" s="1"/>
  <c r="I246" i="11"/>
  <c r="G246" i="11"/>
  <c r="M245" i="11"/>
  <c r="F119" i="27" s="1"/>
  <c r="K244" i="11"/>
  <c r="K243" i="11" s="1"/>
  <c r="I244" i="11"/>
  <c r="I243" i="11" s="1"/>
  <c r="X243" i="11" s="1"/>
  <c r="G244" i="11"/>
  <c r="M243" i="11"/>
  <c r="F118" i="27" s="1"/>
  <c r="K242" i="11"/>
  <c r="K241" i="11" s="1"/>
  <c r="I242" i="11"/>
  <c r="G242" i="11"/>
  <c r="M241" i="11"/>
  <c r="F117" i="27" s="1"/>
  <c r="K240" i="11"/>
  <c r="K239" i="11" s="1"/>
  <c r="I240" i="11"/>
  <c r="I239" i="11" s="1"/>
  <c r="AA239" i="11" s="1"/>
  <c r="G240" i="11"/>
  <c r="M239" i="11"/>
  <c r="F116" i="27" s="1"/>
  <c r="K238" i="11"/>
  <c r="K237" i="11" s="1"/>
  <c r="I238" i="11"/>
  <c r="I237" i="11" s="1"/>
  <c r="T237" i="11" s="1"/>
  <c r="G238" i="11"/>
  <c r="M237" i="11"/>
  <c r="F115" i="27" s="1"/>
  <c r="K236" i="11"/>
  <c r="K235" i="11" s="1"/>
  <c r="I236" i="11"/>
  <c r="I235" i="11" s="1"/>
  <c r="G236" i="11"/>
  <c r="M235" i="11"/>
  <c r="F114" i="27" s="1"/>
  <c r="K234" i="11"/>
  <c r="K233" i="11" s="1"/>
  <c r="I234" i="11"/>
  <c r="I233" i="11" s="1"/>
  <c r="G234" i="11"/>
  <c r="M233" i="11"/>
  <c r="F113" i="27" s="1"/>
  <c r="K232" i="11"/>
  <c r="K231" i="11" s="1"/>
  <c r="I232" i="11"/>
  <c r="I231" i="11" s="1"/>
  <c r="G232" i="11"/>
  <c r="M231" i="11"/>
  <c r="F112" i="27" s="1"/>
  <c r="K230" i="11"/>
  <c r="K229" i="11" s="1"/>
  <c r="I230" i="11"/>
  <c r="G230" i="11"/>
  <c r="M229" i="11"/>
  <c r="F111" i="27" s="1"/>
  <c r="K228" i="11"/>
  <c r="I228" i="11"/>
  <c r="I227" i="11" s="1"/>
  <c r="X227" i="11" s="1"/>
  <c r="G228" i="11"/>
  <c r="M227" i="11"/>
  <c r="F110" i="27" s="1"/>
  <c r="K226" i="11"/>
  <c r="K225" i="11" s="1"/>
  <c r="I226" i="11"/>
  <c r="I225" i="11" s="1"/>
  <c r="AA225" i="11" s="1"/>
  <c r="G226" i="11"/>
  <c r="M225" i="11"/>
  <c r="F109" i="27" s="1"/>
  <c r="K224" i="11"/>
  <c r="K223" i="11" s="1"/>
  <c r="I224" i="11"/>
  <c r="G224" i="11"/>
  <c r="M223" i="11"/>
  <c r="K221" i="11"/>
  <c r="K220" i="11" s="1"/>
  <c r="I221" i="11"/>
  <c r="G221" i="11"/>
  <c r="M220" i="11"/>
  <c r="F107" i="27" s="1"/>
  <c r="K219" i="11"/>
  <c r="I219" i="11"/>
  <c r="I218" i="11" s="1"/>
  <c r="G219" i="11"/>
  <c r="M218" i="11"/>
  <c r="F106" i="27" s="1"/>
  <c r="K217" i="11"/>
  <c r="K216" i="11" s="1"/>
  <c r="I217" i="11"/>
  <c r="I216" i="11" s="1"/>
  <c r="W216" i="11" s="1"/>
  <c r="G217" i="11"/>
  <c r="M216" i="11"/>
  <c r="F105" i="27" s="1"/>
  <c r="K215" i="11"/>
  <c r="I215" i="11"/>
  <c r="G215" i="11"/>
  <c r="M214" i="11"/>
  <c r="F104" i="27" s="1"/>
  <c r="K213" i="11"/>
  <c r="I213" i="11"/>
  <c r="G213" i="11"/>
  <c r="M212" i="11"/>
  <c r="F103" i="27" s="1"/>
  <c r="K211" i="11"/>
  <c r="I211" i="11"/>
  <c r="I210" i="11" s="1"/>
  <c r="V210" i="11" s="1"/>
  <c r="G211" i="11"/>
  <c r="M210" i="11"/>
  <c r="F102" i="27" s="1"/>
  <c r="K209" i="11"/>
  <c r="K208" i="11" s="1"/>
  <c r="I209" i="11"/>
  <c r="I208" i="11" s="1"/>
  <c r="G209" i="11"/>
  <c r="M208" i="11"/>
  <c r="F101" i="27" s="1"/>
  <c r="K207" i="11"/>
  <c r="I207" i="11"/>
  <c r="I206" i="11" s="1"/>
  <c r="Z206" i="11" s="1"/>
  <c r="G207" i="11"/>
  <c r="M206" i="11"/>
  <c r="F100" i="27" s="1"/>
  <c r="K205" i="11"/>
  <c r="I205" i="11"/>
  <c r="I204" i="11" s="1"/>
  <c r="AB204" i="11" s="1"/>
  <c r="G205" i="11"/>
  <c r="M204" i="11"/>
  <c r="F99" i="27" s="1"/>
  <c r="K203" i="11"/>
  <c r="I203" i="11"/>
  <c r="I202" i="11" s="1"/>
  <c r="AC202" i="11" s="1"/>
  <c r="G203" i="11"/>
  <c r="M202" i="11"/>
  <c r="F98" i="27" s="1"/>
  <c r="K201" i="11"/>
  <c r="K200" i="11" s="1"/>
  <c r="I201" i="11"/>
  <c r="I200" i="11" s="1"/>
  <c r="S200" i="11" s="1"/>
  <c r="G201" i="11"/>
  <c r="M200" i="11"/>
  <c r="F97" i="27" s="1"/>
  <c r="K199" i="11"/>
  <c r="I199" i="11"/>
  <c r="I198" i="11" s="1"/>
  <c r="T198" i="11" s="1"/>
  <c r="G199" i="11"/>
  <c r="M198" i="11"/>
  <c r="F96" i="27" s="1"/>
  <c r="K197" i="11"/>
  <c r="I197" i="11"/>
  <c r="G197" i="11"/>
  <c r="M196" i="11"/>
  <c r="F95" i="27" s="1"/>
  <c r="K195" i="11"/>
  <c r="K194" i="11" s="1"/>
  <c r="I195" i="11"/>
  <c r="G195" i="11"/>
  <c r="M194" i="11"/>
  <c r="F94" i="27" s="1"/>
  <c r="K193" i="11"/>
  <c r="K192" i="11" s="1"/>
  <c r="I193" i="11"/>
  <c r="I192" i="11" s="1"/>
  <c r="AC192" i="11" s="1"/>
  <c r="G193" i="11"/>
  <c r="M192" i="11"/>
  <c r="F93" i="27" s="1"/>
  <c r="K191" i="11"/>
  <c r="K190" i="11" s="1"/>
  <c r="I191" i="11"/>
  <c r="G191" i="11"/>
  <c r="M190" i="11"/>
  <c r="F92" i="27" s="1"/>
  <c r="K189" i="11"/>
  <c r="I189" i="11"/>
  <c r="I188" i="11" s="1"/>
  <c r="G189" i="11"/>
  <c r="M188" i="11"/>
  <c r="F91" i="27" s="1"/>
  <c r="K187" i="11"/>
  <c r="I187" i="11"/>
  <c r="I186" i="11" s="1"/>
  <c r="G187" i="11"/>
  <c r="M186" i="11"/>
  <c r="F90" i="27" s="1"/>
  <c r="K185" i="11"/>
  <c r="I185" i="11"/>
  <c r="G185" i="11"/>
  <c r="M184" i="11"/>
  <c r="F89" i="27" s="1"/>
  <c r="K183" i="11"/>
  <c r="I183" i="11"/>
  <c r="I182" i="11" s="1"/>
  <c r="Y182" i="11" s="1"/>
  <c r="G183" i="11"/>
  <c r="M182" i="11"/>
  <c r="F88" i="27" s="1"/>
  <c r="K181" i="11"/>
  <c r="I181" i="11"/>
  <c r="G181" i="11"/>
  <c r="M180" i="11"/>
  <c r="F87" i="27" s="1"/>
  <c r="K179" i="11"/>
  <c r="K178" i="11" s="1"/>
  <c r="I179" i="11"/>
  <c r="I178" i="11" s="1"/>
  <c r="Y178" i="11" s="1"/>
  <c r="G179" i="11"/>
  <c r="M178" i="11"/>
  <c r="F86" i="27" s="1"/>
  <c r="K177" i="11"/>
  <c r="K176" i="11" s="1"/>
  <c r="I177" i="11"/>
  <c r="I176" i="11" s="1"/>
  <c r="V176" i="11" s="1"/>
  <c r="G177" i="11"/>
  <c r="M176" i="11"/>
  <c r="F85" i="27" s="1"/>
  <c r="K175" i="11"/>
  <c r="I175" i="11"/>
  <c r="I174" i="11" s="1"/>
  <c r="AB174" i="11" s="1"/>
  <c r="G175" i="11"/>
  <c r="M174" i="11"/>
  <c r="F84" i="27" s="1"/>
  <c r="K173" i="11"/>
  <c r="K172" i="11" s="1"/>
  <c r="I173" i="11"/>
  <c r="I172" i="11" s="1"/>
  <c r="AA172" i="11" s="1"/>
  <c r="G173" i="11"/>
  <c r="M172" i="11"/>
  <c r="F83" i="27" s="1"/>
  <c r="K171" i="11"/>
  <c r="K170" i="11" s="1"/>
  <c r="I171" i="11"/>
  <c r="G171" i="11"/>
  <c r="M170" i="11"/>
  <c r="F82" i="27" s="1"/>
  <c r="K169" i="11"/>
  <c r="I169" i="11"/>
  <c r="G169" i="11"/>
  <c r="M168" i="11"/>
  <c r="F81" i="27" s="1"/>
  <c r="K167" i="11"/>
  <c r="I167" i="11"/>
  <c r="G167" i="11"/>
  <c r="M166" i="11"/>
  <c r="F80" i="27" s="1"/>
  <c r="K165" i="11"/>
  <c r="K164" i="11" s="1"/>
  <c r="I165" i="11"/>
  <c r="G165" i="11"/>
  <c r="M164" i="11"/>
  <c r="F79" i="27" s="1"/>
  <c r="K163" i="11"/>
  <c r="K162" i="11" s="1"/>
  <c r="I163" i="11"/>
  <c r="I162" i="11" s="1"/>
  <c r="G163" i="11"/>
  <c r="M162" i="11"/>
  <c r="F78" i="27" s="1"/>
  <c r="K161" i="11"/>
  <c r="K160" i="11" s="1"/>
  <c r="I161" i="11"/>
  <c r="G161" i="11"/>
  <c r="M160" i="11"/>
  <c r="F77" i="27" s="1"/>
  <c r="K159" i="11"/>
  <c r="K158" i="11" s="1"/>
  <c r="I159" i="11"/>
  <c r="I158" i="11" s="1"/>
  <c r="G159" i="11"/>
  <c r="M158" i="11"/>
  <c r="F76" i="27" s="1"/>
  <c r="K157" i="11"/>
  <c r="K156" i="11" s="1"/>
  <c r="I157" i="11"/>
  <c r="G157" i="11"/>
  <c r="M156" i="11"/>
  <c r="F75" i="27" s="1"/>
  <c r="K155" i="11"/>
  <c r="K154" i="11" s="1"/>
  <c r="I155" i="11"/>
  <c r="G155" i="11"/>
  <c r="M154" i="11"/>
  <c r="F74" i="27" s="1"/>
  <c r="K153" i="11"/>
  <c r="K152" i="11" s="1"/>
  <c r="I153" i="11"/>
  <c r="I152" i="11" s="1"/>
  <c r="G153" i="11"/>
  <c r="M152" i="11"/>
  <c r="F73" i="27" s="1"/>
  <c r="K151" i="11"/>
  <c r="I151" i="11"/>
  <c r="G151" i="11"/>
  <c r="M150" i="11"/>
  <c r="F72" i="27" s="1"/>
  <c r="K149" i="11"/>
  <c r="K148" i="11" s="1"/>
  <c r="I149" i="11"/>
  <c r="G149" i="11"/>
  <c r="M148" i="11"/>
  <c r="F71" i="27" s="1"/>
  <c r="K147" i="11"/>
  <c r="I147" i="11"/>
  <c r="G147" i="11"/>
  <c r="M146" i="11"/>
  <c r="F70" i="27" s="1"/>
  <c r="K145" i="11"/>
  <c r="I145" i="11"/>
  <c r="I144" i="11" s="1"/>
  <c r="AC144" i="11" s="1"/>
  <c r="G145" i="11"/>
  <c r="M144" i="11"/>
  <c r="F69" i="27" s="1"/>
  <c r="K143" i="11"/>
  <c r="K142" i="11" s="1"/>
  <c r="I143" i="11"/>
  <c r="G143" i="11"/>
  <c r="M142" i="11"/>
  <c r="F68" i="27" s="1"/>
  <c r="K141" i="11"/>
  <c r="K140" i="11" s="1"/>
  <c r="I141" i="11"/>
  <c r="I140" i="11" s="1"/>
  <c r="AC140" i="11" s="1"/>
  <c r="G141" i="11"/>
  <c r="M140" i="11"/>
  <c r="F67" i="27" s="1"/>
  <c r="K139" i="11"/>
  <c r="I139" i="11"/>
  <c r="I138" i="11" s="1"/>
  <c r="G139" i="11"/>
  <c r="M138" i="11"/>
  <c r="F66" i="27" s="1"/>
  <c r="K137" i="11"/>
  <c r="I137" i="11"/>
  <c r="G137" i="11"/>
  <c r="M136" i="11"/>
  <c r="F65" i="27" s="1"/>
  <c r="K135" i="11"/>
  <c r="I135" i="11"/>
  <c r="G135" i="11"/>
  <c r="M134" i="11"/>
  <c r="F64" i="27" s="1"/>
  <c r="K133" i="11"/>
  <c r="I133" i="11"/>
  <c r="I132" i="11" s="1"/>
  <c r="G133" i="11"/>
  <c r="M132" i="11"/>
  <c r="F63" i="27" s="1"/>
  <c r="K131" i="11"/>
  <c r="K130" i="11" s="1"/>
  <c r="I131" i="11"/>
  <c r="I130" i="11" s="1"/>
  <c r="AC130" i="11" s="1"/>
  <c r="G131" i="11"/>
  <c r="M130" i="11"/>
  <c r="F62" i="27" s="1"/>
  <c r="K129" i="11"/>
  <c r="I129" i="11"/>
  <c r="G129" i="11"/>
  <c r="M128" i="11"/>
  <c r="F61" i="27" s="1"/>
  <c r="K127" i="11"/>
  <c r="K126" i="11" s="1"/>
  <c r="I127" i="11"/>
  <c r="I126" i="11" s="1"/>
  <c r="AA126" i="11" s="1"/>
  <c r="G127" i="11"/>
  <c r="M126" i="11"/>
  <c r="F60" i="27" s="1"/>
  <c r="K125" i="11"/>
  <c r="K124" i="11" s="1"/>
  <c r="I125" i="11"/>
  <c r="I124" i="11" s="1"/>
  <c r="AB124" i="11" s="1"/>
  <c r="G125" i="11"/>
  <c r="M124" i="11"/>
  <c r="F59" i="27" s="1"/>
  <c r="K123" i="11"/>
  <c r="K122" i="11" s="1"/>
  <c r="I123" i="11"/>
  <c r="G123" i="11"/>
  <c r="M122" i="11"/>
  <c r="F58" i="27" s="1"/>
  <c r="K121" i="11"/>
  <c r="K120" i="11" s="1"/>
  <c r="I121" i="11"/>
  <c r="I120" i="11" s="1"/>
  <c r="Z120" i="11" s="1"/>
  <c r="G121" i="11"/>
  <c r="M120" i="11"/>
  <c r="F57" i="27" s="1"/>
  <c r="K119" i="11"/>
  <c r="K118" i="11" s="1"/>
  <c r="I119" i="11"/>
  <c r="G119" i="11"/>
  <c r="M118" i="11"/>
  <c r="F56" i="27" s="1"/>
  <c r="K117" i="11"/>
  <c r="I117" i="11"/>
  <c r="G117" i="11"/>
  <c r="M116" i="11"/>
  <c r="F55" i="27" s="1"/>
  <c r="K115" i="11"/>
  <c r="I115" i="11"/>
  <c r="G115" i="11"/>
  <c r="M114" i="11"/>
  <c r="F54" i="27" s="1"/>
  <c r="K113" i="11"/>
  <c r="K112" i="11" s="1"/>
  <c r="I113" i="11"/>
  <c r="I112" i="11" s="1"/>
  <c r="G113" i="11"/>
  <c r="M112" i="11"/>
  <c r="F53" i="27" s="1"/>
  <c r="K111" i="11"/>
  <c r="K110" i="11" s="1"/>
  <c r="I111" i="11"/>
  <c r="I110" i="11" s="1"/>
  <c r="W110" i="11" s="1"/>
  <c r="G111" i="11"/>
  <c r="M110" i="11"/>
  <c r="F52" i="27" s="1"/>
  <c r="K109" i="11"/>
  <c r="I109" i="11"/>
  <c r="I108" i="11" s="1"/>
  <c r="AA108" i="11" s="1"/>
  <c r="G109" i="11"/>
  <c r="M108" i="11"/>
  <c r="F51" i="27" s="1"/>
  <c r="K107" i="11"/>
  <c r="I107" i="11"/>
  <c r="I106" i="11" s="1"/>
  <c r="AA106" i="11" s="1"/>
  <c r="G107" i="11"/>
  <c r="M106" i="11"/>
  <c r="F50" i="27" s="1"/>
  <c r="K105" i="11"/>
  <c r="I105" i="11"/>
  <c r="I104" i="11" s="1"/>
  <c r="G105" i="11"/>
  <c r="M104" i="11"/>
  <c r="F49" i="27" s="1"/>
  <c r="K103" i="11"/>
  <c r="I103" i="11"/>
  <c r="G103" i="11"/>
  <c r="M102" i="11"/>
  <c r="F48" i="27" s="1"/>
  <c r="K101" i="11"/>
  <c r="K100" i="11" s="1"/>
  <c r="I101" i="11"/>
  <c r="G101" i="11"/>
  <c r="M100" i="11"/>
  <c r="F47" i="27" s="1"/>
  <c r="K99" i="11"/>
  <c r="I99" i="11"/>
  <c r="G99" i="11"/>
  <c r="M98" i="11"/>
  <c r="F46" i="27" s="1"/>
  <c r="K97" i="11"/>
  <c r="K96" i="11" s="1"/>
  <c r="I97" i="11"/>
  <c r="I96" i="11" s="1"/>
  <c r="R96" i="11" s="1"/>
  <c r="G97" i="11"/>
  <c r="M96" i="11"/>
  <c r="F45" i="27" s="1"/>
  <c r="K95" i="11"/>
  <c r="I95" i="11"/>
  <c r="G95" i="11"/>
  <c r="M94" i="11"/>
  <c r="F44" i="27" s="1"/>
  <c r="K93" i="11"/>
  <c r="I93" i="11"/>
  <c r="G93" i="11"/>
  <c r="M92" i="11"/>
  <c r="F43" i="27" s="1"/>
  <c r="K91" i="11"/>
  <c r="K90" i="11" s="1"/>
  <c r="I91" i="11"/>
  <c r="I90" i="11" s="1"/>
  <c r="G91" i="11"/>
  <c r="M90" i="11"/>
  <c r="F42" i="27" s="1"/>
  <c r="K89" i="11"/>
  <c r="I89" i="11"/>
  <c r="G89" i="11"/>
  <c r="M88" i="11"/>
  <c r="K87" i="11"/>
  <c r="I87" i="11"/>
  <c r="I86" i="11" s="1"/>
  <c r="Y86" i="11" s="1"/>
  <c r="G87" i="11"/>
  <c r="M86" i="11"/>
  <c r="F40" i="27" s="1"/>
  <c r="K84" i="11"/>
  <c r="K83" i="11" s="1"/>
  <c r="I84" i="11"/>
  <c r="I83" i="11" s="1"/>
  <c r="V83" i="11" s="1"/>
  <c r="G84" i="11"/>
  <c r="M83" i="11"/>
  <c r="F39" i="27" s="1"/>
  <c r="K82" i="11"/>
  <c r="I82" i="11"/>
  <c r="G82" i="11"/>
  <c r="M81" i="11"/>
  <c r="F38" i="27" s="1"/>
  <c r="K80" i="11"/>
  <c r="I80" i="11"/>
  <c r="I79" i="11" s="1"/>
  <c r="W79" i="11" s="1"/>
  <c r="G80" i="11"/>
  <c r="M79" i="11"/>
  <c r="F37" i="27" s="1"/>
  <c r="K78" i="11"/>
  <c r="K77" i="11" s="1"/>
  <c r="I78" i="11"/>
  <c r="G78" i="11"/>
  <c r="M77" i="11"/>
  <c r="F36" i="27" s="1"/>
  <c r="K75" i="11"/>
  <c r="I75" i="11"/>
  <c r="I74" i="11" s="1"/>
  <c r="G75" i="11"/>
  <c r="M74" i="11"/>
  <c r="F35" i="27" s="1"/>
  <c r="K73" i="11"/>
  <c r="K72" i="11" s="1"/>
  <c r="I73" i="11"/>
  <c r="G73" i="11"/>
  <c r="M72" i="11"/>
  <c r="F34" i="27" s="1"/>
  <c r="K71" i="11"/>
  <c r="K70" i="11" s="1"/>
  <c r="I71" i="11"/>
  <c r="G71" i="11"/>
  <c r="M70" i="11"/>
  <c r="F33" i="27" s="1"/>
  <c r="K69" i="11"/>
  <c r="K68" i="11" s="1"/>
  <c r="I69" i="11"/>
  <c r="I68" i="11" s="1"/>
  <c r="Y68" i="11" s="1"/>
  <c r="G69" i="11"/>
  <c r="M68" i="11"/>
  <c r="F32" i="27" s="1"/>
  <c r="K67" i="11"/>
  <c r="K66" i="11" s="1"/>
  <c r="I67" i="11"/>
  <c r="G67" i="11"/>
  <c r="M66" i="11"/>
  <c r="F31" i="27" s="1"/>
  <c r="K65" i="11"/>
  <c r="K64" i="11" s="1"/>
  <c r="I65" i="11"/>
  <c r="G65" i="11"/>
  <c r="M64" i="11"/>
  <c r="F30" i="27" s="1"/>
  <c r="K63" i="11"/>
  <c r="K62" i="11" s="1"/>
  <c r="I63" i="11"/>
  <c r="I62" i="11" s="1"/>
  <c r="AC62" i="11" s="1"/>
  <c r="G63" i="11"/>
  <c r="M62" i="11"/>
  <c r="F29" i="27" s="1"/>
  <c r="K61" i="11"/>
  <c r="K60" i="11" s="1"/>
  <c r="I61" i="11"/>
  <c r="I60" i="11" s="1"/>
  <c r="S60" i="11" s="1"/>
  <c r="G61" i="11"/>
  <c r="M60" i="11"/>
  <c r="F28" i="27" s="1"/>
  <c r="K59" i="11"/>
  <c r="K58" i="11" s="1"/>
  <c r="I59" i="11"/>
  <c r="I58" i="11" s="1"/>
  <c r="Z58" i="11" s="1"/>
  <c r="G59" i="11"/>
  <c r="M58" i="11"/>
  <c r="F27" i="27" s="1"/>
  <c r="K57" i="11"/>
  <c r="I57" i="11"/>
  <c r="I56" i="11" s="1"/>
  <c r="G57" i="11"/>
  <c r="M56" i="11"/>
  <c r="K54" i="11"/>
  <c r="K53" i="11" s="1"/>
  <c r="I54" i="11"/>
  <c r="I53" i="11" s="1"/>
  <c r="AA53" i="11" s="1"/>
  <c r="G54" i="11"/>
  <c r="M53" i="11"/>
  <c r="F25" i="27" s="1"/>
  <c r="K52" i="11"/>
  <c r="I52" i="11"/>
  <c r="I51" i="11" s="1"/>
  <c r="Y51" i="11" s="1"/>
  <c r="G52" i="11"/>
  <c r="M51" i="11"/>
  <c r="F24" i="27" s="1"/>
  <c r="K50" i="11"/>
  <c r="I50" i="11"/>
  <c r="G50" i="11"/>
  <c r="M49" i="11"/>
  <c r="F23" i="27" s="1"/>
  <c r="K48" i="11"/>
  <c r="K47" i="11" s="1"/>
  <c r="I48" i="11"/>
  <c r="I47" i="11" s="1"/>
  <c r="AA47" i="11" s="1"/>
  <c r="G48" i="11"/>
  <c r="M47" i="11"/>
  <c r="F22" i="27" s="1"/>
  <c r="K46" i="11"/>
  <c r="I46" i="11"/>
  <c r="G46" i="11"/>
  <c r="M45" i="11"/>
  <c r="F21" i="27" s="1"/>
  <c r="K44" i="11"/>
  <c r="K43" i="11" s="1"/>
  <c r="I44" i="11"/>
  <c r="I43" i="11" s="1"/>
  <c r="G44" i="11"/>
  <c r="M43" i="11"/>
  <c r="F20" i="27" s="1"/>
  <c r="K42" i="11"/>
  <c r="K41" i="11" s="1"/>
  <c r="I42" i="11"/>
  <c r="G42" i="11"/>
  <c r="M41" i="11"/>
  <c r="F19" i="27" s="1"/>
  <c r="K40" i="11"/>
  <c r="I40" i="11"/>
  <c r="G40" i="11"/>
  <c r="M39" i="11"/>
  <c r="F18" i="27" s="1"/>
  <c r="K38" i="11"/>
  <c r="I38" i="11"/>
  <c r="I37" i="11" s="1"/>
  <c r="G38" i="11"/>
  <c r="M37" i="11"/>
  <c r="F17" i="27" s="1"/>
  <c r="K36" i="11"/>
  <c r="I36" i="11"/>
  <c r="I35" i="11" s="1"/>
  <c r="AA35" i="11" s="1"/>
  <c r="G36" i="11"/>
  <c r="M35" i="11"/>
  <c r="F16" i="27" s="1"/>
  <c r="K34" i="11"/>
  <c r="K33" i="11" s="1"/>
  <c r="I34" i="11"/>
  <c r="I33" i="11" s="1"/>
  <c r="G34" i="11"/>
  <c r="M33" i="11"/>
  <c r="F15" i="27" s="1"/>
  <c r="K32" i="11"/>
  <c r="K31" i="11" s="1"/>
  <c r="I32" i="11"/>
  <c r="I31" i="11" s="1"/>
  <c r="AB31" i="11" s="1"/>
  <c r="G32" i="11"/>
  <c r="M31" i="11"/>
  <c r="F14" i="27" s="1"/>
  <c r="K30" i="11"/>
  <c r="I30" i="11"/>
  <c r="I29" i="11" s="1"/>
  <c r="AC29" i="11" s="1"/>
  <c r="G30" i="11"/>
  <c r="M29" i="11"/>
  <c r="F13" i="27" s="1"/>
  <c r="K27" i="11"/>
  <c r="I27" i="11"/>
  <c r="G27" i="11"/>
  <c r="M26" i="11"/>
  <c r="F12" i="27" s="1"/>
  <c r="K25" i="11"/>
  <c r="K24" i="11" s="1"/>
  <c r="I25" i="11"/>
  <c r="I24" i="11" s="1"/>
  <c r="G25" i="11"/>
  <c r="M24" i="11"/>
  <c r="F11" i="27" s="1"/>
  <c r="K22" i="11"/>
  <c r="K21" i="11" s="1"/>
  <c r="I22" i="11"/>
  <c r="I21" i="11" s="1"/>
  <c r="G22" i="11"/>
  <c r="M21" i="11"/>
  <c r="F10" i="27" s="1"/>
  <c r="K20" i="11"/>
  <c r="K19" i="11" s="1"/>
  <c r="I20" i="11"/>
  <c r="I19" i="11" s="1"/>
  <c r="G20" i="11"/>
  <c r="M19" i="11"/>
  <c r="F9" i="27" s="1"/>
  <c r="K18" i="11"/>
  <c r="K17" i="11" s="1"/>
  <c r="I18" i="11"/>
  <c r="I17" i="11" s="1"/>
  <c r="G18" i="11"/>
  <c r="M17" i="11"/>
  <c r="F8" i="27" s="1"/>
  <c r="K16" i="11"/>
  <c r="K15" i="11" s="1"/>
  <c r="I16" i="11"/>
  <c r="I15" i="11" s="1"/>
  <c r="R15" i="11" s="1"/>
  <c r="G16" i="11"/>
  <c r="M15" i="11"/>
  <c r="F7" i="27" s="1"/>
  <c r="K14" i="11"/>
  <c r="I14" i="11"/>
  <c r="I13" i="11" s="1"/>
  <c r="G14" i="11"/>
  <c r="M13" i="11"/>
  <c r="F6" i="27" s="1"/>
  <c r="K12" i="11"/>
  <c r="K11" i="11" s="1"/>
  <c r="I12" i="11"/>
  <c r="I11" i="11" s="1"/>
  <c r="X11" i="11" s="1"/>
  <c r="G12" i="11"/>
  <c r="M11" i="11"/>
  <c r="F5" i="27" s="1"/>
  <c r="K10" i="11"/>
  <c r="K9" i="11" s="1"/>
  <c r="I10" i="11"/>
  <c r="G10" i="11"/>
  <c r="M9" i="11"/>
  <c r="F4" i="27" s="1"/>
  <c r="K8" i="11"/>
  <c r="K7" i="11" s="1"/>
  <c r="I8" i="11"/>
  <c r="I7" i="11" s="1"/>
  <c r="G8" i="11"/>
  <c r="M7" i="11"/>
  <c r="F3" i="27" s="1"/>
  <c r="K6" i="11"/>
  <c r="K5" i="11" s="1"/>
  <c r="I6" i="11"/>
  <c r="I5" i="11" s="1"/>
  <c r="X5" i="11" s="1"/>
  <c r="G6" i="11"/>
  <c r="M5" i="11"/>
  <c r="F2" i="27" s="1"/>
  <c r="N23" i="9"/>
  <c r="N22" i="9" s="1"/>
  <c r="M23" i="9"/>
  <c r="M22" i="9" s="1"/>
  <c r="L23" i="9"/>
  <c r="L22" i="9" s="1"/>
  <c r="K23" i="9"/>
  <c r="K22" i="9" s="1"/>
  <c r="J23" i="9"/>
  <c r="I23" i="9"/>
  <c r="N20" i="9"/>
  <c r="N19" i="9" s="1"/>
  <c r="M20" i="9"/>
  <c r="M19" i="9" s="1"/>
  <c r="L20" i="9"/>
  <c r="L19" i="9" s="1"/>
  <c r="K20" i="9"/>
  <c r="K19" i="9" s="1"/>
  <c r="J20" i="9"/>
  <c r="I20" i="9"/>
  <c r="N17" i="9"/>
  <c r="N16" i="9" s="1"/>
  <c r="M17" i="9"/>
  <c r="M16" i="9" s="1"/>
  <c r="L17" i="9"/>
  <c r="L16" i="9" s="1"/>
  <c r="K17" i="9"/>
  <c r="K16" i="9" s="1"/>
  <c r="J17" i="9"/>
  <c r="I17" i="9"/>
  <c r="N14" i="9"/>
  <c r="N13" i="9" s="1"/>
  <c r="M14" i="9"/>
  <c r="M13" i="9" s="1"/>
  <c r="L14" i="9"/>
  <c r="L13" i="9" s="1"/>
  <c r="K14" i="9"/>
  <c r="K13" i="9" s="1"/>
  <c r="J14" i="9"/>
  <c r="I14" i="9"/>
  <c r="N11" i="9"/>
  <c r="N10" i="9" s="1"/>
  <c r="M11" i="9"/>
  <c r="M10" i="9" s="1"/>
  <c r="L11" i="9"/>
  <c r="L10" i="9" s="1"/>
  <c r="K11" i="9"/>
  <c r="K10" i="9" s="1"/>
  <c r="J11" i="9"/>
  <c r="I11" i="9"/>
  <c r="N8" i="9"/>
  <c r="N7" i="9" s="1"/>
  <c r="M8" i="9"/>
  <c r="M7" i="9" s="1"/>
  <c r="L8" i="9"/>
  <c r="L7" i="9" s="1"/>
  <c r="K8" i="9"/>
  <c r="K7" i="9" s="1"/>
  <c r="J8" i="9"/>
  <c r="I8" i="9"/>
  <c r="N5" i="9"/>
  <c r="N4" i="9" s="1"/>
  <c r="M5" i="9"/>
  <c r="M4" i="9" s="1"/>
  <c r="L5" i="9"/>
  <c r="L4" i="9" s="1"/>
  <c r="K5" i="9"/>
  <c r="K4" i="9" s="1"/>
  <c r="J5" i="9"/>
  <c r="I5" i="9"/>
  <c r="O42" i="8"/>
  <c r="N42" i="8"/>
  <c r="M42" i="8"/>
  <c r="L42" i="8"/>
  <c r="K42" i="8"/>
  <c r="V40" i="8"/>
  <c r="T8" i="25" s="1"/>
  <c r="U40" i="8"/>
  <c r="S8" i="25" s="1"/>
  <c r="T40" i="8"/>
  <c r="S40" i="8"/>
  <c r="Q8" i="25" s="1"/>
  <c r="R40" i="8"/>
  <c r="P8" i="25" s="1"/>
  <c r="Q40" i="8"/>
  <c r="P40" i="8"/>
  <c r="N8" i="25" s="1"/>
  <c r="O40" i="8"/>
  <c r="M8" i="25" s="1"/>
  <c r="N40" i="8"/>
  <c r="M40" i="8"/>
  <c r="K8" i="25" s="1"/>
  <c r="L40" i="8"/>
  <c r="J8" i="25" s="1"/>
  <c r="I36" i="8"/>
  <c r="I30" i="8"/>
  <c r="V28" i="8"/>
  <c r="H12" i="8"/>
  <c r="I9" i="8"/>
  <c r="I7" i="8"/>
  <c r="L6" i="8"/>
  <c r="N5" i="8"/>
  <c r="M5" i="8"/>
  <c r="I5" i="8"/>
  <c r="N4" i="8"/>
  <c r="M4" i="8"/>
  <c r="N3" i="8"/>
  <c r="M3" i="8"/>
  <c r="BL42" i="7"/>
  <c r="BG42" i="7"/>
  <c r="BB42" i="7"/>
  <c r="AW42" i="7"/>
  <c r="AR42" i="7"/>
  <c r="AM42" i="7"/>
  <c r="AH42" i="7"/>
  <c r="AC42" i="7"/>
  <c r="X42" i="7"/>
  <c r="S42" i="7"/>
  <c r="N42" i="7"/>
  <c r="I42" i="7"/>
  <c r="BL41" i="7"/>
  <c r="BG41" i="7"/>
  <c r="BB41" i="7"/>
  <c r="AW41" i="7"/>
  <c r="AR41" i="7"/>
  <c r="AM41" i="7"/>
  <c r="AH41" i="7"/>
  <c r="AC41" i="7"/>
  <c r="X41" i="7"/>
  <c r="S41" i="7"/>
  <c r="N41" i="7"/>
  <c r="I41" i="7"/>
  <c r="BL40" i="7"/>
  <c r="BG40" i="7"/>
  <c r="BB40" i="7"/>
  <c r="AW40" i="7"/>
  <c r="AR40" i="7"/>
  <c r="AM40" i="7"/>
  <c r="AH40" i="7"/>
  <c r="AC40" i="7"/>
  <c r="X40" i="7"/>
  <c r="S40" i="7"/>
  <c r="N40" i="7"/>
  <c r="I40" i="7"/>
  <c r="BL39" i="7"/>
  <c r="BG39" i="7"/>
  <c r="BB39" i="7"/>
  <c r="AW39" i="7"/>
  <c r="AR39" i="7"/>
  <c r="AM39" i="7"/>
  <c r="AH39" i="7"/>
  <c r="AC39" i="7"/>
  <c r="X39" i="7"/>
  <c r="S39" i="7"/>
  <c r="N39" i="7"/>
  <c r="I39" i="7"/>
  <c r="BL38" i="7"/>
  <c r="BG38" i="7"/>
  <c r="BB38" i="7"/>
  <c r="AW38" i="7"/>
  <c r="AR38" i="7"/>
  <c r="AM38" i="7"/>
  <c r="AH38" i="7"/>
  <c r="AC38" i="7"/>
  <c r="X38" i="7"/>
  <c r="S38" i="7"/>
  <c r="N38" i="7"/>
  <c r="I38" i="7"/>
  <c r="BL37" i="7"/>
  <c r="BG37" i="7"/>
  <c r="BB37" i="7"/>
  <c r="AW37" i="7"/>
  <c r="AR37" i="7"/>
  <c r="AM37" i="7"/>
  <c r="AH37" i="7"/>
  <c r="AC37" i="7"/>
  <c r="X37" i="7"/>
  <c r="S37" i="7"/>
  <c r="N37" i="7"/>
  <c r="I37" i="7"/>
  <c r="BL36" i="7"/>
  <c r="BG36" i="7"/>
  <c r="BB36" i="7"/>
  <c r="AW36" i="7"/>
  <c r="AR36" i="7"/>
  <c r="AM36" i="7"/>
  <c r="AH36" i="7"/>
  <c r="AC36" i="7"/>
  <c r="X36" i="7"/>
  <c r="S36" i="7"/>
  <c r="N36" i="7"/>
  <c r="I36" i="7"/>
  <c r="BL35" i="7"/>
  <c r="BG35" i="7"/>
  <c r="BB35" i="7"/>
  <c r="AW35" i="7"/>
  <c r="AR35" i="7"/>
  <c r="AM35" i="7"/>
  <c r="AH35" i="7"/>
  <c r="AC35" i="7"/>
  <c r="X35" i="7"/>
  <c r="S35" i="7"/>
  <c r="N35" i="7"/>
  <c r="I35" i="7"/>
  <c r="BL34" i="7"/>
  <c r="BG34" i="7"/>
  <c r="BB34" i="7"/>
  <c r="AW34" i="7"/>
  <c r="AR34" i="7"/>
  <c r="AM34" i="7"/>
  <c r="AH34" i="7"/>
  <c r="AC34" i="7"/>
  <c r="X34" i="7"/>
  <c r="S34" i="7"/>
  <c r="N34" i="7"/>
  <c r="I34" i="7"/>
  <c r="BL33" i="7"/>
  <c r="BG33" i="7"/>
  <c r="BB33" i="7"/>
  <c r="AW33" i="7"/>
  <c r="AR33" i="7"/>
  <c r="AM33" i="7"/>
  <c r="AH33" i="7"/>
  <c r="AC33" i="7"/>
  <c r="X33" i="7"/>
  <c r="S33" i="7"/>
  <c r="N33" i="7"/>
  <c r="I33" i="7"/>
  <c r="BL32" i="7"/>
  <c r="BG32" i="7"/>
  <c r="BB32" i="7"/>
  <c r="AW32" i="7"/>
  <c r="AR32" i="7"/>
  <c r="AM32" i="7"/>
  <c r="AH32" i="7"/>
  <c r="AC32" i="7"/>
  <c r="X32" i="7"/>
  <c r="S32" i="7"/>
  <c r="N32" i="7"/>
  <c r="I32" i="7"/>
  <c r="BL31" i="7"/>
  <c r="BG31" i="7"/>
  <c r="BB31" i="7"/>
  <c r="AW31" i="7"/>
  <c r="AR31" i="7"/>
  <c r="AM31" i="7"/>
  <c r="AH31" i="7"/>
  <c r="AC31" i="7"/>
  <c r="X31" i="7"/>
  <c r="S31" i="7"/>
  <c r="N31" i="7"/>
  <c r="I31" i="7"/>
  <c r="BL30" i="7"/>
  <c r="BG30" i="7"/>
  <c r="BB30" i="7"/>
  <c r="AW30" i="7"/>
  <c r="AR30" i="7"/>
  <c r="AM30" i="7"/>
  <c r="AH30" i="7"/>
  <c r="AC30" i="7"/>
  <c r="X30" i="7"/>
  <c r="S30" i="7"/>
  <c r="N30" i="7"/>
  <c r="I30" i="7"/>
  <c r="BL29" i="7"/>
  <c r="BG29" i="7"/>
  <c r="BB29" i="7"/>
  <c r="AW29" i="7"/>
  <c r="AR29" i="7"/>
  <c r="AM29" i="7"/>
  <c r="AH29" i="7"/>
  <c r="AC29" i="7"/>
  <c r="X29" i="7"/>
  <c r="S29" i="7"/>
  <c r="N29" i="7"/>
  <c r="I29" i="7"/>
  <c r="BL28" i="7"/>
  <c r="BG28" i="7"/>
  <c r="BB28" i="7"/>
  <c r="AW28" i="7"/>
  <c r="AR28" i="7"/>
  <c r="AM28" i="7"/>
  <c r="AH28" i="7"/>
  <c r="AC28" i="7"/>
  <c r="X28" i="7"/>
  <c r="S28" i="7"/>
  <c r="N28" i="7"/>
  <c r="I28" i="7"/>
  <c r="BL27" i="7"/>
  <c r="BG27" i="7"/>
  <c r="BB27" i="7"/>
  <c r="AW27" i="7"/>
  <c r="AR27" i="7"/>
  <c r="AM27" i="7"/>
  <c r="AH27" i="7"/>
  <c r="AC27" i="7"/>
  <c r="X27" i="7"/>
  <c r="S27" i="7"/>
  <c r="N27" i="7"/>
  <c r="I27" i="7"/>
  <c r="BL26" i="7"/>
  <c r="BG26" i="7"/>
  <c r="BB26" i="7"/>
  <c r="AW26" i="7"/>
  <c r="AR26" i="7"/>
  <c r="AM26" i="7"/>
  <c r="AH26" i="7"/>
  <c r="AC26" i="7"/>
  <c r="X26" i="7"/>
  <c r="S26" i="7"/>
  <c r="N26" i="7"/>
  <c r="I26" i="7"/>
  <c r="BL25" i="7"/>
  <c r="BG25" i="7"/>
  <c r="BB25" i="7"/>
  <c r="AW25" i="7"/>
  <c r="AR25" i="7"/>
  <c r="AM25" i="7"/>
  <c r="AH25" i="7"/>
  <c r="AC25" i="7"/>
  <c r="X25" i="7"/>
  <c r="S25" i="7"/>
  <c r="N25" i="7"/>
  <c r="I25" i="7"/>
  <c r="BL24" i="7"/>
  <c r="BG24" i="7"/>
  <c r="BB24" i="7"/>
  <c r="AW24" i="7"/>
  <c r="AR24" i="7"/>
  <c r="AM24" i="7"/>
  <c r="AH24" i="7"/>
  <c r="AC24" i="7"/>
  <c r="X24" i="7"/>
  <c r="S24" i="7"/>
  <c r="N24" i="7"/>
  <c r="I24" i="7"/>
  <c r="BL23" i="7"/>
  <c r="BG23" i="7"/>
  <c r="BB23" i="7"/>
  <c r="AW23" i="7"/>
  <c r="AR23" i="7"/>
  <c r="AM23" i="7"/>
  <c r="AH23" i="7"/>
  <c r="AC23" i="7"/>
  <c r="X23" i="7"/>
  <c r="S23" i="7"/>
  <c r="N23" i="7"/>
  <c r="I23" i="7"/>
  <c r="BL22" i="7"/>
  <c r="BG22" i="7"/>
  <c r="BB22" i="7"/>
  <c r="AW22" i="7"/>
  <c r="AR22" i="7"/>
  <c r="AM22" i="7"/>
  <c r="AH22" i="7"/>
  <c r="AC22" i="7"/>
  <c r="X22" i="7"/>
  <c r="S22" i="7"/>
  <c r="N22" i="7"/>
  <c r="I22" i="7"/>
  <c r="BL21" i="7"/>
  <c r="BG21" i="7"/>
  <c r="BB21" i="7"/>
  <c r="AW21" i="7"/>
  <c r="AR21" i="7"/>
  <c r="AM21" i="7"/>
  <c r="AH21" i="7"/>
  <c r="AC21" i="7"/>
  <c r="X21" i="7"/>
  <c r="S21" i="7"/>
  <c r="N21" i="7"/>
  <c r="I21" i="7"/>
  <c r="BL20" i="7"/>
  <c r="BG20" i="7"/>
  <c r="BB20" i="7"/>
  <c r="AW20" i="7"/>
  <c r="AR20" i="7"/>
  <c r="AM20" i="7"/>
  <c r="AH20" i="7"/>
  <c r="AC20" i="7"/>
  <c r="X20" i="7"/>
  <c r="S20" i="7"/>
  <c r="N20" i="7"/>
  <c r="I20" i="7"/>
  <c r="BL19" i="7"/>
  <c r="BG19" i="7"/>
  <c r="BB19" i="7"/>
  <c r="AW19" i="7"/>
  <c r="AR19" i="7"/>
  <c r="AM19" i="7"/>
  <c r="AH19" i="7"/>
  <c r="AC19" i="7"/>
  <c r="X19" i="7"/>
  <c r="S19" i="7"/>
  <c r="N19" i="7"/>
  <c r="I19" i="7"/>
  <c r="BL18" i="7"/>
  <c r="BG18" i="7"/>
  <c r="BB18" i="7"/>
  <c r="AW18" i="7"/>
  <c r="AR18" i="7"/>
  <c r="AM18" i="7"/>
  <c r="AH18" i="7"/>
  <c r="AC18" i="7"/>
  <c r="X18" i="7"/>
  <c r="S18" i="7"/>
  <c r="N18" i="7"/>
  <c r="I18" i="7"/>
  <c r="BL17" i="7"/>
  <c r="BG17" i="7"/>
  <c r="BB17" i="7"/>
  <c r="AW17" i="7"/>
  <c r="AR17" i="7"/>
  <c r="AM17" i="7"/>
  <c r="AH17" i="7"/>
  <c r="AC17" i="7"/>
  <c r="X17" i="7"/>
  <c r="S17" i="7"/>
  <c r="N17" i="7"/>
  <c r="I17" i="7"/>
  <c r="C19" i="6"/>
  <c r="E18" i="6"/>
  <c r="D18" i="6"/>
  <c r="B18" i="6"/>
  <c r="E17" i="6"/>
  <c r="D17" i="6"/>
  <c r="B17" i="6"/>
  <c r="E16" i="6"/>
  <c r="D16" i="6"/>
  <c r="B16" i="6"/>
  <c r="EX58" i="3"/>
  <c r="EV58" i="3"/>
  <c r="EU58" i="3"/>
  <c r="ER58" i="3"/>
  <c r="EQ58" i="3"/>
  <c r="EP58" i="3"/>
  <c r="EO58" i="3"/>
  <c r="EM58" i="3"/>
  <c r="DP58" i="3"/>
  <c r="DN58" i="3"/>
  <c r="DD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BZ58" i="3"/>
  <c r="BX58" i="3"/>
  <c r="BK58" i="3"/>
  <c r="BI58" i="3"/>
  <c r="AO58" i="3"/>
  <c r="AG58" i="3"/>
  <c r="AF58" i="3"/>
  <c r="AE58" i="3"/>
  <c r="X58" i="3"/>
  <c r="EU55" i="3"/>
  <c r="EK55" i="3"/>
  <c r="EE55" i="3"/>
  <c r="DO55" i="3"/>
  <c r="DE55" i="3"/>
  <c r="CY55" i="3"/>
  <c r="CU55" i="3"/>
  <c r="CO55" i="3"/>
  <c r="CI55" i="3"/>
  <c r="BS55" i="3"/>
  <c r="BC55" i="3"/>
  <c r="AW55" i="3"/>
  <c r="AM55" i="3"/>
  <c r="AG55" i="3"/>
  <c r="W55" i="3"/>
  <c r="EO54" i="3"/>
  <c r="EI54" i="3"/>
  <c r="DY54" i="3"/>
  <c r="DS54" i="3"/>
  <c r="DI54" i="3"/>
  <c r="DC54" i="3"/>
  <c r="CS54" i="3"/>
  <c r="CM54" i="3"/>
  <c r="CC54" i="3"/>
  <c r="BW54" i="3"/>
  <c r="BG54" i="3"/>
  <c r="AQ54" i="3"/>
  <c r="AA54" i="3"/>
  <c r="ES53" i="3"/>
  <c r="EC53" i="3"/>
  <c r="DM53" i="3"/>
  <c r="CW53" i="3"/>
  <c r="CG53" i="3"/>
  <c r="CA53" i="3"/>
  <c r="BQ53" i="3"/>
  <c r="BK53" i="3"/>
  <c r="BA53" i="3"/>
  <c r="AU53" i="3"/>
  <c r="AK53" i="3"/>
  <c r="AE53" i="3"/>
  <c r="U53" i="3"/>
  <c r="DT52" i="3"/>
  <c r="DT50" i="3" s="1"/>
  <c r="DS52" i="3"/>
  <c r="DS50" i="3" s="1"/>
  <c r="DR52" i="3"/>
  <c r="DR50" i="3" s="1"/>
  <c r="DQ52" i="3"/>
  <c r="DQ50" i="3" s="1"/>
  <c r="DP52" i="3"/>
  <c r="DP50" i="3" s="1"/>
  <c r="DO52" i="3"/>
  <c r="DO50" i="3" s="1"/>
  <c r="DN52" i="3"/>
  <c r="DN50" i="3" s="1"/>
  <c r="DM52" i="3"/>
  <c r="DM50" i="3" s="1"/>
  <c r="DL52" i="3"/>
  <c r="DL50" i="3" s="1"/>
  <c r="DK52" i="3"/>
  <c r="DK50" i="3" s="1"/>
  <c r="DJ52" i="3"/>
  <c r="DJ50" i="3" s="1"/>
  <c r="DI52" i="3"/>
  <c r="DI50" i="3" s="1"/>
  <c r="DH52" i="3"/>
  <c r="DH50" i="3" s="1"/>
  <c r="DG52" i="3"/>
  <c r="DG50" i="3" s="1"/>
  <c r="DE52" i="3"/>
  <c r="DE50" i="3" s="1"/>
  <c r="DD52" i="3"/>
  <c r="DD50" i="3" s="1"/>
  <c r="DC52" i="3"/>
  <c r="DC50" i="3" s="1"/>
  <c r="DB52" i="3"/>
  <c r="DB50" i="3" s="1"/>
  <c r="DA52" i="3"/>
  <c r="DA50" i="3" s="1"/>
  <c r="CZ52" i="3"/>
  <c r="CZ50" i="3" s="1"/>
  <c r="CY52" i="3"/>
  <c r="CY50" i="3" s="1"/>
  <c r="CX52" i="3"/>
  <c r="CX50" i="3" s="1"/>
  <c r="CW52" i="3"/>
  <c r="CW50" i="3" s="1"/>
  <c r="CV52" i="3"/>
  <c r="CV50" i="3" s="1"/>
  <c r="CU52" i="3"/>
  <c r="CU50" i="3" s="1"/>
  <c r="CT52" i="3"/>
  <c r="CT50" i="3" s="1"/>
  <c r="CS52" i="3"/>
  <c r="CS50" i="3" s="1"/>
  <c r="CR52" i="3"/>
  <c r="CR50" i="3" s="1"/>
  <c r="CP52" i="3"/>
  <c r="CP50" i="3" s="1"/>
  <c r="CO52" i="3"/>
  <c r="CO50" i="3" s="1"/>
  <c r="CN52" i="3"/>
  <c r="CN50" i="3" s="1"/>
  <c r="CM52" i="3"/>
  <c r="CM50" i="3" s="1"/>
  <c r="CL52" i="3"/>
  <c r="CL50" i="3" s="1"/>
  <c r="CK52" i="3"/>
  <c r="CK50" i="3" s="1"/>
  <c r="CJ52" i="3"/>
  <c r="CJ50" i="3" s="1"/>
  <c r="CI52" i="3"/>
  <c r="CI50" i="3" s="1"/>
  <c r="CH52" i="3"/>
  <c r="CH50" i="3" s="1"/>
  <c r="CG52" i="3"/>
  <c r="CG50" i="3" s="1"/>
  <c r="CF52" i="3"/>
  <c r="CF50" i="3" s="1"/>
  <c r="CE52" i="3"/>
  <c r="CE50" i="3" s="1"/>
  <c r="CD52" i="3"/>
  <c r="CD50" i="3" s="1"/>
  <c r="CC52" i="3"/>
  <c r="CC50" i="3" s="1"/>
  <c r="CA52" i="3"/>
  <c r="CA50" i="3" s="1"/>
  <c r="BZ52" i="3"/>
  <c r="BZ50" i="3" s="1"/>
  <c r="BY52" i="3"/>
  <c r="BY50" i="3" s="1"/>
  <c r="BX52" i="3"/>
  <c r="BX50" i="3" s="1"/>
  <c r="BW52" i="3"/>
  <c r="BW50" i="3" s="1"/>
  <c r="BV52" i="3"/>
  <c r="BV50" i="3" s="1"/>
  <c r="BU52" i="3"/>
  <c r="BU50" i="3" s="1"/>
  <c r="BT52" i="3"/>
  <c r="BT50" i="3" s="1"/>
  <c r="BS52" i="3"/>
  <c r="BS50" i="3" s="1"/>
  <c r="BR52" i="3"/>
  <c r="BR50" i="3" s="1"/>
  <c r="BQ52" i="3"/>
  <c r="BQ50" i="3" s="1"/>
  <c r="BP52" i="3"/>
  <c r="BP50" i="3" s="1"/>
  <c r="BO52" i="3"/>
  <c r="BO50" i="3" s="1"/>
  <c r="BN52" i="3"/>
  <c r="BN50" i="3" s="1"/>
  <c r="BL52" i="3"/>
  <c r="BL50" i="3" s="1"/>
  <c r="BK52" i="3"/>
  <c r="BK50" i="3" s="1"/>
  <c r="BJ52" i="3"/>
  <c r="BJ50" i="3" s="1"/>
  <c r="BI52" i="3"/>
  <c r="BI50" i="3" s="1"/>
  <c r="BH52" i="3"/>
  <c r="BH50" i="3" s="1"/>
  <c r="BG52" i="3"/>
  <c r="BG50" i="3" s="1"/>
  <c r="BF52" i="3"/>
  <c r="BF50" i="3" s="1"/>
  <c r="BE52" i="3"/>
  <c r="BE50" i="3" s="1"/>
  <c r="BD52" i="3"/>
  <c r="BD50" i="3" s="1"/>
  <c r="BC52" i="3"/>
  <c r="BC50" i="3" s="1"/>
  <c r="BB52" i="3"/>
  <c r="BB50" i="3" s="1"/>
  <c r="BA52" i="3"/>
  <c r="BA50" i="3" s="1"/>
  <c r="AZ52" i="3"/>
  <c r="AZ50" i="3" s="1"/>
  <c r="AY52" i="3"/>
  <c r="AY50" i="3" s="1"/>
  <c r="AW52" i="3"/>
  <c r="AW50" i="3" s="1"/>
  <c r="AV52" i="3"/>
  <c r="AV50" i="3" s="1"/>
  <c r="AU52" i="3"/>
  <c r="AU50" i="3" s="1"/>
  <c r="AT52" i="3"/>
  <c r="AT50" i="3" s="1"/>
  <c r="AS52" i="3"/>
  <c r="AS50" i="3" s="1"/>
  <c r="AR52" i="3"/>
  <c r="AR50" i="3" s="1"/>
  <c r="AQ52" i="3"/>
  <c r="AQ50" i="3" s="1"/>
  <c r="AP52" i="3"/>
  <c r="AP50" i="3" s="1"/>
  <c r="AO52" i="3"/>
  <c r="AO50" i="3" s="1"/>
  <c r="AN52" i="3"/>
  <c r="AN50" i="3" s="1"/>
  <c r="AM52" i="3"/>
  <c r="AM50" i="3" s="1"/>
  <c r="AL52" i="3"/>
  <c r="AL50" i="3" s="1"/>
  <c r="AK52" i="3"/>
  <c r="AK50" i="3" s="1"/>
  <c r="AJ52" i="3"/>
  <c r="AJ50" i="3" s="1"/>
  <c r="AH52" i="3"/>
  <c r="AH50" i="3" s="1"/>
  <c r="AG52" i="3"/>
  <c r="AG50" i="3" s="1"/>
  <c r="AF52" i="3"/>
  <c r="AF50" i="3" s="1"/>
  <c r="AE52" i="3"/>
  <c r="AE50" i="3" s="1"/>
  <c r="AD52" i="3"/>
  <c r="AD50" i="3" s="1"/>
  <c r="AC52" i="3"/>
  <c r="AC50" i="3" s="1"/>
  <c r="AB52" i="3"/>
  <c r="AB50" i="3" s="1"/>
  <c r="AA52" i="3"/>
  <c r="AA50" i="3" s="1"/>
  <c r="Z52" i="3"/>
  <c r="Z50" i="3" s="1"/>
  <c r="Y52" i="3"/>
  <c r="Y50" i="3" s="1"/>
  <c r="X52" i="3"/>
  <c r="X50" i="3" s="1"/>
  <c r="W52" i="3"/>
  <c r="W50" i="3" s="1"/>
  <c r="V52" i="3"/>
  <c r="V50" i="3" s="1"/>
  <c r="U52" i="3"/>
  <c r="U50" i="3" s="1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A48" i="3"/>
  <c r="BZ48" i="3"/>
  <c r="BY48" i="3"/>
  <c r="BX48" i="3"/>
  <c r="BW48" i="3"/>
  <c r="BV48" i="3"/>
  <c r="BU48" i="3"/>
  <c r="BT48" i="3"/>
  <c r="BS48" i="3"/>
  <c r="BR48" i="3"/>
  <c r="BQ48" i="3"/>
  <c r="BP48" i="3"/>
  <c r="BO48" i="3"/>
  <c r="BN48" i="3"/>
  <c r="BL48" i="3"/>
  <c r="BK48" i="3"/>
  <c r="BJ48" i="3"/>
  <c r="BI48" i="3"/>
  <c r="BH48" i="3"/>
  <c r="BG48" i="3"/>
  <c r="BF48" i="3"/>
  <c r="BE48" i="3"/>
  <c r="BD48" i="3"/>
  <c r="BC48" i="3"/>
  <c r="BB48" i="3"/>
  <c r="BA48" i="3"/>
  <c r="AZ48" i="3"/>
  <c r="AY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EW45" i="3"/>
  <c r="EM45" i="3"/>
  <c r="EG45" i="3"/>
  <c r="DW45" i="3"/>
  <c r="DQ45" i="3"/>
  <c r="DG45" i="3"/>
  <c r="DA45" i="3"/>
  <c r="CK45" i="3"/>
  <c r="BU45" i="3"/>
  <c r="BE45" i="3"/>
  <c r="AO45" i="3"/>
  <c r="Y45" i="3"/>
  <c r="EQ44" i="3"/>
  <c r="EA44" i="3"/>
  <c r="DK44" i="3"/>
  <c r="DE44" i="3"/>
  <c r="CU44" i="3"/>
  <c r="CO44" i="3"/>
  <c r="CE44" i="3"/>
  <c r="BY44" i="3"/>
  <c r="BO44" i="3"/>
  <c r="BI44" i="3"/>
  <c r="AY44" i="3"/>
  <c r="AS44" i="3"/>
  <c r="AC44" i="3"/>
  <c r="DC19" i="3"/>
  <c r="DB19" i="3"/>
  <c r="DA19" i="3"/>
  <c r="CZ19" i="3"/>
  <c r="CS19" i="3"/>
  <c r="CR19" i="3"/>
  <c r="J9" i="17" l="1"/>
  <c r="J10" i="17"/>
  <c r="K9" i="17"/>
  <c r="K10" i="17"/>
  <c r="M9" i="17"/>
  <c r="M10" i="17"/>
  <c r="N9" i="17"/>
  <c r="N10" i="17"/>
  <c r="N12" i="22"/>
  <c r="N11" i="17" s="1"/>
  <c r="N11" i="22"/>
  <c r="N11" i="16" s="1"/>
  <c r="K13" i="22"/>
  <c r="K12" i="17" s="1"/>
  <c r="K11" i="22"/>
  <c r="K11" i="16" s="1"/>
  <c r="CU14" i="3"/>
  <c r="K28" i="2"/>
  <c r="J169" i="14"/>
  <c r="U169" i="14" s="1"/>
  <c r="L21" i="21"/>
  <c r="L22" i="21"/>
  <c r="J164" i="14"/>
  <c r="L39" i="21"/>
  <c r="L40" i="21"/>
  <c r="L41" i="21"/>
  <c r="K57" i="2" s="1"/>
  <c r="O33" i="12"/>
  <c r="H30" i="8"/>
  <c r="H36" i="8"/>
  <c r="P39" i="8"/>
  <c r="O8" i="25"/>
  <c r="S39" i="8"/>
  <c r="R8" i="25"/>
  <c r="V39" i="8"/>
  <c r="L8" i="25"/>
  <c r="EF9" i="3"/>
  <c r="AF38" i="3"/>
  <c r="AE38" i="3"/>
  <c r="AD38" i="3"/>
  <c r="AC38" i="3"/>
  <c r="AB38" i="3"/>
  <c r="AA38" i="3"/>
  <c r="Z38" i="3"/>
  <c r="M44" i="2"/>
  <c r="Y38" i="3"/>
  <c r="L44" i="2"/>
  <c r="X38" i="3"/>
  <c r="K44" i="2"/>
  <c r="W38" i="3"/>
  <c r="J44" i="2"/>
  <c r="V38" i="3"/>
  <c r="I44" i="2"/>
  <c r="U38" i="3"/>
  <c r="H44" i="2"/>
  <c r="EM39" i="3"/>
  <c r="EM36" i="3" s="1"/>
  <c r="EO39" i="3"/>
  <c r="EO36" i="3" s="1"/>
  <c r="EV39" i="3"/>
  <c r="EN39" i="3"/>
  <c r="EN36" i="3" s="1"/>
  <c r="EP39" i="3"/>
  <c r="EP36" i="3" s="1"/>
  <c r="EL39" i="3"/>
  <c r="EL36" i="3" s="1"/>
  <c r="EK39" i="3"/>
  <c r="EK36" i="3" s="1"/>
  <c r="DY39" i="3"/>
  <c r="EA39" i="3"/>
  <c r="DX39" i="3"/>
  <c r="DW39" i="3"/>
  <c r="DV39" i="3"/>
  <c r="EE9" i="3"/>
  <c r="EP25" i="3"/>
  <c r="EM25" i="3"/>
  <c r="EB9" i="3"/>
  <c r="EL25" i="3"/>
  <c r="ED9" i="3"/>
  <c r="EP19" i="3"/>
  <c r="EK25" i="3"/>
  <c r="EN25" i="3"/>
  <c r="EK19" i="3"/>
  <c r="EO25" i="3"/>
  <c r="EL19" i="3"/>
  <c r="EN19" i="3"/>
  <c r="EM19" i="3"/>
  <c r="EO19" i="3"/>
  <c r="ED19" i="3"/>
  <c r="DW19" i="3"/>
  <c r="EG19" i="3"/>
  <c r="EG9" i="3"/>
  <c r="DY19" i="3"/>
  <c r="EE19" i="3"/>
  <c r="DV19" i="3"/>
  <c r="EF19" i="3"/>
  <c r="DX19" i="3"/>
  <c r="DZ19" i="3"/>
  <c r="EA19" i="3"/>
  <c r="EB19" i="3"/>
  <c r="EC19" i="3"/>
  <c r="DY9" i="3"/>
  <c r="EC9" i="3"/>
  <c r="DW9" i="3"/>
  <c r="DZ9" i="3"/>
  <c r="EA9" i="3"/>
  <c r="DV9" i="3"/>
  <c r="DX9" i="3"/>
  <c r="CU19" i="3"/>
  <c r="CV19" i="3"/>
  <c r="CW19" i="3"/>
  <c r="CX19" i="3"/>
  <c r="CY19" i="3"/>
  <c r="DD19" i="3"/>
  <c r="DE19" i="3"/>
  <c r="CT19" i="3"/>
  <c r="K19" i="26"/>
  <c r="K20" i="26"/>
  <c r="K21" i="26"/>
  <c r="K22" i="26"/>
  <c r="K23" i="26"/>
  <c r="K24" i="26"/>
  <c r="K32" i="26"/>
  <c r="L11" i="21"/>
  <c r="L18" i="23"/>
  <c r="O24" i="25"/>
  <c r="N50" i="2" s="1"/>
  <c r="M50" i="2"/>
  <c r="T34" i="8"/>
  <c r="I20" i="25"/>
  <c r="M19" i="26"/>
  <c r="S20" i="25"/>
  <c r="M29" i="26"/>
  <c r="J20" i="25"/>
  <c r="M20" i="26"/>
  <c r="T20" i="25"/>
  <c r="M30" i="26"/>
  <c r="K20" i="25"/>
  <c r="M21" i="26"/>
  <c r="L20" i="25"/>
  <c r="M22" i="26"/>
  <c r="M20" i="25"/>
  <c r="M23" i="26"/>
  <c r="N20" i="25"/>
  <c r="M24" i="26"/>
  <c r="O20" i="25"/>
  <c r="M25" i="26"/>
  <c r="P20" i="25"/>
  <c r="M26" i="26"/>
  <c r="Q20" i="25"/>
  <c r="M27" i="26"/>
  <c r="R20" i="25"/>
  <c r="M28" i="26"/>
  <c r="W31" i="25"/>
  <c r="M172" i="26" s="1"/>
  <c r="W32" i="25"/>
  <c r="V32" i="25"/>
  <c r="V31" i="25"/>
  <c r="M171" i="26" s="1"/>
  <c r="T24" i="25"/>
  <c r="S50" i="2" s="1"/>
  <c r="Q48" i="3" s="1"/>
  <c r="S24" i="25"/>
  <c r="R50" i="2" s="1"/>
  <c r="R24" i="25"/>
  <c r="Q50" i="2" s="1"/>
  <c r="Q24" i="25"/>
  <c r="P50" i="2" s="1"/>
  <c r="P24" i="25"/>
  <c r="O50" i="2" s="1"/>
  <c r="W21" i="25"/>
  <c r="M32" i="26" s="1"/>
  <c r="V21" i="25"/>
  <c r="M31" i="26" s="1"/>
  <c r="N206" i="14"/>
  <c r="N211" i="14"/>
  <c r="L211" i="14"/>
  <c r="O206" i="14"/>
  <c r="J215" i="14"/>
  <c r="Q214" i="14"/>
  <c r="O44" i="24" s="1"/>
  <c r="R214" i="14"/>
  <c r="P44" i="24" s="1"/>
  <c r="J208" i="14"/>
  <c r="V208" i="14" s="1"/>
  <c r="S214" i="14"/>
  <c r="Q44" i="24" s="1"/>
  <c r="T214" i="14"/>
  <c r="R44" i="24" s="1"/>
  <c r="U214" i="14"/>
  <c r="S44" i="24" s="1"/>
  <c r="Q213" i="14"/>
  <c r="O43" i="24" s="1"/>
  <c r="J212" i="14"/>
  <c r="R212" i="14" s="1"/>
  <c r="R213" i="14"/>
  <c r="P43" i="24" s="1"/>
  <c r="S213" i="14"/>
  <c r="Q43" i="24" s="1"/>
  <c r="T213" i="14"/>
  <c r="R43" i="24" s="1"/>
  <c r="U213" i="14"/>
  <c r="S43" i="24" s="1"/>
  <c r="J210" i="14"/>
  <c r="S210" i="14" s="1"/>
  <c r="J209" i="14"/>
  <c r="R208" i="14"/>
  <c r="J207" i="14"/>
  <c r="S207" i="14" s="1"/>
  <c r="J205" i="14"/>
  <c r="S205" i="14" s="1"/>
  <c r="J204" i="14"/>
  <c r="J203" i="14"/>
  <c r="J201" i="14"/>
  <c r="J200" i="14"/>
  <c r="J199" i="14"/>
  <c r="J196" i="14"/>
  <c r="V196" i="14" s="1"/>
  <c r="J198" i="14"/>
  <c r="J195" i="14"/>
  <c r="J194" i="14"/>
  <c r="J193" i="14"/>
  <c r="J192" i="14"/>
  <c r="V192" i="14" s="1"/>
  <c r="L105" i="14"/>
  <c r="L202" i="14"/>
  <c r="O211" i="14"/>
  <c r="K40" i="17"/>
  <c r="AL35" i="3" s="1"/>
  <c r="M206" i="14"/>
  <c r="W214" i="14"/>
  <c r="M53" i="14"/>
  <c r="K211" i="14"/>
  <c r="P202" i="14"/>
  <c r="M105" i="14"/>
  <c r="M202" i="14"/>
  <c r="L28" i="14"/>
  <c r="P53" i="14"/>
  <c r="K206" i="14"/>
  <c r="N202" i="14"/>
  <c r="K197" i="14"/>
  <c r="O202" i="14"/>
  <c r="L53" i="14"/>
  <c r="P206" i="14"/>
  <c r="M197" i="14"/>
  <c r="M131" i="14"/>
  <c r="K202" i="14"/>
  <c r="M211" i="14"/>
  <c r="P105" i="14"/>
  <c r="O53" i="14"/>
  <c r="L206" i="14"/>
  <c r="P211" i="14"/>
  <c r="W213" i="14"/>
  <c r="O197" i="14"/>
  <c r="N197" i="14"/>
  <c r="P197" i="14"/>
  <c r="L197" i="14"/>
  <c r="N185" i="14"/>
  <c r="L12" i="11"/>
  <c r="H5" i="27" s="1"/>
  <c r="X140" i="11"/>
  <c r="AB502" i="13"/>
  <c r="R204" i="11"/>
  <c r="J127" i="11"/>
  <c r="J126" i="11" s="1"/>
  <c r="AB70" i="13"/>
  <c r="AB399" i="13"/>
  <c r="AB276" i="13"/>
  <c r="AB167" i="13"/>
  <c r="AB411" i="13"/>
  <c r="AB136" i="13"/>
  <c r="AB190" i="13"/>
  <c r="AB214" i="13"/>
  <c r="J56" i="14"/>
  <c r="T56" i="14" s="1"/>
  <c r="CA46" i="3"/>
  <c r="J141" i="11"/>
  <c r="J140" i="11" s="1"/>
  <c r="AB21" i="13"/>
  <c r="L101" i="11"/>
  <c r="H47" i="27" s="1"/>
  <c r="J54" i="11"/>
  <c r="J53" i="11" s="1"/>
  <c r="W140" i="11"/>
  <c r="L169" i="11"/>
  <c r="L168" i="11" s="1"/>
  <c r="I36" i="23"/>
  <c r="DV30" i="3" s="1"/>
  <c r="AF46" i="3"/>
  <c r="BB46" i="3"/>
  <c r="CH46" i="3"/>
  <c r="AB90" i="13"/>
  <c r="AB179" i="13"/>
  <c r="J150" i="14"/>
  <c r="U150" i="14" s="1"/>
  <c r="AK46" i="3"/>
  <c r="BF46" i="3"/>
  <c r="CL46" i="3"/>
  <c r="DR46" i="3"/>
  <c r="Z31" i="11"/>
  <c r="Y46" i="3"/>
  <c r="AJ46" i="3"/>
  <c r="AT46" i="3"/>
  <c r="BE46" i="3"/>
  <c r="BP46" i="3"/>
  <c r="BZ46" i="3"/>
  <c r="CK46" i="3"/>
  <c r="CV46" i="3"/>
  <c r="DG46" i="3"/>
  <c r="DQ46" i="3"/>
  <c r="J32" i="11"/>
  <c r="J31" i="11" s="1"/>
  <c r="AB221" i="13"/>
  <c r="AB288" i="13"/>
  <c r="AB457" i="13"/>
  <c r="J32" i="23"/>
  <c r="DW25" i="3" s="1"/>
  <c r="T32" i="23"/>
  <c r="EG25" i="3" s="1"/>
  <c r="J217" i="11"/>
  <c r="J216" i="11" s="1"/>
  <c r="AB238" i="13"/>
  <c r="T36" i="23"/>
  <c r="EG30" i="3" s="1"/>
  <c r="N7" i="18"/>
  <c r="BD3" i="3" s="1"/>
  <c r="P79" i="14"/>
  <c r="J75" i="11"/>
  <c r="J74" i="11" s="1"/>
  <c r="L135" i="11"/>
  <c r="L134" i="11" s="1"/>
  <c r="T140" i="11"/>
  <c r="L177" i="11"/>
  <c r="L176" i="11" s="1"/>
  <c r="AB35" i="13"/>
  <c r="AB120" i="13"/>
  <c r="AB260" i="13"/>
  <c r="AB380" i="13"/>
  <c r="AB385" i="13"/>
  <c r="AB445" i="13"/>
  <c r="AB519" i="13"/>
  <c r="I16" i="23"/>
  <c r="I9" i="23" s="1"/>
  <c r="R32" i="23"/>
  <c r="EE25" i="3" s="1"/>
  <c r="S41" i="23"/>
  <c r="M27" i="24"/>
  <c r="J14" i="3" s="1"/>
  <c r="U5" i="11"/>
  <c r="X31" i="11"/>
  <c r="U140" i="11"/>
  <c r="L236" i="11"/>
  <c r="H114" i="27" s="1"/>
  <c r="J108" i="14"/>
  <c r="P108" i="14" s="1"/>
  <c r="AB460" i="13"/>
  <c r="L79" i="14"/>
  <c r="N17" i="23"/>
  <c r="K10" i="26" s="1"/>
  <c r="O44" i="8"/>
  <c r="AB33" i="13"/>
  <c r="L27" i="11"/>
  <c r="L26" i="11" s="1"/>
  <c r="AB194" i="13"/>
  <c r="L42" i="11"/>
  <c r="H19" i="27" s="1"/>
  <c r="J171" i="11"/>
  <c r="J170" i="11" s="1"/>
  <c r="L246" i="11"/>
  <c r="H119" i="27" s="1"/>
  <c r="AB45" i="13"/>
  <c r="P32" i="23"/>
  <c r="EC25" i="3" s="1"/>
  <c r="Q41" i="23"/>
  <c r="J147" i="11"/>
  <c r="J146" i="11" s="1"/>
  <c r="L161" i="11"/>
  <c r="H77" i="27" s="1"/>
  <c r="AB102" i="13"/>
  <c r="AB169" i="13"/>
  <c r="AB337" i="13"/>
  <c r="AQ46" i="3"/>
  <c r="CS46" i="3"/>
  <c r="DC46" i="3"/>
  <c r="L244" i="11"/>
  <c r="L243" i="11" s="1"/>
  <c r="AB7" i="13"/>
  <c r="AB442" i="13"/>
  <c r="X33" i="11"/>
  <c r="Y33" i="11"/>
  <c r="Y43" i="11"/>
  <c r="AA43" i="11"/>
  <c r="Y56" i="11"/>
  <c r="W56" i="11"/>
  <c r="R56" i="11"/>
  <c r="S31" i="11"/>
  <c r="V68" i="11"/>
  <c r="AB507" i="13"/>
  <c r="N32" i="23"/>
  <c r="EA25" i="3" s="1"/>
  <c r="AB46" i="3"/>
  <c r="AM46" i="3"/>
  <c r="AW46" i="3"/>
  <c r="BH46" i="3"/>
  <c r="BS46" i="3"/>
  <c r="CD46" i="3"/>
  <c r="CN46" i="3"/>
  <c r="CY46" i="3"/>
  <c r="DJ46" i="3"/>
  <c r="DT46" i="3"/>
  <c r="U31" i="11"/>
  <c r="AA68" i="11"/>
  <c r="U80" i="14"/>
  <c r="S132" i="14"/>
  <c r="M27" i="23"/>
  <c r="V31" i="11"/>
  <c r="J48" i="11"/>
  <c r="J47" i="11" s="1"/>
  <c r="J57" i="11"/>
  <c r="J56" i="11" s="1"/>
  <c r="L99" i="11"/>
  <c r="H46" i="27" s="1"/>
  <c r="L111" i="11"/>
  <c r="L110" i="11" s="1"/>
  <c r="J151" i="11"/>
  <c r="J150" i="11" s="1"/>
  <c r="J246" i="11"/>
  <c r="J245" i="11" s="1"/>
  <c r="AB25" i="13"/>
  <c r="AB164" i="13"/>
  <c r="AB317" i="13"/>
  <c r="J145" i="14"/>
  <c r="P145" i="14" s="1"/>
  <c r="AB454" i="13"/>
  <c r="T29" i="14"/>
  <c r="R55" i="14"/>
  <c r="N27" i="23"/>
  <c r="K41" i="23"/>
  <c r="M6" i="8"/>
  <c r="J18" i="11"/>
  <c r="J17" i="11" s="1"/>
  <c r="U108" i="11"/>
  <c r="L131" i="11"/>
  <c r="H62" i="27" s="1"/>
  <c r="L157" i="11"/>
  <c r="H75" i="27" s="1"/>
  <c r="J207" i="11"/>
  <c r="J206" i="11" s="1"/>
  <c r="AB66" i="13"/>
  <c r="AB414" i="13"/>
  <c r="J71" i="14"/>
  <c r="S71" i="14" s="1"/>
  <c r="AB492" i="13"/>
  <c r="L41" i="23"/>
  <c r="L32" i="24"/>
  <c r="M34" i="8"/>
  <c r="L22" i="11"/>
  <c r="H10" i="27" s="1"/>
  <c r="J221" i="11"/>
  <c r="J220" i="11" s="1"/>
  <c r="L234" i="11"/>
  <c r="H113" i="27" s="1"/>
  <c r="AB148" i="13"/>
  <c r="AB244" i="13"/>
  <c r="I17" i="17"/>
  <c r="O36" i="23"/>
  <c r="EB30" i="3" s="1"/>
  <c r="T41" i="23"/>
  <c r="EG36" i="3" s="1"/>
  <c r="J10" i="11"/>
  <c r="J9" i="11" s="1"/>
  <c r="L14" i="11"/>
  <c r="H6" i="27" s="1"/>
  <c r="L18" i="11"/>
  <c r="H8" i="27" s="1"/>
  <c r="L109" i="11"/>
  <c r="H51" i="27" s="1"/>
  <c r="J137" i="11"/>
  <c r="J136" i="11" s="1"/>
  <c r="L167" i="11"/>
  <c r="L166" i="11" s="1"/>
  <c r="J173" i="11"/>
  <c r="J172" i="11" s="1"/>
  <c r="L185" i="11"/>
  <c r="H89" i="27" s="1"/>
  <c r="U243" i="11"/>
  <c r="AB12" i="13"/>
  <c r="AB40" i="13"/>
  <c r="AB52" i="13"/>
  <c r="AB64" i="13"/>
  <c r="AB118" i="13"/>
  <c r="AB151" i="13"/>
  <c r="AB348" i="13"/>
  <c r="AB471" i="13"/>
  <c r="AB530" i="13"/>
  <c r="L10" i="11"/>
  <c r="H4" i="27" s="1"/>
  <c r="R68" i="11"/>
  <c r="J82" i="11"/>
  <c r="J81" i="11" s="1"/>
  <c r="U106" i="11"/>
  <c r="Z140" i="11"/>
  <c r="W144" i="11"/>
  <c r="J187" i="11"/>
  <c r="J186" i="11" s="1"/>
  <c r="L201" i="11"/>
  <c r="H97" i="27" s="1"/>
  <c r="L249" i="11"/>
  <c r="H120" i="27" s="1"/>
  <c r="AB71" i="13"/>
  <c r="AB149" i="13"/>
  <c r="AB245" i="13"/>
  <c r="J36" i="23"/>
  <c r="DW30" i="3" s="1"/>
  <c r="Z46" i="3"/>
  <c r="BQ46" i="3"/>
  <c r="DH46" i="3"/>
  <c r="L6" i="11"/>
  <c r="H2" i="27" s="1"/>
  <c r="R31" i="11"/>
  <c r="S68" i="11"/>
  <c r="T110" i="11"/>
  <c r="L205" i="11"/>
  <c r="L204" i="11" s="1"/>
  <c r="L213" i="11"/>
  <c r="H103" i="27" s="1"/>
  <c r="AB338" i="13"/>
  <c r="AB345" i="13"/>
  <c r="J182" i="14"/>
  <c r="P182" i="14" s="1"/>
  <c r="J65" i="14"/>
  <c r="O65" i="14" s="1"/>
  <c r="AB509" i="13"/>
  <c r="M32" i="23"/>
  <c r="DZ25" i="3" s="1"/>
  <c r="X186" i="11"/>
  <c r="AB186" i="11"/>
  <c r="AA158" i="11"/>
  <c r="S158" i="11"/>
  <c r="AA235" i="11"/>
  <c r="W235" i="11"/>
  <c r="V208" i="11"/>
  <c r="Y208" i="11"/>
  <c r="AB53" i="11"/>
  <c r="Z56" i="11"/>
  <c r="L63" i="11"/>
  <c r="H29" i="27" s="1"/>
  <c r="L91" i="11"/>
  <c r="H42" i="27" s="1"/>
  <c r="J97" i="11"/>
  <c r="J96" i="11" s="1"/>
  <c r="J105" i="11"/>
  <c r="J104" i="11" s="1"/>
  <c r="Z108" i="11"/>
  <c r="J111" i="11"/>
  <c r="J110" i="11" s="1"/>
  <c r="I136" i="11"/>
  <c r="G65" i="27" s="1"/>
  <c r="J157" i="11"/>
  <c r="J156" i="11" s="1"/>
  <c r="L179" i="11"/>
  <c r="H86" i="27" s="1"/>
  <c r="J199" i="11"/>
  <c r="J198" i="11" s="1"/>
  <c r="K212" i="11"/>
  <c r="S239" i="11"/>
  <c r="I245" i="11"/>
  <c r="W245" i="11" s="1"/>
  <c r="M246" i="11"/>
  <c r="AB27" i="13"/>
  <c r="AB38" i="13"/>
  <c r="AB86" i="13"/>
  <c r="AB121" i="13"/>
  <c r="AB163" i="13"/>
  <c r="AB195" i="13"/>
  <c r="AB200" i="13"/>
  <c r="J26" i="14"/>
  <c r="R26" i="14" s="1"/>
  <c r="J176" i="14"/>
  <c r="R176" i="14" s="1"/>
  <c r="AB395" i="13"/>
  <c r="AB468" i="13"/>
  <c r="AB472" i="13"/>
  <c r="AB520" i="13"/>
  <c r="J16" i="17"/>
  <c r="I18" i="23"/>
  <c r="W24" i="23"/>
  <c r="EI13" i="3" s="1"/>
  <c r="Q27" i="23"/>
  <c r="W12" i="24"/>
  <c r="AD46" i="3"/>
  <c r="AO46" i="3"/>
  <c r="AZ46" i="3"/>
  <c r="BJ46" i="3"/>
  <c r="BU46" i="3"/>
  <c r="CF46" i="3"/>
  <c r="CP46" i="3"/>
  <c r="DA46" i="3"/>
  <c r="DL46" i="3"/>
  <c r="V51" i="11"/>
  <c r="AB56" i="11"/>
  <c r="L95" i="11"/>
  <c r="I146" i="11"/>
  <c r="W146" i="11" s="1"/>
  <c r="L149" i="11"/>
  <c r="L148" i="11" s="1"/>
  <c r="I170" i="11"/>
  <c r="AA170" i="11" s="1"/>
  <c r="U239" i="11"/>
  <c r="T30" i="14"/>
  <c r="L16" i="16"/>
  <c r="P27" i="23"/>
  <c r="Q32" i="23"/>
  <c r="ED25" i="3" s="1"/>
  <c r="W34" i="23"/>
  <c r="EI29" i="3" s="1"/>
  <c r="O41" i="23"/>
  <c r="V11" i="24"/>
  <c r="V12" i="24"/>
  <c r="J6" i="11"/>
  <c r="J5" i="11" s="1"/>
  <c r="V43" i="11"/>
  <c r="AC56" i="11"/>
  <c r="L71" i="11"/>
  <c r="H33" i="27" s="1"/>
  <c r="J87" i="11"/>
  <c r="J86" i="11" s="1"/>
  <c r="L97" i="11"/>
  <c r="H45" i="27" s="1"/>
  <c r="AC120" i="11"/>
  <c r="J129" i="11"/>
  <c r="J128" i="11" s="1"/>
  <c r="K166" i="11"/>
  <c r="Y176" i="11"/>
  <c r="K184" i="11"/>
  <c r="X239" i="11"/>
  <c r="S248" i="11"/>
  <c r="AB210" i="13"/>
  <c r="AB242" i="13"/>
  <c r="AB252" i="13"/>
  <c r="AB287" i="13"/>
  <c r="J31" i="14"/>
  <c r="V31" i="14" s="1"/>
  <c r="AB314" i="13"/>
  <c r="AB383" i="13"/>
  <c r="AB440" i="13"/>
  <c r="AB447" i="13"/>
  <c r="AB466" i="13"/>
  <c r="J61" i="14"/>
  <c r="P61" i="14" s="1"/>
  <c r="N23" i="18" s="1"/>
  <c r="BD13" i="3" s="1"/>
  <c r="U54" i="14"/>
  <c r="O6" i="15"/>
  <c r="V6" i="15" s="1"/>
  <c r="V14" i="15"/>
  <c r="L17" i="17"/>
  <c r="Q21" i="23"/>
  <c r="W25" i="23"/>
  <c r="EI15" i="3" s="1"/>
  <c r="W30" i="23"/>
  <c r="EI23" i="3" s="1"/>
  <c r="J41" i="23"/>
  <c r="P41" i="23"/>
  <c r="V46" i="3"/>
  <c r="BL46" i="3"/>
  <c r="BW46" i="3"/>
  <c r="DN46" i="3"/>
  <c r="S192" i="11"/>
  <c r="Z239" i="11"/>
  <c r="V248" i="11"/>
  <c r="R132" i="14"/>
  <c r="T21" i="23"/>
  <c r="W45" i="23"/>
  <c r="EI40" i="3" s="1"/>
  <c r="N6" i="8"/>
  <c r="L69" i="11"/>
  <c r="H32" i="27" s="1"/>
  <c r="J103" i="11"/>
  <c r="J102" i="11" s="1"/>
  <c r="J177" i="11"/>
  <c r="J176" i="11" s="1"/>
  <c r="AC239" i="11"/>
  <c r="W248" i="11"/>
  <c r="AB226" i="13"/>
  <c r="AB365" i="13"/>
  <c r="V42" i="16"/>
  <c r="K16" i="18"/>
  <c r="K8" i="18" s="1"/>
  <c r="N35" i="12" s="1"/>
  <c r="O28" i="8"/>
  <c r="L16" i="11"/>
  <c r="H7" i="27" s="1"/>
  <c r="Y31" i="11"/>
  <c r="J44" i="11"/>
  <c r="J43" i="11" s="1"/>
  <c r="L57" i="11"/>
  <c r="H26" i="27" s="1"/>
  <c r="K134" i="11"/>
  <c r="J193" i="11"/>
  <c r="J192" i="11" s="1"/>
  <c r="AB9" i="13"/>
  <c r="AB14" i="13"/>
  <c r="AB55" i="13"/>
  <c r="AB87" i="13"/>
  <c r="AB176" i="13"/>
  <c r="AB183" i="13"/>
  <c r="AB250" i="13"/>
  <c r="AB379" i="13"/>
  <c r="AB410" i="13"/>
  <c r="AB430" i="13"/>
  <c r="AB437" i="13"/>
  <c r="AB473" i="13"/>
  <c r="AB487" i="13"/>
  <c r="AB499" i="13"/>
  <c r="K32" i="23"/>
  <c r="DX25" i="3" s="1"/>
  <c r="S32" i="23"/>
  <c r="EF25" i="3" s="1"/>
  <c r="N36" i="23"/>
  <c r="EA30" i="3" s="1"/>
  <c r="V28" i="21"/>
  <c r="S16" i="23"/>
  <c r="S9" i="23" s="1"/>
  <c r="K27" i="23"/>
  <c r="S36" i="23"/>
  <c r="EF30" i="3" s="1"/>
  <c r="M32" i="24"/>
  <c r="AU46" i="3"/>
  <c r="CW46" i="3"/>
  <c r="J12" i="11"/>
  <c r="J11" i="11" s="1"/>
  <c r="J25" i="11"/>
  <c r="J24" i="11" s="1"/>
  <c r="AA31" i="11"/>
  <c r="L34" i="11"/>
  <c r="H15" i="27" s="1"/>
  <c r="S56" i="11"/>
  <c r="AC110" i="11"/>
  <c r="J131" i="11"/>
  <c r="J130" i="11" s="1"/>
  <c r="Z144" i="11"/>
  <c r="L155" i="11"/>
  <c r="H74" i="27" s="1"/>
  <c r="J175" i="11"/>
  <c r="J174" i="11" s="1"/>
  <c r="AB58" i="13"/>
  <c r="AB76" i="13"/>
  <c r="AB300" i="13"/>
  <c r="AB497" i="13"/>
  <c r="V81" i="14"/>
  <c r="J107" i="14"/>
  <c r="W42" i="20"/>
  <c r="CP38" i="3" s="1"/>
  <c r="AA46" i="3"/>
  <c r="AL46" i="3"/>
  <c r="AV46" i="3"/>
  <c r="BG46" i="3"/>
  <c r="BR46" i="3"/>
  <c r="CC46" i="3"/>
  <c r="CM46" i="3"/>
  <c r="CX46" i="3"/>
  <c r="DI46" i="3"/>
  <c r="DS46" i="3"/>
  <c r="T5" i="11"/>
  <c r="U53" i="11"/>
  <c r="V56" i="11"/>
  <c r="J63" i="11"/>
  <c r="J62" i="11" s="1"/>
  <c r="J80" i="11"/>
  <c r="J79" i="11" s="1"/>
  <c r="J84" i="11"/>
  <c r="J83" i="11" s="1"/>
  <c r="J123" i="11"/>
  <c r="J122" i="11" s="1"/>
  <c r="J211" i="11"/>
  <c r="J210" i="11" s="1"/>
  <c r="L215" i="11"/>
  <c r="H104" i="27" s="1"/>
  <c r="J236" i="11"/>
  <c r="J235" i="11" s="1"/>
  <c r="AB56" i="13"/>
  <c r="AB83" i="13"/>
  <c r="AB286" i="13"/>
  <c r="AB322" i="13"/>
  <c r="AB343" i="13"/>
  <c r="AB458" i="13"/>
  <c r="L7" i="21"/>
  <c r="CU3" i="3" s="1"/>
  <c r="N27" i="24"/>
  <c r="K14" i="3" s="1"/>
  <c r="I42" i="8"/>
  <c r="H42" i="8" s="1"/>
  <c r="K26" i="11"/>
  <c r="W53" i="11"/>
  <c r="I220" i="11"/>
  <c r="AA220" i="11" s="1"/>
  <c r="R239" i="11"/>
  <c r="J29" i="14"/>
  <c r="V13" i="23"/>
  <c r="R14" i="23" s="1"/>
  <c r="AA37" i="11"/>
  <c r="S37" i="11"/>
  <c r="X37" i="11"/>
  <c r="W37" i="11"/>
  <c r="V37" i="11"/>
  <c r="T37" i="11"/>
  <c r="AC37" i="11"/>
  <c r="Z37" i="11"/>
  <c r="T13" i="11"/>
  <c r="AC13" i="11"/>
  <c r="Z13" i="11"/>
  <c r="W13" i="11"/>
  <c r="R21" i="11"/>
  <c r="X21" i="11"/>
  <c r="AA21" i="11"/>
  <c r="Y21" i="11"/>
  <c r="V21" i="11"/>
  <c r="S21" i="11"/>
  <c r="AC21" i="11"/>
  <c r="AB21" i="11"/>
  <c r="AC90" i="11"/>
  <c r="AA90" i="11"/>
  <c r="X90" i="11"/>
  <c r="S90" i="11"/>
  <c r="AC112" i="11"/>
  <c r="U112" i="11"/>
  <c r="AB112" i="11"/>
  <c r="Z19" i="11"/>
  <c r="V19" i="11"/>
  <c r="X19" i="11"/>
  <c r="W19" i="11"/>
  <c r="AB162" i="11"/>
  <c r="AC162" i="11"/>
  <c r="V162" i="11"/>
  <c r="S162" i="11"/>
  <c r="R162" i="11"/>
  <c r="AC188" i="11"/>
  <c r="AA188" i="11"/>
  <c r="AB188" i="11"/>
  <c r="S188" i="11"/>
  <c r="E19" i="6"/>
  <c r="T33" i="11"/>
  <c r="V47" i="11"/>
  <c r="Z51" i="11"/>
  <c r="S51" i="11"/>
  <c r="AA62" i="11"/>
  <c r="AA124" i="11"/>
  <c r="L145" i="11"/>
  <c r="J153" i="11"/>
  <c r="J152" i="11" s="1"/>
  <c r="K168" i="11"/>
  <c r="AB182" i="11"/>
  <c r="Y186" i="11"/>
  <c r="S186" i="11"/>
  <c r="U186" i="11"/>
  <c r="Y200" i="11"/>
  <c r="R200" i="11"/>
  <c r="T225" i="11"/>
  <c r="AB237" i="11"/>
  <c r="Z243" i="11"/>
  <c r="V243" i="11"/>
  <c r="J153" i="14"/>
  <c r="R153" i="14" s="1"/>
  <c r="AB335" i="13"/>
  <c r="S15" i="11"/>
  <c r="U33" i="11"/>
  <c r="W47" i="11"/>
  <c r="J50" i="11"/>
  <c r="J49" i="11" s="1"/>
  <c r="L52" i="11"/>
  <c r="H24" i="27" s="1"/>
  <c r="K51" i="11"/>
  <c r="K98" i="11"/>
  <c r="L147" i="11"/>
  <c r="L146" i="11" s="1"/>
  <c r="K146" i="11"/>
  <c r="L175" i="11"/>
  <c r="H84" i="27" s="1"/>
  <c r="K174" i="11"/>
  <c r="R178" i="11"/>
  <c r="U178" i="11"/>
  <c r="J201" i="11"/>
  <c r="J200" i="11" s="1"/>
  <c r="K204" i="11"/>
  <c r="Z208" i="11"/>
  <c r="L224" i="11"/>
  <c r="L230" i="11"/>
  <c r="H111" i="27" s="1"/>
  <c r="J234" i="11"/>
  <c r="J233" i="11" s="1"/>
  <c r="AC237" i="11"/>
  <c r="AB43" i="13"/>
  <c r="K44" i="8"/>
  <c r="AA5" i="11"/>
  <c r="I9" i="11"/>
  <c r="R9" i="11" s="1"/>
  <c r="V15" i="11"/>
  <c r="J22" i="11"/>
  <c r="J21" i="11" s="1"/>
  <c r="V33" i="11"/>
  <c r="J38" i="11"/>
  <c r="J37" i="11" s="1"/>
  <c r="X47" i="11"/>
  <c r="F26" i="27"/>
  <c r="M54" i="11"/>
  <c r="L59" i="11"/>
  <c r="J61" i="11"/>
  <c r="J60" i="11" s="1"/>
  <c r="L80" i="11"/>
  <c r="L79" i="11" s="1"/>
  <c r="I102" i="11"/>
  <c r="AB102" i="11" s="1"/>
  <c r="K144" i="11"/>
  <c r="J165" i="11"/>
  <c r="J164" i="11" s="1"/>
  <c r="I164" i="11"/>
  <c r="T164" i="11" s="1"/>
  <c r="T186" i="11"/>
  <c r="J191" i="11"/>
  <c r="J190" i="11" s="1"/>
  <c r="T192" i="11"/>
  <c r="X192" i="11"/>
  <c r="L197" i="11"/>
  <c r="H95" i="27" s="1"/>
  <c r="K196" i="11"/>
  <c r="AA208" i="11"/>
  <c r="J226" i="11"/>
  <c r="J225" i="11" s="1"/>
  <c r="J238" i="11"/>
  <c r="J237" i="11" s="1"/>
  <c r="R243" i="11"/>
  <c r="AB24" i="13"/>
  <c r="AB39" i="13"/>
  <c r="AB188" i="13"/>
  <c r="AB319" i="13"/>
  <c r="J149" i="14"/>
  <c r="R149" i="14" s="1"/>
  <c r="AB333" i="13"/>
  <c r="AC15" i="11"/>
  <c r="Z47" i="11"/>
  <c r="R198" i="11"/>
  <c r="Z198" i="11"/>
  <c r="X210" i="11"/>
  <c r="U210" i="11"/>
  <c r="L240" i="11"/>
  <c r="H116" i="27" s="1"/>
  <c r="AC46" i="3"/>
  <c r="AN46" i="3"/>
  <c r="AY46" i="3"/>
  <c r="BI46" i="3"/>
  <c r="BT46" i="3"/>
  <c r="CE46" i="3"/>
  <c r="CO46" i="3"/>
  <c r="CZ46" i="3"/>
  <c r="DK46" i="3"/>
  <c r="U46" i="3"/>
  <c r="AE46" i="3"/>
  <c r="AP46" i="3"/>
  <c r="BA46" i="3"/>
  <c r="BK46" i="3"/>
  <c r="BV46" i="3"/>
  <c r="CG46" i="3"/>
  <c r="CR46" i="3"/>
  <c r="DB46" i="3"/>
  <c r="DM46" i="3"/>
  <c r="L28" i="8"/>
  <c r="M44" i="8"/>
  <c r="AA33" i="11"/>
  <c r="W43" i="11"/>
  <c r="AC47" i="11"/>
  <c r="R51" i="11"/>
  <c r="L65" i="11"/>
  <c r="H30" i="27" s="1"/>
  <c r="L84" i="11"/>
  <c r="H39" i="27" s="1"/>
  <c r="U120" i="11"/>
  <c r="L125" i="11"/>
  <c r="H59" i="27" s="1"/>
  <c r="I128" i="11"/>
  <c r="G61" i="27" s="1"/>
  <c r="AB132" i="11"/>
  <c r="Y132" i="11"/>
  <c r="L165" i="11"/>
  <c r="L164" i="11" s="1"/>
  <c r="X178" i="11"/>
  <c r="L191" i="11"/>
  <c r="J209" i="11"/>
  <c r="J208" i="11" s="1"/>
  <c r="W243" i="11"/>
  <c r="J75" i="14"/>
  <c r="S75" i="14" s="1"/>
  <c r="AB489" i="13"/>
  <c r="T62" i="11"/>
  <c r="X62" i="11"/>
  <c r="AB86" i="11"/>
  <c r="V86" i="11"/>
  <c r="Y152" i="11"/>
  <c r="Z152" i="11"/>
  <c r="X225" i="11"/>
  <c r="AB225" i="11"/>
  <c r="J168" i="14"/>
  <c r="L168" i="14" s="1"/>
  <c r="L163" i="14" s="1"/>
  <c r="AB354" i="13"/>
  <c r="AB432" i="13"/>
  <c r="P28" i="8"/>
  <c r="L44" i="8"/>
  <c r="K40" i="8"/>
  <c r="J14" i="11"/>
  <c r="J13" i="11" s="1"/>
  <c r="L32" i="11"/>
  <c r="H14" i="27" s="1"/>
  <c r="AB43" i="11"/>
  <c r="X51" i="11"/>
  <c r="X53" i="11"/>
  <c r="K81" i="11"/>
  <c r="L82" i="11"/>
  <c r="L81" i="11" s="1"/>
  <c r="X108" i="11"/>
  <c r="S110" i="11"/>
  <c r="L117" i="11"/>
  <c r="L116" i="11" s="1"/>
  <c r="K116" i="11"/>
  <c r="J121" i="11"/>
  <c r="J120" i="11" s="1"/>
  <c r="V130" i="11"/>
  <c r="V132" i="11"/>
  <c r="L141" i="11"/>
  <c r="H67" i="27" s="1"/>
  <c r="T158" i="11"/>
  <c r="J163" i="11"/>
  <c r="J162" i="11" s="1"/>
  <c r="S174" i="11"/>
  <c r="AC176" i="11"/>
  <c r="AB178" i="11"/>
  <c r="I190" i="11"/>
  <c r="Y190" i="11" s="1"/>
  <c r="R192" i="11"/>
  <c r="U198" i="11"/>
  <c r="Y210" i="11"/>
  <c r="U216" i="11"/>
  <c r="S216" i="11"/>
  <c r="R237" i="11"/>
  <c r="AC243" i="11"/>
  <c r="AB97" i="13"/>
  <c r="AB101" i="13"/>
  <c r="Q28" i="8"/>
  <c r="J34" i="11"/>
  <c r="J33" i="11" s="1"/>
  <c r="S58" i="11"/>
  <c r="J69" i="11"/>
  <c r="J68" i="11" s="1"/>
  <c r="V79" i="11"/>
  <c r="R86" i="11"/>
  <c r="I94" i="11"/>
  <c r="S94" i="11" s="1"/>
  <c r="J95" i="11"/>
  <c r="J94" i="11" s="1"/>
  <c r="J115" i="11"/>
  <c r="J114" i="11" s="1"/>
  <c r="I114" i="11"/>
  <c r="AB114" i="11" s="1"/>
  <c r="AA130" i="11"/>
  <c r="I150" i="11"/>
  <c r="S150" i="11" s="1"/>
  <c r="S152" i="11"/>
  <c r="U158" i="11"/>
  <c r="R172" i="11"/>
  <c r="AA174" i="11"/>
  <c r="U182" i="11"/>
  <c r="Y198" i="11"/>
  <c r="Z210" i="11"/>
  <c r="S237" i="11"/>
  <c r="AB404" i="13"/>
  <c r="W46" i="3"/>
  <c r="AG46" i="3"/>
  <c r="AR46" i="3"/>
  <c r="BC46" i="3"/>
  <c r="BN46" i="3"/>
  <c r="BX46" i="3"/>
  <c r="CI46" i="3"/>
  <c r="CT46" i="3"/>
  <c r="DD46" i="3"/>
  <c r="DO46" i="3"/>
  <c r="S28" i="8"/>
  <c r="S47" i="11"/>
  <c r="AB51" i="11"/>
  <c r="X58" i="11"/>
  <c r="X79" i="11"/>
  <c r="S86" i="11"/>
  <c r="W106" i="11"/>
  <c r="V110" i="11"/>
  <c r="K114" i="11"/>
  <c r="L115" i="11"/>
  <c r="W126" i="11"/>
  <c r="AB144" i="11"/>
  <c r="S144" i="11"/>
  <c r="V152" i="11"/>
  <c r="Z158" i="11"/>
  <c r="J179" i="11"/>
  <c r="J178" i="11" s="1"/>
  <c r="W182" i="11"/>
  <c r="U192" i="11"/>
  <c r="L195" i="11"/>
  <c r="L194" i="11" s="1"/>
  <c r="AA198" i="11"/>
  <c r="U200" i="11"/>
  <c r="AC206" i="11"/>
  <c r="X206" i="11"/>
  <c r="T208" i="11"/>
  <c r="AA210" i="11"/>
  <c r="R225" i="11"/>
  <c r="Y235" i="11"/>
  <c r="V237" i="11"/>
  <c r="J128" i="14"/>
  <c r="P128" i="14" s="1"/>
  <c r="N39" i="19" s="1"/>
  <c r="BS34" i="3" s="1"/>
  <c r="AB397" i="13"/>
  <c r="X46" i="3"/>
  <c r="AH46" i="3"/>
  <c r="AS46" i="3"/>
  <c r="BD46" i="3"/>
  <c r="BO46" i="3"/>
  <c r="BY46" i="3"/>
  <c r="CJ46" i="3"/>
  <c r="CU46" i="3"/>
  <c r="DE46" i="3"/>
  <c r="DP46" i="3"/>
  <c r="D19" i="6"/>
  <c r="T28" i="8"/>
  <c r="U34" i="8"/>
  <c r="R5" i="11"/>
  <c r="K13" i="11"/>
  <c r="L20" i="11"/>
  <c r="L19" i="11" s="1"/>
  <c r="I39" i="11"/>
  <c r="AA39" i="11" s="1"/>
  <c r="J40" i="11"/>
  <c r="J39" i="11" s="1"/>
  <c r="T47" i="11"/>
  <c r="W62" i="11"/>
  <c r="L75" i="11"/>
  <c r="H35" i="27" s="1"/>
  <c r="Z79" i="11"/>
  <c r="T86" i="11"/>
  <c r="J101" i="11"/>
  <c r="J100" i="11" s="1"/>
  <c r="I100" i="11"/>
  <c r="AA100" i="11" s="1"/>
  <c r="I122" i="11"/>
  <c r="Y122" i="11" s="1"/>
  <c r="W124" i="11"/>
  <c r="Y126" i="11"/>
  <c r="J145" i="11"/>
  <c r="J144" i="11" s="1"/>
  <c r="W152" i="11"/>
  <c r="AA182" i="11"/>
  <c r="W192" i="11"/>
  <c r="AB198" i="11"/>
  <c r="W208" i="11"/>
  <c r="L217" i="11"/>
  <c r="L216" i="11" s="1"/>
  <c r="S225" i="11"/>
  <c r="I229" i="11"/>
  <c r="R229" i="11" s="1"/>
  <c r="J230" i="11"/>
  <c r="J229" i="11" s="1"/>
  <c r="AC235" i="11"/>
  <c r="X237" i="11"/>
  <c r="AB198" i="13"/>
  <c r="AB362" i="13"/>
  <c r="J77" i="14"/>
  <c r="Q77" i="14" s="1"/>
  <c r="AB522" i="13"/>
  <c r="AB491" i="13"/>
  <c r="J59" i="11"/>
  <c r="J58" i="11" s="1"/>
  <c r="L159" i="11"/>
  <c r="H76" i="27" s="1"/>
  <c r="L209" i="11"/>
  <c r="J244" i="11"/>
  <c r="J243" i="11" s="1"/>
  <c r="AB69" i="13"/>
  <c r="AB95" i="13"/>
  <c r="AB180" i="13"/>
  <c r="AB291" i="13"/>
  <c r="AB367" i="13"/>
  <c r="AB374" i="13"/>
  <c r="J160" i="14"/>
  <c r="U160" i="14" s="1"/>
  <c r="AB340" i="13"/>
  <c r="J72" i="14"/>
  <c r="Q72" i="14" s="1"/>
  <c r="AB485" i="13"/>
  <c r="J82" i="14"/>
  <c r="O82" i="14" s="1"/>
  <c r="AB494" i="13"/>
  <c r="J92" i="14"/>
  <c r="V92" i="14" s="1"/>
  <c r="AB283" i="13"/>
  <c r="J24" i="14"/>
  <c r="U24" i="14" s="1"/>
  <c r="J154" i="14"/>
  <c r="M154" i="14" s="1"/>
  <c r="M151" i="14" s="1"/>
  <c r="AB336" i="13"/>
  <c r="AB441" i="13"/>
  <c r="AB461" i="13"/>
  <c r="AB476" i="13"/>
  <c r="J67" i="14"/>
  <c r="R67" i="14" s="1"/>
  <c r="AB483" i="13"/>
  <c r="N44" i="8"/>
  <c r="J36" i="11"/>
  <c r="J35" i="11" s="1"/>
  <c r="L44" i="11"/>
  <c r="L43" i="11" s="1"/>
  <c r="L73" i="11"/>
  <c r="H34" i="27" s="1"/>
  <c r="L78" i="11"/>
  <c r="H36" i="27" s="1"/>
  <c r="J125" i="11"/>
  <c r="J124" i="11" s="1"/>
  <c r="J219" i="11"/>
  <c r="J218" i="11" s="1"/>
  <c r="L221" i="11"/>
  <c r="J228" i="11"/>
  <c r="J227" i="11" s="1"/>
  <c r="AB74" i="13"/>
  <c r="AB89" i="13"/>
  <c r="AB162" i="13"/>
  <c r="AB182" i="13"/>
  <c r="AB257" i="13"/>
  <c r="J89" i="14"/>
  <c r="S89" i="14" s="1"/>
  <c r="AB262" i="13"/>
  <c r="J20" i="14"/>
  <c r="U20" i="14" s="1"/>
  <c r="AB302" i="13"/>
  <c r="J166" i="14"/>
  <c r="Q166" i="14" s="1"/>
  <c r="AB356" i="13"/>
  <c r="J140" i="14"/>
  <c r="U140" i="14" s="1"/>
  <c r="AB349" i="13"/>
  <c r="AB503" i="13"/>
  <c r="L12" i="20"/>
  <c r="N157" i="14"/>
  <c r="P131" i="14"/>
  <c r="N11" i="19"/>
  <c r="M11" i="18"/>
  <c r="M10" i="18"/>
  <c r="O79" i="14"/>
  <c r="M7" i="18"/>
  <c r="BC3" i="3" s="1"/>
  <c r="J180" i="14"/>
  <c r="T180" i="14" s="1"/>
  <c r="AB373" i="13"/>
  <c r="AB528" i="13"/>
  <c r="J81" i="14"/>
  <c r="J17" i="22"/>
  <c r="V23" i="23"/>
  <c r="EH12" i="3" s="1"/>
  <c r="W29" i="23"/>
  <c r="EI22" i="3" s="1"/>
  <c r="K8" i="17"/>
  <c r="N16" i="17"/>
  <c r="N17" i="20"/>
  <c r="N9" i="20" s="1"/>
  <c r="N8" i="20" s="1"/>
  <c r="S29" i="14"/>
  <c r="M15" i="18"/>
  <c r="W41" i="18"/>
  <c r="BL38" i="3" s="1"/>
  <c r="K8" i="22"/>
  <c r="R16" i="23"/>
  <c r="R9" i="23" s="1"/>
  <c r="I27" i="23"/>
  <c r="S27" i="23"/>
  <c r="V34" i="23"/>
  <c r="EH29" i="3" s="1"/>
  <c r="V37" i="23"/>
  <c r="EH32" i="3" s="1"/>
  <c r="V42" i="23"/>
  <c r="EH38" i="3" s="1"/>
  <c r="N41" i="23"/>
  <c r="T54" i="14"/>
  <c r="U107" i="14"/>
  <c r="R158" i="14"/>
  <c r="W28" i="21"/>
  <c r="W43" i="21"/>
  <c r="DE38" i="3" s="1"/>
  <c r="K10" i="22"/>
  <c r="I21" i="23"/>
  <c r="W26" i="23"/>
  <c r="EI16" i="3" s="1"/>
  <c r="V28" i="23"/>
  <c r="EH21" i="3" s="1"/>
  <c r="T27" i="23"/>
  <c r="R36" i="23"/>
  <c r="EE30" i="3" s="1"/>
  <c r="K32" i="24"/>
  <c r="M37" i="18"/>
  <c r="BC33" i="3" s="1"/>
  <c r="U159" i="14"/>
  <c r="K17" i="16"/>
  <c r="K10" i="16" s="1"/>
  <c r="K9" i="16" s="1"/>
  <c r="K16" i="19"/>
  <c r="K12" i="22"/>
  <c r="K11" i="17" s="1"/>
  <c r="V24" i="23"/>
  <c r="EH13" i="3" s="1"/>
  <c r="R21" i="23"/>
  <c r="V29" i="23"/>
  <c r="EH22" i="3" s="1"/>
  <c r="O32" i="23"/>
  <c r="N32" i="24"/>
  <c r="V80" i="14"/>
  <c r="N16" i="19"/>
  <c r="K21" i="23"/>
  <c r="L21" i="23"/>
  <c r="V25" i="23"/>
  <c r="EH15" i="3" s="1"/>
  <c r="S21" i="23"/>
  <c r="V40" i="23"/>
  <c r="EH35" i="3" s="1"/>
  <c r="R41" i="23"/>
  <c r="W11" i="24"/>
  <c r="AB516" i="13"/>
  <c r="S30" i="14"/>
  <c r="U106" i="14"/>
  <c r="W23" i="23"/>
  <c r="EI12" i="3" s="1"/>
  <c r="V38" i="23"/>
  <c r="EH33" i="3" s="1"/>
  <c r="V44" i="23"/>
  <c r="AB8" i="13"/>
  <c r="AB28" i="13"/>
  <c r="AB59" i="13"/>
  <c r="AB107" i="13"/>
  <c r="AB224" i="13"/>
  <c r="J10" i="14"/>
  <c r="U10" i="14" s="1"/>
  <c r="AB307" i="13"/>
  <c r="AB318" i="13"/>
  <c r="J143" i="14"/>
  <c r="L143" i="14" s="1"/>
  <c r="AB368" i="13"/>
  <c r="J76" i="14"/>
  <c r="R76" i="14" s="1"/>
  <c r="AB504" i="13"/>
  <c r="AB523" i="13"/>
  <c r="R80" i="14"/>
  <c r="T81" i="14"/>
  <c r="U132" i="14"/>
  <c r="J186" i="14"/>
  <c r="V8" i="15"/>
  <c r="V41" i="18"/>
  <c r="BK38" i="3" s="1"/>
  <c r="V42" i="19"/>
  <c r="BZ38" i="3" s="1"/>
  <c r="V43" i="21"/>
  <c r="DD38" i="3" s="1"/>
  <c r="V11" i="23"/>
  <c r="J18" i="23"/>
  <c r="M21" i="23"/>
  <c r="P21" i="23"/>
  <c r="V43" i="23"/>
  <c r="L27" i="24"/>
  <c r="I14" i="3" s="1"/>
  <c r="AB105" i="13"/>
  <c r="AB229" i="13"/>
  <c r="AB312" i="13"/>
  <c r="AB352" i="13"/>
  <c r="J62" i="14"/>
  <c r="M62" i="14" s="1"/>
  <c r="AB481" i="13"/>
  <c r="U55" i="14"/>
  <c r="M42" i="18"/>
  <c r="V132" i="14"/>
  <c r="R133" i="14"/>
  <c r="V5" i="15"/>
  <c r="V22" i="23"/>
  <c r="EH11" i="3" s="1"/>
  <c r="V30" i="23"/>
  <c r="EH23" i="3" s="1"/>
  <c r="I32" i="23"/>
  <c r="DV25" i="3" s="1"/>
  <c r="M36" i="23"/>
  <c r="DZ30" i="3" s="1"/>
  <c r="K36" i="23"/>
  <c r="DX30" i="3" s="1"/>
  <c r="V45" i="23"/>
  <c r="EH40" i="3" s="1"/>
  <c r="U29" i="14"/>
  <c r="Q55" i="14"/>
  <c r="T107" i="14"/>
  <c r="V12" i="23"/>
  <c r="V26" i="23"/>
  <c r="EH16" i="3" s="1"/>
  <c r="V31" i="23"/>
  <c r="EH24" i="3" s="1"/>
  <c r="P36" i="23"/>
  <c r="EC30" i="3" s="1"/>
  <c r="W40" i="23"/>
  <c r="EI35" i="3" s="1"/>
  <c r="J27" i="24"/>
  <c r="G14" i="3" s="1"/>
  <c r="F48" i="3"/>
  <c r="P48" i="3"/>
  <c r="G48" i="3"/>
  <c r="I48" i="3"/>
  <c r="J48" i="3"/>
  <c r="H48" i="3"/>
  <c r="K48" i="3"/>
  <c r="L48" i="3"/>
  <c r="M48" i="3"/>
  <c r="N48" i="3"/>
  <c r="O48" i="3"/>
  <c r="G8" i="27"/>
  <c r="AC17" i="11"/>
  <c r="S17" i="11"/>
  <c r="V17" i="11"/>
  <c r="AB17" i="11"/>
  <c r="AA17" i="11"/>
  <c r="Z17" i="11"/>
  <c r="Y17" i="11"/>
  <c r="X17" i="11"/>
  <c r="W17" i="11"/>
  <c r="U17" i="11"/>
  <c r="T17" i="11"/>
  <c r="R17" i="11"/>
  <c r="G11" i="27"/>
  <c r="Z24" i="11"/>
  <c r="AC24" i="11"/>
  <c r="R24" i="11"/>
  <c r="V24" i="11"/>
  <c r="AB24" i="11"/>
  <c r="AA24" i="11"/>
  <c r="Y24" i="11"/>
  <c r="X24" i="11"/>
  <c r="W24" i="11"/>
  <c r="U24" i="11"/>
  <c r="T24" i="11"/>
  <c r="S24" i="11"/>
  <c r="G3" i="27"/>
  <c r="AC7" i="11"/>
  <c r="S7" i="11"/>
  <c r="AB7" i="11"/>
  <c r="AA7" i="11"/>
  <c r="Z7" i="11"/>
  <c r="Y7" i="11"/>
  <c r="X7" i="11"/>
  <c r="W7" i="11"/>
  <c r="V7" i="11"/>
  <c r="U7" i="11"/>
  <c r="T7" i="11"/>
  <c r="R7" i="11"/>
  <c r="P34" i="8"/>
  <c r="W11" i="11"/>
  <c r="AA15" i="11"/>
  <c r="M27" i="11"/>
  <c r="Z35" i="11"/>
  <c r="L38" i="11"/>
  <c r="G28" i="27"/>
  <c r="Z60" i="11"/>
  <c r="AC60" i="11"/>
  <c r="R60" i="11"/>
  <c r="Y60" i="11"/>
  <c r="AA60" i="11"/>
  <c r="X60" i="11"/>
  <c r="V60" i="11"/>
  <c r="J67" i="11"/>
  <c r="J66" i="11" s="1"/>
  <c r="I66" i="11"/>
  <c r="G39" i="27"/>
  <c r="U83" i="11"/>
  <c r="AC83" i="11"/>
  <c r="R83" i="11"/>
  <c r="Z83" i="11"/>
  <c r="W83" i="11"/>
  <c r="T83" i="11"/>
  <c r="S83" i="11"/>
  <c r="J89" i="11"/>
  <c r="J88" i="11" s="1"/>
  <c r="I88" i="11"/>
  <c r="I142" i="11"/>
  <c r="J143" i="11"/>
  <c r="J142" i="11" s="1"/>
  <c r="I154" i="11"/>
  <c r="J155" i="11"/>
  <c r="J154" i="11" s="1"/>
  <c r="S34" i="8"/>
  <c r="G2" i="27"/>
  <c r="W5" i="11"/>
  <c r="S5" i="11"/>
  <c r="J8" i="11"/>
  <c r="J7" i="11" s="1"/>
  <c r="G6" i="27"/>
  <c r="AA13" i="11"/>
  <c r="X13" i="11"/>
  <c r="Y13" i="11"/>
  <c r="AB15" i="11"/>
  <c r="L48" i="11"/>
  <c r="L61" i="11"/>
  <c r="K88" i="11"/>
  <c r="L89" i="11"/>
  <c r="G45" i="27"/>
  <c r="Z96" i="11"/>
  <c r="V96" i="11"/>
  <c r="S96" i="11"/>
  <c r="AB96" i="11"/>
  <c r="Y96" i="11"/>
  <c r="T96" i="11"/>
  <c r="AC96" i="11"/>
  <c r="G66" i="27"/>
  <c r="V138" i="11"/>
  <c r="Z138" i="11"/>
  <c r="W138" i="11"/>
  <c r="S138" i="11"/>
  <c r="X138" i="11"/>
  <c r="T138" i="11"/>
  <c r="AC138" i="11"/>
  <c r="AB138" i="11"/>
  <c r="Y138" i="11"/>
  <c r="U138" i="11"/>
  <c r="R138" i="11"/>
  <c r="G5" i="27"/>
  <c r="U11" i="11"/>
  <c r="AA11" i="11"/>
  <c r="Y11" i="11"/>
  <c r="G13" i="27"/>
  <c r="AA29" i="11"/>
  <c r="X29" i="11"/>
  <c r="Z29" i="11"/>
  <c r="Y29" i="11"/>
  <c r="G16" i="27"/>
  <c r="Y35" i="11"/>
  <c r="V35" i="11"/>
  <c r="U35" i="11"/>
  <c r="AC35" i="11"/>
  <c r="AB35" i="11"/>
  <c r="G35" i="27"/>
  <c r="AB74" i="11"/>
  <c r="R74" i="11"/>
  <c r="W74" i="11"/>
  <c r="T74" i="11"/>
  <c r="S74" i="11"/>
  <c r="AC74" i="11"/>
  <c r="Y74" i="11"/>
  <c r="V74" i="11"/>
  <c r="L105" i="11"/>
  <c r="K104" i="11"/>
  <c r="K128" i="11"/>
  <c r="L129" i="11"/>
  <c r="V5" i="11"/>
  <c r="L8" i="11"/>
  <c r="Z11" i="11"/>
  <c r="AB13" i="11"/>
  <c r="L25" i="11"/>
  <c r="R29" i="11"/>
  <c r="J30" i="11"/>
  <c r="J29" i="11" s="1"/>
  <c r="L40" i="11"/>
  <c r="K39" i="11"/>
  <c r="U58" i="11"/>
  <c r="T60" i="11"/>
  <c r="K74" i="11"/>
  <c r="M75" i="11"/>
  <c r="I81" i="11"/>
  <c r="X83" i="11"/>
  <c r="G49" i="27"/>
  <c r="T104" i="11"/>
  <c r="S104" i="11"/>
  <c r="AA104" i="11"/>
  <c r="W104" i="11"/>
  <c r="U104" i="11"/>
  <c r="Y104" i="11"/>
  <c r="V104" i="11"/>
  <c r="R104" i="11"/>
  <c r="L107" i="11"/>
  <c r="K106" i="11"/>
  <c r="L232" i="11"/>
  <c r="J232" i="11"/>
  <c r="J231" i="11" s="1"/>
  <c r="Q34" i="8"/>
  <c r="R34" i="8"/>
  <c r="V34" i="8"/>
  <c r="AB11" i="11"/>
  <c r="G7" i="27"/>
  <c r="W15" i="11"/>
  <c r="X15" i="11"/>
  <c r="G9" i="27"/>
  <c r="Y19" i="11"/>
  <c r="U19" i="11"/>
  <c r="S19" i="11"/>
  <c r="AA19" i="11"/>
  <c r="S29" i="11"/>
  <c r="L30" i="11"/>
  <c r="K29" i="11"/>
  <c r="U60" i="11"/>
  <c r="I64" i="11"/>
  <c r="J65" i="11"/>
  <c r="J64" i="11" s="1"/>
  <c r="Y83" i="11"/>
  <c r="F41" i="27"/>
  <c r="M84" i="11"/>
  <c r="AA138" i="11"/>
  <c r="I156" i="11"/>
  <c r="J185" i="11"/>
  <c r="J184" i="11" s="1"/>
  <c r="I184" i="11"/>
  <c r="K34" i="8"/>
  <c r="M3" i="11"/>
  <c r="Y5" i="11"/>
  <c r="AC11" i="11"/>
  <c r="R13" i="11"/>
  <c r="T15" i="11"/>
  <c r="J16" i="11"/>
  <c r="J15" i="11" s="1"/>
  <c r="AB19" i="11"/>
  <c r="T29" i="11"/>
  <c r="R35" i="11"/>
  <c r="K35" i="11"/>
  <c r="L36" i="11"/>
  <c r="I41" i="11"/>
  <c r="J42" i="11"/>
  <c r="J41" i="11" s="1"/>
  <c r="G20" i="27"/>
  <c r="AC43" i="11"/>
  <c r="S43" i="11"/>
  <c r="Z43" i="11"/>
  <c r="R43" i="11"/>
  <c r="X43" i="11"/>
  <c r="U43" i="11"/>
  <c r="Y58" i="11"/>
  <c r="W60" i="11"/>
  <c r="AA83" i="11"/>
  <c r="J91" i="11"/>
  <c r="J90" i="11" s="1"/>
  <c r="U96" i="11"/>
  <c r="J113" i="11"/>
  <c r="J112" i="11" s="1"/>
  <c r="L119" i="11"/>
  <c r="U28" i="8"/>
  <c r="K28" i="8"/>
  <c r="R28" i="8"/>
  <c r="L34" i="8"/>
  <c r="Z5" i="11"/>
  <c r="R11" i="11"/>
  <c r="S13" i="11"/>
  <c r="U15" i="11"/>
  <c r="AC19" i="11"/>
  <c r="U29" i="11"/>
  <c r="S35" i="11"/>
  <c r="K37" i="11"/>
  <c r="AB60" i="11"/>
  <c r="G29" i="27"/>
  <c r="V62" i="11"/>
  <c r="AB62" i="11"/>
  <c r="Y62" i="11"/>
  <c r="S62" i="11"/>
  <c r="Z62" i="11"/>
  <c r="U62" i="11"/>
  <c r="R62" i="11"/>
  <c r="G32" i="27"/>
  <c r="T68" i="11"/>
  <c r="Z68" i="11"/>
  <c r="W68" i="11"/>
  <c r="AB68" i="11"/>
  <c r="AC68" i="11"/>
  <c r="X68" i="11"/>
  <c r="U68" i="11"/>
  <c r="I70" i="11"/>
  <c r="J71" i="11"/>
  <c r="J70" i="11" s="1"/>
  <c r="U74" i="11"/>
  <c r="G37" i="27"/>
  <c r="AC79" i="11"/>
  <c r="S79" i="11"/>
  <c r="T79" i="11"/>
  <c r="AA79" i="11"/>
  <c r="R79" i="11"/>
  <c r="AB79" i="11"/>
  <c r="Y79" i="11"/>
  <c r="AB83" i="11"/>
  <c r="G42" i="27"/>
  <c r="AB90" i="11"/>
  <c r="R90" i="11"/>
  <c r="Y90" i="11"/>
  <c r="V90" i="11"/>
  <c r="W90" i="11"/>
  <c r="Z90" i="11"/>
  <c r="U90" i="11"/>
  <c r="T90" i="11"/>
  <c r="W96" i="11"/>
  <c r="X104" i="11"/>
  <c r="J149" i="11"/>
  <c r="J148" i="11" s="1"/>
  <c r="I148" i="11"/>
  <c r="J181" i="11"/>
  <c r="J180" i="11" s="1"/>
  <c r="I180" i="11"/>
  <c r="S11" i="11"/>
  <c r="J27" i="11"/>
  <c r="J26" i="11" s="1"/>
  <c r="I26" i="11"/>
  <c r="V29" i="11"/>
  <c r="T35" i="11"/>
  <c r="J46" i="11"/>
  <c r="J45" i="11" s="1"/>
  <c r="I45" i="11"/>
  <c r="G27" i="27"/>
  <c r="T58" i="11"/>
  <c r="AA58" i="11"/>
  <c r="V58" i="11"/>
  <c r="W58" i="11"/>
  <c r="R58" i="11"/>
  <c r="AC58" i="11"/>
  <c r="AB58" i="11"/>
  <c r="X74" i="11"/>
  <c r="K79" i="11"/>
  <c r="X96" i="11"/>
  <c r="J99" i="11"/>
  <c r="J98" i="11" s="1"/>
  <c r="I98" i="11"/>
  <c r="Z104" i="11"/>
  <c r="J215" i="11"/>
  <c r="J214" i="11" s="1"/>
  <c r="I214" i="11"/>
  <c r="M28" i="8"/>
  <c r="N34" i="8"/>
  <c r="AB5" i="11"/>
  <c r="T11" i="11"/>
  <c r="U13" i="11"/>
  <c r="Y15" i="11"/>
  <c r="R19" i="11"/>
  <c r="M22" i="11"/>
  <c r="W29" i="11"/>
  <c r="W35" i="11"/>
  <c r="K45" i="11"/>
  <c r="L46" i="11"/>
  <c r="I49" i="11"/>
  <c r="G24" i="27"/>
  <c r="W51" i="11"/>
  <c r="T51" i="11"/>
  <c r="AC51" i="11"/>
  <c r="U51" i="11"/>
  <c r="AA51" i="11"/>
  <c r="G25" i="27"/>
  <c r="AC53" i="11"/>
  <c r="S53" i="11"/>
  <c r="Z53" i="11"/>
  <c r="R53" i="11"/>
  <c r="Y53" i="11"/>
  <c r="V53" i="11"/>
  <c r="T53" i="11"/>
  <c r="K56" i="11"/>
  <c r="Z74" i="11"/>
  <c r="K86" i="11"/>
  <c r="L87" i="11"/>
  <c r="AA96" i="11"/>
  <c r="AB104" i="11"/>
  <c r="G57" i="27"/>
  <c r="AB120" i="11"/>
  <c r="R120" i="11"/>
  <c r="W120" i="11"/>
  <c r="T120" i="11"/>
  <c r="S120" i="11"/>
  <c r="V120" i="11"/>
  <c r="AA120" i="11"/>
  <c r="Y120" i="11"/>
  <c r="X120" i="11"/>
  <c r="G113" i="27"/>
  <c r="Y233" i="11"/>
  <c r="AA233" i="11"/>
  <c r="U233" i="11"/>
  <c r="R233" i="11"/>
  <c r="V233" i="11"/>
  <c r="Z233" i="11"/>
  <c r="X233" i="11"/>
  <c r="W233" i="11"/>
  <c r="S233" i="11"/>
  <c r="AC233" i="11"/>
  <c r="AB233" i="11"/>
  <c r="T233" i="11"/>
  <c r="N28" i="8"/>
  <c r="O34" i="8"/>
  <c r="E3" i="23"/>
  <c r="E2" i="21"/>
  <c r="E3" i="20"/>
  <c r="E3" i="17"/>
  <c r="E2" i="18"/>
  <c r="E3" i="19"/>
  <c r="E3" i="16"/>
  <c r="AC5" i="11"/>
  <c r="V11" i="11"/>
  <c r="V13" i="11"/>
  <c r="Z15" i="11"/>
  <c r="T19" i="11"/>
  <c r="G10" i="27"/>
  <c r="U21" i="11"/>
  <c r="T21" i="11"/>
  <c r="W21" i="11"/>
  <c r="Z21" i="11"/>
  <c r="AB29" i="11"/>
  <c r="G15" i="27"/>
  <c r="AC33" i="11"/>
  <c r="S33" i="11"/>
  <c r="Z33" i="11"/>
  <c r="R33" i="11"/>
  <c r="W33" i="11"/>
  <c r="AB33" i="11"/>
  <c r="X35" i="11"/>
  <c r="T43" i="11"/>
  <c r="L50" i="11"/>
  <c r="K49" i="11"/>
  <c r="J52" i="11"/>
  <c r="J51" i="11" s="1"/>
  <c r="L54" i="11"/>
  <c r="AA74" i="11"/>
  <c r="U79" i="11"/>
  <c r="L93" i="11"/>
  <c r="K92" i="11"/>
  <c r="AC104" i="11"/>
  <c r="K150" i="11"/>
  <c r="L151" i="11"/>
  <c r="G83" i="27"/>
  <c r="X172" i="11"/>
  <c r="V172" i="11"/>
  <c r="S172" i="11"/>
  <c r="AB172" i="11"/>
  <c r="Z172" i="11"/>
  <c r="Y172" i="11"/>
  <c r="W172" i="11"/>
  <c r="U172" i="11"/>
  <c r="T172" i="11"/>
  <c r="AC172" i="11"/>
  <c r="L203" i="11"/>
  <c r="K202" i="11"/>
  <c r="G106" i="27"/>
  <c r="X218" i="11"/>
  <c r="Z218" i="11"/>
  <c r="T218" i="11"/>
  <c r="AC218" i="11"/>
  <c r="W218" i="11"/>
  <c r="Y218" i="11"/>
  <c r="V218" i="11"/>
  <c r="U218" i="11"/>
  <c r="R218" i="11"/>
  <c r="AB218" i="11"/>
  <c r="AA218" i="11"/>
  <c r="S218" i="11"/>
  <c r="G59" i="27"/>
  <c r="T124" i="11"/>
  <c r="V124" i="11"/>
  <c r="AC124" i="11"/>
  <c r="R124" i="11"/>
  <c r="Z124" i="11"/>
  <c r="X124" i="11"/>
  <c r="G60" i="27"/>
  <c r="Z126" i="11"/>
  <c r="T126" i="11"/>
  <c r="AB126" i="11"/>
  <c r="V126" i="11"/>
  <c r="S126" i="11"/>
  <c r="AC126" i="11"/>
  <c r="J135" i="11"/>
  <c r="J134" i="11" s="1"/>
  <c r="I134" i="11"/>
  <c r="K136" i="11"/>
  <c r="L137" i="11"/>
  <c r="G50" i="27"/>
  <c r="Z106" i="11"/>
  <c r="AC106" i="11"/>
  <c r="R106" i="11"/>
  <c r="Y106" i="11"/>
  <c r="AB106" i="11"/>
  <c r="X106" i="11"/>
  <c r="G51" i="27"/>
  <c r="V108" i="11"/>
  <c r="AB108" i="11"/>
  <c r="Y108" i="11"/>
  <c r="T108" i="11"/>
  <c r="R108" i="11"/>
  <c r="AC108" i="11"/>
  <c r="G53" i="27"/>
  <c r="X112" i="11"/>
  <c r="AA112" i="11"/>
  <c r="W112" i="11"/>
  <c r="T112" i="11"/>
  <c r="Z112" i="11"/>
  <c r="V112" i="11"/>
  <c r="I116" i="11"/>
  <c r="J117" i="11"/>
  <c r="J116" i="11" s="1"/>
  <c r="G62" i="27"/>
  <c r="AB130" i="11"/>
  <c r="R130" i="11"/>
  <c r="S130" i="11"/>
  <c r="Z130" i="11"/>
  <c r="U130" i="11"/>
  <c r="Y130" i="11"/>
  <c r="W130" i="11"/>
  <c r="G63" i="27"/>
  <c r="X132" i="11"/>
  <c r="AC132" i="11"/>
  <c r="R132" i="11"/>
  <c r="Z132" i="11"/>
  <c r="AA132" i="11"/>
  <c r="T132" i="11"/>
  <c r="J133" i="11"/>
  <c r="J132" i="11" s="1"/>
  <c r="G84" i="27"/>
  <c r="T174" i="11"/>
  <c r="V174" i="11"/>
  <c r="AC174" i="11"/>
  <c r="R174" i="11"/>
  <c r="W174" i="11"/>
  <c r="Y174" i="11"/>
  <c r="U174" i="11"/>
  <c r="G85" i="27"/>
  <c r="Z176" i="11"/>
  <c r="T176" i="11"/>
  <c r="AB176" i="11"/>
  <c r="AA176" i="11"/>
  <c r="S176" i="11"/>
  <c r="K180" i="11"/>
  <c r="L181" i="11"/>
  <c r="K186" i="11"/>
  <c r="L187" i="11"/>
  <c r="L199" i="11"/>
  <c r="K198" i="11"/>
  <c r="G98" i="27"/>
  <c r="Z202" i="11"/>
  <c r="U202" i="11"/>
  <c r="AA202" i="11"/>
  <c r="W202" i="11"/>
  <c r="S202" i="11"/>
  <c r="AB202" i="11"/>
  <c r="Y202" i="11"/>
  <c r="X202" i="11"/>
  <c r="T202" i="11"/>
  <c r="G110" i="27"/>
  <c r="AA227" i="11"/>
  <c r="S227" i="11"/>
  <c r="Z227" i="11"/>
  <c r="W227" i="11"/>
  <c r="T227" i="11"/>
  <c r="AB227" i="11"/>
  <c r="I77" i="11"/>
  <c r="J78" i="11"/>
  <c r="J77" i="11" s="1"/>
  <c r="X86" i="11"/>
  <c r="I92" i="11"/>
  <c r="J93" i="11"/>
  <c r="J92" i="11" s="1"/>
  <c r="K94" i="11"/>
  <c r="L103" i="11"/>
  <c r="K102" i="11"/>
  <c r="J107" i="11"/>
  <c r="J106" i="11" s="1"/>
  <c r="K108" i="11"/>
  <c r="G52" i="27"/>
  <c r="AB110" i="11"/>
  <c r="R110" i="11"/>
  <c r="AA110" i="11"/>
  <c r="X110" i="11"/>
  <c r="Z110" i="11"/>
  <c r="Y110" i="11"/>
  <c r="L133" i="11"/>
  <c r="K132" i="11"/>
  <c r="W158" i="11"/>
  <c r="G78" i="27"/>
  <c r="X162" i="11"/>
  <c r="AA162" i="11"/>
  <c r="W162" i="11"/>
  <c r="Z162" i="11"/>
  <c r="Y162" i="11"/>
  <c r="U162" i="11"/>
  <c r="G86" i="27"/>
  <c r="V178" i="11"/>
  <c r="S178" i="11"/>
  <c r="AA178" i="11"/>
  <c r="T178" i="11"/>
  <c r="AC178" i="11"/>
  <c r="Z178" i="11"/>
  <c r="K214" i="11"/>
  <c r="G105" i="27"/>
  <c r="AB216" i="11"/>
  <c r="R216" i="11"/>
  <c r="Z216" i="11"/>
  <c r="Y216" i="11"/>
  <c r="AC216" i="11"/>
  <c r="AA216" i="11"/>
  <c r="X216" i="11"/>
  <c r="V216" i="11"/>
  <c r="G114" i="27"/>
  <c r="U235" i="11"/>
  <c r="Z235" i="11"/>
  <c r="X235" i="11"/>
  <c r="T235" i="11"/>
  <c r="V235" i="11"/>
  <c r="S235" i="11"/>
  <c r="R235" i="11"/>
  <c r="L242" i="11"/>
  <c r="G99" i="27"/>
  <c r="V204" i="11"/>
  <c r="T204" i="11"/>
  <c r="AC204" i="11"/>
  <c r="Z204" i="11"/>
  <c r="Y204" i="11"/>
  <c r="X204" i="11"/>
  <c r="W204" i="11"/>
  <c r="S204" i="11"/>
  <c r="L211" i="11"/>
  <c r="K210" i="11"/>
  <c r="R227" i="11"/>
  <c r="G26" i="27"/>
  <c r="X56" i="11"/>
  <c r="U56" i="11"/>
  <c r="T56" i="11"/>
  <c r="AA56" i="11"/>
  <c r="S106" i="11"/>
  <c r="R112" i="11"/>
  <c r="S124" i="11"/>
  <c r="R126" i="11"/>
  <c r="S132" i="11"/>
  <c r="G73" i="27"/>
  <c r="X152" i="11"/>
  <c r="T152" i="11"/>
  <c r="AB152" i="11"/>
  <c r="U152" i="11"/>
  <c r="AC152" i="11"/>
  <c r="AA152" i="11"/>
  <c r="I160" i="11"/>
  <c r="J161" i="11"/>
  <c r="J160" i="11" s="1"/>
  <c r="L163" i="11"/>
  <c r="R176" i="11"/>
  <c r="J189" i="11"/>
  <c r="J188" i="11" s="1"/>
  <c r="G97" i="27"/>
  <c r="T200" i="11"/>
  <c r="W200" i="11"/>
  <c r="Z200" i="11"/>
  <c r="V200" i="11"/>
  <c r="AA200" i="11"/>
  <c r="AC200" i="11"/>
  <c r="AB200" i="11"/>
  <c r="X200" i="11"/>
  <c r="R202" i="11"/>
  <c r="U227" i="11"/>
  <c r="G112" i="27"/>
  <c r="AC231" i="11"/>
  <c r="S231" i="11"/>
  <c r="AA231" i="11"/>
  <c r="R231" i="11"/>
  <c r="Z231" i="11"/>
  <c r="Y231" i="11"/>
  <c r="AB231" i="11"/>
  <c r="X231" i="11"/>
  <c r="W231" i="11"/>
  <c r="U231" i="11"/>
  <c r="G40" i="27"/>
  <c r="Z86" i="11"/>
  <c r="AA86" i="11"/>
  <c r="W86" i="11"/>
  <c r="U86" i="11"/>
  <c r="AC86" i="11"/>
  <c r="T106" i="11"/>
  <c r="S108" i="11"/>
  <c r="S112" i="11"/>
  <c r="U124" i="11"/>
  <c r="U126" i="11"/>
  <c r="T130" i="11"/>
  <c r="U132" i="11"/>
  <c r="G69" i="27"/>
  <c r="T144" i="11"/>
  <c r="X144" i="11"/>
  <c r="U144" i="11"/>
  <c r="AA144" i="11"/>
  <c r="Y144" i="11"/>
  <c r="V144" i="11"/>
  <c r="G76" i="27"/>
  <c r="V158" i="11"/>
  <c r="AB158" i="11"/>
  <c r="Y158" i="11"/>
  <c r="X158" i="11"/>
  <c r="AC158" i="11"/>
  <c r="U176" i="11"/>
  <c r="G91" i="27"/>
  <c r="V188" i="11"/>
  <c r="Z188" i="11"/>
  <c r="W188" i="11"/>
  <c r="Y188" i="11"/>
  <c r="X188" i="11"/>
  <c r="U188" i="11"/>
  <c r="T188" i="11"/>
  <c r="R188" i="11"/>
  <c r="V202" i="11"/>
  <c r="K206" i="11"/>
  <c r="L207" i="11"/>
  <c r="V227" i="11"/>
  <c r="J213" i="11"/>
  <c r="J212" i="11" s="1"/>
  <c r="I212" i="11"/>
  <c r="J224" i="11"/>
  <c r="J223" i="11" s="1"/>
  <c r="I223" i="11"/>
  <c r="J20" i="11"/>
  <c r="J19" i="11" s="1"/>
  <c r="G14" i="27"/>
  <c r="W31" i="11"/>
  <c r="T31" i="11"/>
  <c r="AC31" i="11"/>
  <c r="V106" i="11"/>
  <c r="W108" i="11"/>
  <c r="U110" i="11"/>
  <c r="Y112" i="11"/>
  <c r="Y124" i="11"/>
  <c r="X126" i="11"/>
  <c r="X130" i="11"/>
  <c r="W132" i="11"/>
  <c r="J139" i="11"/>
  <c r="J138" i="11" s="1"/>
  <c r="T162" i="11"/>
  <c r="X174" i="11"/>
  <c r="W176" i="11"/>
  <c r="W178" i="11"/>
  <c r="L183" i="11"/>
  <c r="K182" i="11"/>
  <c r="U204" i="11"/>
  <c r="G100" i="27"/>
  <c r="AB206" i="11"/>
  <c r="R206" i="11"/>
  <c r="T206" i="11"/>
  <c r="S206" i="11"/>
  <c r="AA206" i="11"/>
  <c r="Y206" i="11"/>
  <c r="W206" i="11"/>
  <c r="V206" i="11"/>
  <c r="U206" i="11"/>
  <c r="L219" i="11"/>
  <c r="K218" i="11"/>
  <c r="Y227" i="11"/>
  <c r="T231" i="11"/>
  <c r="R144" i="11"/>
  <c r="R152" i="11"/>
  <c r="R158" i="11"/>
  <c r="Z174" i="11"/>
  <c r="X176" i="11"/>
  <c r="G88" i="27"/>
  <c r="X182" i="11"/>
  <c r="AC182" i="11"/>
  <c r="R182" i="11"/>
  <c r="Z182" i="11"/>
  <c r="S182" i="11"/>
  <c r="V182" i="11"/>
  <c r="T182" i="11"/>
  <c r="J203" i="11"/>
  <c r="J202" i="11" s="1"/>
  <c r="AA204" i="11"/>
  <c r="T216" i="11"/>
  <c r="AC227" i="11"/>
  <c r="V231" i="11"/>
  <c r="AB235" i="11"/>
  <c r="J88" i="14"/>
  <c r="AB261" i="13"/>
  <c r="J14" i="14"/>
  <c r="P14" i="14" s="1"/>
  <c r="AB296" i="13"/>
  <c r="J19" i="14"/>
  <c r="AB301" i="13"/>
  <c r="J109" i="11"/>
  <c r="J108" i="11" s="1"/>
  <c r="L121" i="11"/>
  <c r="G67" i="27"/>
  <c r="AB140" i="11"/>
  <c r="R140" i="11"/>
  <c r="Y140" i="11"/>
  <c r="V140" i="11"/>
  <c r="AA140" i="11"/>
  <c r="L171" i="11"/>
  <c r="J183" i="11"/>
  <c r="J182" i="11" s="1"/>
  <c r="V186" i="11"/>
  <c r="K188" i="11"/>
  <c r="L189" i="11"/>
  <c r="G101" i="27"/>
  <c r="X208" i="11"/>
  <c r="S208" i="11"/>
  <c r="U208" i="11"/>
  <c r="AC208" i="11"/>
  <c r="R208" i="11"/>
  <c r="AB208" i="11"/>
  <c r="G109" i="27"/>
  <c r="U225" i="11"/>
  <c r="V225" i="11"/>
  <c r="Z225" i="11"/>
  <c r="W225" i="11"/>
  <c r="Y225" i="11"/>
  <c r="AC225" i="11"/>
  <c r="G120" i="27"/>
  <c r="Z248" i="11"/>
  <c r="AB248" i="11"/>
  <c r="T248" i="11"/>
  <c r="AC248" i="11"/>
  <c r="X248" i="11"/>
  <c r="AA248" i="11"/>
  <c r="J9" i="14"/>
  <c r="AB289" i="13"/>
  <c r="G17" i="27"/>
  <c r="U37" i="11"/>
  <c r="AB37" i="11"/>
  <c r="R37" i="11"/>
  <c r="Y37" i="11"/>
  <c r="G22" i="27"/>
  <c r="U47" i="11"/>
  <c r="AB47" i="11"/>
  <c r="R47" i="11"/>
  <c r="Y47" i="11"/>
  <c r="L67" i="11"/>
  <c r="L127" i="11"/>
  <c r="S140" i="11"/>
  <c r="J159" i="11"/>
  <c r="J158" i="11" s="1"/>
  <c r="I166" i="11"/>
  <c r="J167" i="11"/>
  <c r="J166" i="11" s="1"/>
  <c r="G93" i="27"/>
  <c r="Z192" i="11"/>
  <c r="Y192" i="11"/>
  <c r="AA192" i="11"/>
  <c r="V192" i="11"/>
  <c r="AB192" i="11"/>
  <c r="G96" i="27"/>
  <c r="X198" i="11"/>
  <c r="W198" i="11"/>
  <c r="V198" i="11"/>
  <c r="S198" i="11"/>
  <c r="AC198" i="11"/>
  <c r="G102" i="27"/>
  <c r="T210" i="11"/>
  <c r="AC210" i="11"/>
  <c r="R210" i="11"/>
  <c r="W210" i="11"/>
  <c r="S210" i="11"/>
  <c r="AB210" i="11"/>
  <c r="F108" i="27"/>
  <c r="M221" i="11"/>
  <c r="G115" i="27"/>
  <c r="AA237" i="11"/>
  <c r="W237" i="11"/>
  <c r="Y237" i="11"/>
  <c r="U237" i="11"/>
  <c r="Z237" i="11"/>
  <c r="K248" i="11"/>
  <c r="J249" i="11"/>
  <c r="J248" i="11" s="1"/>
  <c r="AB117" i="13"/>
  <c r="J195" i="11"/>
  <c r="J194" i="11" s="1"/>
  <c r="I194" i="11"/>
  <c r="I196" i="11"/>
  <c r="J197" i="11"/>
  <c r="J196" i="11" s="1"/>
  <c r="L226" i="11"/>
  <c r="G116" i="27"/>
  <c r="W239" i="11"/>
  <c r="V239" i="11"/>
  <c r="AB239" i="11"/>
  <c r="Y239" i="11"/>
  <c r="T239" i="11"/>
  <c r="AB133" i="13"/>
  <c r="G90" i="27"/>
  <c r="Z186" i="11"/>
  <c r="AA186" i="11"/>
  <c r="W186" i="11"/>
  <c r="R186" i="11"/>
  <c r="AC186" i="11"/>
  <c r="L193" i="11"/>
  <c r="J240" i="11"/>
  <c r="J239" i="11" s="1"/>
  <c r="G118" i="27"/>
  <c r="Y243" i="11"/>
  <c r="T243" i="11"/>
  <c r="S243" i="11"/>
  <c r="AB243" i="11"/>
  <c r="AA243" i="11"/>
  <c r="R248" i="11"/>
  <c r="J86" i="14"/>
  <c r="AB258" i="13"/>
  <c r="J93" i="14"/>
  <c r="AB267" i="13"/>
  <c r="J100" i="14"/>
  <c r="AB272" i="13"/>
  <c r="U248" i="11"/>
  <c r="AB225" i="13"/>
  <c r="AB193" i="13"/>
  <c r="AB213" i="13"/>
  <c r="AB241" i="13"/>
  <c r="AB256" i="13"/>
  <c r="J91" i="14"/>
  <c r="AB265" i="13"/>
  <c r="AB211" i="13"/>
  <c r="J15" i="14"/>
  <c r="AB297" i="13"/>
  <c r="J141" i="14"/>
  <c r="AB324" i="13"/>
  <c r="AB100" i="13"/>
  <c r="AB131" i="13"/>
  <c r="AB138" i="13"/>
  <c r="AB207" i="13"/>
  <c r="J87" i="14"/>
  <c r="AB259" i="13"/>
  <c r="J94" i="14"/>
  <c r="AB268" i="13"/>
  <c r="AB290" i="13"/>
  <c r="AB114" i="13"/>
  <c r="AB152" i="13"/>
  <c r="AB231" i="13"/>
  <c r="J97" i="14"/>
  <c r="AB271" i="13"/>
  <c r="J12" i="14"/>
  <c r="AB293" i="13"/>
  <c r="AB278" i="13"/>
  <c r="J16" i="14"/>
  <c r="AB298" i="13"/>
  <c r="L113" i="11"/>
  <c r="K138" i="11"/>
  <c r="L139" i="11"/>
  <c r="L143" i="11"/>
  <c r="L153" i="11"/>
  <c r="K227" i="11"/>
  <c r="L228" i="11"/>
  <c r="J242" i="11"/>
  <c r="J241" i="11" s="1"/>
  <c r="I241" i="11"/>
  <c r="AB126" i="13"/>
  <c r="AB132" i="13"/>
  <c r="AB157" i="13"/>
  <c r="AB219" i="13"/>
  <c r="J98" i="14"/>
  <c r="AB269" i="13"/>
  <c r="J102" i="14"/>
  <c r="AB274" i="13"/>
  <c r="J167" i="14"/>
  <c r="AB353" i="13"/>
  <c r="J174" i="14"/>
  <c r="AB360" i="13"/>
  <c r="J73" i="11"/>
  <c r="J72" i="11" s="1"/>
  <c r="J119" i="11"/>
  <c r="J118" i="11" s="1"/>
  <c r="J169" i="11"/>
  <c r="J168" i="11" s="1"/>
  <c r="L238" i="11"/>
  <c r="AB128" i="13"/>
  <c r="AB145" i="13"/>
  <c r="J25" i="14"/>
  <c r="AB305" i="13"/>
  <c r="J11" i="14"/>
  <c r="J23" i="14"/>
  <c r="AB303" i="13"/>
  <c r="J138" i="14"/>
  <c r="AB320" i="13"/>
  <c r="J172" i="14"/>
  <c r="AB358" i="13"/>
  <c r="AB331" i="13"/>
  <c r="I72" i="11"/>
  <c r="I118" i="11"/>
  <c r="L123" i="11"/>
  <c r="I168" i="11"/>
  <c r="L173" i="11"/>
  <c r="AB159" i="13"/>
  <c r="J101" i="14"/>
  <c r="AB273" i="13"/>
  <c r="AB292" i="13"/>
  <c r="J17" i="14"/>
  <c r="AB299" i="13"/>
  <c r="AB329" i="13"/>
  <c r="J152" i="14"/>
  <c r="AB334" i="13"/>
  <c r="J119" i="14"/>
  <c r="AB390" i="13"/>
  <c r="J36" i="14"/>
  <c r="AB415" i="13"/>
  <c r="J40" i="14"/>
  <c r="AB420" i="13"/>
  <c r="J45" i="14"/>
  <c r="AB425" i="13"/>
  <c r="J60" i="14"/>
  <c r="AB474" i="13"/>
  <c r="J139" i="14"/>
  <c r="J148" i="14"/>
  <c r="AB332" i="13"/>
  <c r="J112" i="14"/>
  <c r="AB381" i="13"/>
  <c r="AB306" i="13"/>
  <c r="J146" i="14"/>
  <c r="AB330" i="13"/>
  <c r="J21" i="14"/>
  <c r="AB304" i="13"/>
  <c r="J144" i="14"/>
  <c r="AB328" i="13"/>
  <c r="J171" i="14"/>
  <c r="AB357" i="13"/>
  <c r="J165" i="14"/>
  <c r="AB355" i="13"/>
  <c r="AB366" i="13"/>
  <c r="J114" i="14"/>
  <c r="AB384" i="13"/>
  <c r="J120" i="14"/>
  <c r="AB391" i="13"/>
  <c r="J37" i="14"/>
  <c r="AB416" i="13"/>
  <c r="J41" i="14"/>
  <c r="AB421" i="13"/>
  <c r="J48" i="14"/>
  <c r="AB426" i="13"/>
  <c r="J113" i="14"/>
  <c r="AB382" i="13"/>
  <c r="J68" i="14"/>
  <c r="AB484" i="13"/>
  <c r="J96" i="14"/>
  <c r="AB281" i="13"/>
  <c r="J118" i="14"/>
  <c r="AB389" i="13"/>
  <c r="AB409" i="13"/>
  <c r="J39" i="14"/>
  <c r="AB419" i="13"/>
  <c r="J44" i="14"/>
  <c r="AB424" i="13"/>
  <c r="J51" i="14"/>
  <c r="AB429" i="13"/>
  <c r="J66" i="14"/>
  <c r="AB482" i="13"/>
  <c r="J123" i="14"/>
  <c r="AB394" i="13"/>
  <c r="J134" i="14"/>
  <c r="AB401" i="13"/>
  <c r="AB270" i="13"/>
  <c r="J178" i="14"/>
  <c r="AB361" i="13"/>
  <c r="J124" i="14"/>
  <c r="AB392" i="13"/>
  <c r="J34" i="14"/>
  <c r="AB412" i="13"/>
  <c r="J42" i="14"/>
  <c r="AB422" i="13"/>
  <c r="J49" i="14"/>
  <c r="AB427" i="13"/>
  <c r="J63" i="14"/>
  <c r="AB478" i="13"/>
  <c r="J205" i="11"/>
  <c r="J204" i="11" s="1"/>
  <c r="AB255" i="13"/>
  <c r="J103" i="14"/>
  <c r="AB275" i="13"/>
  <c r="AB309" i="13"/>
  <c r="J173" i="14"/>
  <c r="AB359" i="13"/>
  <c r="J188" i="14"/>
  <c r="AB370" i="13"/>
  <c r="J122" i="14"/>
  <c r="J35" i="14"/>
  <c r="AB413" i="13"/>
  <c r="J46" i="14"/>
  <c r="AB423" i="13"/>
  <c r="J50" i="14"/>
  <c r="AB428" i="13"/>
  <c r="AB435" i="13"/>
  <c r="J74" i="14"/>
  <c r="AB488" i="13"/>
  <c r="J70" i="14"/>
  <c r="AB486" i="13"/>
  <c r="J117" i="14"/>
  <c r="AB388" i="13"/>
  <c r="J126" i="14"/>
  <c r="AB406" i="13"/>
  <c r="S9" i="15"/>
  <c r="Q9" i="15"/>
  <c r="P9" i="15"/>
  <c r="U9" i="15"/>
  <c r="T9" i="15"/>
  <c r="R9" i="15"/>
  <c r="AB490" i="13"/>
  <c r="J155" i="14"/>
  <c r="AB378" i="13"/>
  <c r="J129" i="14"/>
  <c r="AB398" i="13"/>
  <c r="J115" i="14"/>
  <c r="J127" i="14"/>
  <c r="AB396" i="13"/>
  <c r="J30" i="14"/>
  <c r="V54" i="14"/>
  <c r="S80" i="14"/>
  <c r="V107" i="14"/>
  <c r="S133" i="14"/>
  <c r="U30" i="14"/>
  <c r="S55" i="14"/>
  <c r="J80" i="14"/>
  <c r="T80" i="14"/>
  <c r="Q106" i="14"/>
  <c r="J133" i="14"/>
  <c r="T133" i="14"/>
  <c r="E9" i="26"/>
  <c r="M26" i="17"/>
  <c r="AN16" i="3" s="1"/>
  <c r="M22" i="17"/>
  <c r="AN11" i="3" s="1"/>
  <c r="M8" i="17"/>
  <c r="M43" i="17"/>
  <c r="M40" i="17"/>
  <c r="AN35" i="3" s="1"/>
  <c r="M37" i="17"/>
  <c r="AN32" i="3" s="1"/>
  <c r="M38" i="17"/>
  <c r="AN33" i="3" s="1"/>
  <c r="J177" i="14"/>
  <c r="J181" i="14"/>
  <c r="J183" i="14"/>
  <c r="V30" i="14"/>
  <c r="J55" i="14"/>
  <c r="T55" i="14"/>
  <c r="Q81" i="14"/>
  <c r="R106" i="14"/>
  <c r="U133" i="14"/>
  <c r="D6" i="26"/>
  <c r="J38" i="16"/>
  <c r="J22" i="16"/>
  <c r="J40" i="16"/>
  <c r="J43" i="16"/>
  <c r="J37" i="16"/>
  <c r="J8" i="16"/>
  <c r="J26" i="16"/>
  <c r="Q29" i="14"/>
  <c r="R81" i="14"/>
  <c r="S106" i="14"/>
  <c r="V133" i="14"/>
  <c r="R29" i="14"/>
  <c r="V55" i="14"/>
  <c r="S81" i="14"/>
  <c r="J106" i="14"/>
  <c r="T106" i="14"/>
  <c r="Q132" i="14"/>
  <c r="Q54" i="14"/>
  <c r="Q107" i="14"/>
  <c r="R54" i="14"/>
  <c r="U81" i="14"/>
  <c r="V106" i="14"/>
  <c r="R107" i="14"/>
  <c r="Q30" i="14"/>
  <c r="S54" i="14"/>
  <c r="S107" i="14"/>
  <c r="J132" i="14"/>
  <c r="T132" i="14"/>
  <c r="V29" i="14"/>
  <c r="R30" i="14"/>
  <c r="J54" i="14"/>
  <c r="Q80" i="14"/>
  <c r="Q133" i="14"/>
  <c r="V159" i="14"/>
  <c r="Q158" i="14"/>
  <c r="Q187" i="14"/>
  <c r="N3" i="22"/>
  <c r="O12" i="15"/>
  <c r="N23" i="22" s="1"/>
  <c r="DL11" i="3" s="1"/>
  <c r="R187" i="14"/>
  <c r="O16" i="15"/>
  <c r="J16" i="16"/>
  <c r="E10" i="26"/>
  <c r="N22" i="17"/>
  <c r="AO11" i="3" s="1"/>
  <c r="N43" i="17"/>
  <c r="N8" i="17"/>
  <c r="S158" i="14"/>
  <c r="S187" i="14"/>
  <c r="M17" i="16"/>
  <c r="M10" i="16" s="1"/>
  <c r="M9" i="16" s="1"/>
  <c r="M16" i="16"/>
  <c r="J158" i="14"/>
  <c r="T158" i="14"/>
  <c r="J187" i="14"/>
  <c r="T187" i="14"/>
  <c r="O10" i="15"/>
  <c r="N21" i="18" s="1"/>
  <c r="BD11" i="3" s="1"/>
  <c r="N16" i="16"/>
  <c r="N17" i="16"/>
  <c r="N10" i="16" s="1"/>
  <c r="N9" i="16" s="1"/>
  <c r="J37" i="18"/>
  <c r="AZ33" i="3" s="1"/>
  <c r="U158" i="14"/>
  <c r="Q159" i="14"/>
  <c r="U187" i="14"/>
  <c r="W15" i="16"/>
  <c r="V158" i="14"/>
  <c r="R159" i="14"/>
  <c r="V187" i="14"/>
  <c r="W42" i="17"/>
  <c r="AW38" i="3" s="1"/>
  <c r="S159" i="14"/>
  <c r="F10" i="26"/>
  <c r="N42" i="18"/>
  <c r="N11" i="18"/>
  <c r="N10" i="18"/>
  <c r="J159" i="14"/>
  <c r="T159" i="14"/>
  <c r="W42" i="16"/>
  <c r="E6" i="26"/>
  <c r="J43" i="17"/>
  <c r="J38" i="17"/>
  <c r="AK33" i="3" s="1"/>
  <c r="J8" i="17"/>
  <c r="J26" i="17"/>
  <c r="AK16" i="3" s="1"/>
  <c r="J22" i="17"/>
  <c r="AK11" i="3" s="1"/>
  <c r="J40" i="17"/>
  <c r="AK35" i="3" s="1"/>
  <c r="J37" i="17"/>
  <c r="AK32" i="3" s="1"/>
  <c r="V15" i="16"/>
  <c r="I17" i="16"/>
  <c r="E7" i="26"/>
  <c r="K37" i="17"/>
  <c r="AL32" i="3" s="1"/>
  <c r="K26" i="17"/>
  <c r="AL16" i="3" s="1"/>
  <c r="K22" i="17"/>
  <c r="AL11" i="3" s="1"/>
  <c r="K43" i="17"/>
  <c r="K38" i="17"/>
  <c r="AL33" i="3" s="1"/>
  <c r="N9" i="18"/>
  <c r="W15" i="17"/>
  <c r="M16" i="17"/>
  <c r="I15" i="18"/>
  <c r="V14" i="18"/>
  <c r="I16" i="18"/>
  <c r="W14" i="18"/>
  <c r="F6" i="26"/>
  <c r="J21" i="18"/>
  <c r="AZ11" i="3" s="1"/>
  <c r="J36" i="18"/>
  <c r="AZ32" i="3" s="1"/>
  <c r="J42" i="18"/>
  <c r="J25" i="18"/>
  <c r="AZ16" i="3" s="1"/>
  <c r="J9" i="18"/>
  <c r="J10" i="18"/>
  <c r="L16" i="18"/>
  <c r="L8" i="18" s="1"/>
  <c r="O35" i="12" s="1"/>
  <c r="L15" i="18"/>
  <c r="J15" i="18"/>
  <c r="V15" i="19"/>
  <c r="J7" i="18"/>
  <c r="AZ3" i="3" s="1"/>
  <c r="J11" i="18"/>
  <c r="V15" i="17"/>
  <c r="F9" i="26"/>
  <c r="M39" i="18"/>
  <c r="BC35" i="3" s="1"/>
  <c r="M9" i="18"/>
  <c r="M36" i="18"/>
  <c r="BC32" i="3" s="1"/>
  <c r="M21" i="18"/>
  <c r="BC11" i="3" s="1"/>
  <c r="M25" i="18"/>
  <c r="BC16" i="3" s="1"/>
  <c r="G10" i="26"/>
  <c r="N43" i="19"/>
  <c r="N10" i="19"/>
  <c r="N12" i="19"/>
  <c r="N8" i="19"/>
  <c r="N22" i="19"/>
  <c r="BS11" i="3" s="1"/>
  <c r="G7" i="26"/>
  <c r="K26" i="19"/>
  <c r="BP16" i="3" s="1"/>
  <c r="K43" i="19"/>
  <c r="K12" i="19"/>
  <c r="K11" i="19"/>
  <c r="K10" i="19"/>
  <c r="K40" i="19"/>
  <c r="BP35" i="3" s="1"/>
  <c r="K8" i="19"/>
  <c r="K37" i="19"/>
  <c r="BP32" i="3" s="1"/>
  <c r="K22" i="19"/>
  <c r="BP11" i="3" s="1"/>
  <c r="L16" i="19"/>
  <c r="L17" i="19"/>
  <c r="L9" i="19" s="1"/>
  <c r="K16" i="17"/>
  <c r="J39" i="18"/>
  <c r="AZ35" i="3" s="1"/>
  <c r="M17" i="19"/>
  <c r="M9" i="19" s="1"/>
  <c r="M16" i="19"/>
  <c r="K38" i="19"/>
  <c r="BP33" i="3" s="1"/>
  <c r="V42" i="17"/>
  <c r="AV38" i="3" s="1"/>
  <c r="I17" i="20"/>
  <c r="V15" i="20"/>
  <c r="J17" i="20"/>
  <c r="J9" i="20" s="1"/>
  <c r="J16" i="20"/>
  <c r="W42" i="19"/>
  <c r="CA38" i="3" s="1"/>
  <c r="H8" i="26"/>
  <c r="L43" i="20"/>
  <c r="L38" i="20"/>
  <c r="CF33" i="3" s="1"/>
  <c r="L22" i="20"/>
  <c r="CF11" i="3" s="1"/>
  <c r="L11" i="20"/>
  <c r="L10" i="20"/>
  <c r="I16" i="20"/>
  <c r="W15" i="19"/>
  <c r="M16" i="20"/>
  <c r="M17" i="20"/>
  <c r="M9" i="20" s="1"/>
  <c r="N15" i="18"/>
  <c r="L26" i="20"/>
  <c r="CF16" i="3" s="1"/>
  <c r="L8" i="20"/>
  <c r="I17" i="19"/>
  <c r="L37" i="20"/>
  <c r="CF32" i="3" s="1"/>
  <c r="J17" i="19"/>
  <c r="J9" i="19" s="1"/>
  <c r="W15" i="20"/>
  <c r="L40" i="20"/>
  <c r="CF35" i="3" s="1"/>
  <c r="L16" i="20"/>
  <c r="K17" i="20"/>
  <c r="K9" i="20" s="1"/>
  <c r="V42" i="20"/>
  <c r="CO38" i="3" s="1"/>
  <c r="I8" i="26"/>
  <c r="L23" i="21"/>
  <c r="L9" i="21"/>
  <c r="L25" i="21"/>
  <c r="CU15" i="3" s="1"/>
  <c r="L44" i="21"/>
  <c r="L10" i="21"/>
  <c r="J10" i="26"/>
  <c r="N44" i="22"/>
  <c r="N10" i="22"/>
  <c r="N13" i="22"/>
  <c r="N12" i="17" s="1"/>
  <c r="N8" i="22"/>
  <c r="M16" i="21"/>
  <c r="M8" i="21" s="1"/>
  <c r="M27" i="21" s="1"/>
  <c r="M15" i="21"/>
  <c r="J6" i="26"/>
  <c r="J41" i="22"/>
  <c r="DH35" i="3" s="1"/>
  <c r="J23" i="22"/>
  <c r="DH11" i="3" s="1"/>
  <c r="J38" i="22"/>
  <c r="DH32" i="3" s="1"/>
  <c r="J44" i="22"/>
  <c r="J39" i="22"/>
  <c r="DH33" i="3" s="1"/>
  <c r="J13" i="22"/>
  <c r="J12" i="17" s="1"/>
  <c r="J8" i="22"/>
  <c r="J27" i="22"/>
  <c r="DH16" i="3" s="1"/>
  <c r="J12" i="22"/>
  <c r="J11" i="17" s="1"/>
  <c r="J10" i="22"/>
  <c r="V14" i="21"/>
  <c r="L15" i="21"/>
  <c r="I16" i="21"/>
  <c r="L18" i="22"/>
  <c r="L9" i="22" s="1"/>
  <c r="L11" i="22" s="1"/>
  <c r="L11" i="16" s="1"/>
  <c r="J16" i="21"/>
  <c r="J8" i="21" s="1"/>
  <c r="J27" i="21" s="1"/>
  <c r="V16" i="22"/>
  <c r="K16" i="21"/>
  <c r="K8" i="21" s="1"/>
  <c r="K27" i="21" s="1"/>
  <c r="J7" i="26"/>
  <c r="K38" i="22"/>
  <c r="DI32" i="3" s="1"/>
  <c r="K23" i="22"/>
  <c r="DI11" i="3" s="1"/>
  <c r="K27" i="22"/>
  <c r="DI16" i="3" s="1"/>
  <c r="K41" i="22"/>
  <c r="DI35" i="3" s="1"/>
  <c r="K39" i="22"/>
  <c r="DI33" i="3" s="1"/>
  <c r="K44" i="22"/>
  <c r="W16" i="22"/>
  <c r="V43" i="22"/>
  <c r="DS38" i="3" s="1"/>
  <c r="W14" i="21"/>
  <c r="M18" i="22"/>
  <c r="M9" i="22" s="1"/>
  <c r="M11" i="22" s="1"/>
  <c r="M11" i="16" s="1"/>
  <c r="M17" i="22"/>
  <c r="W43" i="22"/>
  <c r="DT38" i="3" s="1"/>
  <c r="Q16" i="23"/>
  <c r="Q9" i="23" s="1"/>
  <c r="N17" i="22"/>
  <c r="J17" i="23"/>
  <c r="J16" i="23"/>
  <c r="J9" i="23" s="1"/>
  <c r="P16" i="23"/>
  <c r="P9" i="23" s="1"/>
  <c r="T16" i="23"/>
  <c r="T9" i="23" s="1"/>
  <c r="W11" i="23"/>
  <c r="W12" i="23"/>
  <c r="K17" i="23"/>
  <c r="K16" i="23"/>
  <c r="K9" i="23" s="1"/>
  <c r="V15" i="23"/>
  <c r="L17" i="23"/>
  <c r="L16" i="23"/>
  <c r="L9" i="23" s="1"/>
  <c r="W15" i="23"/>
  <c r="N18" i="23"/>
  <c r="W31" i="23"/>
  <c r="EI24" i="3" s="1"/>
  <c r="V33" i="23"/>
  <c r="EH28" i="3" s="1"/>
  <c r="W38" i="23"/>
  <c r="EI33" i="3" s="1"/>
  <c r="I27" i="24"/>
  <c r="F14" i="3" s="1"/>
  <c r="W18" i="23"/>
  <c r="N21" i="23"/>
  <c r="L32" i="23"/>
  <c r="DY25" i="3" s="1"/>
  <c r="W33" i="23"/>
  <c r="EI28" i="3" s="1"/>
  <c r="Q36" i="23"/>
  <c r="ED30" i="3" s="1"/>
  <c r="V39" i="23"/>
  <c r="EH34" i="3" s="1"/>
  <c r="I41" i="23"/>
  <c r="W44" i="23"/>
  <c r="EI39" i="3" s="1"/>
  <c r="K27" i="24"/>
  <c r="H14" i="3" s="1"/>
  <c r="I32" i="24"/>
  <c r="J32" i="24"/>
  <c r="O21" i="23"/>
  <c r="J27" i="23"/>
  <c r="K17" i="22"/>
  <c r="I18" i="22"/>
  <c r="V19" i="23"/>
  <c r="EH4" i="3" s="1"/>
  <c r="L27" i="23"/>
  <c r="W28" i="23"/>
  <c r="EI21" i="3" s="1"/>
  <c r="R27" i="23"/>
  <c r="V15" i="24"/>
  <c r="M16" i="23"/>
  <c r="M9" i="23" s="1"/>
  <c r="O27" i="23"/>
  <c r="V35" i="23"/>
  <c r="EH27" i="3" s="1"/>
  <c r="L36" i="23"/>
  <c r="DY30" i="3" s="1"/>
  <c r="W37" i="23"/>
  <c r="EI32" i="3" s="1"/>
  <c r="M41" i="23"/>
  <c r="W15" i="24"/>
  <c r="O16" i="23"/>
  <c r="O9" i="23" s="1"/>
  <c r="K18" i="23"/>
  <c r="M18" i="23"/>
  <c r="J21" i="23"/>
  <c r="C159" i="26"/>
  <c r="D8" i="26" l="1"/>
  <c r="L37" i="16"/>
  <c r="X32" i="3" s="1"/>
  <c r="L40" i="16"/>
  <c r="X35" i="3" s="1"/>
  <c r="L22" i="16"/>
  <c r="L43" i="16"/>
  <c r="L38" i="16"/>
  <c r="L26" i="16"/>
  <c r="L8" i="16"/>
  <c r="X3" i="3" s="1"/>
  <c r="N28" i="14"/>
  <c r="I10" i="16"/>
  <c r="I9" i="16" s="1"/>
  <c r="L9" i="17"/>
  <c r="L37" i="17" s="1"/>
  <c r="AM32" i="3" s="1"/>
  <c r="L10" i="17"/>
  <c r="I9" i="17"/>
  <c r="I10" i="17"/>
  <c r="K37" i="16"/>
  <c r="K9" i="26"/>
  <c r="M10" i="23"/>
  <c r="M8" i="23"/>
  <c r="CT14" i="3"/>
  <c r="J28" i="2"/>
  <c r="CV14" i="3"/>
  <c r="L28" i="2"/>
  <c r="CS14" i="3"/>
  <c r="I28" i="2"/>
  <c r="T169" i="14"/>
  <c r="S169" i="14"/>
  <c r="R169" i="14"/>
  <c r="Q169" i="14"/>
  <c r="P169" i="14"/>
  <c r="V169" i="14"/>
  <c r="CU11" i="3"/>
  <c r="K22" i="21"/>
  <c r="K21" i="21"/>
  <c r="M22" i="21"/>
  <c r="M21" i="21"/>
  <c r="J21" i="21"/>
  <c r="J22" i="21"/>
  <c r="V164" i="14"/>
  <c r="U164" i="14"/>
  <c r="T164" i="14"/>
  <c r="S164" i="14"/>
  <c r="R164" i="14"/>
  <c r="Q164" i="14"/>
  <c r="P164" i="14"/>
  <c r="W186" i="14"/>
  <c r="M39" i="21"/>
  <c r="M40" i="21"/>
  <c r="M41" i="21"/>
  <c r="L57" i="2" s="1"/>
  <c r="K39" i="21"/>
  <c r="K40" i="21"/>
  <c r="K41" i="21"/>
  <c r="J57" i="2" s="1"/>
  <c r="J39" i="21"/>
  <c r="J40" i="21"/>
  <c r="J41" i="21"/>
  <c r="I57" i="2" s="1"/>
  <c r="M33" i="12"/>
  <c r="N33" i="12"/>
  <c r="P33" i="12"/>
  <c r="M43" i="8"/>
  <c r="W8" i="25"/>
  <c r="I8" i="25"/>
  <c r="V8" i="25" s="1"/>
  <c r="M39" i="8"/>
  <c r="BS3" i="3"/>
  <c r="Q36" i="12"/>
  <c r="BP3" i="3"/>
  <c r="N36" i="12"/>
  <c r="CF3" i="3"/>
  <c r="O34" i="12"/>
  <c r="CH3" i="3"/>
  <c r="Q34" i="12"/>
  <c r="DI3" i="3"/>
  <c r="N26" i="12"/>
  <c r="DH3" i="3"/>
  <c r="M26" i="12"/>
  <c r="DL3" i="3"/>
  <c r="Q26" i="12"/>
  <c r="AN3" i="3"/>
  <c r="P25" i="12"/>
  <c r="AK3" i="3"/>
  <c r="M25" i="12"/>
  <c r="AO3" i="3"/>
  <c r="Q25" i="12"/>
  <c r="AL3" i="3"/>
  <c r="N25" i="12"/>
  <c r="V3" i="3"/>
  <c r="M24" i="12"/>
  <c r="O24" i="12"/>
  <c r="R14" i="14"/>
  <c r="S14" i="14"/>
  <c r="T14" i="14"/>
  <c r="U14" i="14"/>
  <c r="V14" i="14"/>
  <c r="AH38" i="3"/>
  <c r="AG38" i="3"/>
  <c r="X33" i="3"/>
  <c r="CU18" i="3"/>
  <c r="K27" i="2"/>
  <c r="CU17" i="3"/>
  <c r="K26" i="2"/>
  <c r="X16" i="3"/>
  <c r="X11" i="3"/>
  <c r="W32" i="3"/>
  <c r="V35" i="3"/>
  <c r="V33" i="3"/>
  <c r="V32" i="3"/>
  <c r="V16" i="3"/>
  <c r="V11" i="3"/>
  <c r="EU39" i="3"/>
  <c r="ET39" i="3"/>
  <c r="ES39" i="3"/>
  <c r="ER39" i="3"/>
  <c r="EQ39" i="3"/>
  <c r="EH39" i="3"/>
  <c r="EI19" i="3"/>
  <c r="EI9" i="3"/>
  <c r="EH19" i="3"/>
  <c r="EH9" i="3"/>
  <c r="CU20" i="3"/>
  <c r="K31" i="26"/>
  <c r="K21" i="18"/>
  <c r="BA11" i="3" s="1"/>
  <c r="W20" i="25"/>
  <c r="U50" i="2"/>
  <c r="V50" i="2"/>
  <c r="V20" i="25"/>
  <c r="V24" i="25"/>
  <c r="W24" i="25"/>
  <c r="J14" i="23"/>
  <c r="I14" i="23"/>
  <c r="M14" i="23"/>
  <c r="V43" i="24"/>
  <c r="K11" i="18"/>
  <c r="K25" i="18"/>
  <c r="BA16" i="3" s="1"/>
  <c r="P56" i="14"/>
  <c r="K56" i="14"/>
  <c r="N10" i="23"/>
  <c r="R56" i="14"/>
  <c r="K38" i="26"/>
  <c r="T65" i="14"/>
  <c r="V61" i="14"/>
  <c r="L14" i="23"/>
  <c r="O14" i="23"/>
  <c r="S14" i="23"/>
  <c r="Q14" i="23"/>
  <c r="L61" i="14"/>
  <c r="J23" i="18" s="1"/>
  <c r="AZ13" i="3" s="1"/>
  <c r="Q61" i="14"/>
  <c r="O61" i="14"/>
  <c r="M23" i="18" s="1"/>
  <c r="BC13" i="3" s="1"/>
  <c r="R61" i="14"/>
  <c r="T61" i="14"/>
  <c r="K39" i="18"/>
  <c r="BA35" i="3" s="1"/>
  <c r="K37" i="18"/>
  <c r="BA33" i="3" s="1"/>
  <c r="P3" i="12"/>
  <c r="M9" i="25"/>
  <c r="N19" i="25" s="1"/>
  <c r="O3" i="12"/>
  <c r="L9" i="25"/>
  <c r="M19" i="25" s="1"/>
  <c r="N3" i="12"/>
  <c r="K9" i="25"/>
  <c r="L19" i="25" s="1"/>
  <c r="T77" i="14"/>
  <c r="P77" i="14"/>
  <c r="N39" i="18" s="1"/>
  <c r="BD35" i="3" s="1"/>
  <c r="U77" i="14"/>
  <c r="R77" i="14"/>
  <c r="M3" i="12"/>
  <c r="J9" i="25"/>
  <c r="K19" i="25" s="1"/>
  <c r="L3" i="12"/>
  <c r="I9" i="25"/>
  <c r="J19" i="25" s="1"/>
  <c r="K40" i="16"/>
  <c r="K26" i="16"/>
  <c r="S77" i="14"/>
  <c r="L65" i="14"/>
  <c r="J27" i="18" s="1"/>
  <c r="AZ21" i="3" s="1"/>
  <c r="O71" i="14"/>
  <c r="M33" i="18" s="1"/>
  <c r="BC29" i="3" s="1"/>
  <c r="V150" i="14"/>
  <c r="L128" i="14"/>
  <c r="L125" i="14" s="1"/>
  <c r="N14" i="23"/>
  <c r="P14" i="23"/>
  <c r="K38" i="16"/>
  <c r="U61" i="14"/>
  <c r="K43" i="16"/>
  <c r="N61" i="14"/>
  <c r="L23" i="18" s="1"/>
  <c r="BB13" i="3" s="1"/>
  <c r="V160" i="14"/>
  <c r="T75" i="14"/>
  <c r="V75" i="14"/>
  <c r="N160" i="14"/>
  <c r="L45" i="20" s="1"/>
  <c r="L56" i="14"/>
  <c r="M56" i="14"/>
  <c r="K14" i="23"/>
  <c r="T14" i="23"/>
  <c r="P160" i="14"/>
  <c r="N45" i="20" s="1"/>
  <c r="CH40" i="3" s="1"/>
  <c r="S61" i="14"/>
  <c r="V56" i="14"/>
  <c r="N56" i="14"/>
  <c r="O56" i="14"/>
  <c r="K61" i="14"/>
  <c r="M61" i="14"/>
  <c r="K23" i="18" s="1"/>
  <c r="BA13" i="3" s="1"/>
  <c r="M65" i="14"/>
  <c r="K27" i="18" s="1"/>
  <c r="BA21" i="3" s="1"/>
  <c r="R160" i="14"/>
  <c r="T160" i="14"/>
  <c r="L17" i="11"/>
  <c r="T18" i="11" s="1"/>
  <c r="K160" i="14"/>
  <c r="V82" i="14"/>
  <c r="L160" i="14"/>
  <c r="J45" i="20" s="1"/>
  <c r="CD40" i="3" s="1"/>
  <c r="K71" i="14"/>
  <c r="P150" i="14"/>
  <c r="N35" i="19"/>
  <c r="BS27" i="3" s="1"/>
  <c r="M92" i="14"/>
  <c r="K30" i="22" s="1"/>
  <c r="DI22" i="3" s="1"/>
  <c r="S92" i="14"/>
  <c r="S20" i="23"/>
  <c r="EF7" i="3" s="1"/>
  <c r="P20" i="23"/>
  <c r="EC7" i="3" s="1"/>
  <c r="W43" i="24"/>
  <c r="H10" i="26"/>
  <c r="N43" i="20"/>
  <c r="M82" i="14"/>
  <c r="K44" i="18" s="1"/>
  <c r="BA40" i="3" s="1"/>
  <c r="P82" i="14"/>
  <c r="P78" i="14" s="1"/>
  <c r="S65" i="14"/>
  <c r="P67" i="14"/>
  <c r="N29" i="18" s="1"/>
  <c r="BD23" i="3" s="1"/>
  <c r="N71" i="14"/>
  <c r="L33" i="18" s="1"/>
  <c r="BB29" i="3" s="1"/>
  <c r="M71" i="14"/>
  <c r="K33" i="18" s="1"/>
  <c r="BA29" i="3" s="1"/>
  <c r="L233" i="11"/>
  <c r="W234" i="11" s="1"/>
  <c r="Q82" i="14"/>
  <c r="R82" i="14"/>
  <c r="K65" i="14"/>
  <c r="P71" i="14"/>
  <c r="N33" i="18" s="1"/>
  <c r="BD29" i="3" s="1"/>
  <c r="K82" i="14"/>
  <c r="S82" i="14"/>
  <c r="V77" i="14"/>
  <c r="S56" i="14"/>
  <c r="U65" i="14"/>
  <c r="Q71" i="14"/>
  <c r="L26" i="17"/>
  <c r="AM16" i="3" s="1"/>
  <c r="U82" i="14"/>
  <c r="T82" i="14"/>
  <c r="R71" i="14"/>
  <c r="L43" i="17"/>
  <c r="L82" i="14"/>
  <c r="L78" i="14" s="1"/>
  <c r="U56" i="14"/>
  <c r="V65" i="14"/>
  <c r="T71" i="14"/>
  <c r="O92" i="14"/>
  <c r="M30" i="22" s="1"/>
  <c r="DK22" i="3" s="1"/>
  <c r="L40" i="17"/>
  <c r="AM35" i="3" s="1"/>
  <c r="N82" i="14"/>
  <c r="L44" i="18" s="1"/>
  <c r="BB40" i="3" s="1"/>
  <c r="P65" i="14"/>
  <c r="N27" i="18" s="1"/>
  <c r="BD21" i="3" s="1"/>
  <c r="L71" i="14"/>
  <c r="J33" i="18" s="1"/>
  <c r="AZ29" i="3" s="1"/>
  <c r="N65" i="14"/>
  <c r="L27" i="18" s="1"/>
  <c r="BB21" i="3" s="1"/>
  <c r="U71" i="14"/>
  <c r="R65" i="14"/>
  <c r="L67" i="14"/>
  <c r="J29" i="18" s="1"/>
  <c r="AZ23" i="3" s="1"/>
  <c r="V71" i="14"/>
  <c r="U31" i="14"/>
  <c r="N92" i="14"/>
  <c r="L30" i="22" s="1"/>
  <c r="DJ22" i="3" s="1"/>
  <c r="U145" i="14"/>
  <c r="H64" i="27"/>
  <c r="V44" i="24"/>
  <c r="L11" i="11"/>
  <c r="T12" i="11" s="1"/>
  <c r="Q150" i="14"/>
  <c r="N67" i="14"/>
  <c r="L29" i="18" s="1"/>
  <c r="BB23" i="3" s="1"/>
  <c r="O67" i="14"/>
  <c r="M29" i="18" s="1"/>
  <c r="BC23" i="3" s="1"/>
  <c r="W44" i="24"/>
  <c r="Q212" i="14"/>
  <c r="Q208" i="14"/>
  <c r="S208" i="14"/>
  <c r="T208" i="14"/>
  <c r="V215" i="14"/>
  <c r="U215" i="14"/>
  <c r="T215" i="14"/>
  <c r="S215" i="14"/>
  <c r="R215" i="14"/>
  <c r="Q215" i="14"/>
  <c r="U208" i="14"/>
  <c r="S212" i="14"/>
  <c r="T212" i="14"/>
  <c r="U212" i="14"/>
  <c r="V212" i="14"/>
  <c r="T210" i="14"/>
  <c r="U210" i="14"/>
  <c r="V210" i="14"/>
  <c r="Q210" i="14"/>
  <c r="R210" i="14"/>
  <c r="V209" i="14"/>
  <c r="U209" i="14"/>
  <c r="T209" i="14"/>
  <c r="S209" i="14"/>
  <c r="R209" i="14"/>
  <c r="Q209" i="14"/>
  <c r="T207" i="14"/>
  <c r="U207" i="14"/>
  <c r="V207" i="14"/>
  <c r="Q205" i="14"/>
  <c r="V205" i="14"/>
  <c r="Q207" i="14"/>
  <c r="R207" i="14"/>
  <c r="T205" i="14"/>
  <c r="U205" i="14"/>
  <c r="R205" i="14"/>
  <c r="V204" i="14"/>
  <c r="U204" i="14"/>
  <c r="T204" i="14"/>
  <c r="S204" i="14"/>
  <c r="R204" i="14"/>
  <c r="Q204" i="14"/>
  <c r="D7" i="26"/>
  <c r="V203" i="14"/>
  <c r="U203" i="14"/>
  <c r="T203" i="14"/>
  <c r="S203" i="14"/>
  <c r="R203" i="14"/>
  <c r="Q203" i="14"/>
  <c r="Q65" i="14"/>
  <c r="K92" i="14"/>
  <c r="V201" i="14"/>
  <c r="U201" i="14"/>
  <c r="T201" i="14"/>
  <c r="S201" i="14"/>
  <c r="R201" i="14"/>
  <c r="Q201" i="14"/>
  <c r="V200" i="14"/>
  <c r="U200" i="14"/>
  <c r="T200" i="14"/>
  <c r="S200" i="14"/>
  <c r="R200" i="14"/>
  <c r="Q200" i="14"/>
  <c r="V199" i="14"/>
  <c r="U199" i="14"/>
  <c r="T199" i="14"/>
  <c r="S199" i="14"/>
  <c r="R199" i="14"/>
  <c r="Q199" i="14"/>
  <c r="Q196" i="14"/>
  <c r="R196" i="14"/>
  <c r="S196" i="14"/>
  <c r="T196" i="14"/>
  <c r="U196" i="14"/>
  <c r="V198" i="14"/>
  <c r="U198" i="14"/>
  <c r="T198" i="14"/>
  <c r="S198" i="14"/>
  <c r="R198" i="14"/>
  <c r="Q198" i="14"/>
  <c r="V195" i="14"/>
  <c r="U195" i="14"/>
  <c r="T195" i="14"/>
  <c r="S195" i="14"/>
  <c r="R195" i="14"/>
  <c r="Q195" i="14"/>
  <c r="V194" i="14"/>
  <c r="U194" i="14"/>
  <c r="T194" i="14"/>
  <c r="S194" i="14"/>
  <c r="R194" i="14"/>
  <c r="Q194" i="14"/>
  <c r="Q192" i="14"/>
  <c r="R192" i="14"/>
  <c r="S192" i="14"/>
  <c r="T192" i="14"/>
  <c r="U192" i="14"/>
  <c r="V193" i="14"/>
  <c r="U193" i="14"/>
  <c r="T193" i="14"/>
  <c r="S193" i="14"/>
  <c r="R193" i="14"/>
  <c r="Q193" i="14"/>
  <c r="Q67" i="14"/>
  <c r="L92" i="14"/>
  <c r="J30" i="22" s="1"/>
  <c r="DH22" i="3" s="1"/>
  <c r="M67" i="14"/>
  <c r="K29" i="18" s="1"/>
  <c r="BA23" i="3" s="1"/>
  <c r="S67" i="14"/>
  <c r="K67" i="14"/>
  <c r="U67" i="14"/>
  <c r="U75" i="14"/>
  <c r="V67" i="14"/>
  <c r="Q145" i="14"/>
  <c r="K145" i="14"/>
  <c r="T145" i="14"/>
  <c r="T67" i="14"/>
  <c r="R92" i="14"/>
  <c r="S145" i="14"/>
  <c r="L98" i="11"/>
  <c r="AC99" i="11" s="1"/>
  <c r="M145" i="14"/>
  <c r="K30" i="20" s="1"/>
  <c r="CE23" i="3" s="1"/>
  <c r="T92" i="14"/>
  <c r="U92" i="14"/>
  <c r="AB229" i="11"/>
  <c r="V145" i="14"/>
  <c r="R31" i="14"/>
  <c r="L145" i="14"/>
  <c r="J30" i="20" s="1"/>
  <c r="CD23" i="3" s="1"/>
  <c r="R150" i="14"/>
  <c r="N145" i="14"/>
  <c r="L30" i="20" s="1"/>
  <c r="CF23" i="3" s="1"/>
  <c r="O145" i="14"/>
  <c r="M30" i="20" s="1"/>
  <c r="CG23" i="3" s="1"/>
  <c r="Q92" i="14"/>
  <c r="Q75" i="14"/>
  <c r="V128" i="14"/>
  <c r="K62" i="14"/>
  <c r="L235" i="11"/>
  <c r="R236" i="11" s="1"/>
  <c r="K180" i="14"/>
  <c r="K179" i="14" s="1"/>
  <c r="N180" i="14"/>
  <c r="N179" i="14" s="1"/>
  <c r="L31" i="14"/>
  <c r="L27" i="14" s="1"/>
  <c r="K10" i="18"/>
  <c r="E8" i="26"/>
  <c r="K9" i="18"/>
  <c r="L22" i="17"/>
  <c r="M160" i="14"/>
  <c r="K45" i="20" s="1"/>
  <c r="CE40" i="3" s="1"/>
  <c r="M31" i="14"/>
  <c r="O78" i="14"/>
  <c r="N31" i="14"/>
  <c r="L45" i="16" s="1"/>
  <c r="O160" i="14"/>
  <c r="M45" i="20" s="1"/>
  <c r="CG40" i="3" s="1"/>
  <c r="O31" i="14"/>
  <c r="M45" i="16" s="1"/>
  <c r="K24" i="18"/>
  <c r="BA15" i="3" s="1"/>
  <c r="K7" i="18"/>
  <c r="BA3" i="3" s="1"/>
  <c r="Q56" i="14"/>
  <c r="S160" i="14"/>
  <c r="Q160" i="14"/>
  <c r="K42" i="18"/>
  <c r="L38" i="17"/>
  <c r="AM33" i="3" s="1"/>
  <c r="T31" i="14"/>
  <c r="F7" i="26"/>
  <c r="L35" i="17"/>
  <c r="AM27" i="3" s="1"/>
  <c r="P92" i="14"/>
  <c r="N30" i="22" s="1"/>
  <c r="DL22" i="3" s="1"/>
  <c r="K31" i="14"/>
  <c r="J35" i="17"/>
  <c r="AK27" i="3" s="1"/>
  <c r="Q31" i="14"/>
  <c r="T20" i="23"/>
  <c r="EG7" i="3" s="1"/>
  <c r="R24" i="14"/>
  <c r="P31" i="14"/>
  <c r="M76" i="14"/>
  <c r="K38" i="18" s="1"/>
  <c r="BA34" i="3" s="1"/>
  <c r="N76" i="14"/>
  <c r="N73" i="14" s="1"/>
  <c r="K154" i="14"/>
  <c r="K151" i="14" s="1"/>
  <c r="V11" i="15"/>
  <c r="P154" i="14"/>
  <c r="N39" i="20" s="1"/>
  <c r="CH34" i="3" s="1"/>
  <c r="U154" i="14"/>
  <c r="K35" i="19"/>
  <c r="BP27" i="3" s="1"/>
  <c r="P76" i="14"/>
  <c r="N38" i="18" s="1"/>
  <c r="BD34" i="3" s="1"/>
  <c r="S31" i="14"/>
  <c r="S150" i="14"/>
  <c r="L35" i="16"/>
  <c r="Q76" i="14"/>
  <c r="T76" i="14"/>
  <c r="O76" i="14"/>
  <c r="M38" i="18" s="1"/>
  <c r="BC34" i="3" s="1"/>
  <c r="S76" i="14"/>
  <c r="N35" i="17"/>
  <c r="AO27" i="3" s="1"/>
  <c r="L76" i="14"/>
  <c r="L73" i="14" s="1"/>
  <c r="K35" i="17"/>
  <c r="AL27" i="3" s="1"/>
  <c r="V76" i="14"/>
  <c r="R145" i="14"/>
  <c r="Q154" i="14"/>
  <c r="L35" i="20"/>
  <c r="CF27" i="3" s="1"/>
  <c r="V180" i="14"/>
  <c r="T154" i="14"/>
  <c r="K20" i="23"/>
  <c r="DX7" i="3" s="1"/>
  <c r="U62" i="14"/>
  <c r="P180" i="14"/>
  <c r="V72" i="14"/>
  <c r="L154" i="14"/>
  <c r="L151" i="14" s="1"/>
  <c r="J35" i="16"/>
  <c r="M35" i="17"/>
  <c r="AN27" i="3" s="1"/>
  <c r="K35" i="16"/>
  <c r="R180" i="14"/>
  <c r="N154" i="14"/>
  <c r="N151" i="14" s="1"/>
  <c r="S180" i="14"/>
  <c r="O154" i="14"/>
  <c r="O151" i="14" s="1"/>
  <c r="N35" i="20"/>
  <c r="CH27" i="3" s="1"/>
  <c r="L180" i="14"/>
  <c r="L179" i="14" s="1"/>
  <c r="L13" i="11"/>
  <c r="AC14" i="11" s="1"/>
  <c r="S128" i="14"/>
  <c r="Q128" i="14"/>
  <c r="R128" i="14"/>
  <c r="K76" i="14"/>
  <c r="K73" i="14" s="1"/>
  <c r="K128" i="14"/>
  <c r="K125" i="14" s="1"/>
  <c r="S62" i="14"/>
  <c r="R72" i="14"/>
  <c r="R20" i="23"/>
  <c r="EE7" i="3" s="1"/>
  <c r="T128" i="14"/>
  <c r="P72" i="14"/>
  <c r="N20" i="23"/>
  <c r="EA7" i="3" s="1"/>
  <c r="U76" i="14"/>
  <c r="U128" i="14"/>
  <c r="T62" i="14"/>
  <c r="S72" i="14"/>
  <c r="V154" i="14"/>
  <c r="T176" i="14"/>
  <c r="P176" i="14"/>
  <c r="V62" i="14"/>
  <c r="N62" i="14"/>
  <c r="L24" i="18" s="1"/>
  <c r="BB15" i="3" s="1"/>
  <c r="I20" i="23"/>
  <c r="DV7" i="3" s="1"/>
  <c r="O128" i="14"/>
  <c r="O125" i="14" s="1"/>
  <c r="Q176" i="14"/>
  <c r="M128" i="14"/>
  <c r="M125" i="14" s="1"/>
  <c r="U176" i="14"/>
  <c r="N128" i="14"/>
  <c r="N125" i="14" s="1"/>
  <c r="O62" i="14"/>
  <c r="M24" i="18" s="1"/>
  <c r="BC15" i="3" s="1"/>
  <c r="Q62" i="14"/>
  <c r="T72" i="14"/>
  <c r="S176" i="14"/>
  <c r="L62" i="14"/>
  <c r="J24" i="18" s="1"/>
  <c r="AZ15" i="3" s="1"/>
  <c r="V176" i="14"/>
  <c r="H81" i="27"/>
  <c r="R62" i="14"/>
  <c r="U180" i="14"/>
  <c r="O180" i="14"/>
  <c r="O179" i="14" s="1"/>
  <c r="M180" i="14"/>
  <c r="M179" i="14" s="1"/>
  <c r="P75" i="14"/>
  <c r="N37" i="18" s="1"/>
  <c r="BD33" i="3" s="1"/>
  <c r="Q180" i="14"/>
  <c r="R75" i="14"/>
  <c r="M168" i="14"/>
  <c r="M163" i="14" s="1"/>
  <c r="P62" i="14"/>
  <c r="N24" i="18" s="1"/>
  <c r="BD15" i="3" s="1"/>
  <c r="R154" i="14"/>
  <c r="T182" i="14"/>
  <c r="U72" i="14"/>
  <c r="T150" i="14"/>
  <c r="L108" i="14"/>
  <c r="L212" i="11"/>
  <c r="X213" i="11" s="1"/>
  <c r="H85" i="27"/>
  <c r="S168" i="14"/>
  <c r="T166" i="14"/>
  <c r="H12" i="27"/>
  <c r="S154" i="14"/>
  <c r="K168" i="14"/>
  <c r="K163" i="14" s="1"/>
  <c r="U168" i="14"/>
  <c r="H80" i="27"/>
  <c r="P153" i="14"/>
  <c r="N38" i="20" s="1"/>
  <c r="CH33" i="3" s="1"/>
  <c r="Q153" i="14"/>
  <c r="T153" i="14"/>
  <c r="U153" i="14"/>
  <c r="V153" i="14"/>
  <c r="R166" i="14"/>
  <c r="Q168" i="14"/>
  <c r="S153" i="14"/>
  <c r="O108" i="14"/>
  <c r="M46" i="22" s="1"/>
  <c r="DK40" i="3" s="1"/>
  <c r="N168" i="14"/>
  <c r="N163" i="14" s="1"/>
  <c r="P168" i="14"/>
  <c r="Q24" i="14"/>
  <c r="R182" i="14"/>
  <c r="L5" i="11"/>
  <c r="AB6" i="11" s="1"/>
  <c r="V24" i="14"/>
  <c r="P24" i="14"/>
  <c r="T24" i="14"/>
  <c r="H118" i="27"/>
  <c r="Z136" i="11"/>
  <c r="V182" i="14"/>
  <c r="V20" i="14"/>
  <c r="R20" i="14"/>
  <c r="S26" i="14"/>
  <c r="T168" i="14"/>
  <c r="S182" i="14"/>
  <c r="R168" i="14"/>
  <c r="Q182" i="14"/>
  <c r="S20" i="14"/>
  <c r="T26" i="14"/>
  <c r="V168" i="14"/>
  <c r="P26" i="14"/>
  <c r="O168" i="14"/>
  <c r="O163" i="14" s="1"/>
  <c r="Q26" i="14"/>
  <c r="U26" i="14"/>
  <c r="V26" i="14"/>
  <c r="T190" i="11"/>
  <c r="G92" i="27"/>
  <c r="V166" i="14"/>
  <c r="U182" i="14"/>
  <c r="T140" i="14"/>
  <c r="O20" i="14"/>
  <c r="S166" i="14"/>
  <c r="U166" i="14"/>
  <c r="R140" i="14"/>
  <c r="L184" i="11"/>
  <c r="AC185" i="11" s="1"/>
  <c r="N140" i="14"/>
  <c r="L25" i="20" s="1"/>
  <c r="CF15" i="3" s="1"/>
  <c r="P149" i="14"/>
  <c r="N34" i="20" s="1"/>
  <c r="CH29" i="3" s="1"/>
  <c r="T146" i="11"/>
  <c r="S136" i="11"/>
  <c r="R143" i="14"/>
  <c r="W229" i="11"/>
  <c r="AC146" i="11"/>
  <c r="U220" i="11"/>
  <c r="X136" i="11"/>
  <c r="L4" i="12"/>
  <c r="S140" i="14"/>
  <c r="L200" i="11"/>
  <c r="AC201" i="11" s="1"/>
  <c r="AB136" i="11"/>
  <c r="R146" i="11"/>
  <c r="W136" i="11"/>
  <c r="S108" i="14"/>
  <c r="V170" i="11"/>
  <c r="M108" i="14"/>
  <c r="R170" i="11"/>
  <c r="L83" i="11"/>
  <c r="V84" i="11" s="1"/>
  <c r="H38" i="27"/>
  <c r="L64" i="11"/>
  <c r="W65" i="11" s="1"/>
  <c r="Z146" i="11"/>
  <c r="N20" i="14"/>
  <c r="L34" i="16" s="1"/>
  <c r="L248" i="11"/>
  <c r="AC249" i="11" s="1"/>
  <c r="L20" i="14"/>
  <c r="J34" i="16" s="1"/>
  <c r="W164" i="11"/>
  <c r="U149" i="14"/>
  <c r="L96" i="11"/>
  <c r="AC97" i="11" s="1"/>
  <c r="M20" i="14"/>
  <c r="P20" i="14"/>
  <c r="S24" i="14"/>
  <c r="S143" i="14"/>
  <c r="Z245" i="11"/>
  <c r="V108" i="14"/>
  <c r="L178" i="11"/>
  <c r="Y179" i="11" s="1"/>
  <c r="G107" i="27"/>
  <c r="L160" i="11"/>
  <c r="X161" i="11" s="1"/>
  <c r="L31" i="11"/>
  <c r="Z32" i="11" s="1"/>
  <c r="W215" i="14"/>
  <c r="P166" i="14"/>
  <c r="T108" i="14"/>
  <c r="AC220" i="11"/>
  <c r="G70" i="27"/>
  <c r="J211" i="14"/>
  <c r="W211" i="14" s="1"/>
  <c r="W212" i="14"/>
  <c r="AA128" i="11"/>
  <c r="W128" i="11"/>
  <c r="Q20" i="14"/>
  <c r="Q149" i="14"/>
  <c r="G82" i="27"/>
  <c r="H52" i="27"/>
  <c r="N30" i="20"/>
  <c r="CH23" i="3" s="1"/>
  <c r="W207" i="14"/>
  <c r="W210" i="14"/>
  <c r="L149" i="14"/>
  <c r="J34" i="20" s="1"/>
  <c r="CD29" i="3" s="1"/>
  <c r="Y170" i="11"/>
  <c r="S146" i="11"/>
  <c r="L214" i="11"/>
  <c r="W215" i="11" s="1"/>
  <c r="L70" i="11"/>
  <c r="R71" i="11" s="1"/>
  <c r="L100" i="11"/>
  <c r="Z101" i="11" s="1"/>
  <c r="L154" i="11"/>
  <c r="X155" i="11" s="1"/>
  <c r="J206" i="14"/>
  <c r="W206" i="14" s="1"/>
  <c r="L174" i="11"/>
  <c r="S175" i="11" s="1"/>
  <c r="L124" i="11"/>
  <c r="S125" i="11" s="1"/>
  <c r="W208" i="14"/>
  <c r="R108" i="14"/>
  <c r="L196" i="11"/>
  <c r="AC197" i="11" s="1"/>
  <c r="H105" i="27"/>
  <c r="M149" i="14"/>
  <c r="K34" i="20" s="1"/>
  <c r="CE29" i="3" s="1"/>
  <c r="K108" i="14"/>
  <c r="G79" i="27"/>
  <c r="G47" i="27"/>
  <c r="W209" i="14"/>
  <c r="W170" i="11"/>
  <c r="T20" i="14"/>
  <c r="P10" i="14"/>
  <c r="V128" i="11"/>
  <c r="V190" i="11"/>
  <c r="G58" i="27"/>
  <c r="K20" i="14"/>
  <c r="N108" i="14"/>
  <c r="L46" i="22" s="1"/>
  <c r="DJ40" i="3" s="1"/>
  <c r="N8" i="23"/>
  <c r="V39" i="11"/>
  <c r="W205" i="14"/>
  <c r="L108" i="11"/>
  <c r="T109" i="11" s="1"/>
  <c r="K143" i="14"/>
  <c r="U108" i="14"/>
  <c r="T170" i="11"/>
  <c r="AA114" i="11"/>
  <c r="L140" i="14"/>
  <c r="J25" i="20" s="1"/>
  <c r="CD15" i="3" s="1"/>
  <c r="V140" i="14"/>
  <c r="H71" i="27"/>
  <c r="S190" i="11"/>
  <c r="X102" i="11"/>
  <c r="X9" i="11"/>
  <c r="U122" i="11"/>
  <c r="G54" i="27"/>
  <c r="W204" i="14"/>
  <c r="AC39" i="11"/>
  <c r="G18" i="27"/>
  <c r="P89" i="14"/>
  <c r="N27" i="22" s="1"/>
  <c r="DL16" i="3" s="1"/>
  <c r="U190" i="11"/>
  <c r="Y39" i="11"/>
  <c r="M140" i="14"/>
  <c r="K25" i="20" s="1"/>
  <c r="CE15" i="3" s="1"/>
  <c r="P140" i="14"/>
  <c r="N25" i="20" s="1"/>
  <c r="CH15" i="3" s="1"/>
  <c r="R190" i="11"/>
  <c r="H79" i="27"/>
  <c r="W203" i="14"/>
  <c r="J202" i="14"/>
  <c r="W202" i="14" s="1"/>
  <c r="M143" i="14"/>
  <c r="K28" i="20" s="1"/>
  <c r="CE21" i="3" s="1"/>
  <c r="AC229" i="11"/>
  <c r="Z190" i="11"/>
  <c r="S220" i="11"/>
  <c r="G48" i="27"/>
  <c r="W94" i="11"/>
  <c r="AB39" i="11"/>
  <c r="X39" i="11"/>
  <c r="V102" i="11"/>
  <c r="W201" i="14"/>
  <c r="H9" i="27"/>
  <c r="S102" i="11"/>
  <c r="AA94" i="11"/>
  <c r="W102" i="11"/>
  <c r="L41" i="11"/>
  <c r="V42" i="11" s="1"/>
  <c r="N143" i="14"/>
  <c r="L28" i="20" s="1"/>
  <c r="CF21" i="3" s="1"/>
  <c r="T245" i="11"/>
  <c r="H99" i="27"/>
  <c r="L156" i="11"/>
  <c r="X157" i="11" s="1"/>
  <c r="T102" i="11"/>
  <c r="AB9" i="11"/>
  <c r="W200" i="14"/>
  <c r="S149" i="14"/>
  <c r="U150" i="11"/>
  <c r="R94" i="11"/>
  <c r="Z122" i="11"/>
  <c r="L229" i="11"/>
  <c r="Z230" i="11" s="1"/>
  <c r="Z102" i="11"/>
  <c r="V94" i="11"/>
  <c r="X94" i="11"/>
  <c r="L33" i="11"/>
  <c r="R34" i="11" s="1"/>
  <c r="K149" i="14"/>
  <c r="AA102" i="11"/>
  <c r="L74" i="11"/>
  <c r="Z75" i="11" s="1"/>
  <c r="G44" i="27"/>
  <c r="W199" i="14"/>
  <c r="N149" i="14"/>
  <c r="L34" i="20" s="1"/>
  <c r="CF29" i="3" s="1"/>
  <c r="S170" i="11"/>
  <c r="AB245" i="11"/>
  <c r="S128" i="11"/>
  <c r="U39" i="11"/>
  <c r="H55" i="27"/>
  <c r="T122" i="11"/>
  <c r="H94" i="27"/>
  <c r="R220" i="11"/>
  <c r="Z220" i="11"/>
  <c r="R100" i="11"/>
  <c r="AC170" i="11"/>
  <c r="J197" i="14"/>
  <c r="W197" i="14" s="1"/>
  <c r="W198" i="14"/>
  <c r="V15" i="15"/>
  <c r="AB170" i="11"/>
  <c r="U245" i="11"/>
  <c r="T220" i="11"/>
  <c r="H70" i="27"/>
  <c r="L6" i="12"/>
  <c r="H37" i="27"/>
  <c r="T143" i="14"/>
  <c r="V149" i="14"/>
  <c r="Z170" i="11"/>
  <c r="O143" i="14"/>
  <c r="M28" i="20" s="1"/>
  <c r="CG21" i="3" s="1"/>
  <c r="Y146" i="11"/>
  <c r="W196" i="14"/>
  <c r="T149" i="14"/>
  <c r="X220" i="11"/>
  <c r="Z100" i="11"/>
  <c r="N5" i="12"/>
  <c r="N10" i="14"/>
  <c r="L24" i="16" s="1"/>
  <c r="L239" i="11"/>
  <c r="R240" i="11" s="1"/>
  <c r="AB150" i="11"/>
  <c r="Z128" i="11"/>
  <c r="U100" i="11"/>
  <c r="U9" i="11"/>
  <c r="W41" i="23"/>
  <c r="EI36" i="3" s="1"/>
  <c r="DX36" i="3"/>
  <c r="G72" i="27"/>
  <c r="AB128" i="11"/>
  <c r="L130" i="11"/>
  <c r="X131" i="11" s="1"/>
  <c r="L21" i="11"/>
  <c r="AA22" i="11" s="1"/>
  <c r="V150" i="11"/>
  <c r="R122" i="11"/>
  <c r="S122" i="11"/>
  <c r="N10" i="12"/>
  <c r="AA150" i="11"/>
  <c r="AA122" i="11"/>
  <c r="V122" i="11"/>
  <c r="O149" i="14"/>
  <c r="M34" i="20" s="1"/>
  <c r="CG29" i="3" s="1"/>
  <c r="G111" i="27"/>
  <c r="L10" i="14"/>
  <c r="J24" i="16" s="1"/>
  <c r="L140" i="11"/>
  <c r="AA141" i="11" s="1"/>
  <c r="AC150" i="11"/>
  <c r="L9" i="11"/>
  <c r="S10" i="11" s="1"/>
  <c r="T100" i="11"/>
  <c r="Y9" i="11"/>
  <c r="L11" i="12"/>
  <c r="U136" i="11"/>
  <c r="X122" i="11"/>
  <c r="M6" i="12"/>
  <c r="T89" i="14"/>
  <c r="S10" i="14"/>
  <c r="R150" i="11"/>
  <c r="L90" i="11"/>
  <c r="AA91" i="11" s="1"/>
  <c r="X100" i="11"/>
  <c r="N46" i="22"/>
  <c r="DL40" i="3" s="1"/>
  <c r="P104" i="14"/>
  <c r="R89" i="14"/>
  <c r="V10" i="14"/>
  <c r="U146" i="11"/>
  <c r="V146" i="11"/>
  <c r="Y220" i="11"/>
  <c r="AB190" i="11"/>
  <c r="W122" i="11"/>
  <c r="Z9" i="11"/>
  <c r="T136" i="11"/>
  <c r="AB100" i="11"/>
  <c r="L10" i="12"/>
  <c r="L9" i="12"/>
  <c r="AC122" i="11"/>
  <c r="U114" i="11"/>
  <c r="H20" i="27"/>
  <c r="W195" i="14"/>
  <c r="S114" i="11"/>
  <c r="Z114" i="11"/>
  <c r="L245" i="11"/>
  <c r="AB246" i="11" s="1"/>
  <c r="O140" i="14"/>
  <c r="M25" i="20" s="1"/>
  <c r="CG15" i="3" s="1"/>
  <c r="AC114" i="11"/>
  <c r="T114" i="11"/>
  <c r="Q140" i="14"/>
  <c r="W100" i="11"/>
  <c r="L51" i="11"/>
  <c r="Z52" i="11" s="1"/>
  <c r="Y100" i="11"/>
  <c r="Y94" i="11"/>
  <c r="L62" i="11"/>
  <c r="U63" i="11" s="1"/>
  <c r="AC100" i="11"/>
  <c r="V114" i="11"/>
  <c r="X114" i="11"/>
  <c r="U89" i="14"/>
  <c r="X245" i="11"/>
  <c r="ED36" i="3"/>
  <c r="EF36" i="3"/>
  <c r="U170" i="11"/>
  <c r="Y229" i="11"/>
  <c r="M10" i="14"/>
  <c r="V245" i="11"/>
  <c r="S100" i="11"/>
  <c r="V100" i="11"/>
  <c r="W192" i="14"/>
  <c r="K140" i="14"/>
  <c r="Q10" i="14"/>
  <c r="AA245" i="11"/>
  <c r="W194" i="14"/>
  <c r="W193" i="14"/>
  <c r="M44" i="18"/>
  <c r="AC245" i="11"/>
  <c r="R164" i="11"/>
  <c r="L77" i="11"/>
  <c r="Z78" i="11" s="1"/>
  <c r="G4" i="27"/>
  <c r="T94" i="11"/>
  <c r="O11" i="12"/>
  <c r="V136" i="11"/>
  <c r="R114" i="11"/>
  <c r="K36" i="18"/>
  <c r="P143" i="14"/>
  <c r="N28" i="20" s="1"/>
  <c r="CH21" i="3" s="1"/>
  <c r="O10" i="14"/>
  <c r="V164" i="11"/>
  <c r="DY36" i="3"/>
  <c r="AB164" i="11"/>
  <c r="AB220" i="11"/>
  <c r="X164" i="11"/>
  <c r="S245" i="11"/>
  <c r="V220" i="11"/>
  <c r="S164" i="11"/>
  <c r="S9" i="11"/>
  <c r="O5" i="12"/>
  <c r="Y136" i="11"/>
  <c r="W114" i="11"/>
  <c r="Q143" i="14"/>
  <c r="R10" i="14"/>
  <c r="U164" i="11"/>
  <c r="R245" i="11"/>
  <c r="G119" i="27"/>
  <c r="Z164" i="11"/>
  <c r="L56" i="11"/>
  <c r="W57" i="11" s="1"/>
  <c r="AA9" i="11"/>
  <c r="AC136" i="11"/>
  <c r="AA136" i="11"/>
  <c r="T9" i="11"/>
  <c r="V143" i="14"/>
  <c r="U143" i="14"/>
  <c r="V89" i="14"/>
  <c r="K10" i="14"/>
  <c r="Y245" i="11"/>
  <c r="O7" i="12"/>
  <c r="R136" i="11"/>
  <c r="M79" i="14"/>
  <c r="M78" i="14" s="1"/>
  <c r="L68" i="11"/>
  <c r="U69" i="11" s="1"/>
  <c r="W187" i="14"/>
  <c r="EB36" i="3"/>
  <c r="H44" i="27"/>
  <c r="L94" i="11"/>
  <c r="Z94" i="11"/>
  <c r="U94" i="11"/>
  <c r="O10" i="12"/>
  <c r="Z39" i="11"/>
  <c r="X170" i="11"/>
  <c r="EC36" i="3"/>
  <c r="DW36" i="3"/>
  <c r="V27" i="23"/>
  <c r="T39" i="11"/>
  <c r="S39" i="11"/>
  <c r="O12" i="12"/>
  <c r="L8" i="17"/>
  <c r="N53" i="14"/>
  <c r="W27" i="23"/>
  <c r="V18" i="23"/>
  <c r="Q89" i="14"/>
  <c r="T10" i="14"/>
  <c r="AA190" i="11"/>
  <c r="AA164" i="11"/>
  <c r="W190" i="11"/>
  <c r="W220" i="11"/>
  <c r="AB122" i="11"/>
  <c r="L158" i="11"/>
  <c r="U159" i="11" s="1"/>
  <c r="Y114" i="11"/>
  <c r="L15" i="11"/>
  <c r="AA16" i="11" s="1"/>
  <c r="AA146" i="11"/>
  <c r="AB146" i="11"/>
  <c r="X146" i="11"/>
  <c r="EE36" i="3"/>
  <c r="H27" i="27"/>
  <c r="L58" i="11"/>
  <c r="V36" i="23"/>
  <c r="EH30" i="3" s="1"/>
  <c r="N12" i="20"/>
  <c r="P157" i="14"/>
  <c r="P156" i="14" s="1"/>
  <c r="N11" i="20"/>
  <c r="N10" i="20"/>
  <c r="W55" i="14"/>
  <c r="W159" i="14"/>
  <c r="J20" i="23"/>
  <c r="DW7" i="3" s="1"/>
  <c r="W158" i="14"/>
  <c r="W107" i="14"/>
  <c r="W81" i="14"/>
  <c r="W32" i="23"/>
  <c r="EI25" i="3" s="1"/>
  <c r="EB25" i="3"/>
  <c r="H107" i="27"/>
  <c r="L220" i="11"/>
  <c r="Y150" i="11"/>
  <c r="X150" i="11"/>
  <c r="T150" i="11"/>
  <c r="Z150" i="11"/>
  <c r="W150" i="11"/>
  <c r="H69" i="27"/>
  <c r="L144" i="11"/>
  <c r="W54" i="14"/>
  <c r="W29" i="14"/>
  <c r="W133" i="14"/>
  <c r="AC164" i="11"/>
  <c r="Y164" i="11"/>
  <c r="H101" i="27"/>
  <c r="L208" i="11"/>
  <c r="W30" i="14"/>
  <c r="W132" i="14"/>
  <c r="W80" i="14"/>
  <c r="W106" i="14"/>
  <c r="AA229" i="11"/>
  <c r="Z229" i="11"/>
  <c r="X229" i="11"/>
  <c r="V229" i="11"/>
  <c r="U229" i="11"/>
  <c r="T229" i="11"/>
  <c r="S229" i="11"/>
  <c r="AC190" i="11"/>
  <c r="X190" i="11"/>
  <c r="AC128" i="11"/>
  <c r="X128" i="11"/>
  <c r="Y128" i="11"/>
  <c r="U128" i="11"/>
  <c r="T128" i="11"/>
  <c r="R128" i="11"/>
  <c r="J179" i="14"/>
  <c r="W39" i="11"/>
  <c r="R39" i="11"/>
  <c r="H54" i="27"/>
  <c r="L114" i="11"/>
  <c r="AC94" i="11"/>
  <c r="AB94" i="11"/>
  <c r="U102" i="11"/>
  <c r="Y102" i="11"/>
  <c r="AC102" i="11"/>
  <c r="R102" i="11"/>
  <c r="I37" i="8"/>
  <c r="L72" i="11"/>
  <c r="R73" i="11" s="1"/>
  <c r="K22" i="16"/>
  <c r="K8" i="16"/>
  <c r="M28" i="14"/>
  <c r="H108" i="27"/>
  <c r="L223" i="11"/>
  <c r="EA36" i="3"/>
  <c r="H92" i="27"/>
  <c r="L190" i="11"/>
  <c r="W9" i="11"/>
  <c r="AC9" i="11"/>
  <c r="V9" i="11"/>
  <c r="K7" i="26"/>
  <c r="K10" i="23"/>
  <c r="K8" i="23"/>
  <c r="O177" i="14"/>
  <c r="N177" i="14"/>
  <c r="M177" i="14"/>
  <c r="V177" i="14"/>
  <c r="L177" i="14"/>
  <c r="U177" i="14"/>
  <c r="K177" i="14"/>
  <c r="T177" i="14"/>
  <c r="S177" i="14"/>
  <c r="R177" i="14"/>
  <c r="Q177" i="14"/>
  <c r="P177" i="14"/>
  <c r="K45" i="22"/>
  <c r="DI39" i="3" s="1"/>
  <c r="L45" i="21"/>
  <c r="CU39" i="3" s="1"/>
  <c r="I18" i="3"/>
  <c r="G8" i="26"/>
  <c r="L26" i="19"/>
  <c r="BQ16" i="3" s="1"/>
  <c r="L43" i="19"/>
  <c r="L38" i="19"/>
  <c r="BQ33" i="3" s="1"/>
  <c r="L22" i="19"/>
  <c r="BQ11" i="3" s="1"/>
  <c r="L35" i="19"/>
  <c r="BQ27" i="3" s="1"/>
  <c r="L8" i="19"/>
  <c r="L10" i="19"/>
  <c r="L40" i="19"/>
  <c r="BQ35" i="3" s="1"/>
  <c r="L37" i="19"/>
  <c r="BQ32" i="3" s="1"/>
  <c r="L12" i="19"/>
  <c r="L11" i="19"/>
  <c r="N131" i="14"/>
  <c r="I9" i="22"/>
  <c r="I11" i="22" s="1"/>
  <c r="I11" i="16" s="1"/>
  <c r="I9" i="19"/>
  <c r="H9" i="26"/>
  <c r="M26" i="20"/>
  <c r="CG16" i="3" s="1"/>
  <c r="M11" i="20"/>
  <c r="M43" i="20"/>
  <c r="M38" i="20"/>
  <c r="CG33" i="3" s="1"/>
  <c r="M8" i="20"/>
  <c r="M22" i="20"/>
  <c r="CG11" i="3" s="1"/>
  <c r="M10" i="20"/>
  <c r="M37" i="20"/>
  <c r="CG32" i="3" s="1"/>
  <c r="M12" i="20"/>
  <c r="M35" i="20"/>
  <c r="CG27" i="3" s="1"/>
  <c r="M40" i="20"/>
  <c r="CG35" i="3" s="1"/>
  <c r="O157" i="14"/>
  <c r="H6" i="26"/>
  <c r="J26" i="20"/>
  <c r="CD16" i="3" s="1"/>
  <c r="J38" i="20"/>
  <c r="CD33" i="3" s="1"/>
  <c r="J35" i="20"/>
  <c r="CD27" i="3" s="1"/>
  <c r="J40" i="20"/>
  <c r="CD35" i="3" s="1"/>
  <c r="J37" i="20"/>
  <c r="CD32" i="3" s="1"/>
  <c r="J12" i="20"/>
  <c r="J11" i="20"/>
  <c r="J22" i="20"/>
  <c r="CD11" i="3" s="1"/>
  <c r="J10" i="20"/>
  <c r="J8" i="20"/>
  <c r="J28" i="20"/>
  <c r="CD21" i="3" s="1"/>
  <c r="J43" i="20"/>
  <c r="L157" i="14"/>
  <c r="D10" i="26"/>
  <c r="N35" i="16"/>
  <c r="N22" i="16"/>
  <c r="N43" i="16"/>
  <c r="N8" i="16"/>
  <c r="P28" i="14"/>
  <c r="S10" i="15"/>
  <c r="R2" i="18"/>
  <c r="R34" i="14"/>
  <c r="Q34" i="14"/>
  <c r="P34" i="14"/>
  <c r="O34" i="14"/>
  <c r="N34" i="14"/>
  <c r="M34" i="14"/>
  <c r="V34" i="14"/>
  <c r="L34" i="14"/>
  <c r="U34" i="14"/>
  <c r="K34" i="14"/>
  <c r="T34" i="14"/>
  <c r="S34" i="14"/>
  <c r="O3" i="20"/>
  <c r="P16" i="15"/>
  <c r="V51" i="14"/>
  <c r="U51" i="14"/>
  <c r="T51" i="14"/>
  <c r="S51" i="14"/>
  <c r="R51" i="14"/>
  <c r="Q51" i="14"/>
  <c r="P51" i="14"/>
  <c r="P37" i="14"/>
  <c r="V37" i="14"/>
  <c r="U37" i="14"/>
  <c r="T37" i="14"/>
  <c r="S37" i="14"/>
  <c r="R37" i="14"/>
  <c r="Q37" i="14"/>
  <c r="T36" i="14"/>
  <c r="S36" i="14"/>
  <c r="R36" i="14"/>
  <c r="Q36" i="14"/>
  <c r="P36" i="14"/>
  <c r="O36" i="14"/>
  <c r="N36" i="14"/>
  <c r="M36" i="14"/>
  <c r="V36" i="14"/>
  <c r="L36" i="14"/>
  <c r="U36" i="14"/>
  <c r="K36" i="14"/>
  <c r="O172" i="14"/>
  <c r="N172" i="14"/>
  <c r="M172" i="14"/>
  <c r="V172" i="14"/>
  <c r="L172" i="14"/>
  <c r="U172" i="14"/>
  <c r="K172" i="14"/>
  <c r="T172" i="14"/>
  <c r="S172" i="14"/>
  <c r="R172" i="14"/>
  <c r="Q172" i="14"/>
  <c r="P172" i="14"/>
  <c r="U102" i="14"/>
  <c r="K102" i="14"/>
  <c r="T102" i="14"/>
  <c r="S102" i="14"/>
  <c r="R102" i="14"/>
  <c r="Q102" i="14"/>
  <c r="P102" i="14"/>
  <c r="N40" i="22" s="1"/>
  <c r="DL34" i="3" s="1"/>
  <c r="O102" i="14"/>
  <c r="O99" i="14" s="1"/>
  <c r="N102" i="14"/>
  <c r="N99" i="14" s="1"/>
  <c r="M102" i="14"/>
  <c r="V102" i="14"/>
  <c r="L102" i="14"/>
  <c r="H68" i="27"/>
  <c r="L142" i="11"/>
  <c r="Q3" i="22"/>
  <c r="R12" i="15"/>
  <c r="H60" i="27"/>
  <c r="L126" i="11"/>
  <c r="H88" i="27"/>
  <c r="L182" i="11"/>
  <c r="U217" i="11"/>
  <c r="T217" i="11"/>
  <c r="Y217" i="11"/>
  <c r="V217" i="11"/>
  <c r="AA217" i="11"/>
  <c r="Z217" i="11"/>
  <c r="X217" i="11"/>
  <c r="W217" i="11"/>
  <c r="R217" i="11"/>
  <c r="AC217" i="11"/>
  <c r="AB217" i="11"/>
  <c r="S217" i="11"/>
  <c r="H63" i="27"/>
  <c r="L132" i="11"/>
  <c r="G43" i="27"/>
  <c r="X92" i="11"/>
  <c r="Y92" i="11"/>
  <c r="U92" i="11"/>
  <c r="AC92" i="11"/>
  <c r="AA92" i="11"/>
  <c r="V92" i="11"/>
  <c r="S92" i="11"/>
  <c r="R92" i="11"/>
  <c r="AB92" i="11"/>
  <c r="Z92" i="11"/>
  <c r="W92" i="11"/>
  <c r="T92" i="11"/>
  <c r="G55" i="27"/>
  <c r="Z116" i="11"/>
  <c r="X116" i="11"/>
  <c r="U116" i="11"/>
  <c r="S116" i="11"/>
  <c r="AB116" i="11"/>
  <c r="Y116" i="11"/>
  <c r="V116" i="11"/>
  <c r="T116" i="11"/>
  <c r="AA116" i="11"/>
  <c r="W116" i="11"/>
  <c r="R116" i="11"/>
  <c r="AC116" i="11"/>
  <c r="G64" i="27"/>
  <c r="T134" i="11"/>
  <c r="AB134" i="11"/>
  <c r="Y134" i="11"/>
  <c r="S134" i="11"/>
  <c r="AA134" i="11"/>
  <c r="Z134" i="11"/>
  <c r="W134" i="11"/>
  <c r="V134" i="11"/>
  <c r="R134" i="11"/>
  <c r="AC134" i="11"/>
  <c r="X134" i="11"/>
  <c r="U134" i="11"/>
  <c r="H98" i="27"/>
  <c r="L202" i="11"/>
  <c r="H25" i="27"/>
  <c r="L53" i="11"/>
  <c r="G46" i="27"/>
  <c r="V98" i="11"/>
  <c r="U98" i="11"/>
  <c r="AC98" i="11"/>
  <c r="R98" i="11"/>
  <c r="S98" i="11"/>
  <c r="AB98" i="11"/>
  <c r="Z98" i="11"/>
  <c r="AA98" i="11"/>
  <c r="Y98" i="11"/>
  <c r="X98" i="11"/>
  <c r="W98" i="11"/>
  <c r="T98" i="11"/>
  <c r="G87" i="27"/>
  <c r="AB180" i="11"/>
  <c r="R180" i="11"/>
  <c r="S180" i="11"/>
  <c r="Z180" i="11"/>
  <c r="Y180" i="11"/>
  <c r="AA180" i="11"/>
  <c r="W180" i="11"/>
  <c r="U180" i="11"/>
  <c r="AC180" i="11"/>
  <c r="X180" i="11"/>
  <c r="V180" i="11"/>
  <c r="T180" i="11"/>
  <c r="Y149" i="11"/>
  <c r="AA149" i="11"/>
  <c r="W149" i="11"/>
  <c r="S149" i="11"/>
  <c r="X149" i="11"/>
  <c r="U149" i="11"/>
  <c r="AC149" i="11"/>
  <c r="Z149" i="11"/>
  <c r="V149" i="11"/>
  <c r="T149" i="11"/>
  <c r="AB149" i="11"/>
  <c r="R149" i="11"/>
  <c r="AB82" i="11"/>
  <c r="R82" i="11"/>
  <c r="X82" i="11"/>
  <c r="U82" i="11"/>
  <c r="S82" i="11"/>
  <c r="Y82" i="11"/>
  <c r="V82" i="11"/>
  <c r="T82" i="11"/>
  <c r="AC82" i="11"/>
  <c r="AA82" i="11"/>
  <c r="Z82" i="11"/>
  <c r="W82" i="11"/>
  <c r="G89" i="27"/>
  <c r="T184" i="11"/>
  <c r="AB184" i="11"/>
  <c r="Y184" i="11"/>
  <c r="X184" i="11"/>
  <c r="R184" i="11"/>
  <c r="AA184" i="11"/>
  <c r="V184" i="11"/>
  <c r="U184" i="11"/>
  <c r="S184" i="11"/>
  <c r="AC184" i="11"/>
  <c r="Z184" i="11"/>
  <c r="W184" i="11"/>
  <c r="D9" i="26"/>
  <c r="M37" i="16"/>
  <c r="M22" i="16"/>
  <c r="M43" i="16"/>
  <c r="M35" i="16"/>
  <c r="M8" i="16"/>
  <c r="M38" i="16"/>
  <c r="M40" i="16"/>
  <c r="M26" i="16"/>
  <c r="O28" i="14"/>
  <c r="R48" i="3"/>
  <c r="I9" i="20"/>
  <c r="N44" i="19"/>
  <c r="BS39" i="3" s="1"/>
  <c r="S2" i="18"/>
  <c r="T10" i="15"/>
  <c r="K8" i="26"/>
  <c r="L10" i="23"/>
  <c r="L8" i="23"/>
  <c r="W36" i="23"/>
  <c r="EI30" i="3" s="1"/>
  <c r="N45" i="22"/>
  <c r="DL39" i="3" s="1"/>
  <c r="L44" i="20"/>
  <c r="CF39" i="3" s="1"/>
  <c r="K44" i="19"/>
  <c r="BP39" i="3" s="1"/>
  <c r="J45" i="17"/>
  <c r="AK40" i="3" s="1"/>
  <c r="J44" i="16"/>
  <c r="V39" i="3" s="1"/>
  <c r="M27" i="18"/>
  <c r="BC21" i="3" s="1"/>
  <c r="P3" i="20"/>
  <c r="Q16" i="15"/>
  <c r="N96" i="14"/>
  <c r="L34" i="22" s="1"/>
  <c r="DJ28" i="3" s="1"/>
  <c r="M96" i="14"/>
  <c r="V96" i="14"/>
  <c r="L96" i="14"/>
  <c r="U96" i="14"/>
  <c r="K96" i="14"/>
  <c r="T96" i="14"/>
  <c r="S96" i="14"/>
  <c r="R96" i="14"/>
  <c r="Q96" i="14"/>
  <c r="P96" i="14"/>
  <c r="O96" i="14"/>
  <c r="M34" i="22" s="1"/>
  <c r="DK28" i="3" s="1"/>
  <c r="H83" i="27"/>
  <c r="L172" i="11"/>
  <c r="H66" i="27"/>
  <c r="L138" i="11"/>
  <c r="R3" i="22"/>
  <c r="S12" i="15"/>
  <c r="O15" i="14"/>
  <c r="M15" i="14"/>
  <c r="V15" i="14"/>
  <c r="L15" i="14"/>
  <c r="J29" i="16" s="1"/>
  <c r="U15" i="14"/>
  <c r="T15" i="14"/>
  <c r="S15" i="14"/>
  <c r="R15" i="14"/>
  <c r="P15" i="14"/>
  <c r="N15" i="14"/>
  <c r="L29" i="16" s="1"/>
  <c r="K15" i="14"/>
  <c r="H31" i="27"/>
  <c r="L66" i="11"/>
  <c r="N14" i="14"/>
  <c r="M14" i="14"/>
  <c r="O14" i="14"/>
  <c r="L14" i="14"/>
  <c r="K14" i="14"/>
  <c r="H40" i="27"/>
  <c r="L86" i="11"/>
  <c r="AB244" i="11"/>
  <c r="R244" i="11"/>
  <c r="Y244" i="11"/>
  <c r="Z244" i="11"/>
  <c r="V244" i="11"/>
  <c r="W244" i="11"/>
  <c r="AC244" i="11"/>
  <c r="AA244" i="11"/>
  <c r="X244" i="11"/>
  <c r="T244" i="11"/>
  <c r="U244" i="11"/>
  <c r="S244" i="11"/>
  <c r="P126" i="14"/>
  <c r="V126" i="14"/>
  <c r="U126" i="14"/>
  <c r="T126" i="14"/>
  <c r="S126" i="14"/>
  <c r="R126" i="14"/>
  <c r="Q126" i="14"/>
  <c r="Q50" i="14"/>
  <c r="P50" i="14"/>
  <c r="O50" i="14"/>
  <c r="N50" i="14"/>
  <c r="M50" i="14"/>
  <c r="V50" i="14"/>
  <c r="L50" i="14"/>
  <c r="U50" i="14"/>
  <c r="K50" i="14"/>
  <c r="T50" i="14"/>
  <c r="S50" i="14"/>
  <c r="R50" i="14"/>
  <c r="V124" i="14"/>
  <c r="U124" i="14"/>
  <c r="T124" i="14"/>
  <c r="S124" i="14"/>
  <c r="R124" i="14"/>
  <c r="Q124" i="14"/>
  <c r="P124" i="14"/>
  <c r="R3" i="20"/>
  <c r="S16" i="15"/>
  <c r="T44" i="14"/>
  <c r="S44" i="14"/>
  <c r="R44" i="14"/>
  <c r="Q44" i="14"/>
  <c r="P44" i="14"/>
  <c r="O44" i="14"/>
  <c r="N44" i="14"/>
  <c r="M44" i="14"/>
  <c r="V44" i="14"/>
  <c r="L44" i="14"/>
  <c r="U44" i="14"/>
  <c r="K44" i="14"/>
  <c r="R120" i="14"/>
  <c r="Q120" i="14"/>
  <c r="P120" i="14"/>
  <c r="N31" i="19" s="1"/>
  <c r="BS24" i="3" s="1"/>
  <c r="O120" i="14"/>
  <c r="M31" i="19" s="1"/>
  <c r="BR24" i="3" s="1"/>
  <c r="N120" i="14"/>
  <c r="L31" i="19" s="1"/>
  <c r="BQ24" i="3" s="1"/>
  <c r="M120" i="14"/>
  <c r="K31" i="19" s="1"/>
  <c r="BP24" i="3" s="1"/>
  <c r="V120" i="14"/>
  <c r="L120" i="14"/>
  <c r="J31" i="19" s="1"/>
  <c r="BO24" i="3" s="1"/>
  <c r="U120" i="14"/>
  <c r="K120" i="14"/>
  <c r="T120" i="14"/>
  <c r="S120" i="14"/>
  <c r="S112" i="14"/>
  <c r="R112" i="14"/>
  <c r="Q112" i="14"/>
  <c r="P112" i="14"/>
  <c r="J111" i="14"/>
  <c r="O112" i="14"/>
  <c r="M23" i="19" s="1"/>
  <c r="BR12" i="3" s="1"/>
  <c r="N112" i="14"/>
  <c r="M112" i="14"/>
  <c r="V112" i="14"/>
  <c r="L112" i="14"/>
  <c r="J23" i="19" s="1"/>
  <c r="BO12" i="3" s="1"/>
  <c r="U112" i="14"/>
  <c r="K112" i="14"/>
  <c r="T112" i="14"/>
  <c r="V119" i="14"/>
  <c r="L119" i="14"/>
  <c r="J30" i="19" s="1"/>
  <c r="BO23" i="3" s="1"/>
  <c r="U119" i="14"/>
  <c r="K119" i="14"/>
  <c r="T119" i="14"/>
  <c r="S119" i="14"/>
  <c r="R119" i="14"/>
  <c r="Q119" i="14"/>
  <c r="P119" i="14"/>
  <c r="N30" i="19" s="1"/>
  <c r="BS23" i="3" s="1"/>
  <c r="O119" i="14"/>
  <c r="M30" i="19" s="1"/>
  <c r="BR23" i="3" s="1"/>
  <c r="N119" i="14"/>
  <c r="L30" i="19" s="1"/>
  <c r="BQ23" i="3" s="1"/>
  <c r="M119" i="14"/>
  <c r="K30" i="19" s="1"/>
  <c r="BP23" i="3" s="1"/>
  <c r="G81" i="27"/>
  <c r="V168" i="11"/>
  <c r="X168" i="11"/>
  <c r="T168" i="11"/>
  <c r="R168" i="11"/>
  <c r="AB168" i="11"/>
  <c r="Z168" i="11"/>
  <c r="AC168" i="11"/>
  <c r="AA168" i="11"/>
  <c r="Y168" i="11"/>
  <c r="W168" i="11"/>
  <c r="U168" i="11"/>
  <c r="S168" i="11"/>
  <c r="P98" i="14"/>
  <c r="V98" i="14"/>
  <c r="U98" i="14"/>
  <c r="T98" i="14"/>
  <c r="S98" i="14"/>
  <c r="R98" i="14"/>
  <c r="Q98" i="14"/>
  <c r="S3" i="22"/>
  <c r="T12" i="15"/>
  <c r="H100" i="27"/>
  <c r="L206" i="11"/>
  <c r="H102" i="27"/>
  <c r="L210" i="11"/>
  <c r="Y205" i="11"/>
  <c r="Z205" i="11"/>
  <c r="W205" i="11"/>
  <c r="T205" i="11"/>
  <c r="AB205" i="11"/>
  <c r="V205" i="11"/>
  <c r="U205" i="11"/>
  <c r="S205" i="11"/>
  <c r="AC205" i="11"/>
  <c r="AA205" i="11"/>
  <c r="X205" i="11"/>
  <c r="R205" i="11"/>
  <c r="R44" i="8"/>
  <c r="P9" i="25" s="1"/>
  <c r="Q19" i="25" s="1"/>
  <c r="G12" i="27"/>
  <c r="V26" i="11"/>
  <c r="AB26" i="11"/>
  <c r="X26" i="11"/>
  <c r="T26" i="11"/>
  <c r="S26" i="11"/>
  <c r="R26" i="11"/>
  <c r="AC26" i="11"/>
  <c r="AA26" i="11"/>
  <c r="Z26" i="11"/>
  <c r="Y26" i="11"/>
  <c r="W26" i="11"/>
  <c r="U26" i="11"/>
  <c r="AC177" i="11"/>
  <c r="S177" i="11"/>
  <c r="Y177" i="11"/>
  <c r="V177" i="11"/>
  <c r="W177" i="11"/>
  <c r="AB177" i="11"/>
  <c r="U177" i="11"/>
  <c r="T177" i="11"/>
  <c r="R177" i="11"/>
  <c r="AA177" i="11"/>
  <c r="Z177" i="11"/>
  <c r="X177" i="11"/>
  <c r="G33" i="27"/>
  <c r="Z70" i="11"/>
  <c r="X70" i="11"/>
  <c r="U70" i="11"/>
  <c r="S70" i="11"/>
  <c r="W70" i="11"/>
  <c r="R70" i="11"/>
  <c r="T70" i="11"/>
  <c r="AC70" i="11"/>
  <c r="AB70" i="11"/>
  <c r="AA70" i="11"/>
  <c r="Y70" i="11"/>
  <c r="V70" i="11"/>
  <c r="G19" i="27"/>
  <c r="J19" i="19" s="1"/>
  <c r="BO4" i="3" s="1"/>
  <c r="W41" i="11"/>
  <c r="T41" i="11"/>
  <c r="AC41" i="11"/>
  <c r="S41" i="11"/>
  <c r="X41" i="11"/>
  <c r="V41" i="11"/>
  <c r="U41" i="11"/>
  <c r="R41" i="11"/>
  <c r="AB41" i="11"/>
  <c r="AA41" i="11"/>
  <c r="Z41" i="11"/>
  <c r="Y41" i="11"/>
  <c r="Y169" i="11"/>
  <c r="AC169" i="11"/>
  <c r="R169" i="11"/>
  <c r="Z169" i="11"/>
  <c r="AB169" i="11"/>
  <c r="W169" i="11"/>
  <c r="U169" i="11"/>
  <c r="AA169" i="11"/>
  <c r="X169" i="11"/>
  <c r="V169" i="11"/>
  <c r="T169" i="11"/>
  <c r="S169" i="11"/>
  <c r="AB20" i="11"/>
  <c r="R20" i="11"/>
  <c r="Z20" i="11"/>
  <c r="AA20" i="11"/>
  <c r="AC20" i="11"/>
  <c r="Y20" i="11"/>
  <c r="X20" i="11"/>
  <c r="W20" i="11"/>
  <c r="V20" i="11"/>
  <c r="U20" i="11"/>
  <c r="T20" i="11"/>
  <c r="S20" i="11"/>
  <c r="V44" i="11"/>
  <c r="AC44" i="11"/>
  <c r="S44" i="11"/>
  <c r="Z44" i="11"/>
  <c r="T44" i="11"/>
  <c r="AA44" i="11"/>
  <c r="AB44" i="11"/>
  <c r="Y44" i="11"/>
  <c r="X44" i="11"/>
  <c r="W44" i="11"/>
  <c r="U44" i="11"/>
  <c r="R44" i="11"/>
  <c r="W21" i="23"/>
  <c r="O20" i="23"/>
  <c r="EB7" i="3" s="1"/>
  <c r="V41" i="23"/>
  <c r="EH36" i="3" s="1"/>
  <c r="DZ36" i="3"/>
  <c r="V16" i="23"/>
  <c r="J9" i="26"/>
  <c r="M44" i="22"/>
  <c r="M39" i="22"/>
  <c r="DK33" i="3" s="1"/>
  <c r="M23" i="22"/>
  <c r="DK11" i="3" s="1"/>
  <c r="M38" i="22"/>
  <c r="DK32" i="3" s="1"/>
  <c r="M12" i="22"/>
  <c r="M11" i="17" s="1"/>
  <c r="M27" i="22"/>
  <c r="DK16" i="3" s="1"/>
  <c r="M13" i="22"/>
  <c r="M12" i="17" s="1"/>
  <c r="M8" i="22"/>
  <c r="M41" i="22"/>
  <c r="DK35" i="3" s="1"/>
  <c r="M10" i="22"/>
  <c r="O105" i="14"/>
  <c r="V21" i="23"/>
  <c r="G9" i="26"/>
  <c r="M38" i="19"/>
  <c r="BR33" i="3" s="1"/>
  <c r="M26" i="19"/>
  <c r="BR16" i="3" s="1"/>
  <c r="M11" i="19"/>
  <c r="M40" i="19"/>
  <c r="BR35" i="3" s="1"/>
  <c r="M37" i="19"/>
  <c r="BR32" i="3" s="1"/>
  <c r="M8" i="19"/>
  <c r="M22" i="19"/>
  <c r="BR11" i="3" s="1"/>
  <c r="M10" i="19"/>
  <c r="M12" i="19"/>
  <c r="M43" i="19"/>
  <c r="M35" i="19"/>
  <c r="BR27" i="3" s="1"/>
  <c r="O131" i="14"/>
  <c r="F8" i="26"/>
  <c r="L37" i="18"/>
  <c r="BB33" i="3" s="1"/>
  <c r="L36" i="18"/>
  <c r="BB32" i="3" s="1"/>
  <c r="L42" i="18"/>
  <c r="L25" i="18"/>
  <c r="BB16" i="3" s="1"/>
  <c r="L39" i="18"/>
  <c r="BB35" i="3" s="1"/>
  <c r="L7" i="18"/>
  <c r="BB3" i="3" s="1"/>
  <c r="L21" i="18"/>
  <c r="BB11" i="3" s="1"/>
  <c r="L11" i="18"/>
  <c r="L10" i="18"/>
  <c r="L9" i="18"/>
  <c r="N79" i="14"/>
  <c r="I8" i="18"/>
  <c r="L35" i="12" s="1"/>
  <c r="K44" i="17"/>
  <c r="AL39" i="3" s="1"/>
  <c r="N22" i="20"/>
  <c r="CH11" i="3" s="1"/>
  <c r="V127" i="14"/>
  <c r="U127" i="14"/>
  <c r="T127" i="14"/>
  <c r="S127" i="14"/>
  <c r="R127" i="14"/>
  <c r="Q127" i="14"/>
  <c r="P127" i="14"/>
  <c r="Q70" i="14"/>
  <c r="Q69" i="14" s="1"/>
  <c r="P70" i="14"/>
  <c r="O70" i="14"/>
  <c r="N70" i="14"/>
  <c r="N69" i="14" s="1"/>
  <c r="M70" i="14"/>
  <c r="V70" i="14"/>
  <c r="L70" i="14"/>
  <c r="U70" i="14"/>
  <c r="K70" i="14"/>
  <c r="T70" i="14"/>
  <c r="S70" i="14"/>
  <c r="R70" i="14"/>
  <c r="U188" i="14"/>
  <c r="K188" i="14"/>
  <c r="T188" i="14"/>
  <c r="S188" i="14"/>
  <c r="R188" i="14"/>
  <c r="Q188" i="14"/>
  <c r="P188" i="14"/>
  <c r="O188" i="14"/>
  <c r="M46" i="21" s="1"/>
  <c r="CV40" i="3" s="1"/>
  <c r="N188" i="14"/>
  <c r="M188" i="14"/>
  <c r="K46" i="21" s="1"/>
  <c r="CT40" i="3" s="1"/>
  <c r="V188" i="14"/>
  <c r="L188" i="14"/>
  <c r="J46" i="21" s="1"/>
  <c r="CS40" i="3" s="1"/>
  <c r="S3" i="20"/>
  <c r="T16" i="15"/>
  <c r="N68" i="14"/>
  <c r="L30" i="18" s="1"/>
  <c r="BB24" i="3" s="1"/>
  <c r="M68" i="14"/>
  <c r="K30" i="18" s="1"/>
  <c r="BA24" i="3" s="1"/>
  <c r="V68" i="14"/>
  <c r="L68" i="14"/>
  <c r="J30" i="18" s="1"/>
  <c r="AZ24" i="3" s="1"/>
  <c r="U68" i="14"/>
  <c r="K68" i="14"/>
  <c r="T68" i="14"/>
  <c r="S68" i="14"/>
  <c r="R68" i="14"/>
  <c r="Q68" i="14"/>
  <c r="P68" i="14"/>
  <c r="N30" i="18" s="1"/>
  <c r="BD24" i="3" s="1"/>
  <c r="O68" i="14"/>
  <c r="M30" i="18" s="1"/>
  <c r="BC24" i="3" s="1"/>
  <c r="H58" i="27"/>
  <c r="L122" i="11"/>
  <c r="H53" i="27"/>
  <c r="L112" i="11"/>
  <c r="T3" i="22"/>
  <c r="U12" i="15"/>
  <c r="R9" i="14"/>
  <c r="O9" i="14"/>
  <c r="M9" i="14"/>
  <c r="V9" i="14"/>
  <c r="S9" i="14"/>
  <c r="Q9" i="14"/>
  <c r="P9" i="14"/>
  <c r="N9" i="14"/>
  <c r="L9" i="14"/>
  <c r="K9" i="14"/>
  <c r="U9" i="14"/>
  <c r="T9" i="14"/>
  <c r="J8" i="14"/>
  <c r="N88" i="14"/>
  <c r="L26" i="22" s="1"/>
  <c r="DJ15" i="3" s="1"/>
  <c r="M88" i="14"/>
  <c r="K26" i="22" s="1"/>
  <c r="DI15" i="3" s="1"/>
  <c r="V88" i="14"/>
  <c r="L88" i="14"/>
  <c r="J26" i="22" s="1"/>
  <c r="DH15" i="3" s="1"/>
  <c r="U88" i="14"/>
  <c r="K88" i="14"/>
  <c r="T88" i="14"/>
  <c r="S88" i="14"/>
  <c r="R88" i="14"/>
  <c r="Q88" i="14"/>
  <c r="P88" i="14"/>
  <c r="N26" i="22" s="1"/>
  <c r="DL15" i="3" s="1"/>
  <c r="O88" i="14"/>
  <c r="M26" i="22" s="1"/>
  <c r="DK15" i="3" s="1"/>
  <c r="H117" i="27"/>
  <c r="L241" i="11"/>
  <c r="G36" i="27"/>
  <c r="K36" i="22" s="1"/>
  <c r="DI27" i="3" s="1"/>
  <c r="W77" i="11"/>
  <c r="U77" i="11"/>
  <c r="AC77" i="11"/>
  <c r="R77" i="11"/>
  <c r="Y77" i="11"/>
  <c r="X77" i="11"/>
  <c r="S77" i="11"/>
  <c r="AB77" i="11"/>
  <c r="AA77" i="11"/>
  <c r="Z77" i="11"/>
  <c r="V77" i="11"/>
  <c r="T77" i="11"/>
  <c r="H23" i="27"/>
  <c r="L49" i="11"/>
  <c r="V18" i="11"/>
  <c r="AA18" i="11"/>
  <c r="X18" i="11"/>
  <c r="W18" i="11"/>
  <c r="U18" i="11"/>
  <c r="S18" i="11"/>
  <c r="R18" i="11"/>
  <c r="AC18" i="11"/>
  <c r="AB18" i="11"/>
  <c r="Z18" i="11"/>
  <c r="Y18" i="11"/>
  <c r="H3" i="27"/>
  <c r="L7" i="11"/>
  <c r="H28" i="27"/>
  <c r="L60" i="11"/>
  <c r="X27" i="11"/>
  <c r="U27" i="11"/>
  <c r="R27" i="11"/>
  <c r="AC27" i="11"/>
  <c r="AB27" i="11"/>
  <c r="AA27" i="11"/>
  <c r="Z27" i="11"/>
  <c r="Y27" i="11"/>
  <c r="W27" i="11"/>
  <c r="V27" i="11"/>
  <c r="T27" i="11"/>
  <c r="S27" i="11"/>
  <c r="I6" i="26"/>
  <c r="J44" i="21"/>
  <c r="J26" i="21"/>
  <c r="CS16" i="3" s="1"/>
  <c r="J23" i="21"/>
  <c r="J7" i="21"/>
  <c r="CS3" i="3" s="1"/>
  <c r="CS20" i="3" s="1"/>
  <c r="J25" i="21"/>
  <c r="CS15" i="3" s="1"/>
  <c r="J11" i="21"/>
  <c r="J10" i="21"/>
  <c r="J9" i="21"/>
  <c r="L185" i="14"/>
  <c r="J45" i="22"/>
  <c r="DH39" i="3" s="1"/>
  <c r="I17" i="3"/>
  <c r="V46" i="14"/>
  <c r="U46" i="14"/>
  <c r="T46" i="14"/>
  <c r="S46" i="14"/>
  <c r="R46" i="14"/>
  <c r="Q46" i="14"/>
  <c r="P46" i="14"/>
  <c r="V63" i="14"/>
  <c r="U63" i="14"/>
  <c r="T63" i="14"/>
  <c r="S63" i="14"/>
  <c r="R63" i="14"/>
  <c r="Q63" i="14"/>
  <c r="P63" i="14"/>
  <c r="U178" i="14"/>
  <c r="K178" i="14"/>
  <c r="T178" i="14"/>
  <c r="S178" i="14"/>
  <c r="R178" i="14"/>
  <c r="Q178" i="14"/>
  <c r="P178" i="14"/>
  <c r="O178" i="14"/>
  <c r="M36" i="21" s="1"/>
  <c r="CV27" i="3" s="1"/>
  <c r="N178" i="14"/>
  <c r="L36" i="21" s="1"/>
  <c r="CU27" i="3" s="1"/>
  <c r="M178" i="14"/>
  <c r="K36" i="21" s="1"/>
  <c r="CT27" i="3" s="1"/>
  <c r="V178" i="14"/>
  <c r="L178" i="14"/>
  <c r="J36" i="21" s="1"/>
  <c r="CS27" i="3" s="1"/>
  <c r="Q3" i="20"/>
  <c r="R16" i="15"/>
  <c r="S39" i="14"/>
  <c r="R39" i="14"/>
  <c r="Q39" i="14"/>
  <c r="P39" i="14"/>
  <c r="O39" i="14"/>
  <c r="N39" i="14"/>
  <c r="M39" i="14"/>
  <c r="V39" i="14"/>
  <c r="L39" i="14"/>
  <c r="U39" i="14"/>
  <c r="K39" i="14"/>
  <c r="T39" i="14"/>
  <c r="U114" i="14"/>
  <c r="K114" i="14"/>
  <c r="T114" i="14"/>
  <c r="S114" i="14"/>
  <c r="R114" i="14"/>
  <c r="Q114" i="14"/>
  <c r="P114" i="14"/>
  <c r="N25" i="19" s="1"/>
  <c r="BS15" i="3" s="1"/>
  <c r="O114" i="14"/>
  <c r="M25" i="19" s="1"/>
  <c r="BR15" i="3" s="1"/>
  <c r="N114" i="14"/>
  <c r="L25" i="19" s="1"/>
  <c r="BQ15" i="3" s="1"/>
  <c r="M114" i="14"/>
  <c r="K25" i="19" s="1"/>
  <c r="BP15" i="3" s="1"/>
  <c r="V114" i="14"/>
  <c r="L114" i="14"/>
  <c r="J25" i="19" s="1"/>
  <c r="BO15" i="3" s="1"/>
  <c r="S171" i="14"/>
  <c r="R171" i="14"/>
  <c r="Q171" i="14"/>
  <c r="P171" i="14"/>
  <c r="O171" i="14"/>
  <c r="N171" i="14"/>
  <c r="M171" i="14"/>
  <c r="V171" i="14"/>
  <c r="L171" i="14"/>
  <c r="U171" i="14"/>
  <c r="K171" i="14"/>
  <c r="T171" i="14"/>
  <c r="N148" i="14"/>
  <c r="M148" i="14"/>
  <c r="V148" i="14"/>
  <c r="L148" i="14"/>
  <c r="U148" i="14"/>
  <c r="K148" i="14"/>
  <c r="S148" i="14"/>
  <c r="R148" i="14"/>
  <c r="P148" i="14"/>
  <c r="T148" i="14"/>
  <c r="Q148" i="14"/>
  <c r="O148" i="14"/>
  <c r="O60" i="14"/>
  <c r="N60" i="14"/>
  <c r="M60" i="14"/>
  <c r="V60" i="14"/>
  <c r="L60" i="14"/>
  <c r="U60" i="14"/>
  <c r="K60" i="14"/>
  <c r="T60" i="14"/>
  <c r="S60" i="14"/>
  <c r="R60" i="14"/>
  <c r="Q60" i="14"/>
  <c r="P60" i="14"/>
  <c r="N22" i="18" s="1"/>
  <c r="BD12" i="3" s="1"/>
  <c r="J59" i="14"/>
  <c r="S152" i="14"/>
  <c r="R152" i="14"/>
  <c r="Q152" i="14"/>
  <c r="P152" i="14"/>
  <c r="V152" i="14"/>
  <c r="U152" i="14"/>
  <c r="T152" i="14"/>
  <c r="G56" i="27"/>
  <c r="V118" i="11"/>
  <c r="X118" i="11"/>
  <c r="T118" i="11"/>
  <c r="AA118" i="11"/>
  <c r="Z118" i="11"/>
  <c r="W118" i="11"/>
  <c r="AB118" i="11"/>
  <c r="U118" i="11"/>
  <c r="S118" i="11"/>
  <c r="AC118" i="11"/>
  <c r="Y118" i="11"/>
  <c r="R118" i="11"/>
  <c r="P138" i="14"/>
  <c r="N23" i="20" s="1"/>
  <c r="CH12" i="3" s="1"/>
  <c r="J137" i="14"/>
  <c r="O138" i="14"/>
  <c r="N138" i="14"/>
  <c r="M138" i="14"/>
  <c r="K23" i="20" s="1"/>
  <c r="CE12" i="3" s="1"/>
  <c r="V138" i="14"/>
  <c r="L138" i="14"/>
  <c r="U138" i="14"/>
  <c r="K138" i="14"/>
  <c r="T138" i="14"/>
  <c r="S138" i="14"/>
  <c r="R138" i="14"/>
  <c r="Q138" i="14"/>
  <c r="Q174" i="14"/>
  <c r="P174" i="14"/>
  <c r="O174" i="14"/>
  <c r="N174" i="14"/>
  <c r="M174" i="14"/>
  <c r="V174" i="14"/>
  <c r="L174" i="14"/>
  <c r="U174" i="14"/>
  <c r="K174" i="14"/>
  <c r="T174" i="14"/>
  <c r="S174" i="14"/>
  <c r="R174" i="14"/>
  <c r="S100" i="14"/>
  <c r="R100" i="14"/>
  <c r="Q100" i="14"/>
  <c r="P100" i="14"/>
  <c r="V100" i="14"/>
  <c r="U100" i="14"/>
  <c r="T100" i="14"/>
  <c r="H78" i="27"/>
  <c r="L162" i="11"/>
  <c r="G23" i="27"/>
  <c r="AA49" i="11"/>
  <c r="X49" i="11"/>
  <c r="Z49" i="11"/>
  <c r="AC49" i="11"/>
  <c r="W49" i="11"/>
  <c r="U49" i="11"/>
  <c r="AB49" i="11"/>
  <c r="Y49" i="11"/>
  <c r="V49" i="11"/>
  <c r="T49" i="11"/>
  <c r="S49" i="11"/>
  <c r="R49" i="11"/>
  <c r="G104" i="27"/>
  <c r="V214" i="11"/>
  <c r="AA214" i="11"/>
  <c r="Z214" i="11"/>
  <c r="W214" i="11"/>
  <c r="S214" i="11"/>
  <c r="AC214" i="11"/>
  <c r="AB214" i="11"/>
  <c r="X214" i="11"/>
  <c r="Y214" i="11"/>
  <c r="U214" i="11"/>
  <c r="T214" i="11"/>
  <c r="R214" i="11"/>
  <c r="W165" i="11"/>
  <c r="S165" i="11"/>
  <c r="AA165" i="11"/>
  <c r="AB165" i="11"/>
  <c r="R165" i="11"/>
  <c r="Y165" i="11"/>
  <c r="X165" i="11"/>
  <c r="U165" i="11"/>
  <c r="T165" i="11"/>
  <c r="AC165" i="11"/>
  <c r="Z165" i="11"/>
  <c r="V165" i="11"/>
  <c r="H16" i="27"/>
  <c r="L35" i="11"/>
  <c r="G75" i="27"/>
  <c r="Z156" i="11"/>
  <c r="AC156" i="11"/>
  <c r="R156" i="11"/>
  <c r="Y156" i="11"/>
  <c r="S156" i="11"/>
  <c r="U156" i="11"/>
  <c r="AB156" i="11"/>
  <c r="X156" i="11"/>
  <c r="W156" i="11"/>
  <c r="V156" i="11"/>
  <c r="AA156" i="11"/>
  <c r="T156" i="11"/>
  <c r="H112" i="27"/>
  <c r="L231" i="11"/>
  <c r="H18" i="27"/>
  <c r="L39" i="11"/>
  <c r="H22" i="27"/>
  <c r="L47" i="11"/>
  <c r="X12" i="11"/>
  <c r="AB12" i="11"/>
  <c r="AA12" i="11"/>
  <c r="Z12" i="11"/>
  <c r="Y12" i="11"/>
  <c r="W12" i="11"/>
  <c r="V12" i="11"/>
  <c r="U12" i="11"/>
  <c r="S12" i="11"/>
  <c r="R12" i="11"/>
  <c r="U183" i="14"/>
  <c r="T183" i="14"/>
  <c r="S183" i="14"/>
  <c r="R183" i="14"/>
  <c r="Q183" i="14"/>
  <c r="P183" i="14"/>
  <c r="V183" i="14"/>
  <c r="V129" i="14"/>
  <c r="U129" i="14"/>
  <c r="T129" i="14"/>
  <c r="S129" i="14"/>
  <c r="R129" i="14"/>
  <c r="Q129" i="14"/>
  <c r="P129" i="14"/>
  <c r="Q2" i="18"/>
  <c r="R10" i="15"/>
  <c r="U173" i="14"/>
  <c r="K173" i="14"/>
  <c r="T173" i="14"/>
  <c r="S173" i="14"/>
  <c r="R173" i="14"/>
  <c r="Q173" i="14"/>
  <c r="P173" i="14"/>
  <c r="O173" i="14"/>
  <c r="N173" i="14"/>
  <c r="M173" i="14"/>
  <c r="V173" i="14"/>
  <c r="L173" i="14"/>
  <c r="O113" i="14"/>
  <c r="M24" i="19" s="1"/>
  <c r="BR13" i="3" s="1"/>
  <c r="N113" i="14"/>
  <c r="L24" i="19" s="1"/>
  <c r="BQ13" i="3" s="1"/>
  <c r="M113" i="14"/>
  <c r="K24" i="19" s="1"/>
  <c r="BP13" i="3" s="1"/>
  <c r="V113" i="14"/>
  <c r="L113" i="14"/>
  <c r="J24" i="19" s="1"/>
  <c r="BO13" i="3" s="1"/>
  <c r="U113" i="14"/>
  <c r="K113" i="14"/>
  <c r="T113" i="14"/>
  <c r="S113" i="14"/>
  <c r="R113" i="14"/>
  <c r="Q113" i="14"/>
  <c r="P113" i="14"/>
  <c r="N24" i="19" s="1"/>
  <c r="BS13" i="3" s="1"/>
  <c r="V139" i="14"/>
  <c r="L139" i="14"/>
  <c r="J24" i="20" s="1"/>
  <c r="CD13" i="3" s="1"/>
  <c r="U139" i="14"/>
  <c r="K139" i="14"/>
  <c r="T139" i="14"/>
  <c r="S139" i="14"/>
  <c r="R139" i="14"/>
  <c r="Q139" i="14"/>
  <c r="P139" i="14"/>
  <c r="N24" i="20" s="1"/>
  <c r="CH13" i="3" s="1"/>
  <c r="O139" i="14"/>
  <c r="M24" i="20" s="1"/>
  <c r="CG13" i="3" s="1"/>
  <c r="N139" i="14"/>
  <c r="L24" i="20" s="1"/>
  <c r="CF13" i="3" s="1"/>
  <c r="M139" i="14"/>
  <c r="K24" i="20" s="1"/>
  <c r="CE13" i="3" s="1"/>
  <c r="G34" i="27"/>
  <c r="V72" i="11"/>
  <c r="X72" i="11"/>
  <c r="T72" i="11"/>
  <c r="AA72" i="11"/>
  <c r="R72" i="11"/>
  <c r="AC72" i="11"/>
  <c r="Z72" i="11"/>
  <c r="U72" i="11"/>
  <c r="S72" i="11"/>
  <c r="AB72" i="11"/>
  <c r="Y72" i="11"/>
  <c r="W72" i="11"/>
  <c r="M16" i="14"/>
  <c r="U16" i="14"/>
  <c r="K16" i="14"/>
  <c r="S16" i="14"/>
  <c r="R16" i="14"/>
  <c r="Q16" i="14"/>
  <c r="P16" i="14"/>
  <c r="O16" i="14"/>
  <c r="N16" i="14"/>
  <c r="L30" i="16" s="1"/>
  <c r="V16" i="14"/>
  <c r="T16" i="14"/>
  <c r="L16" i="14"/>
  <c r="J30" i="16" s="1"/>
  <c r="P12" i="14"/>
  <c r="U12" i="14"/>
  <c r="T12" i="14"/>
  <c r="V12" i="14"/>
  <c r="S12" i="14"/>
  <c r="R12" i="14"/>
  <c r="Q12" i="14"/>
  <c r="U94" i="14"/>
  <c r="K94" i="14"/>
  <c r="T94" i="14"/>
  <c r="S94" i="14"/>
  <c r="R94" i="14"/>
  <c r="Q94" i="14"/>
  <c r="P94" i="14"/>
  <c r="N32" i="22" s="1"/>
  <c r="DL24" i="3" s="1"/>
  <c r="O94" i="14"/>
  <c r="M32" i="22" s="1"/>
  <c r="DK24" i="3" s="1"/>
  <c r="N94" i="14"/>
  <c r="L32" i="22" s="1"/>
  <c r="DJ24" i="3" s="1"/>
  <c r="M94" i="14"/>
  <c r="K32" i="22" s="1"/>
  <c r="DI24" i="3" s="1"/>
  <c r="V94" i="14"/>
  <c r="L94" i="14"/>
  <c r="J32" i="22" s="1"/>
  <c r="DH24" i="3" s="1"/>
  <c r="H109" i="27"/>
  <c r="L225" i="11"/>
  <c r="H91" i="27"/>
  <c r="L188" i="11"/>
  <c r="H106" i="27"/>
  <c r="L218" i="11"/>
  <c r="G108" i="27"/>
  <c r="Y223" i="11"/>
  <c r="V223" i="11"/>
  <c r="X223" i="11"/>
  <c r="T223" i="11"/>
  <c r="AC223" i="11"/>
  <c r="S223" i="11"/>
  <c r="R223" i="11"/>
  <c r="AB223" i="11"/>
  <c r="AA223" i="11"/>
  <c r="Z223" i="11"/>
  <c r="W223" i="11"/>
  <c r="U223" i="11"/>
  <c r="H90" i="27"/>
  <c r="L186" i="11"/>
  <c r="H72" i="27"/>
  <c r="L150" i="11"/>
  <c r="H43" i="27"/>
  <c r="L92" i="11"/>
  <c r="W135" i="11"/>
  <c r="U135" i="11"/>
  <c r="AC135" i="11"/>
  <c r="R135" i="11"/>
  <c r="AB135" i="11"/>
  <c r="AA135" i="11"/>
  <c r="Y135" i="11"/>
  <c r="Z135" i="11"/>
  <c r="V135" i="11"/>
  <c r="T135" i="11"/>
  <c r="S135" i="11"/>
  <c r="X135" i="11"/>
  <c r="H21" i="27"/>
  <c r="L45" i="11"/>
  <c r="H61" i="27"/>
  <c r="L128" i="11"/>
  <c r="I9" i="26"/>
  <c r="M23" i="21"/>
  <c r="M7" i="21"/>
  <c r="CV3" i="3" s="1"/>
  <c r="CV20" i="3" s="1"/>
  <c r="M25" i="21"/>
  <c r="CV15" i="3" s="1"/>
  <c r="M44" i="21"/>
  <c r="M10" i="21"/>
  <c r="M11" i="21"/>
  <c r="M9" i="21"/>
  <c r="O185" i="14"/>
  <c r="L20" i="23"/>
  <c r="DY7" i="3" s="1"/>
  <c r="I7" i="26"/>
  <c r="K44" i="21"/>
  <c r="K10" i="21"/>
  <c r="K25" i="21"/>
  <c r="CT15" i="3" s="1"/>
  <c r="K11" i="21"/>
  <c r="K9" i="21"/>
  <c r="K23" i="21"/>
  <c r="K7" i="21"/>
  <c r="CT3" i="3" s="1"/>
  <c r="CT20" i="3" s="1"/>
  <c r="M185" i="14"/>
  <c r="N35" i="14"/>
  <c r="M35" i="14"/>
  <c r="V35" i="14"/>
  <c r="L35" i="14"/>
  <c r="U35" i="14"/>
  <c r="K35" i="14"/>
  <c r="T35" i="14"/>
  <c r="S35" i="14"/>
  <c r="R35" i="14"/>
  <c r="Q35" i="14"/>
  <c r="P35" i="14"/>
  <c r="O35" i="14"/>
  <c r="U49" i="14"/>
  <c r="T49" i="14"/>
  <c r="S49" i="14"/>
  <c r="R49" i="14"/>
  <c r="Q49" i="14"/>
  <c r="P49" i="14"/>
  <c r="V49" i="14"/>
  <c r="N134" i="14"/>
  <c r="L45" i="19" s="1"/>
  <c r="BQ40" i="3" s="1"/>
  <c r="M134" i="14"/>
  <c r="V134" i="14"/>
  <c r="L134" i="14"/>
  <c r="J45" i="19" s="1"/>
  <c r="BO40" i="3" s="1"/>
  <c r="U134" i="14"/>
  <c r="K134" i="14"/>
  <c r="T134" i="14"/>
  <c r="S134" i="14"/>
  <c r="R134" i="14"/>
  <c r="Q134" i="14"/>
  <c r="P134" i="14"/>
  <c r="O134" i="14"/>
  <c r="M45" i="19" s="1"/>
  <c r="BR40" i="3" s="1"/>
  <c r="V48" i="14"/>
  <c r="U48" i="14"/>
  <c r="T48" i="14"/>
  <c r="S48" i="14"/>
  <c r="R48" i="14"/>
  <c r="Q48" i="14"/>
  <c r="P48" i="14"/>
  <c r="Q144" i="14"/>
  <c r="M144" i="14"/>
  <c r="K29" i="20" s="1"/>
  <c r="CE22" i="3" s="1"/>
  <c r="R144" i="14"/>
  <c r="P144" i="14"/>
  <c r="N29" i="20" s="1"/>
  <c r="CH22" i="3" s="1"/>
  <c r="O144" i="14"/>
  <c r="N144" i="14"/>
  <c r="L29" i="20" s="1"/>
  <c r="CF22" i="3" s="1"/>
  <c r="L144" i="14"/>
  <c r="J29" i="20" s="1"/>
  <c r="CD22" i="3" s="1"/>
  <c r="K144" i="14"/>
  <c r="V144" i="14"/>
  <c r="U144" i="14"/>
  <c r="T144" i="14"/>
  <c r="S144" i="14"/>
  <c r="P45" i="14"/>
  <c r="O45" i="14"/>
  <c r="N45" i="14"/>
  <c r="M45" i="14"/>
  <c r="V45" i="14"/>
  <c r="L45" i="14"/>
  <c r="U45" i="14"/>
  <c r="K45" i="14"/>
  <c r="T45" i="14"/>
  <c r="S45" i="14"/>
  <c r="R45" i="14"/>
  <c r="Q45" i="14"/>
  <c r="S17" i="14"/>
  <c r="R17" i="14"/>
  <c r="Q17" i="14"/>
  <c r="O17" i="14"/>
  <c r="N17" i="14"/>
  <c r="L31" i="16" s="1"/>
  <c r="M17" i="14"/>
  <c r="V17" i="14"/>
  <c r="L17" i="14"/>
  <c r="J31" i="16" s="1"/>
  <c r="U17" i="14"/>
  <c r="K17" i="14"/>
  <c r="T17" i="14"/>
  <c r="P17" i="14"/>
  <c r="Q23" i="14"/>
  <c r="P23" i="14"/>
  <c r="V23" i="14"/>
  <c r="U23" i="14"/>
  <c r="T23" i="14"/>
  <c r="S23" i="14"/>
  <c r="R23" i="14"/>
  <c r="S25" i="14"/>
  <c r="R25" i="14"/>
  <c r="Q25" i="14"/>
  <c r="P25" i="14"/>
  <c r="O25" i="14"/>
  <c r="N25" i="14"/>
  <c r="M25" i="14"/>
  <c r="V25" i="14"/>
  <c r="L25" i="14"/>
  <c r="U25" i="14"/>
  <c r="K25" i="14"/>
  <c r="T25" i="14"/>
  <c r="T167" i="14"/>
  <c r="S167" i="14"/>
  <c r="R167" i="14"/>
  <c r="Q167" i="14"/>
  <c r="P167" i="14"/>
  <c r="V167" i="14"/>
  <c r="U167" i="14"/>
  <c r="M91" i="14"/>
  <c r="V91" i="14"/>
  <c r="L91" i="14"/>
  <c r="U91" i="14"/>
  <c r="K91" i="14"/>
  <c r="T91" i="14"/>
  <c r="S91" i="14"/>
  <c r="R91" i="14"/>
  <c r="Q91" i="14"/>
  <c r="P91" i="14"/>
  <c r="O91" i="14"/>
  <c r="N91" i="14"/>
  <c r="O93" i="14"/>
  <c r="M31" i="22" s="1"/>
  <c r="DK23" i="3" s="1"/>
  <c r="N93" i="14"/>
  <c r="L31" i="22" s="1"/>
  <c r="DJ23" i="3" s="1"/>
  <c r="M93" i="14"/>
  <c r="K31" i="22" s="1"/>
  <c r="DI23" i="3" s="1"/>
  <c r="V93" i="14"/>
  <c r="L93" i="14"/>
  <c r="J31" i="22" s="1"/>
  <c r="DH23" i="3" s="1"/>
  <c r="U93" i="14"/>
  <c r="K93" i="14"/>
  <c r="T93" i="14"/>
  <c r="S93" i="14"/>
  <c r="R93" i="14"/>
  <c r="Q93" i="14"/>
  <c r="P93" i="14"/>
  <c r="N31" i="22" s="1"/>
  <c r="DL23" i="3" s="1"/>
  <c r="H57" i="27"/>
  <c r="L120" i="11"/>
  <c r="Y195" i="11"/>
  <c r="S195" i="11"/>
  <c r="X195" i="11"/>
  <c r="U195" i="11"/>
  <c r="T195" i="11"/>
  <c r="AC195" i="11"/>
  <c r="AA195" i="11"/>
  <c r="R195" i="11"/>
  <c r="AB195" i="11"/>
  <c r="Z195" i="11"/>
  <c r="W195" i="11"/>
  <c r="V195" i="11"/>
  <c r="U111" i="11"/>
  <c r="V111" i="11"/>
  <c r="AC111" i="11"/>
  <c r="R111" i="11"/>
  <c r="X111" i="11"/>
  <c r="AA111" i="11"/>
  <c r="Y111" i="11"/>
  <c r="T111" i="11"/>
  <c r="AB111" i="11"/>
  <c r="Z111" i="11"/>
  <c r="W111" i="11"/>
  <c r="S111" i="11"/>
  <c r="G77" i="27"/>
  <c r="AB160" i="11"/>
  <c r="R160" i="11"/>
  <c r="AA160" i="11"/>
  <c r="X160" i="11"/>
  <c r="S160" i="11"/>
  <c r="AC160" i="11"/>
  <c r="Y160" i="11"/>
  <c r="T160" i="11"/>
  <c r="Z160" i="11"/>
  <c r="W160" i="11"/>
  <c r="V160" i="11"/>
  <c r="U160" i="11"/>
  <c r="H96" i="27"/>
  <c r="L198" i="11"/>
  <c r="AC167" i="11"/>
  <c r="S167" i="11"/>
  <c r="R167" i="11"/>
  <c r="Z167" i="11"/>
  <c r="V167" i="11"/>
  <c r="AA167" i="11"/>
  <c r="Y167" i="11"/>
  <c r="X167" i="11"/>
  <c r="W167" i="11"/>
  <c r="U167" i="11"/>
  <c r="T167" i="11"/>
  <c r="AB167" i="11"/>
  <c r="G71" i="27"/>
  <c r="V148" i="11"/>
  <c r="U148" i="11"/>
  <c r="AC148" i="11"/>
  <c r="R148" i="11"/>
  <c r="X148" i="11"/>
  <c r="AA148" i="11"/>
  <c r="Y148" i="11"/>
  <c r="AB148" i="11"/>
  <c r="W148" i="11"/>
  <c r="T148" i="11"/>
  <c r="S148" i="11"/>
  <c r="Z148" i="11"/>
  <c r="G30" i="27"/>
  <c r="AB64" i="11"/>
  <c r="R64" i="11"/>
  <c r="AA64" i="11"/>
  <c r="X64" i="11"/>
  <c r="Z64" i="11"/>
  <c r="U64" i="11"/>
  <c r="V64" i="11"/>
  <c r="T64" i="11"/>
  <c r="S64" i="11"/>
  <c r="AC64" i="11"/>
  <c r="Y64" i="11"/>
  <c r="W64" i="11"/>
  <c r="H13" i="27"/>
  <c r="L29" i="11"/>
  <c r="G74" i="27"/>
  <c r="T154" i="11"/>
  <c r="S154" i="11"/>
  <c r="AA154" i="11"/>
  <c r="Z154" i="11"/>
  <c r="Y154" i="11"/>
  <c r="W154" i="11"/>
  <c r="AC154" i="11"/>
  <c r="X154" i="11"/>
  <c r="V154" i="11"/>
  <c r="U154" i="11"/>
  <c r="AB154" i="11"/>
  <c r="R154" i="11"/>
  <c r="V80" i="11"/>
  <c r="Y80" i="11"/>
  <c r="U80" i="11"/>
  <c r="AA80" i="11"/>
  <c r="AC80" i="11"/>
  <c r="X80" i="11"/>
  <c r="T80" i="11"/>
  <c r="S80" i="11"/>
  <c r="R80" i="11"/>
  <c r="AB80" i="11"/>
  <c r="Z80" i="11"/>
  <c r="W80" i="11"/>
  <c r="N44" i="17"/>
  <c r="AO39" i="3" s="1"/>
  <c r="J8" i="26"/>
  <c r="L39" i="22"/>
  <c r="DJ33" i="3" s="1"/>
  <c r="L23" i="22"/>
  <c r="DJ11" i="3" s="1"/>
  <c r="L36" i="22"/>
  <c r="DJ27" i="3" s="1"/>
  <c r="L27" i="22"/>
  <c r="DJ16" i="3" s="1"/>
  <c r="L13" i="22"/>
  <c r="L12" i="17" s="1"/>
  <c r="L8" i="22"/>
  <c r="L44" i="22"/>
  <c r="L41" i="22"/>
  <c r="DJ35" i="3" s="1"/>
  <c r="L12" i="22"/>
  <c r="L11" i="17" s="1"/>
  <c r="L38" i="22"/>
  <c r="DJ32" i="3" s="1"/>
  <c r="L10" i="22"/>
  <c r="N105" i="14"/>
  <c r="BC30" i="3"/>
  <c r="BC31" i="3" s="1"/>
  <c r="M44" i="17"/>
  <c r="AN39" i="3" s="1"/>
  <c r="Q155" i="14"/>
  <c r="P155" i="14"/>
  <c r="N40" i="20" s="1"/>
  <c r="CH35" i="3" s="1"/>
  <c r="V155" i="14"/>
  <c r="U155" i="14"/>
  <c r="T155" i="14"/>
  <c r="S155" i="14"/>
  <c r="R155" i="14"/>
  <c r="T2" i="18"/>
  <c r="U10" i="15"/>
  <c r="V74" i="14"/>
  <c r="U74" i="14"/>
  <c r="T74" i="14"/>
  <c r="S74" i="14"/>
  <c r="R74" i="14"/>
  <c r="Q74" i="14"/>
  <c r="P74" i="14"/>
  <c r="U122" i="14"/>
  <c r="K122" i="14"/>
  <c r="T122" i="14"/>
  <c r="S122" i="14"/>
  <c r="R122" i="14"/>
  <c r="Q122" i="14"/>
  <c r="P122" i="14"/>
  <c r="O122" i="14"/>
  <c r="M33" i="19" s="1"/>
  <c r="BR28" i="3" s="1"/>
  <c r="N122" i="14"/>
  <c r="M122" i="14"/>
  <c r="V122" i="14"/>
  <c r="L122" i="14"/>
  <c r="P118" i="14"/>
  <c r="N29" i="19" s="1"/>
  <c r="BS22" i="3" s="1"/>
  <c r="O118" i="14"/>
  <c r="M29" i="19" s="1"/>
  <c r="BR22" i="3" s="1"/>
  <c r="N118" i="14"/>
  <c r="L29" i="19" s="1"/>
  <c r="BQ22" i="3" s="1"/>
  <c r="M118" i="14"/>
  <c r="K29" i="19" s="1"/>
  <c r="BP22" i="3" s="1"/>
  <c r="V118" i="14"/>
  <c r="L118" i="14"/>
  <c r="J29" i="19" s="1"/>
  <c r="BO22" i="3" s="1"/>
  <c r="U118" i="14"/>
  <c r="K118" i="14"/>
  <c r="T118" i="14"/>
  <c r="S118" i="14"/>
  <c r="R118" i="14"/>
  <c r="Q118" i="14"/>
  <c r="R165" i="14"/>
  <c r="Q165" i="14"/>
  <c r="P165" i="14"/>
  <c r="J163" i="14"/>
  <c r="V165" i="14"/>
  <c r="U165" i="14"/>
  <c r="T165" i="14"/>
  <c r="S165" i="14"/>
  <c r="U146" i="14"/>
  <c r="K146" i="14"/>
  <c r="T146" i="14"/>
  <c r="S146" i="14"/>
  <c r="P146" i="14"/>
  <c r="N31" i="20" s="1"/>
  <c r="CH24" i="3" s="1"/>
  <c r="O146" i="14"/>
  <c r="M31" i="20" s="1"/>
  <c r="CG24" i="3" s="1"/>
  <c r="R146" i="14"/>
  <c r="Q146" i="14"/>
  <c r="N146" i="14"/>
  <c r="L31" i="20" s="1"/>
  <c r="CF24" i="3" s="1"/>
  <c r="M146" i="14"/>
  <c r="K31" i="20" s="1"/>
  <c r="CE24" i="3" s="1"/>
  <c r="L146" i="14"/>
  <c r="J31" i="20" s="1"/>
  <c r="CD24" i="3" s="1"/>
  <c r="V146" i="14"/>
  <c r="T11" i="14"/>
  <c r="Q11" i="14"/>
  <c r="O11" i="14"/>
  <c r="U11" i="14"/>
  <c r="S11" i="14"/>
  <c r="R11" i="14"/>
  <c r="P11" i="14"/>
  <c r="N11" i="14"/>
  <c r="L25" i="16" s="1"/>
  <c r="M11" i="14"/>
  <c r="L11" i="14"/>
  <c r="J25" i="16" s="1"/>
  <c r="K11" i="14"/>
  <c r="V11" i="14"/>
  <c r="G117" i="27"/>
  <c r="AC241" i="11"/>
  <c r="S241" i="11"/>
  <c r="U241" i="11"/>
  <c r="AB241" i="11"/>
  <c r="Y241" i="11"/>
  <c r="AA241" i="11"/>
  <c r="X241" i="11"/>
  <c r="Z241" i="11"/>
  <c r="W241" i="11"/>
  <c r="V241" i="11"/>
  <c r="T241" i="11"/>
  <c r="R241" i="11"/>
  <c r="H110" i="27"/>
  <c r="L227" i="11"/>
  <c r="T97" i="14"/>
  <c r="S97" i="14"/>
  <c r="R97" i="14"/>
  <c r="Q97" i="14"/>
  <c r="P97" i="14"/>
  <c r="N35" i="22" s="1"/>
  <c r="DL29" i="3" s="1"/>
  <c r="O97" i="14"/>
  <c r="M35" i="22" s="1"/>
  <c r="DK29" i="3" s="1"/>
  <c r="N97" i="14"/>
  <c r="L35" i="22" s="1"/>
  <c r="DJ29" i="3" s="1"/>
  <c r="M97" i="14"/>
  <c r="K35" i="22" s="1"/>
  <c r="DI29" i="3" s="1"/>
  <c r="V97" i="14"/>
  <c r="L97" i="14"/>
  <c r="J35" i="22" s="1"/>
  <c r="DH29" i="3" s="1"/>
  <c r="U97" i="14"/>
  <c r="K97" i="14"/>
  <c r="R87" i="14"/>
  <c r="Q87" i="14"/>
  <c r="P87" i="14"/>
  <c r="N25" i="22" s="1"/>
  <c r="DL13" i="3" s="1"/>
  <c r="O87" i="14"/>
  <c r="M25" i="22" s="1"/>
  <c r="DK13" i="3" s="1"/>
  <c r="N87" i="14"/>
  <c r="L25" i="22" s="1"/>
  <c r="DJ13" i="3" s="1"/>
  <c r="M87" i="14"/>
  <c r="K25" i="22" s="1"/>
  <c r="DI13" i="3" s="1"/>
  <c r="V87" i="14"/>
  <c r="L87" i="14"/>
  <c r="J25" i="22" s="1"/>
  <c r="DH13" i="3" s="1"/>
  <c r="U87" i="14"/>
  <c r="K87" i="14"/>
  <c r="T87" i="14"/>
  <c r="S87" i="14"/>
  <c r="G95" i="27"/>
  <c r="AB196" i="11"/>
  <c r="R196" i="11"/>
  <c r="X196" i="11"/>
  <c r="T196" i="11"/>
  <c r="AC196" i="11"/>
  <c r="S196" i="11"/>
  <c r="Z196" i="11"/>
  <c r="Y196" i="11"/>
  <c r="W196" i="11"/>
  <c r="V196" i="11"/>
  <c r="U196" i="11"/>
  <c r="AA196" i="11"/>
  <c r="G80" i="27"/>
  <c r="Z166" i="11"/>
  <c r="X166" i="11"/>
  <c r="U166" i="11"/>
  <c r="Y166" i="11"/>
  <c r="AC166" i="11"/>
  <c r="AA166" i="11"/>
  <c r="W166" i="11"/>
  <c r="T166" i="11"/>
  <c r="S166" i="11"/>
  <c r="AB166" i="11"/>
  <c r="V166" i="11"/>
  <c r="R166" i="11"/>
  <c r="G103" i="27"/>
  <c r="Z212" i="11"/>
  <c r="AB212" i="11"/>
  <c r="W212" i="11"/>
  <c r="T212" i="11"/>
  <c r="V212" i="11"/>
  <c r="AC212" i="11"/>
  <c r="AA212" i="11"/>
  <c r="X212" i="11"/>
  <c r="Y212" i="11"/>
  <c r="U212" i="11"/>
  <c r="S212" i="11"/>
  <c r="R212" i="11"/>
  <c r="H48" i="27"/>
  <c r="L102" i="11"/>
  <c r="H87" i="27"/>
  <c r="L180" i="11"/>
  <c r="AC147" i="11"/>
  <c r="S147" i="11"/>
  <c r="AA147" i="11"/>
  <c r="X147" i="11"/>
  <c r="Z147" i="11"/>
  <c r="Y147" i="11"/>
  <c r="AB147" i="11"/>
  <c r="W147" i="11"/>
  <c r="U147" i="11"/>
  <c r="T147" i="11"/>
  <c r="R147" i="11"/>
  <c r="V147" i="11"/>
  <c r="G21" i="27"/>
  <c r="Y45" i="11"/>
  <c r="V45" i="11"/>
  <c r="U45" i="11"/>
  <c r="AA45" i="11"/>
  <c r="X45" i="11"/>
  <c r="R45" i="11"/>
  <c r="AC45" i="11"/>
  <c r="AB45" i="11"/>
  <c r="Z45" i="11"/>
  <c r="W45" i="11"/>
  <c r="T45" i="11"/>
  <c r="S45" i="11"/>
  <c r="H56" i="27"/>
  <c r="L118" i="11"/>
  <c r="Q115" i="14"/>
  <c r="P115" i="14"/>
  <c r="N26" i="19" s="1"/>
  <c r="BS16" i="3" s="1"/>
  <c r="V115" i="14"/>
  <c r="U115" i="14"/>
  <c r="T115" i="14"/>
  <c r="S115" i="14"/>
  <c r="R115" i="14"/>
  <c r="S48" i="3"/>
  <c r="K37" i="26"/>
  <c r="W16" i="23"/>
  <c r="G6" i="26"/>
  <c r="J39" i="19"/>
  <c r="BO34" i="3" s="1"/>
  <c r="J26" i="19"/>
  <c r="BO16" i="3" s="1"/>
  <c r="J40" i="19"/>
  <c r="BO35" i="3" s="1"/>
  <c r="J43" i="19"/>
  <c r="J37" i="19"/>
  <c r="BO32" i="3" s="1"/>
  <c r="J11" i="19"/>
  <c r="J35" i="19"/>
  <c r="BO27" i="3" s="1"/>
  <c r="J8" i="19"/>
  <c r="J10" i="19"/>
  <c r="J22" i="19"/>
  <c r="BO11" i="3" s="1"/>
  <c r="J38" i="19"/>
  <c r="BO33" i="3" s="1"/>
  <c r="J12" i="19"/>
  <c r="L131" i="14"/>
  <c r="L44" i="16"/>
  <c r="X39" i="3" s="1"/>
  <c r="E5" i="26"/>
  <c r="I35" i="17"/>
  <c r="AJ27" i="3" s="1"/>
  <c r="I45" i="17"/>
  <c r="AJ40" i="3" s="1"/>
  <c r="I40" i="17"/>
  <c r="AJ35" i="3" s="1"/>
  <c r="I38" i="17"/>
  <c r="AJ33" i="3" s="1"/>
  <c r="I37" i="17"/>
  <c r="AJ32" i="3" s="1"/>
  <c r="I26" i="17"/>
  <c r="AJ16" i="3" s="1"/>
  <c r="I22" i="17"/>
  <c r="AJ11" i="3" s="1"/>
  <c r="I8" i="17"/>
  <c r="I43" i="17"/>
  <c r="K53" i="14"/>
  <c r="K52" i="14" s="1"/>
  <c r="J53" i="14"/>
  <c r="J52" i="14" s="1"/>
  <c r="M45" i="17"/>
  <c r="AN40" i="3" s="1"/>
  <c r="O2" i="18"/>
  <c r="P10" i="15"/>
  <c r="V9" i="15"/>
  <c r="Q103" i="14"/>
  <c r="P103" i="14"/>
  <c r="V103" i="14"/>
  <c r="U103" i="14"/>
  <c r="T103" i="14"/>
  <c r="S103" i="14"/>
  <c r="R103" i="14"/>
  <c r="Q42" i="14"/>
  <c r="P42" i="14"/>
  <c r="O42" i="14"/>
  <c r="N42" i="14"/>
  <c r="M42" i="14"/>
  <c r="V42" i="14"/>
  <c r="L42" i="14"/>
  <c r="U42" i="14"/>
  <c r="K42" i="14"/>
  <c r="T42" i="14"/>
  <c r="S42" i="14"/>
  <c r="R42" i="14"/>
  <c r="Q123" i="14"/>
  <c r="P123" i="14"/>
  <c r="N34" i="19" s="1"/>
  <c r="BS29" i="3" s="1"/>
  <c r="O123" i="14"/>
  <c r="M34" i="19" s="1"/>
  <c r="BR29" i="3" s="1"/>
  <c r="N123" i="14"/>
  <c r="L34" i="19" s="1"/>
  <c r="BQ29" i="3" s="1"/>
  <c r="M123" i="14"/>
  <c r="K34" i="19" s="1"/>
  <c r="BP29" i="3" s="1"/>
  <c r="V123" i="14"/>
  <c r="L123" i="14"/>
  <c r="J34" i="19" s="1"/>
  <c r="BO29" i="3" s="1"/>
  <c r="U123" i="14"/>
  <c r="K123" i="14"/>
  <c r="T123" i="14"/>
  <c r="S123" i="14"/>
  <c r="R123" i="14"/>
  <c r="V66" i="14"/>
  <c r="L66" i="14"/>
  <c r="J28" i="18" s="1"/>
  <c r="AZ22" i="3" s="1"/>
  <c r="U66" i="14"/>
  <c r="K66" i="14"/>
  <c r="T66" i="14"/>
  <c r="S66" i="14"/>
  <c r="R66" i="14"/>
  <c r="Q66" i="14"/>
  <c r="P66" i="14"/>
  <c r="N28" i="18" s="1"/>
  <c r="BD22" i="3" s="1"/>
  <c r="O66" i="14"/>
  <c r="M28" i="18" s="1"/>
  <c r="BC22" i="3" s="1"/>
  <c r="N66" i="14"/>
  <c r="M66" i="14"/>
  <c r="K28" i="18" s="1"/>
  <c r="BA22" i="3" s="1"/>
  <c r="U41" i="14"/>
  <c r="K41" i="14"/>
  <c r="T41" i="14"/>
  <c r="S41" i="14"/>
  <c r="R41" i="14"/>
  <c r="Q41" i="14"/>
  <c r="P41" i="14"/>
  <c r="O41" i="14"/>
  <c r="N41" i="14"/>
  <c r="M41" i="14"/>
  <c r="V41" i="14"/>
  <c r="L41" i="14"/>
  <c r="J175" i="14"/>
  <c r="V21" i="14"/>
  <c r="U21" i="14"/>
  <c r="T21" i="14"/>
  <c r="S21" i="14"/>
  <c r="R21" i="14"/>
  <c r="Q21" i="14"/>
  <c r="P21" i="14"/>
  <c r="O40" i="14"/>
  <c r="N40" i="14"/>
  <c r="M40" i="14"/>
  <c r="V40" i="14"/>
  <c r="L40" i="14"/>
  <c r="U40" i="14"/>
  <c r="K40" i="14"/>
  <c r="T40" i="14"/>
  <c r="S40" i="14"/>
  <c r="R40" i="14"/>
  <c r="Q40" i="14"/>
  <c r="P40" i="14"/>
  <c r="O3" i="22"/>
  <c r="P12" i="15"/>
  <c r="V86" i="14"/>
  <c r="L86" i="14"/>
  <c r="U86" i="14"/>
  <c r="K86" i="14"/>
  <c r="T86" i="14"/>
  <c r="S86" i="14"/>
  <c r="R86" i="14"/>
  <c r="Q86" i="14"/>
  <c r="P86" i="14"/>
  <c r="N24" i="22" s="1"/>
  <c r="DL12" i="3" s="1"/>
  <c r="J85" i="14"/>
  <c r="O86" i="14"/>
  <c r="N86" i="14"/>
  <c r="M86" i="14"/>
  <c r="G94" i="27"/>
  <c r="V194" i="11"/>
  <c r="Y194" i="11"/>
  <c r="AC194" i="11"/>
  <c r="Z194" i="11"/>
  <c r="U194" i="11"/>
  <c r="AA194" i="11"/>
  <c r="R194" i="11"/>
  <c r="X194" i="11"/>
  <c r="W194" i="11"/>
  <c r="T194" i="11"/>
  <c r="AB194" i="11"/>
  <c r="S194" i="11"/>
  <c r="H65" i="27"/>
  <c r="L136" i="11"/>
  <c r="AC117" i="11"/>
  <c r="S117" i="11"/>
  <c r="R117" i="11"/>
  <c r="Z117" i="11"/>
  <c r="AA117" i="11"/>
  <c r="X117" i="11"/>
  <c r="W117" i="11"/>
  <c r="U117" i="11"/>
  <c r="T117" i="11"/>
  <c r="AB117" i="11"/>
  <c r="Y117" i="11"/>
  <c r="V117" i="11"/>
  <c r="G38" i="27"/>
  <c r="Y81" i="11"/>
  <c r="S81" i="11"/>
  <c r="AA81" i="11"/>
  <c r="W81" i="11"/>
  <c r="AB81" i="11"/>
  <c r="V81" i="11"/>
  <c r="T81" i="11"/>
  <c r="Z81" i="11"/>
  <c r="X81" i="11"/>
  <c r="U81" i="11"/>
  <c r="R81" i="11"/>
  <c r="AC81" i="11"/>
  <c r="H11" i="27"/>
  <c r="L24" i="11"/>
  <c r="H49" i="27"/>
  <c r="L104" i="11"/>
  <c r="G68" i="27"/>
  <c r="X142" i="11"/>
  <c r="Y142" i="11"/>
  <c r="U142" i="11"/>
  <c r="S142" i="11"/>
  <c r="AC142" i="11"/>
  <c r="AA142" i="11"/>
  <c r="AB142" i="11"/>
  <c r="W142" i="11"/>
  <c r="V142" i="11"/>
  <c r="T142" i="11"/>
  <c r="Z142" i="11"/>
  <c r="R142" i="11"/>
  <c r="S181" i="14"/>
  <c r="R181" i="14"/>
  <c r="Q181" i="14"/>
  <c r="P181" i="14"/>
  <c r="V181" i="14"/>
  <c r="U181" i="14"/>
  <c r="T181" i="14"/>
  <c r="F55" i="3"/>
  <c r="H59" i="2"/>
  <c r="K52" i="26"/>
  <c r="V32" i="23"/>
  <c r="EH25" i="3" s="1"/>
  <c r="M20" i="23"/>
  <c r="DZ7" i="3" s="1"/>
  <c r="V14" i="23"/>
  <c r="Q20" i="23"/>
  <c r="ED7" i="3" s="1"/>
  <c r="I8" i="21"/>
  <c r="I27" i="21" s="1"/>
  <c r="H7" i="26"/>
  <c r="K39" i="20"/>
  <c r="CE34" i="3" s="1"/>
  <c r="K26" i="20"/>
  <c r="CE16" i="3" s="1"/>
  <c r="K11" i="20"/>
  <c r="K43" i="20"/>
  <c r="K40" i="20"/>
  <c r="CE35" i="3" s="1"/>
  <c r="K37" i="20"/>
  <c r="CE32" i="3" s="1"/>
  <c r="K12" i="20"/>
  <c r="K10" i="20"/>
  <c r="K35" i="20"/>
  <c r="CE27" i="3" s="1"/>
  <c r="K22" i="20"/>
  <c r="CE11" i="3" s="1"/>
  <c r="K8" i="20"/>
  <c r="K38" i="20"/>
  <c r="CE33" i="3" s="1"/>
  <c r="M157" i="14"/>
  <c r="J44" i="17"/>
  <c r="AK39" i="3" s="1"/>
  <c r="P2" i="18"/>
  <c r="Q10" i="15"/>
  <c r="T117" i="14"/>
  <c r="S117" i="14"/>
  <c r="R117" i="14"/>
  <c r="Q117" i="14"/>
  <c r="P117" i="14"/>
  <c r="O117" i="14"/>
  <c r="N117" i="14"/>
  <c r="M117" i="14"/>
  <c r="V117" i="14"/>
  <c r="L117" i="14"/>
  <c r="U117" i="14"/>
  <c r="K117" i="14"/>
  <c r="T3" i="20"/>
  <c r="U16" i="15"/>
  <c r="V101" i="14"/>
  <c r="U101" i="14"/>
  <c r="T101" i="14"/>
  <c r="S101" i="14"/>
  <c r="R101" i="14"/>
  <c r="Q101" i="14"/>
  <c r="P101" i="14"/>
  <c r="H115" i="27"/>
  <c r="L237" i="11"/>
  <c r="Y234" i="11"/>
  <c r="V234" i="11"/>
  <c r="T234" i="11"/>
  <c r="S234" i="11"/>
  <c r="H73" i="27"/>
  <c r="L152" i="11"/>
  <c r="P3" i="22"/>
  <c r="Q12" i="15"/>
  <c r="V141" i="14"/>
  <c r="U141" i="14"/>
  <c r="T141" i="14"/>
  <c r="S141" i="14"/>
  <c r="R141" i="14"/>
  <c r="Q141" i="14"/>
  <c r="P141" i="14"/>
  <c r="H93" i="27"/>
  <c r="L192" i="11"/>
  <c r="H82" i="27"/>
  <c r="L170" i="11"/>
  <c r="V19" i="14"/>
  <c r="L19" i="14"/>
  <c r="U19" i="14"/>
  <c r="K19" i="14"/>
  <c r="T19" i="14"/>
  <c r="R19" i="14"/>
  <c r="Q19" i="14"/>
  <c r="P19" i="14"/>
  <c r="O19" i="14"/>
  <c r="N19" i="14"/>
  <c r="M19" i="14"/>
  <c r="S19" i="14"/>
  <c r="U6" i="11"/>
  <c r="H50" i="27"/>
  <c r="L106" i="11"/>
  <c r="H41" i="27"/>
  <c r="L88" i="11"/>
  <c r="G41" i="27"/>
  <c r="V88" i="11"/>
  <c r="Z88" i="11"/>
  <c r="W88" i="11"/>
  <c r="AC88" i="11"/>
  <c r="AB88" i="11"/>
  <c r="Y88" i="11"/>
  <c r="X88" i="11"/>
  <c r="T88" i="11"/>
  <c r="AA88" i="11"/>
  <c r="U88" i="11"/>
  <c r="S88" i="11"/>
  <c r="R88" i="11"/>
  <c r="G31" i="27"/>
  <c r="X66" i="11"/>
  <c r="AA66" i="11"/>
  <c r="W66" i="11"/>
  <c r="T66" i="11"/>
  <c r="R66" i="11"/>
  <c r="AC66" i="11"/>
  <c r="Z66" i="11"/>
  <c r="AB66" i="11"/>
  <c r="Y66" i="11"/>
  <c r="V66" i="11"/>
  <c r="U66" i="11"/>
  <c r="S66" i="11"/>
  <c r="H17" i="27"/>
  <c r="L37" i="11"/>
  <c r="M36" i="22" l="1"/>
  <c r="DK27" i="3" s="1"/>
  <c r="J36" i="22"/>
  <c r="DH27" i="3" s="1"/>
  <c r="N36" i="22"/>
  <c r="DL27" i="3" s="1"/>
  <c r="M49" i="17" a="1"/>
  <c r="M49" i="17" s="1"/>
  <c r="N49" i="17" a="1"/>
  <c r="N49" i="17" s="1"/>
  <c r="K49" i="17" a="1"/>
  <c r="K49" i="17" s="1"/>
  <c r="L49" i="17" a="1"/>
  <c r="L49" i="17" s="1"/>
  <c r="I49" i="17" a="1"/>
  <c r="I49" i="17" s="1"/>
  <c r="J49" i="17" a="1"/>
  <c r="J49" i="17" s="1"/>
  <c r="M29" i="17"/>
  <c r="AN22" i="3" s="1"/>
  <c r="J31" i="17"/>
  <c r="AK24" i="3" s="1"/>
  <c r="J34" i="17"/>
  <c r="AK29" i="3" s="1"/>
  <c r="I24" i="17"/>
  <c r="AJ13" i="3" s="1"/>
  <c r="I39" i="17"/>
  <c r="AJ34" i="3" s="1"/>
  <c r="J25" i="17"/>
  <c r="AK15" i="3" s="1"/>
  <c r="K31" i="17"/>
  <c r="AL24" i="3" s="1"/>
  <c r="K34" i="17"/>
  <c r="AL29" i="3" s="1"/>
  <c r="J24" i="17"/>
  <c r="AK13" i="3" s="1"/>
  <c r="L34" i="17"/>
  <c r="AM29" i="3" s="1"/>
  <c r="K25" i="17"/>
  <c r="AL15" i="3" s="1"/>
  <c r="K30" i="17"/>
  <c r="AL23" i="3" s="1"/>
  <c r="N30" i="17"/>
  <c r="AO23" i="3" s="1"/>
  <c r="M31" i="17"/>
  <c r="AN24" i="3" s="1"/>
  <c r="M34" i="17"/>
  <c r="AN29" i="3" s="1"/>
  <c r="M24" i="17"/>
  <c r="AN13" i="3" s="1"/>
  <c r="K24" i="17"/>
  <c r="AL13" i="3" s="1"/>
  <c r="L25" i="17"/>
  <c r="AM15" i="3" s="1"/>
  <c r="N31" i="17"/>
  <c r="AO24" i="3" s="1"/>
  <c r="N34" i="17"/>
  <c r="AO29" i="3" s="1"/>
  <c r="N24" i="17"/>
  <c r="AO13" i="3" s="1"/>
  <c r="L24" i="17"/>
  <c r="AM13" i="3" s="1"/>
  <c r="I28" i="17"/>
  <c r="AJ21" i="3" s="1"/>
  <c r="M25" i="17"/>
  <c r="AN15" i="3" s="1"/>
  <c r="M52" i="14"/>
  <c r="M30" i="17"/>
  <c r="AN23" i="3" s="1"/>
  <c r="J29" i="17"/>
  <c r="AK22" i="3" s="1"/>
  <c r="N25" i="17"/>
  <c r="AO15" i="3" s="1"/>
  <c r="L52" i="14"/>
  <c r="N39" i="17"/>
  <c r="AO34" i="3" s="1"/>
  <c r="N26" i="17"/>
  <c r="AO16" i="3" s="1"/>
  <c r="P52" i="14"/>
  <c r="K29" i="17"/>
  <c r="AL22" i="3" s="1"/>
  <c r="I34" i="17"/>
  <c r="AJ29" i="3" s="1"/>
  <c r="O52" i="14"/>
  <c r="N29" i="17"/>
  <c r="AO22" i="3" s="1"/>
  <c r="L29" i="17"/>
  <c r="AM22" i="3" s="1"/>
  <c r="J30" i="17"/>
  <c r="AK23" i="3" s="1"/>
  <c r="I25" i="17"/>
  <c r="AJ15" i="3" s="1"/>
  <c r="I23" i="17"/>
  <c r="AJ12" i="3" s="1"/>
  <c r="L45" i="17"/>
  <c r="AM40" i="3" s="1"/>
  <c r="DY3" i="3"/>
  <c r="DY20" i="3" s="1"/>
  <c r="O30" i="12"/>
  <c r="O28" i="12" s="1"/>
  <c r="DX3" i="3"/>
  <c r="DX20" i="3" s="1"/>
  <c r="N30" i="12"/>
  <c r="N28" i="12" s="1"/>
  <c r="EA3" i="3"/>
  <c r="EA20" i="3" s="1"/>
  <c r="Q30" i="12"/>
  <c r="Q28" i="12" s="1"/>
  <c r="DZ3" i="3"/>
  <c r="DZ8" i="3" s="1"/>
  <c r="P30" i="12"/>
  <c r="P28" i="12" s="1"/>
  <c r="I17" i="23"/>
  <c r="I42" i="2"/>
  <c r="CR14" i="3"/>
  <c r="H28" i="2"/>
  <c r="CS11" i="3"/>
  <c r="J20" i="21"/>
  <c r="CV11" i="3"/>
  <c r="CT11" i="3"/>
  <c r="K21" i="2"/>
  <c r="J21" i="2"/>
  <c r="L21" i="2"/>
  <c r="I21" i="2"/>
  <c r="I22" i="21"/>
  <c r="I21" i="21"/>
  <c r="J17" i="2"/>
  <c r="J14" i="2" s="1"/>
  <c r="K16" i="25"/>
  <c r="I17" i="2"/>
  <c r="I14" i="2" s="1"/>
  <c r="J16" i="25"/>
  <c r="I39" i="21"/>
  <c r="CR33" i="3" s="1"/>
  <c r="I40" i="21"/>
  <c r="I41" i="21"/>
  <c r="H57" i="2" s="1"/>
  <c r="CS33" i="3"/>
  <c r="CT33" i="3"/>
  <c r="CU33" i="3"/>
  <c r="CV33" i="3"/>
  <c r="L33" i="12"/>
  <c r="V44" i="8"/>
  <c r="U44" i="8"/>
  <c r="T44" i="8"/>
  <c r="S44" i="8"/>
  <c r="Q44" i="8"/>
  <c r="I31" i="8"/>
  <c r="P44" i="8"/>
  <c r="P43" i="8" s="1"/>
  <c r="N4" i="12"/>
  <c r="O9" i="12"/>
  <c r="M23" i="12"/>
  <c r="BQ3" i="3"/>
  <c r="O36" i="12"/>
  <c r="O32" i="12" s="1"/>
  <c r="BR3" i="3"/>
  <c r="P36" i="12"/>
  <c r="BO3" i="3"/>
  <c r="BO5" i="3" s="1"/>
  <c r="BO6" i="3" s="1"/>
  <c r="M36" i="12"/>
  <c r="CG3" i="3"/>
  <c r="P34" i="12"/>
  <c r="CD3" i="3"/>
  <c r="M34" i="12"/>
  <c r="CE3" i="3"/>
  <c r="N34" i="12"/>
  <c r="N32" i="12" s="1"/>
  <c r="DK3" i="3"/>
  <c r="P26" i="12"/>
  <c r="DJ3" i="3"/>
  <c r="O26" i="12"/>
  <c r="AJ3" i="3"/>
  <c r="L25" i="12"/>
  <c r="AM3" i="3"/>
  <c r="AM51" i="3" s="1"/>
  <c r="O25" i="12"/>
  <c r="Z3" i="3"/>
  <c r="Q24" i="12"/>
  <c r="Q23" i="12" s="1"/>
  <c r="Y3" i="3"/>
  <c r="P24" i="12"/>
  <c r="W3" i="3"/>
  <c r="W51" i="3" s="1"/>
  <c r="N24" i="12"/>
  <c r="N23" i="12" s="1"/>
  <c r="Z27" i="3"/>
  <c r="Z11" i="3"/>
  <c r="Y40" i="3"/>
  <c r="L46" i="2"/>
  <c r="Y35" i="3"/>
  <c r="Y33" i="3"/>
  <c r="L40" i="2"/>
  <c r="Y32" i="3"/>
  <c r="Y27" i="3"/>
  <c r="CV18" i="3"/>
  <c r="J18" i="3" s="1"/>
  <c r="L27" i="2"/>
  <c r="CV17" i="3"/>
  <c r="J17" i="3" s="1"/>
  <c r="L26" i="2"/>
  <c r="Y16" i="3"/>
  <c r="Y11" i="3"/>
  <c r="X40" i="3"/>
  <c r="X36" i="3" s="1"/>
  <c r="X37" i="3" s="1"/>
  <c r="K40" i="2"/>
  <c r="X27" i="3"/>
  <c r="X29" i="3"/>
  <c r="X24" i="3"/>
  <c r="X23" i="3"/>
  <c r="X22" i="3"/>
  <c r="X15" i="3"/>
  <c r="X13" i="3"/>
  <c r="W35" i="3"/>
  <c r="W33" i="3"/>
  <c r="J40" i="2"/>
  <c r="W27" i="3"/>
  <c r="CT18" i="3"/>
  <c r="H18" i="3" s="1"/>
  <c r="J27" i="2"/>
  <c r="CT17" i="3"/>
  <c r="H17" i="3" s="1"/>
  <c r="J26" i="2"/>
  <c r="W16" i="3"/>
  <c r="W11" i="3"/>
  <c r="I40" i="2"/>
  <c r="V27" i="3"/>
  <c r="V29" i="3"/>
  <c r="V24" i="3"/>
  <c r="V23" i="3"/>
  <c r="V22" i="3"/>
  <c r="CS18" i="3"/>
  <c r="G18" i="3" s="1"/>
  <c r="I27" i="2"/>
  <c r="CS17" i="3"/>
  <c r="G17" i="3" s="1"/>
  <c r="I26" i="2"/>
  <c r="I25" i="2"/>
  <c r="V15" i="3"/>
  <c r="V13" i="3"/>
  <c r="EX39" i="3"/>
  <c r="EW39" i="3"/>
  <c r="AK36" i="3"/>
  <c r="AK37" i="3" s="1"/>
  <c r="F38" i="3"/>
  <c r="DV36" i="3"/>
  <c r="N156" i="14"/>
  <c r="DL36" i="3"/>
  <c r="DL37" i="3" s="1"/>
  <c r="DL9" i="3"/>
  <c r="DL10" i="3" s="1"/>
  <c r="CF40" i="3"/>
  <c r="CF36" i="3" s="1"/>
  <c r="CF37" i="3" s="1"/>
  <c r="CH19" i="3"/>
  <c r="CH20" i="3" s="1"/>
  <c r="CF19" i="3"/>
  <c r="CF20" i="3" s="1"/>
  <c r="BC40" i="3"/>
  <c r="BA32" i="3"/>
  <c r="BA30" i="3" s="1"/>
  <c r="BA31" i="3" s="1"/>
  <c r="AZ19" i="3"/>
  <c r="AZ20" i="3" s="1"/>
  <c r="BA19" i="3"/>
  <c r="BA20" i="3" s="1"/>
  <c r="BD19" i="3"/>
  <c r="BD20" i="3" s="1"/>
  <c r="AN36" i="3"/>
  <c r="AN37" i="3" s="1"/>
  <c r="L44" i="17"/>
  <c r="AM11" i="3"/>
  <c r="I38" i="3"/>
  <c r="K38" i="3"/>
  <c r="H38" i="3"/>
  <c r="J38" i="3"/>
  <c r="G16" i="3"/>
  <c r="G38" i="3"/>
  <c r="K64" i="26"/>
  <c r="K78" i="26" s="1"/>
  <c r="K72" i="26"/>
  <c r="K69" i="26"/>
  <c r="K62" i="26"/>
  <c r="K63" i="26"/>
  <c r="K77" i="26" s="1"/>
  <c r="K68" i="26"/>
  <c r="I46" i="23"/>
  <c r="K89" i="26" s="1"/>
  <c r="K66" i="26"/>
  <c r="K80" i="26" s="1"/>
  <c r="K71" i="26"/>
  <c r="K70" i="26"/>
  <c r="AC12" i="11"/>
  <c r="N17" i="25"/>
  <c r="M15" i="2" s="1"/>
  <c r="M17" i="25"/>
  <c r="L15" i="2" s="1"/>
  <c r="L17" i="25"/>
  <c r="K15" i="2" s="1"/>
  <c r="L30" i="17"/>
  <c r="AM23" i="3" s="1"/>
  <c r="AB14" i="11"/>
  <c r="X6" i="11"/>
  <c r="S73" i="14"/>
  <c r="W82" i="14"/>
  <c r="L156" i="14"/>
  <c r="M4" i="12"/>
  <c r="M12" i="12"/>
  <c r="J12" i="18" s="1"/>
  <c r="P4" i="12"/>
  <c r="M5" i="12"/>
  <c r="J13" i="16" s="1"/>
  <c r="P7" i="12"/>
  <c r="M14" i="22" s="1"/>
  <c r="P11" i="12"/>
  <c r="M13" i="20" s="1"/>
  <c r="P10" i="12"/>
  <c r="M12" i="21" s="1"/>
  <c r="P13" i="12"/>
  <c r="M13" i="19" s="1"/>
  <c r="N52" i="14"/>
  <c r="M9" i="12"/>
  <c r="P6" i="12"/>
  <c r="P12" i="12"/>
  <c r="M12" i="18" s="1"/>
  <c r="N45" i="17"/>
  <c r="P9" i="12"/>
  <c r="M7" i="12"/>
  <c r="J14" i="22" s="1"/>
  <c r="M10" i="12"/>
  <c r="J12" i="21" s="1"/>
  <c r="M11" i="12"/>
  <c r="J13" i="20" s="1"/>
  <c r="P5" i="12"/>
  <c r="M13" i="16" s="1"/>
  <c r="M13" i="12"/>
  <c r="J13" i="19" s="1"/>
  <c r="N78" i="14"/>
  <c r="T57" i="11"/>
  <c r="R6" i="11"/>
  <c r="V6" i="11"/>
  <c r="Y14" i="11"/>
  <c r="Y57" i="11"/>
  <c r="O6" i="12"/>
  <c r="L7" i="12"/>
  <c r="I14" i="22" s="1"/>
  <c r="O13" i="12"/>
  <c r="L13" i="19" s="1"/>
  <c r="L12" i="12"/>
  <c r="I12" i="18" s="1"/>
  <c r="O4" i="12"/>
  <c r="L13" i="12"/>
  <c r="I13" i="19" s="1"/>
  <c r="L5" i="12"/>
  <c r="I13" i="16" s="1"/>
  <c r="S17" i="23"/>
  <c r="S8" i="23" s="1"/>
  <c r="T230" i="11"/>
  <c r="C165" i="26"/>
  <c r="AC236" i="11"/>
  <c r="P17" i="23"/>
  <c r="P10" i="23" s="1"/>
  <c r="R17" i="23"/>
  <c r="R8" i="23" s="1"/>
  <c r="N6" i="12"/>
  <c r="V73" i="14"/>
  <c r="N44" i="18"/>
  <c r="W14" i="23"/>
  <c r="J44" i="18"/>
  <c r="O17" i="23"/>
  <c r="N7" i="12"/>
  <c r="K14" i="22" s="1"/>
  <c r="K45" i="17"/>
  <c r="N13" i="12"/>
  <c r="K13" i="19" s="1"/>
  <c r="T17" i="23"/>
  <c r="T46" i="23" s="1"/>
  <c r="K100" i="26" s="1"/>
  <c r="N12" i="12"/>
  <c r="K12" i="18" s="1"/>
  <c r="Q17" i="23"/>
  <c r="Q10" i="23" s="1"/>
  <c r="N9" i="12"/>
  <c r="N11" i="12"/>
  <c r="K13" i="20" s="1"/>
  <c r="J38" i="18"/>
  <c r="R73" i="14"/>
  <c r="P10" i="25"/>
  <c r="M10" i="25"/>
  <c r="L10" i="25"/>
  <c r="W56" i="14"/>
  <c r="K10" i="25"/>
  <c r="J10" i="25"/>
  <c r="X57" i="11"/>
  <c r="R57" i="11"/>
  <c r="I10" i="25"/>
  <c r="W6" i="11"/>
  <c r="X230" i="11"/>
  <c r="L41" i="16"/>
  <c r="AB230" i="11"/>
  <c r="S230" i="11"/>
  <c r="S6" i="11"/>
  <c r="AB32" i="11"/>
  <c r="AC32" i="11"/>
  <c r="R14" i="11"/>
  <c r="AC234" i="11"/>
  <c r="U234" i="11"/>
  <c r="T14" i="11"/>
  <c r="Z234" i="11"/>
  <c r="AB234" i="11"/>
  <c r="U14" i="11"/>
  <c r="X234" i="11"/>
  <c r="R234" i="11"/>
  <c r="V14" i="11"/>
  <c r="W14" i="11"/>
  <c r="AA234" i="11"/>
  <c r="X14" i="11"/>
  <c r="W97" i="11"/>
  <c r="AB97" i="11"/>
  <c r="AA215" i="11"/>
  <c r="AB215" i="11"/>
  <c r="AC215" i="11"/>
  <c r="AC78" i="11"/>
  <c r="AB185" i="11"/>
  <c r="X32" i="11"/>
  <c r="R185" i="11"/>
  <c r="AC57" i="11"/>
  <c r="W78" i="11"/>
  <c r="V57" i="11"/>
  <c r="V78" i="11"/>
  <c r="Z57" i="11"/>
  <c r="AB57" i="11"/>
  <c r="S57" i="11"/>
  <c r="AA57" i="11"/>
  <c r="U57" i="11"/>
  <c r="T159" i="11"/>
  <c r="U75" i="11"/>
  <c r="Y141" i="11"/>
  <c r="V141" i="11"/>
  <c r="Z141" i="11"/>
  <c r="Z215" i="11"/>
  <c r="N104" i="14"/>
  <c r="R99" i="11"/>
  <c r="W99" i="11"/>
  <c r="AA99" i="11"/>
  <c r="Z97" i="11"/>
  <c r="Y185" i="11"/>
  <c r="Y32" i="11"/>
  <c r="Y78" i="11"/>
  <c r="X185" i="11"/>
  <c r="AA185" i="11"/>
  <c r="R147" i="14"/>
  <c r="T185" i="11"/>
  <c r="X75" i="11"/>
  <c r="AB78" i="11"/>
  <c r="W185" i="11"/>
  <c r="T78" i="11"/>
  <c r="Z185" i="11"/>
  <c r="S185" i="11"/>
  <c r="S69" i="14"/>
  <c r="R141" i="11"/>
  <c r="X159" i="11"/>
  <c r="X78" i="11"/>
  <c r="Z14" i="11"/>
  <c r="U215" i="11"/>
  <c r="AA14" i="11"/>
  <c r="S215" i="11"/>
  <c r="Y215" i="11"/>
  <c r="T197" i="11"/>
  <c r="T215" i="11"/>
  <c r="Z197" i="11"/>
  <c r="X197" i="11"/>
  <c r="S14" i="11"/>
  <c r="X215" i="11"/>
  <c r="AA197" i="11"/>
  <c r="R215" i="11"/>
  <c r="V215" i="11"/>
  <c r="V197" i="11"/>
  <c r="Y197" i="11"/>
  <c r="V185" i="11"/>
  <c r="M38" i="21"/>
  <c r="L39" i="2" s="1"/>
  <c r="U185" i="11"/>
  <c r="T240" i="11"/>
  <c r="S141" i="11"/>
  <c r="V75" i="11"/>
  <c r="J41" i="17"/>
  <c r="S155" i="11"/>
  <c r="Z155" i="11"/>
  <c r="R155" i="11"/>
  <c r="AC6" i="11"/>
  <c r="AC230" i="11"/>
  <c r="T6" i="11"/>
  <c r="Y230" i="11"/>
  <c r="AA230" i="11"/>
  <c r="Y6" i="11"/>
  <c r="Z6" i="11"/>
  <c r="K29" i="16"/>
  <c r="U73" i="14"/>
  <c r="AA6" i="11"/>
  <c r="R230" i="11"/>
  <c r="V230" i="11"/>
  <c r="W230" i="11"/>
  <c r="U230" i="11"/>
  <c r="N59" i="14"/>
  <c r="U99" i="11"/>
  <c r="AB99" i="11"/>
  <c r="S159" i="11"/>
  <c r="R159" i="11"/>
  <c r="V159" i="11"/>
  <c r="Z159" i="11"/>
  <c r="Y159" i="11"/>
  <c r="K38" i="21"/>
  <c r="J39" i="2" s="1"/>
  <c r="W159" i="11"/>
  <c r="AA159" i="11"/>
  <c r="AB159" i="11"/>
  <c r="AC159" i="11"/>
  <c r="AA75" i="11"/>
  <c r="AA78" i="11"/>
  <c r="T75" i="11"/>
  <c r="U78" i="11"/>
  <c r="S75" i="11"/>
  <c r="AC75" i="11"/>
  <c r="O147" i="14"/>
  <c r="M147" i="14"/>
  <c r="R78" i="11"/>
  <c r="Y75" i="11"/>
  <c r="R64" i="14"/>
  <c r="S65" i="11"/>
  <c r="K46" i="23"/>
  <c r="K91" i="26" s="1"/>
  <c r="K175" i="26" s="1"/>
  <c r="DX56" i="3" s="1"/>
  <c r="T97" i="11"/>
  <c r="J18" i="21"/>
  <c r="AA52" i="11"/>
  <c r="W52" i="11"/>
  <c r="AC141" i="11"/>
  <c r="O156" i="14"/>
  <c r="P27" i="14"/>
  <c r="V69" i="14"/>
  <c r="L147" i="14"/>
  <c r="Z175" i="11"/>
  <c r="AB155" i="11"/>
  <c r="V52" i="11"/>
  <c r="T141" i="11"/>
  <c r="S99" i="11"/>
  <c r="Y99" i="11"/>
  <c r="T99" i="11"/>
  <c r="R52" i="11"/>
  <c r="V99" i="11"/>
  <c r="U147" i="14"/>
  <c r="T52" i="11"/>
  <c r="X52" i="11"/>
  <c r="X99" i="11"/>
  <c r="AB52" i="11"/>
  <c r="Z99" i="11"/>
  <c r="AC52" i="11"/>
  <c r="AB175" i="11"/>
  <c r="W175" i="11"/>
  <c r="AC175" i="11"/>
  <c r="T175" i="11"/>
  <c r="X175" i="11"/>
  <c r="Y175" i="11"/>
  <c r="U69" i="14"/>
  <c r="V147" i="14"/>
  <c r="AA175" i="11"/>
  <c r="U157" i="11"/>
  <c r="U175" i="11"/>
  <c r="R175" i="11"/>
  <c r="V175" i="11"/>
  <c r="AB75" i="11"/>
  <c r="T147" i="14"/>
  <c r="S78" i="11"/>
  <c r="W75" i="11"/>
  <c r="R75" i="11"/>
  <c r="AB201" i="11"/>
  <c r="O104" i="14"/>
  <c r="Y65" i="11"/>
  <c r="T179" i="11"/>
  <c r="N64" i="14"/>
  <c r="V65" i="11"/>
  <c r="W155" i="11"/>
  <c r="M39" i="20"/>
  <c r="CG34" i="3" s="1"/>
  <c r="CG30" i="3" s="1"/>
  <c r="L38" i="21"/>
  <c r="K39" i="2" s="1"/>
  <c r="J45" i="16"/>
  <c r="X65" i="11"/>
  <c r="U65" i="11"/>
  <c r="L40" i="22"/>
  <c r="DJ34" i="3" s="1"/>
  <c r="DJ30" i="3" s="1"/>
  <c r="K33" i="20"/>
  <c r="W236" i="11"/>
  <c r="M156" i="14"/>
  <c r="Z236" i="11"/>
  <c r="AB236" i="11"/>
  <c r="AA125" i="11"/>
  <c r="Y125" i="11"/>
  <c r="W125" i="11"/>
  <c r="T213" i="11"/>
  <c r="J38" i="21"/>
  <c r="I39" i="2" s="1"/>
  <c r="V213" i="11"/>
  <c r="N42" i="22"/>
  <c r="R65" i="11"/>
  <c r="AC65" i="11"/>
  <c r="W160" i="14"/>
  <c r="AB213" i="11"/>
  <c r="AC125" i="11"/>
  <c r="U236" i="11"/>
  <c r="S236" i="11"/>
  <c r="R213" i="11"/>
  <c r="R125" i="11"/>
  <c r="S147" i="14"/>
  <c r="V236" i="11"/>
  <c r="X236" i="11"/>
  <c r="W197" i="11"/>
  <c r="S213" i="11"/>
  <c r="U125" i="11"/>
  <c r="Y236" i="11"/>
  <c r="Q73" i="14"/>
  <c r="T236" i="11"/>
  <c r="T69" i="14"/>
  <c r="L38" i="18"/>
  <c r="BB34" i="3" s="1"/>
  <c r="BB30" i="3" s="1"/>
  <c r="BB31" i="3" s="1"/>
  <c r="M27" i="14"/>
  <c r="L31" i="17"/>
  <c r="AM24" i="3" s="1"/>
  <c r="R197" i="11"/>
  <c r="M35" i="18"/>
  <c r="Y213" i="11"/>
  <c r="Y71" i="11"/>
  <c r="AA236" i="11"/>
  <c r="U197" i="11"/>
  <c r="T73" i="14"/>
  <c r="Z213" i="11"/>
  <c r="AB125" i="11"/>
  <c r="O27" i="14"/>
  <c r="W31" i="14"/>
  <c r="U32" i="11"/>
  <c r="X97" i="11"/>
  <c r="AB197" i="11"/>
  <c r="U213" i="11"/>
  <c r="V125" i="11"/>
  <c r="AA213" i="11"/>
  <c r="X125" i="11"/>
  <c r="Z125" i="11"/>
  <c r="AA32" i="11"/>
  <c r="Y97" i="11"/>
  <c r="X141" i="11"/>
  <c r="W213" i="11"/>
  <c r="AC213" i="11"/>
  <c r="T125" i="11"/>
  <c r="V71" i="11"/>
  <c r="K26" i="21"/>
  <c r="J25" i="2" s="1"/>
  <c r="S71" i="11"/>
  <c r="T32" i="11"/>
  <c r="V97" i="11"/>
  <c r="U141" i="11"/>
  <c r="L12" i="21"/>
  <c r="Y155" i="11"/>
  <c r="AC155" i="11"/>
  <c r="V155" i="11"/>
  <c r="Y161" i="11"/>
  <c r="U155" i="11"/>
  <c r="W240" i="11"/>
  <c r="Z161" i="11"/>
  <c r="T155" i="11"/>
  <c r="W71" i="11"/>
  <c r="AC71" i="11"/>
  <c r="X71" i="11"/>
  <c r="R175" i="14"/>
  <c r="M26" i="21"/>
  <c r="L25" i="2" s="1"/>
  <c r="AB71" i="11"/>
  <c r="R249" i="11"/>
  <c r="T71" i="11"/>
  <c r="Z249" i="11"/>
  <c r="AA71" i="11"/>
  <c r="AB249" i="11"/>
  <c r="Q147" i="14"/>
  <c r="U71" i="11"/>
  <c r="T249" i="11"/>
  <c r="S197" i="11"/>
  <c r="Z71" i="11"/>
  <c r="AA249" i="11"/>
  <c r="AA155" i="11"/>
  <c r="S249" i="11"/>
  <c r="AB10" i="11"/>
  <c r="AB161" i="11"/>
  <c r="S161" i="11"/>
  <c r="U240" i="11"/>
  <c r="R84" i="11"/>
  <c r="U84" i="11"/>
  <c r="O18" i="14"/>
  <c r="M25" i="16"/>
  <c r="O22" i="14"/>
  <c r="N37" i="16"/>
  <c r="M24" i="16"/>
  <c r="N45" i="16"/>
  <c r="K19" i="20"/>
  <c r="CE4" i="3" s="1"/>
  <c r="I19" i="17"/>
  <c r="AJ4" i="3" s="1"/>
  <c r="N39" i="16"/>
  <c r="N38" i="16"/>
  <c r="M19" i="16"/>
  <c r="M28" i="16"/>
  <c r="K25" i="16"/>
  <c r="M34" i="16"/>
  <c r="K45" i="16"/>
  <c r="S64" i="14"/>
  <c r="N25" i="16"/>
  <c r="K61" i="26"/>
  <c r="N46" i="23"/>
  <c r="K94" i="26" s="1"/>
  <c r="K178" i="26" s="1"/>
  <c r="EA56" i="3" s="1"/>
  <c r="N24" i="16"/>
  <c r="N40" i="16"/>
  <c r="R179" i="14"/>
  <c r="N26" i="16"/>
  <c r="N23" i="16"/>
  <c r="N34" i="16"/>
  <c r="M36" i="2" s="1"/>
  <c r="K24" i="16"/>
  <c r="K34" i="16"/>
  <c r="J36" i="2" s="1"/>
  <c r="C160" i="26"/>
  <c r="V32" i="11"/>
  <c r="AA97" i="11"/>
  <c r="AB141" i="11"/>
  <c r="Q64" i="14"/>
  <c r="R32" i="11"/>
  <c r="W32" i="11"/>
  <c r="R97" i="11"/>
  <c r="S97" i="11"/>
  <c r="W141" i="11"/>
  <c r="AA65" i="11"/>
  <c r="S32" i="11"/>
  <c r="U97" i="11"/>
  <c r="M39" i="19"/>
  <c r="BR34" i="3" s="1"/>
  <c r="BR30" i="3" s="1"/>
  <c r="S179" i="14"/>
  <c r="P175" i="14"/>
  <c r="U161" i="11"/>
  <c r="V179" i="11"/>
  <c r="U179" i="11"/>
  <c r="Z65" i="11"/>
  <c r="T84" i="11"/>
  <c r="X84" i="11"/>
  <c r="AA84" i="11"/>
  <c r="Z84" i="11"/>
  <c r="AB84" i="11"/>
  <c r="Y84" i="11"/>
  <c r="T65" i="11"/>
  <c r="AC84" i="11"/>
  <c r="AA161" i="11"/>
  <c r="N27" i="14"/>
  <c r="Z179" i="11"/>
  <c r="W179" i="11"/>
  <c r="S84" i="11"/>
  <c r="W84" i="11"/>
  <c r="AB65" i="11"/>
  <c r="AC161" i="11"/>
  <c r="R161" i="11"/>
  <c r="S179" i="11"/>
  <c r="O73" i="14"/>
  <c r="K39" i="19"/>
  <c r="BP34" i="3" s="1"/>
  <c r="X179" i="11"/>
  <c r="L39" i="19"/>
  <c r="BQ34" i="3" s="1"/>
  <c r="BQ30" i="3" s="1"/>
  <c r="AA179" i="11"/>
  <c r="Y101" i="11"/>
  <c r="AC179" i="11"/>
  <c r="X201" i="11"/>
  <c r="Z201" i="11"/>
  <c r="AA201" i="11"/>
  <c r="T201" i="11"/>
  <c r="U201" i="11"/>
  <c r="W161" i="11"/>
  <c r="V161" i="11"/>
  <c r="T161" i="11"/>
  <c r="T211" i="14"/>
  <c r="W108" i="14"/>
  <c r="L12" i="18"/>
  <c r="I12" i="21"/>
  <c r="AB179" i="11"/>
  <c r="T64" i="14"/>
  <c r="Y52" i="11"/>
  <c r="L26" i="21"/>
  <c r="L20" i="21" s="1"/>
  <c r="AC10" i="11"/>
  <c r="R179" i="11"/>
  <c r="U52" i="11"/>
  <c r="S52" i="11"/>
  <c r="AA240" i="11"/>
  <c r="AC240" i="11"/>
  <c r="Y10" i="11"/>
  <c r="X101" i="11"/>
  <c r="U101" i="11"/>
  <c r="W91" i="11"/>
  <c r="Z10" i="11"/>
  <c r="AB101" i="11"/>
  <c r="U91" i="11"/>
  <c r="S157" i="11"/>
  <c r="R69" i="14"/>
  <c r="V10" i="11"/>
  <c r="V101" i="11"/>
  <c r="AA101" i="11"/>
  <c r="AC101" i="11"/>
  <c r="R101" i="11"/>
  <c r="T10" i="11"/>
  <c r="T101" i="11"/>
  <c r="Z91" i="11"/>
  <c r="W10" i="11"/>
  <c r="W101" i="11"/>
  <c r="Y91" i="11"/>
  <c r="S175" i="14"/>
  <c r="X10" i="11"/>
  <c r="S101" i="11"/>
  <c r="T91" i="11"/>
  <c r="J39" i="20"/>
  <c r="CD34" i="3" s="1"/>
  <c r="CD30" i="3" s="1"/>
  <c r="M73" i="14"/>
  <c r="V201" i="11"/>
  <c r="W201" i="11"/>
  <c r="U64" i="14"/>
  <c r="L20" i="22"/>
  <c r="DJ4" i="3" s="1"/>
  <c r="K30" i="16"/>
  <c r="J32" i="2" s="1"/>
  <c r="V240" i="11"/>
  <c r="Z240" i="11"/>
  <c r="Y240" i="11"/>
  <c r="S240" i="11"/>
  <c r="X240" i="11"/>
  <c r="AB240" i="11"/>
  <c r="U175" i="14"/>
  <c r="V157" i="11"/>
  <c r="L39" i="20"/>
  <c r="CF34" i="3" s="1"/>
  <c r="K13" i="16"/>
  <c r="R59" i="14"/>
  <c r="M184" i="14"/>
  <c r="T47" i="14"/>
  <c r="V179" i="14"/>
  <c r="U47" i="14"/>
  <c r="T175" i="14"/>
  <c r="V64" i="14"/>
  <c r="U10" i="11"/>
  <c r="U116" i="14"/>
  <c r="V175" i="14"/>
  <c r="T179" i="14"/>
  <c r="AA10" i="11"/>
  <c r="R10" i="11"/>
  <c r="U179" i="14"/>
  <c r="Q59" i="14"/>
  <c r="Y249" i="11"/>
  <c r="Y157" i="11"/>
  <c r="AA157" i="11"/>
  <c r="R157" i="11"/>
  <c r="AB157" i="11"/>
  <c r="W249" i="11"/>
  <c r="T157" i="11"/>
  <c r="X249" i="11"/>
  <c r="W157" i="11"/>
  <c r="V249" i="11"/>
  <c r="Z157" i="11"/>
  <c r="AC157" i="11"/>
  <c r="K31" i="16"/>
  <c r="J33" i="2" s="1"/>
  <c r="U249" i="11"/>
  <c r="AC91" i="11"/>
  <c r="S91" i="11"/>
  <c r="S47" i="14"/>
  <c r="V59" i="14"/>
  <c r="AC109" i="11"/>
  <c r="L142" i="14"/>
  <c r="Q179" i="14"/>
  <c r="Q47" i="14"/>
  <c r="X109" i="11"/>
  <c r="AC34" i="11"/>
  <c r="Y109" i="11"/>
  <c r="R47" i="14"/>
  <c r="L104" i="14"/>
  <c r="J46" i="22"/>
  <c r="AB34" i="11"/>
  <c r="Y34" i="11"/>
  <c r="V34" i="11"/>
  <c r="Z34" i="11"/>
  <c r="AB91" i="11"/>
  <c r="L116" i="14"/>
  <c r="V91" i="11"/>
  <c r="X91" i="11"/>
  <c r="S42" i="11"/>
  <c r="U109" i="11"/>
  <c r="Q116" i="14"/>
  <c r="L13" i="20"/>
  <c r="R91" i="11"/>
  <c r="AA73" i="11"/>
  <c r="X34" i="11"/>
  <c r="R116" i="14"/>
  <c r="Z109" i="11"/>
  <c r="W109" i="11"/>
  <c r="R109" i="11"/>
  <c r="S109" i="11"/>
  <c r="Y73" i="11"/>
  <c r="AA42" i="11"/>
  <c r="T34" i="11"/>
  <c r="U34" i="11"/>
  <c r="S34" i="11"/>
  <c r="AA34" i="11"/>
  <c r="W34" i="11"/>
  <c r="U202" i="14"/>
  <c r="V109" i="11"/>
  <c r="L130" i="14"/>
  <c r="AA109" i="11"/>
  <c r="AB109" i="11"/>
  <c r="R201" i="11"/>
  <c r="Y201" i="11"/>
  <c r="S201" i="11"/>
  <c r="K35" i="18"/>
  <c r="U42" i="11"/>
  <c r="M40" i="22"/>
  <c r="DK34" i="3" s="1"/>
  <c r="DK30" i="3" s="1"/>
  <c r="X42" i="11"/>
  <c r="T73" i="11"/>
  <c r="X63" i="11"/>
  <c r="R42" i="11"/>
  <c r="Z42" i="11"/>
  <c r="M104" i="14"/>
  <c r="K46" i="22"/>
  <c r="O85" i="14"/>
  <c r="V211" i="14"/>
  <c r="T42" i="11"/>
  <c r="W42" i="11"/>
  <c r="S142" i="14"/>
  <c r="V73" i="11"/>
  <c r="Y42" i="11"/>
  <c r="Z73" i="11"/>
  <c r="Q18" i="14"/>
  <c r="V116" i="14"/>
  <c r="S73" i="11"/>
  <c r="Z63" i="11"/>
  <c r="U211" i="14"/>
  <c r="AB63" i="11"/>
  <c r="T163" i="14"/>
  <c r="R211" i="14"/>
  <c r="S211" i="14"/>
  <c r="W131" i="11"/>
  <c r="AA131" i="11"/>
  <c r="S131" i="11"/>
  <c r="AC131" i="11"/>
  <c r="T206" i="14"/>
  <c r="Q211" i="14"/>
  <c r="S202" i="14"/>
  <c r="Q206" i="14"/>
  <c r="L41" i="20"/>
  <c r="U206" i="14"/>
  <c r="W22" i="11"/>
  <c r="V202" i="14"/>
  <c r="V206" i="14"/>
  <c r="T18" i="14"/>
  <c r="O116" i="14"/>
  <c r="R206" i="14"/>
  <c r="S206" i="14"/>
  <c r="U73" i="11"/>
  <c r="Y131" i="11"/>
  <c r="R18" i="14"/>
  <c r="T202" i="14"/>
  <c r="Q197" i="14"/>
  <c r="Q202" i="14"/>
  <c r="W73" i="11"/>
  <c r="AC22" i="11"/>
  <c r="AB73" i="11"/>
  <c r="X73" i="11"/>
  <c r="AC73" i="11"/>
  <c r="AA63" i="11"/>
  <c r="L14" i="22"/>
  <c r="U131" i="11"/>
  <c r="R202" i="14"/>
  <c r="V131" i="11"/>
  <c r="M18" i="21"/>
  <c r="U197" i="14"/>
  <c r="Z69" i="11"/>
  <c r="V197" i="14"/>
  <c r="T197" i="14"/>
  <c r="S197" i="14"/>
  <c r="AB42" i="11"/>
  <c r="AC42" i="11"/>
  <c r="AB69" i="11"/>
  <c r="R197" i="14"/>
  <c r="X69" i="11"/>
  <c r="R131" i="11"/>
  <c r="S163" i="14"/>
  <c r="AB22" i="11"/>
  <c r="AC69" i="11"/>
  <c r="R22" i="11"/>
  <c r="S22" i="11"/>
  <c r="Z22" i="11"/>
  <c r="T22" i="11"/>
  <c r="X22" i="11"/>
  <c r="U22" i="11"/>
  <c r="V22" i="11"/>
  <c r="Y22" i="11"/>
  <c r="Z131" i="11"/>
  <c r="T131" i="11"/>
  <c r="AB131" i="11"/>
  <c r="Q163" i="14"/>
  <c r="Y63" i="11"/>
  <c r="V63" i="11"/>
  <c r="S63" i="11"/>
  <c r="AC63" i="11"/>
  <c r="W63" i="11"/>
  <c r="R63" i="11"/>
  <c r="T63" i="11"/>
  <c r="U142" i="14"/>
  <c r="K18" i="21"/>
  <c r="Z246" i="11"/>
  <c r="T246" i="11"/>
  <c r="W246" i="11"/>
  <c r="V246" i="11"/>
  <c r="U246" i="11"/>
  <c r="Y246" i="11"/>
  <c r="AA246" i="11"/>
  <c r="AC246" i="11"/>
  <c r="X246" i="11"/>
  <c r="S246" i="11"/>
  <c r="R246" i="11"/>
  <c r="L121" i="14"/>
  <c r="U16" i="11"/>
  <c r="X16" i="11"/>
  <c r="U163" i="14"/>
  <c r="R69" i="11"/>
  <c r="L184" i="14"/>
  <c r="R16" i="11"/>
  <c r="M64" i="14"/>
  <c r="V163" i="14"/>
  <c r="P18" i="14"/>
  <c r="T116" i="14"/>
  <c r="O184" i="14"/>
  <c r="Y69" i="11"/>
  <c r="W69" i="11"/>
  <c r="S69" i="11"/>
  <c r="AA69" i="11"/>
  <c r="V69" i="11"/>
  <c r="T69" i="11"/>
  <c r="M41" i="17"/>
  <c r="M19" i="19"/>
  <c r="BR4" i="3" s="1"/>
  <c r="S95" i="11"/>
  <c r="Z95" i="11"/>
  <c r="V95" i="11"/>
  <c r="W95" i="11"/>
  <c r="AB95" i="11"/>
  <c r="Y95" i="11"/>
  <c r="U95" i="11"/>
  <c r="X95" i="11"/>
  <c r="R95" i="11"/>
  <c r="AC95" i="11"/>
  <c r="T95" i="11"/>
  <c r="AA95" i="11"/>
  <c r="N90" i="14"/>
  <c r="R142" i="14"/>
  <c r="V47" i="14"/>
  <c r="Z16" i="11"/>
  <c r="AB16" i="11"/>
  <c r="Y16" i="11"/>
  <c r="V16" i="11"/>
  <c r="T16" i="11"/>
  <c r="W16" i="11"/>
  <c r="S16" i="11"/>
  <c r="AC16" i="11"/>
  <c r="V142" i="14"/>
  <c r="K142" i="14"/>
  <c r="R163" i="14"/>
  <c r="N85" i="14"/>
  <c r="T142" i="14"/>
  <c r="Q85" i="14"/>
  <c r="J33" i="19"/>
  <c r="M142" i="14"/>
  <c r="M20" i="22"/>
  <c r="DK4" i="3" s="1"/>
  <c r="M137" i="14"/>
  <c r="U22" i="14"/>
  <c r="AC145" i="11"/>
  <c r="U145" i="11"/>
  <c r="T145" i="11"/>
  <c r="R145" i="11"/>
  <c r="S145" i="11"/>
  <c r="AA145" i="11"/>
  <c r="Z145" i="11"/>
  <c r="X145" i="11"/>
  <c r="W145" i="11"/>
  <c r="V145" i="11"/>
  <c r="AB145" i="11"/>
  <c r="Y145" i="11"/>
  <c r="AB59" i="11"/>
  <c r="AA59" i="11"/>
  <c r="Z59" i="11"/>
  <c r="V59" i="11"/>
  <c r="U59" i="11"/>
  <c r="S59" i="11"/>
  <c r="R59" i="11"/>
  <c r="X59" i="11"/>
  <c r="T59" i="11"/>
  <c r="AC59" i="11"/>
  <c r="Y59" i="11"/>
  <c r="W59" i="11"/>
  <c r="N116" i="14"/>
  <c r="Q142" i="14"/>
  <c r="S90" i="14"/>
  <c r="O137" i="14"/>
  <c r="Q175" i="14"/>
  <c r="T209" i="11"/>
  <c r="V209" i="11"/>
  <c r="U209" i="11"/>
  <c r="S209" i="11"/>
  <c r="R209" i="11"/>
  <c r="AC209" i="11"/>
  <c r="Z209" i="11"/>
  <c r="Y209" i="11"/>
  <c r="AA209" i="11"/>
  <c r="X209" i="11"/>
  <c r="AB209" i="11"/>
  <c r="W209" i="11"/>
  <c r="U18" i="14"/>
  <c r="V224" i="11"/>
  <c r="W224" i="11"/>
  <c r="AC224" i="11"/>
  <c r="X224" i="11"/>
  <c r="U224" i="11"/>
  <c r="AB224" i="11"/>
  <c r="R224" i="11"/>
  <c r="AA224" i="11"/>
  <c r="S224" i="11"/>
  <c r="Z224" i="11"/>
  <c r="Y224" i="11"/>
  <c r="T224" i="11"/>
  <c r="V137" i="14"/>
  <c r="S18" i="14"/>
  <c r="V18" i="14"/>
  <c r="U90" i="14"/>
  <c r="W134" i="14"/>
  <c r="Y191" i="11"/>
  <c r="X191" i="11"/>
  <c r="W191" i="11"/>
  <c r="V191" i="11"/>
  <c r="U191" i="11"/>
  <c r="T191" i="11"/>
  <c r="S191" i="11"/>
  <c r="AA191" i="11"/>
  <c r="AC191" i="11"/>
  <c r="AB191" i="11"/>
  <c r="R191" i="11"/>
  <c r="Z191" i="11"/>
  <c r="R115" i="11"/>
  <c r="AB115" i="11"/>
  <c r="Z115" i="11"/>
  <c r="X115" i="11"/>
  <c r="W115" i="11"/>
  <c r="S115" i="11"/>
  <c r="T115" i="11"/>
  <c r="U115" i="11"/>
  <c r="AA115" i="11"/>
  <c r="V115" i="11"/>
  <c r="Y115" i="11"/>
  <c r="AC115" i="11"/>
  <c r="O142" i="14"/>
  <c r="S116" i="14"/>
  <c r="V90" i="14"/>
  <c r="K44" i="16"/>
  <c r="W39" i="3" s="1"/>
  <c r="Z221" i="11"/>
  <c r="X221" i="11"/>
  <c r="Y221" i="11"/>
  <c r="T221" i="11"/>
  <c r="S221" i="11"/>
  <c r="R221" i="11"/>
  <c r="U221" i="11"/>
  <c r="AA221" i="11"/>
  <c r="V221" i="11"/>
  <c r="AB221" i="11"/>
  <c r="AC221" i="11"/>
  <c r="W221" i="11"/>
  <c r="M32" i="19"/>
  <c r="BR25" i="3"/>
  <c r="J33" i="21"/>
  <c r="CS25" i="3"/>
  <c r="CS26" i="3" s="1"/>
  <c r="X38" i="11"/>
  <c r="U38" i="11"/>
  <c r="S38" i="11"/>
  <c r="AC38" i="11"/>
  <c r="AB38" i="11"/>
  <c r="AA38" i="11"/>
  <c r="Z38" i="11"/>
  <c r="Y38" i="11"/>
  <c r="W38" i="11"/>
  <c r="V38" i="11"/>
  <c r="T38" i="11"/>
  <c r="R38" i="11"/>
  <c r="N18" i="14"/>
  <c r="L33" i="16"/>
  <c r="U171" i="11"/>
  <c r="AB171" i="11"/>
  <c r="Y171" i="11"/>
  <c r="T171" i="11"/>
  <c r="S171" i="11"/>
  <c r="AC171" i="11"/>
  <c r="AA171" i="11"/>
  <c r="Z171" i="11"/>
  <c r="X171" i="11"/>
  <c r="W171" i="11"/>
  <c r="R171" i="11"/>
  <c r="V171" i="11"/>
  <c r="N39" i="22"/>
  <c r="DL33" i="3" s="1"/>
  <c r="AC137" i="11"/>
  <c r="S137" i="11"/>
  <c r="U137" i="11"/>
  <c r="AB137" i="11"/>
  <c r="W137" i="11"/>
  <c r="Y137" i="11"/>
  <c r="V137" i="11"/>
  <c r="AA137" i="11"/>
  <c r="Z137" i="11"/>
  <c r="T137" i="11"/>
  <c r="R137" i="11"/>
  <c r="X137" i="11"/>
  <c r="K121" i="14"/>
  <c r="K22" i="14"/>
  <c r="U151" i="11"/>
  <c r="Z151" i="11"/>
  <c r="W151" i="11"/>
  <c r="Y151" i="11"/>
  <c r="S151" i="11"/>
  <c r="T151" i="11"/>
  <c r="R151" i="11"/>
  <c r="AB151" i="11"/>
  <c r="AA151" i="11"/>
  <c r="X151" i="11"/>
  <c r="AC151" i="11"/>
  <c r="V151" i="11"/>
  <c r="P151" i="14"/>
  <c r="N37" i="20"/>
  <c r="CH32" i="3" s="1"/>
  <c r="K59" i="14"/>
  <c r="N33" i="20"/>
  <c r="CH28" i="3" s="1"/>
  <c r="P147" i="14"/>
  <c r="K170" i="14"/>
  <c r="S170" i="14"/>
  <c r="O38" i="14"/>
  <c r="M28" i="17"/>
  <c r="AN21" i="3" s="1"/>
  <c r="L33" i="21"/>
  <c r="CU25" i="3"/>
  <c r="CU26" i="3" s="1"/>
  <c r="T50" i="11"/>
  <c r="AA50" i="11"/>
  <c r="V50" i="11"/>
  <c r="Y50" i="11"/>
  <c r="U50" i="11"/>
  <c r="R50" i="11"/>
  <c r="AC50" i="11"/>
  <c r="AB50" i="11"/>
  <c r="Z50" i="11"/>
  <c r="X50" i="11"/>
  <c r="W50" i="11"/>
  <c r="S50" i="11"/>
  <c r="V8" i="14"/>
  <c r="AA113" i="11"/>
  <c r="U113" i="11"/>
  <c r="AC113" i="11"/>
  <c r="R113" i="11"/>
  <c r="W113" i="11"/>
  <c r="T113" i="11"/>
  <c r="Y113" i="11"/>
  <c r="V113" i="11"/>
  <c r="S113" i="11"/>
  <c r="AB113" i="11"/>
  <c r="Z113" i="11"/>
  <c r="X113" i="11"/>
  <c r="W188" i="14"/>
  <c r="M33" i="22"/>
  <c r="DK25" i="3"/>
  <c r="N111" i="14"/>
  <c r="Q43" i="14"/>
  <c r="S125" i="14"/>
  <c r="AC87" i="11"/>
  <c r="S87" i="11"/>
  <c r="U87" i="11"/>
  <c r="AB87" i="11"/>
  <c r="R87" i="11"/>
  <c r="Z87" i="11"/>
  <c r="Y87" i="11"/>
  <c r="W87" i="11"/>
  <c r="T87" i="11"/>
  <c r="AA87" i="11"/>
  <c r="X87" i="11"/>
  <c r="V87" i="11"/>
  <c r="N13" i="14"/>
  <c r="L28" i="16"/>
  <c r="R95" i="14"/>
  <c r="AA143" i="11"/>
  <c r="S143" i="11"/>
  <c r="Z143" i="11"/>
  <c r="Y143" i="11"/>
  <c r="W143" i="11"/>
  <c r="R143" i="11"/>
  <c r="AC143" i="11"/>
  <c r="X143" i="11"/>
  <c r="V143" i="11"/>
  <c r="U143" i="11"/>
  <c r="AB143" i="11"/>
  <c r="T143" i="11"/>
  <c r="U33" i="14"/>
  <c r="N33" i="16"/>
  <c r="M44" i="20"/>
  <c r="M41" i="20" s="1"/>
  <c r="DI47" i="3"/>
  <c r="DI51" i="3"/>
  <c r="P116" i="14"/>
  <c r="N28" i="19"/>
  <c r="BS21" i="3" s="1"/>
  <c r="K36" i="20"/>
  <c r="CE30" i="3"/>
  <c r="CH47" i="3"/>
  <c r="CH51" i="3"/>
  <c r="AC107" i="11"/>
  <c r="S107" i="11"/>
  <c r="W107" i="11"/>
  <c r="T107" i="11"/>
  <c r="Y107" i="11"/>
  <c r="V107" i="11"/>
  <c r="X107" i="11"/>
  <c r="R107" i="11"/>
  <c r="AB107" i="11"/>
  <c r="AA107" i="11"/>
  <c r="Z107" i="11"/>
  <c r="U107" i="11"/>
  <c r="R85" i="14"/>
  <c r="P85" i="14"/>
  <c r="AA103" i="11"/>
  <c r="Y103" i="11"/>
  <c r="V103" i="11"/>
  <c r="Z103" i="11"/>
  <c r="W103" i="11"/>
  <c r="X103" i="11"/>
  <c r="T103" i="11"/>
  <c r="S103" i="11"/>
  <c r="R103" i="11"/>
  <c r="AC103" i="11"/>
  <c r="AB103" i="11"/>
  <c r="U103" i="11"/>
  <c r="V121" i="14"/>
  <c r="U121" i="14"/>
  <c r="L29" i="22"/>
  <c r="DJ21" i="3" s="1"/>
  <c r="O90" i="14"/>
  <c r="M90" i="14"/>
  <c r="K29" i="22"/>
  <c r="DI21" i="3" s="1"/>
  <c r="R22" i="14"/>
  <c r="N27" i="20"/>
  <c r="K33" i="21"/>
  <c r="CT25" i="3"/>
  <c r="CT26" i="3" s="1"/>
  <c r="Y189" i="11"/>
  <c r="T189" i="11"/>
  <c r="AB189" i="11"/>
  <c r="V189" i="11"/>
  <c r="W189" i="11"/>
  <c r="U189" i="11"/>
  <c r="S189" i="11"/>
  <c r="Z189" i="11"/>
  <c r="X189" i="11"/>
  <c r="R189" i="11"/>
  <c r="AC189" i="11"/>
  <c r="AA189" i="11"/>
  <c r="I13" i="20"/>
  <c r="T99" i="14"/>
  <c r="Q151" i="14"/>
  <c r="U170" i="14"/>
  <c r="P38" i="14"/>
  <c r="N28" i="17"/>
  <c r="AO21" i="3" s="1"/>
  <c r="K6" i="26"/>
  <c r="J46" i="23"/>
  <c r="K90" i="26" s="1"/>
  <c r="J8" i="23"/>
  <c r="J10" i="23"/>
  <c r="K23" i="16"/>
  <c r="M8" i="14"/>
  <c r="M69" i="14"/>
  <c r="K32" i="18"/>
  <c r="BA28" i="3" s="1"/>
  <c r="L22" i="18"/>
  <c r="K20" i="22"/>
  <c r="DI4" i="3" s="1"/>
  <c r="DI5" i="3" s="1"/>
  <c r="L19" i="17"/>
  <c r="AM4" i="3" s="1"/>
  <c r="K19" i="19"/>
  <c r="BP4" i="3" s="1"/>
  <c r="BP5" i="3" s="1"/>
  <c r="L19" i="20"/>
  <c r="CF4" i="3" s="1"/>
  <c r="CF5" i="3" s="1"/>
  <c r="N19" i="19"/>
  <c r="BS4" i="3" s="1"/>
  <c r="BS5" i="3" s="1"/>
  <c r="K19" i="17"/>
  <c r="AL4" i="3" s="1"/>
  <c r="AL5" i="3" s="1"/>
  <c r="K19" i="16"/>
  <c r="J20" i="22"/>
  <c r="DH4" i="3" s="1"/>
  <c r="DH5" i="3" s="1"/>
  <c r="M19" i="17"/>
  <c r="AN4" i="3" s="1"/>
  <c r="AN5" i="3" s="1"/>
  <c r="N20" i="22"/>
  <c r="DL4" i="3" s="1"/>
  <c r="DL5" i="3" s="1"/>
  <c r="J19" i="17"/>
  <c r="AK4" i="3" s="1"/>
  <c r="AK5" i="3" s="1"/>
  <c r="N19" i="20"/>
  <c r="CH4" i="3" s="1"/>
  <c r="CH5" i="3" s="1"/>
  <c r="J19" i="16"/>
  <c r="L19" i="16"/>
  <c r="N19" i="17"/>
  <c r="AO4" i="3" s="1"/>
  <c r="AO5" i="3" s="1"/>
  <c r="O111" i="14"/>
  <c r="R43" i="14"/>
  <c r="L47" i="14"/>
  <c r="J39" i="17"/>
  <c r="AK34" i="3" s="1"/>
  <c r="T125" i="14"/>
  <c r="P13" i="14"/>
  <c r="Y139" i="11"/>
  <c r="T139" i="11"/>
  <c r="AB139" i="11"/>
  <c r="U139" i="11"/>
  <c r="R139" i="11"/>
  <c r="AC139" i="11"/>
  <c r="AA139" i="11"/>
  <c r="X139" i="11"/>
  <c r="W139" i="11"/>
  <c r="V139" i="11"/>
  <c r="Z139" i="11"/>
  <c r="S139" i="11"/>
  <c r="S95" i="14"/>
  <c r="O64" i="14"/>
  <c r="L27" i="20"/>
  <c r="L33" i="14"/>
  <c r="J23" i="17"/>
  <c r="AK12" i="3" s="1"/>
  <c r="T59" i="14"/>
  <c r="N28" i="16"/>
  <c r="J44" i="20"/>
  <c r="J41" i="20" s="1"/>
  <c r="K175" i="14"/>
  <c r="K35" i="26"/>
  <c r="K116" i="14"/>
  <c r="V12" i="15"/>
  <c r="K65" i="26"/>
  <c r="M46" i="23"/>
  <c r="K93" i="26" s="1"/>
  <c r="G20" i="26"/>
  <c r="J18" i="19"/>
  <c r="T228" i="11"/>
  <c r="X228" i="11"/>
  <c r="U228" i="11"/>
  <c r="AC228" i="11"/>
  <c r="AB228" i="11"/>
  <c r="AA228" i="11"/>
  <c r="Y228" i="11"/>
  <c r="Z228" i="11"/>
  <c r="W228" i="11"/>
  <c r="V228" i="11"/>
  <c r="S228" i="11"/>
  <c r="R228" i="11"/>
  <c r="P163" i="14"/>
  <c r="M121" i="14"/>
  <c r="K33" i="19"/>
  <c r="BP28" i="3" s="1"/>
  <c r="P73" i="14"/>
  <c r="N36" i="18"/>
  <c r="BD32" i="3" s="1"/>
  <c r="T30" i="11"/>
  <c r="AA30" i="11"/>
  <c r="V30" i="11"/>
  <c r="W30" i="11"/>
  <c r="Y30" i="11"/>
  <c r="X30" i="11"/>
  <c r="U30" i="11"/>
  <c r="S30" i="11"/>
  <c r="R30" i="11"/>
  <c r="AC30" i="11"/>
  <c r="AB30" i="11"/>
  <c r="Z30" i="11"/>
  <c r="P90" i="14"/>
  <c r="N29" i="22"/>
  <c r="DL21" i="3" s="1"/>
  <c r="L22" i="14"/>
  <c r="J39" i="16"/>
  <c r="S22" i="14"/>
  <c r="DL51" i="3"/>
  <c r="DL47" i="3"/>
  <c r="AC187" i="11"/>
  <c r="S187" i="11"/>
  <c r="U187" i="11"/>
  <c r="AB187" i="11"/>
  <c r="AA187" i="11"/>
  <c r="Y187" i="11"/>
  <c r="X187" i="11"/>
  <c r="W187" i="11"/>
  <c r="T187" i="11"/>
  <c r="Z187" i="11"/>
  <c r="R187" i="11"/>
  <c r="V187" i="11"/>
  <c r="K64" i="14"/>
  <c r="X48" i="11"/>
  <c r="U48" i="11"/>
  <c r="S48" i="11"/>
  <c r="R48" i="11"/>
  <c r="AB48" i="11"/>
  <c r="Z48" i="11"/>
  <c r="AC48" i="11"/>
  <c r="AA48" i="11"/>
  <c r="Y48" i="11"/>
  <c r="W48" i="11"/>
  <c r="V48" i="11"/>
  <c r="T48" i="11"/>
  <c r="U99" i="14"/>
  <c r="R151" i="14"/>
  <c r="L59" i="14"/>
  <c r="J22" i="18"/>
  <c r="AZ12" i="3" s="1"/>
  <c r="L170" i="14"/>
  <c r="Q38" i="14"/>
  <c r="P59" i="14"/>
  <c r="AC61" i="11"/>
  <c r="S61" i="11"/>
  <c r="W61" i="11"/>
  <c r="T61" i="11"/>
  <c r="X61" i="11"/>
  <c r="AB61" i="11"/>
  <c r="Y61" i="11"/>
  <c r="U61" i="11"/>
  <c r="AA61" i="11"/>
  <c r="Z61" i="11"/>
  <c r="V61" i="11"/>
  <c r="R61" i="11"/>
  <c r="I13" i="17"/>
  <c r="T8" i="14"/>
  <c r="O8" i="14"/>
  <c r="P142" i="14"/>
  <c r="L28" i="18"/>
  <c r="K31" i="2" s="1"/>
  <c r="M44" i="19"/>
  <c r="M41" i="19" s="1"/>
  <c r="M21" i="19"/>
  <c r="BR9" i="3"/>
  <c r="S3" i="12"/>
  <c r="K43" i="14"/>
  <c r="S43" i="14"/>
  <c r="U125" i="14"/>
  <c r="J26" i="18"/>
  <c r="R13" i="14"/>
  <c r="Q13" i="14"/>
  <c r="T95" i="14"/>
  <c r="M26" i="18"/>
  <c r="BC19" i="3"/>
  <c r="BC20" i="3" s="1"/>
  <c r="L46" i="23"/>
  <c r="K92" i="26" s="1"/>
  <c r="M29" i="16"/>
  <c r="L99" i="14"/>
  <c r="J40" i="22"/>
  <c r="DH34" i="3" s="1"/>
  <c r="K99" i="14"/>
  <c r="V33" i="14"/>
  <c r="J5" i="26"/>
  <c r="I46" i="22"/>
  <c r="DG40" i="3" s="1"/>
  <c r="I41" i="22"/>
  <c r="DG35" i="3" s="1"/>
  <c r="I36" i="22"/>
  <c r="DG27" i="3" s="1"/>
  <c r="I31" i="22"/>
  <c r="DG23" i="3" s="1"/>
  <c r="I26" i="22"/>
  <c r="DG15" i="3" s="1"/>
  <c r="I40" i="22"/>
  <c r="DG34" i="3" s="1"/>
  <c r="I35" i="22"/>
  <c r="DG29" i="3" s="1"/>
  <c r="I30" i="22"/>
  <c r="DG22" i="3" s="1"/>
  <c r="I25" i="22"/>
  <c r="DG13" i="3" s="1"/>
  <c r="I34" i="22"/>
  <c r="DG28" i="3" s="1"/>
  <c r="I20" i="22"/>
  <c r="DG4" i="3" s="1"/>
  <c r="I32" i="22"/>
  <c r="DG24" i="3" s="1"/>
  <c r="I24" i="22"/>
  <c r="DG12" i="3" s="1"/>
  <c r="I39" i="22"/>
  <c r="DG33" i="3" s="1"/>
  <c r="I13" i="22"/>
  <c r="I12" i="17" s="1"/>
  <c r="I30" i="17" s="1"/>
  <c r="AJ23" i="3" s="1"/>
  <c r="I38" i="22"/>
  <c r="DG32" i="3" s="1"/>
  <c r="I44" i="22"/>
  <c r="I29" i="22"/>
  <c r="DG21" i="3" s="1"/>
  <c r="I23" i="22"/>
  <c r="DG11" i="3" s="1"/>
  <c r="I8" i="22"/>
  <c r="I27" i="22"/>
  <c r="DG16" i="3" s="1"/>
  <c r="I12" i="22"/>
  <c r="I11" i="17" s="1"/>
  <c r="I10" i="22"/>
  <c r="K105" i="14"/>
  <c r="K104" i="14" s="1"/>
  <c r="J105" i="14"/>
  <c r="J104" i="14" s="1"/>
  <c r="V20" i="23"/>
  <c r="EH7" i="3" s="1"/>
  <c r="K27" i="20"/>
  <c r="CE19" i="3"/>
  <c r="N121" i="14"/>
  <c r="BS47" i="3"/>
  <c r="BS51" i="3"/>
  <c r="Q90" i="14"/>
  <c r="T22" i="14"/>
  <c r="M130" i="14"/>
  <c r="K45" i="19"/>
  <c r="BP40" i="3" s="1"/>
  <c r="M45" i="21"/>
  <c r="CV39" i="3" s="1"/>
  <c r="Y129" i="11"/>
  <c r="X129" i="11"/>
  <c r="U129" i="11"/>
  <c r="W129" i="11"/>
  <c r="AB129" i="11"/>
  <c r="Z129" i="11"/>
  <c r="T129" i="11"/>
  <c r="R129" i="11"/>
  <c r="AC129" i="11"/>
  <c r="AA129" i="11"/>
  <c r="V129" i="11"/>
  <c r="S129" i="11"/>
  <c r="X226" i="11"/>
  <c r="Z226" i="11"/>
  <c r="T226" i="11"/>
  <c r="AC226" i="11"/>
  <c r="V226" i="11"/>
  <c r="R226" i="11"/>
  <c r="AB226" i="11"/>
  <c r="W226" i="11"/>
  <c r="U226" i="11"/>
  <c r="S226" i="11"/>
  <c r="AA226" i="11"/>
  <c r="Y226" i="11"/>
  <c r="N34" i="18"/>
  <c r="BD27" i="3" s="1"/>
  <c r="K34" i="18"/>
  <c r="BA27" i="3" s="1"/>
  <c r="J34" i="18"/>
  <c r="AZ27" i="3" s="1"/>
  <c r="M34" i="18"/>
  <c r="BC27" i="3" s="1"/>
  <c r="V99" i="14"/>
  <c r="S151" i="14"/>
  <c r="K147" i="14"/>
  <c r="V170" i="14"/>
  <c r="T38" i="14"/>
  <c r="R38" i="14"/>
  <c r="V10" i="15"/>
  <c r="J45" i="21"/>
  <c r="CS39" i="3" s="1"/>
  <c r="U8" i="14"/>
  <c r="R8" i="14"/>
  <c r="AA123" i="11"/>
  <c r="AB123" i="11"/>
  <c r="X123" i="11"/>
  <c r="T123" i="11"/>
  <c r="AC123" i="11"/>
  <c r="Y123" i="11"/>
  <c r="V123" i="11"/>
  <c r="S123" i="11"/>
  <c r="R123" i="11"/>
  <c r="Z123" i="11"/>
  <c r="W123" i="11"/>
  <c r="U123" i="11"/>
  <c r="N184" i="14"/>
  <c r="L46" i="21"/>
  <c r="K46" i="2" s="1"/>
  <c r="O69" i="14"/>
  <c r="M32" i="18"/>
  <c r="BC28" i="3" s="1"/>
  <c r="O130" i="14"/>
  <c r="M28" i="19"/>
  <c r="BR21" i="3" s="1"/>
  <c r="P111" i="14"/>
  <c r="N23" i="19"/>
  <c r="BS12" i="3" s="1"/>
  <c r="U43" i="14"/>
  <c r="T43" i="14"/>
  <c r="P64" i="14"/>
  <c r="M47" i="14"/>
  <c r="K39" i="17"/>
  <c r="AL34" i="3" s="1"/>
  <c r="V125" i="14"/>
  <c r="T13" i="14"/>
  <c r="S13" i="14"/>
  <c r="N142" i="14"/>
  <c r="K95" i="14"/>
  <c r="N22" i="22"/>
  <c r="M39" i="16"/>
  <c r="U54" i="11"/>
  <c r="AB54" i="11"/>
  <c r="R54" i="11"/>
  <c r="Y54" i="11"/>
  <c r="T54" i="11"/>
  <c r="AA54" i="11"/>
  <c r="AC54" i="11"/>
  <c r="Z54" i="11"/>
  <c r="X54" i="11"/>
  <c r="W54" i="11"/>
  <c r="V54" i="11"/>
  <c r="S54" i="11"/>
  <c r="M33" i="14"/>
  <c r="K23" i="17"/>
  <c r="AL12" i="3" s="1"/>
  <c r="N19" i="16"/>
  <c r="J33" i="20"/>
  <c r="CD28" i="3" s="1"/>
  <c r="M19" i="20"/>
  <c r="CG4" i="3" s="1"/>
  <c r="CG5" i="3" s="1"/>
  <c r="L23" i="19"/>
  <c r="BQ12" i="3" s="1"/>
  <c r="BQ9" i="3" s="1"/>
  <c r="L175" i="14"/>
  <c r="BD51" i="3"/>
  <c r="BD47" i="3"/>
  <c r="I5" i="26"/>
  <c r="I36" i="21"/>
  <c r="CR27" i="3" s="1"/>
  <c r="I18" i="21"/>
  <c r="CR4" i="3" s="1"/>
  <c r="I46" i="21"/>
  <c r="CR40" i="3" s="1"/>
  <c r="I26" i="21"/>
  <c r="CR16" i="3" s="1"/>
  <c r="I23" i="21"/>
  <c r="I9" i="21"/>
  <c r="I25" i="21"/>
  <c r="CR15" i="3" s="1"/>
  <c r="I11" i="21"/>
  <c r="I10" i="21"/>
  <c r="I44" i="21"/>
  <c r="I38" i="21"/>
  <c r="CR32" i="3" s="1"/>
  <c r="I7" i="21"/>
  <c r="CR3" i="3" s="1"/>
  <c r="K185" i="14"/>
  <c r="K184" i="14" s="1"/>
  <c r="Y89" i="11"/>
  <c r="T89" i="11"/>
  <c r="AB89" i="11"/>
  <c r="Z89" i="11"/>
  <c r="AA89" i="11"/>
  <c r="W89" i="11"/>
  <c r="V89" i="11"/>
  <c r="S89" i="11"/>
  <c r="AC89" i="11"/>
  <c r="X89" i="11"/>
  <c r="U89" i="11"/>
  <c r="R89" i="11"/>
  <c r="N26" i="20"/>
  <c r="CH16" i="3" s="1"/>
  <c r="CH9" i="3" s="1"/>
  <c r="CH10" i="3" s="1"/>
  <c r="W105" i="11"/>
  <c r="X105" i="11"/>
  <c r="T105" i="11"/>
  <c r="AB105" i="11"/>
  <c r="V105" i="11"/>
  <c r="S105" i="11"/>
  <c r="R105" i="11"/>
  <c r="AC105" i="11"/>
  <c r="AA105" i="11"/>
  <c r="Z105" i="11"/>
  <c r="Y105" i="11"/>
  <c r="U105" i="11"/>
  <c r="K85" i="14"/>
  <c r="J28" i="19"/>
  <c r="BO21" i="3" s="1"/>
  <c r="DZ47" i="3"/>
  <c r="O121" i="14"/>
  <c r="L45" i="22"/>
  <c r="L42" i="22" s="1"/>
  <c r="R90" i="14"/>
  <c r="M22" i="14"/>
  <c r="K39" i="16"/>
  <c r="P130" i="14"/>
  <c r="N45" i="19"/>
  <c r="AB46" i="11"/>
  <c r="R46" i="11"/>
  <c r="Y46" i="11"/>
  <c r="AA46" i="11"/>
  <c r="W46" i="11"/>
  <c r="U46" i="11"/>
  <c r="S46" i="11"/>
  <c r="AC46" i="11"/>
  <c r="Z46" i="11"/>
  <c r="X46" i="11"/>
  <c r="V46" i="11"/>
  <c r="T46" i="11"/>
  <c r="P99" i="14"/>
  <c r="N38" i="22"/>
  <c r="DL32" i="3" s="1"/>
  <c r="K137" i="14"/>
  <c r="M59" i="14"/>
  <c r="K22" i="18"/>
  <c r="BA12" i="3" s="1"/>
  <c r="M170" i="14"/>
  <c r="K38" i="14"/>
  <c r="S38" i="14"/>
  <c r="K8" i="14"/>
  <c r="P69" i="14"/>
  <c r="N32" i="18"/>
  <c r="BD28" i="3" s="1"/>
  <c r="L32" i="18"/>
  <c r="BB28" i="3" s="1"/>
  <c r="T111" i="14"/>
  <c r="Q111" i="14"/>
  <c r="L43" i="14"/>
  <c r="T137" i="14"/>
  <c r="N47" i="14"/>
  <c r="L39" i="17"/>
  <c r="AM34" i="3" s="1"/>
  <c r="P125" i="14"/>
  <c r="N37" i="19"/>
  <c r="BS32" i="3" s="1"/>
  <c r="L13" i="16"/>
  <c r="U13" i="14"/>
  <c r="AA67" i="11"/>
  <c r="U67" i="11"/>
  <c r="AC67" i="11"/>
  <c r="R67" i="11"/>
  <c r="Y67" i="11"/>
  <c r="W67" i="11"/>
  <c r="AB67" i="11"/>
  <c r="Z67" i="11"/>
  <c r="X67" i="11"/>
  <c r="V67" i="11"/>
  <c r="T67" i="11"/>
  <c r="S67" i="11"/>
  <c r="AA173" i="11"/>
  <c r="AB173" i="11"/>
  <c r="X173" i="11"/>
  <c r="Y173" i="11"/>
  <c r="Z173" i="11"/>
  <c r="V173" i="11"/>
  <c r="U173" i="11"/>
  <c r="T173" i="11"/>
  <c r="S173" i="11"/>
  <c r="R173" i="11"/>
  <c r="AC173" i="11"/>
  <c r="W173" i="11"/>
  <c r="U95" i="14"/>
  <c r="P179" i="14"/>
  <c r="DH47" i="3"/>
  <c r="DH51" i="3"/>
  <c r="K36" i="26"/>
  <c r="K12" i="21"/>
  <c r="AA183" i="11"/>
  <c r="W183" i="11"/>
  <c r="T183" i="11"/>
  <c r="AC183" i="11"/>
  <c r="U183" i="11"/>
  <c r="R183" i="11"/>
  <c r="S183" i="11"/>
  <c r="Z183" i="11"/>
  <c r="Y183" i="11"/>
  <c r="X183" i="11"/>
  <c r="AB183" i="11"/>
  <c r="V183" i="11"/>
  <c r="M99" i="14"/>
  <c r="K40" i="22"/>
  <c r="DI34" i="3" s="1"/>
  <c r="N33" i="14"/>
  <c r="L23" i="17"/>
  <c r="AM12" i="3" s="1"/>
  <c r="AL51" i="3"/>
  <c r="AL47" i="3"/>
  <c r="M23" i="20"/>
  <c r="CG12" i="3" s="1"/>
  <c r="G5" i="26"/>
  <c r="I24" i="19"/>
  <c r="BN13" i="3" s="1"/>
  <c r="I29" i="19"/>
  <c r="BN22" i="3" s="1"/>
  <c r="I43" i="19"/>
  <c r="I37" i="19"/>
  <c r="BN32" i="3" s="1"/>
  <c r="I28" i="19"/>
  <c r="BN21" i="3" s="1"/>
  <c r="I19" i="19"/>
  <c r="BN4" i="3" s="1"/>
  <c r="I38" i="19"/>
  <c r="BN33" i="3" s="1"/>
  <c r="I23" i="19"/>
  <c r="BN12" i="3" s="1"/>
  <c r="I12" i="19"/>
  <c r="I39" i="19"/>
  <c r="BN34" i="3" s="1"/>
  <c r="I33" i="19"/>
  <c r="BN28" i="3" s="1"/>
  <c r="I11" i="19"/>
  <c r="I30" i="19"/>
  <c r="BN23" i="3" s="1"/>
  <c r="I10" i="19"/>
  <c r="I40" i="19"/>
  <c r="BN35" i="3" s="1"/>
  <c r="I34" i="19"/>
  <c r="BN29" i="3" s="1"/>
  <c r="I31" i="19"/>
  <c r="BN24" i="3" s="1"/>
  <c r="I8" i="19"/>
  <c r="I25" i="19"/>
  <c r="BN15" i="3" s="1"/>
  <c r="I45" i="19"/>
  <c r="BN40" i="3" s="1"/>
  <c r="I22" i="19"/>
  <c r="BN11" i="3" s="1"/>
  <c r="I35" i="19"/>
  <c r="BN27" i="3" s="1"/>
  <c r="I26" i="19"/>
  <c r="BN16" i="3" s="1"/>
  <c r="K131" i="14"/>
  <c r="K130" i="14" s="1"/>
  <c r="J131" i="14"/>
  <c r="J130" i="14" s="1"/>
  <c r="AK47" i="3"/>
  <c r="AK51" i="3"/>
  <c r="L28" i="19"/>
  <c r="BQ21" i="3" s="1"/>
  <c r="L18" i="14"/>
  <c r="J33" i="16"/>
  <c r="AA153" i="11"/>
  <c r="Y153" i="11"/>
  <c r="V153" i="11"/>
  <c r="AB153" i="11"/>
  <c r="X153" i="11"/>
  <c r="AC153" i="11"/>
  <c r="Z153" i="11"/>
  <c r="U153" i="11"/>
  <c r="T153" i="11"/>
  <c r="S153" i="11"/>
  <c r="W153" i="11"/>
  <c r="R153" i="11"/>
  <c r="K44" i="20"/>
  <c r="K41" i="20" s="1"/>
  <c r="K21" i="20"/>
  <c r="CE9" i="3"/>
  <c r="CE10" i="3" s="1"/>
  <c r="M85" i="14"/>
  <c r="K24" i="22"/>
  <c r="DI12" i="3" s="1"/>
  <c r="J44" i="19"/>
  <c r="J41" i="19" s="1"/>
  <c r="J21" i="19"/>
  <c r="BO9" i="3"/>
  <c r="J36" i="19"/>
  <c r="BO30" i="3"/>
  <c r="K51" i="26"/>
  <c r="P121" i="14"/>
  <c r="N33" i="19"/>
  <c r="BS28" i="3" s="1"/>
  <c r="L33" i="22"/>
  <c r="DJ25" i="3"/>
  <c r="DJ26" i="3" s="1"/>
  <c r="L39" i="16"/>
  <c r="N22" i="14"/>
  <c r="V22" i="14"/>
  <c r="S59" i="14"/>
  <c r="T40" i="11"/>
  <c r="AA40" i="11"/>
  <c r="V40" i="11"/>
  <c r="X40" i="11"/>
  <c r="Z40" i="11"/>
  <c r="Y40" i="11"/>
  <c r="W40" i="11"/>
  <c r="U40" i="11"/>
  <c r="S40" i="11"/>
  <c r="R40" i="11"/>
  <c r="AC40" i="11"/>
  <c r="AB40" i="11"/>
  <c r="Q99" i="14"/>
  <c r="N43" i="18"/>
  <c r="BD39" i="3" s="1"/>
  <c r="N170" i="14"/>
  <c r="U38" i="14"/>
  <c r="S137" i="14"/>
  <c r="L8" i="14"/>
  <c r="J23" i="16"/>
  <c r="M45" i="22"/>
  <c r="M42" i="22" s="1"/>
  <c r="W211" i="11"/>
  <c r="V211" i="11"/>
  <c r="AC211" i="11"/>
  <c r="Z211" i="11"/>
  <c r="Y211" i="11"/>
  <c r="AB211" i="11"/>
  <c r="X211" i="11"/>
  <c r="AA211" i="11"/>
  <c r="U211" i="11"/>
  <c r="T211" i="11"/>
  <c r="S211" i="11"/>
  <c r="R211" i="11"/>
  <c r="K111" i="14"/>
  <c r="R111" i="14"/>
  <c r="V43" i="14"/>
  <c r="O47" i="14"/>
  <c r="M39" i="17"/>
  <c r="AN34" i="3" s="1"/>
  <c r="K13" i="14"/>
  <c r="L95" i="14"/>
  <c r="J34" i="22"/>
  <c r="DH28" i="3" s="1"/>
  <c r="Q137" i="14"/>
  <c r="O33" i="14"/>
  <c r="M23" i="17"/>
  <c r="AN12" i="3" s="1"/>
  <c r="J27" i="20"/>
  <c r="CD19" i="3"/>
  <c r="CD20" i="3" s="1"/>
  <c r="M29" i="20"/>
  <c r="CG22" i="3" s="1"/>
  <c r="CG19" i="3" s="1"/>
  <c r="CG20" i="3" s="1"/>
  <c r="L33" i="19"/>
  <c r="BQ28" i="3" s="1"/>
  <c r="M175" i="14"/>
  <c r="AC193" i="11"/>
  <c r="S193" i="11"/>
  <c r="T193" i="11"/>
  <c r="V193" i="11"/>
  <c r="Y193" i="11"/>
  <c r="AA193" i="11"/>
  <c r="AB193" i="11"/>
  <c r="Z193" i="11"/>
  <c r="X193" i="11"/>
  <c r="U193" i="11"/>
  <c r="R193" i="11"/>
  <c r="W193" i="11"/>
  <c r="K18" i="14"/>
  <c r="M116" i="14"/>
  <c r="K28" i="19"/>
  <c r="BP21" i="3" s="1"/>
  <c r="AN47" i="3"/>
  <c r="AN51" i="3"/>
  <c r="CF51" i="3"/>
  <c r="CF47" i="3"/>
  <c r="L85" i="14"/>
  <c r="J24" i="22"/>
  <c r="DH12" i="3" s="1"/>
  <c r="N41" i="22"/>
  <c r="DL35" i="3" s="1"/>
  <c r="I29" i="17"/>
  <c r="AJ22" i="3" s="1"/>
  <c r="AO47" i="3"/>
  <c r="AO51" i="3"/>
  <c r="N26" i="18"/>
  <c r="Y119" i="11"/>
  <c r="AC119" i="11"/>
  <c r="R119" i="11"/>
  <c r="Z119" i="11"/>
  <c r="V119" i="11"/>
  <c r="W119" i="11"/>
  <c r="T119" i="11"/>
  <c r="AB119" i="11"/>
  <c r="X119" i="11"/>
  <c r="U119" i="11"/>
  <c r="AA119" i="11"/>
  <c r="S119" i="11"/>
  <c r="Q121" i="14"/>
  <c r="U121" i="11"/>
  <c r="AB121" i="11"/>
  <c r="Y121" i="11"/>
  <c r="AC121" i="11"/>
  <c r="S121" i="11"/>
  <c r="Z121" i="11"/>
  <c r="W121" i="11"/>
  <c r="V121" i="11"/>
  <c r="R121" i="11"/>
  <c r="X121" i="11"/>
  <c r="T121" i="11"/>
  <c r="AA121" i="11"/>
  <c r="T90" i="14"/>
  <c r="P22" i="14"/>
  <c r="P47" i="14"/>
  <c r="N37" i="17"/>
  <c r="AO32" i="3" s="1"/>
  <c r="N38" i="17"/>
  <c r="AO33" i="3" s="1"/>
  <c r="K45" i="21"/>
  <c r="CT39" i="3" s="1"/>
  <c r="M18" i="18"/>
  <c r="BC4" i="3" s="1"/>
  <c r="BC5" i="3" s="1"/>
  <c r="N18" i="18"/>
  <c r="BD4" i="3" s="1"/>
  <c r="BD5" i="3" s="1"/>
  <c r="L18" i="21"/>
  <c r="CU4" i="3" s="1"/>
  <c r="CU5" i="3" s="1"/>
  <c r="K18" i="18"/>
  <c r="BA4" i="3" s="1"/>
  <c r="BA5" i="3" s="1"/>
  <c r="J18" i="18"/>
  <c r="AZ4" i="3" s="1"/>
  <c r="AZ5" i="3" s="1"/>
  <c r="R99" i="14"/>
  <c r="L137" i="14"/>
  <c r="O59" i="14"/>
  <c r="M22" i="18"/>
  <c r="BC12" i="3" s="1"/>
  <c r="O170" i="14"/>
  <c r="L38" i="14"/>
  <c r="J28" i="17"/>
  <c r="AK21" i="3" s="1"/>
  <c r="N8" i="14"/>
  <c r="L23" i="16"/>
  <c r="P137" i="14"/>
  <c r="F5" i="26"/>
  <c r="I30" i="18"/>
  <c r="AY24" i="3" s="1"/>
  <c r="I25" i="18"/>
  <c r="AY16" i="3" s="1"/>
  <c r="I10" i="18"/>
  <c r="I42" i="18"/>
  <c r="I37" i="18"/>
  <c r="AY33" i="3" s="1"/>
  <c r="I32" i="18"/>
  <c r="AY28" i="3" s="1"/>
  <c r="I27" i="18"/>
  <c r="AY21" i="3" s="1"/>
  <c r="I22" i="18"/>
  <c r="AY12" i="3" s="1"/>
  <c r="I36" i="18"/>
  <c r="AY32" i="3" s="1"/>
  <c r="I28" i="18"/>
  <c r="AY22" i="3" s="1"/>
  <c r="I9" i="18"/>
  <c r="I34" i="18"/>
  <c r="AY27" i="3" s="1"/>
  <c r="I18" i="18"/>
  <c r="AY4" i="3" s="1"/>
  <c r="I33" i="18"/>
  <c r="AY29" i="3" s="1"/>
  <c r="I24" i="18"/>
  <c r="AY15" i="3" s="1"/>
  <c r="I39" i="18"/>
  <c r="AY35" i="3" s="1"/>
  <c r="I21" i="18"/>
  <c r="AY11" i="3" s="1"/>
  <c r="I11" i="18"/>
  <c r="I7" i="18"/>
  <c r="AY3" i="3" s="1"/>
  <c r="I44" i="18"/>
  <c r="AY40" i="3" s="1"/>
  <c r="I38" i="18"/>
  <c r="AY34" i="3" s="1"/>
  <c r="I29" i="18"/>
  <c r="AY23" i="3" s="1"/>
  <c r="I23" i="18"/>
  <c r="AY13" i="3" s="1"/>
  <c r="K79" i="14"/>
  <c r="K78" i="14" s="1"/>
  <c r="J79" i="14"/>
  <c r="J78" i="14" s="1"/>
  <c r="U111" i="14"/>
  <c r="S111" i="14"/>
  <c r="M43" i="14"/>
  <c r="L13" i="14"/>
  <c r="J28" i="16"/>
  <c r="V95" i="14"/>
  <c r="M31" i="16"/>
  <c r="M30" i="16"/>
  <c r="AZ51" i="3"/>
  <c r="AZ47" i="3"/>
  <c r="AC127" i="11"/>
  <c r="S127" i="11"/>
  <c r="Y127" i="11"/>
  <c r="V127" i="11"/>
  <c r="AB127" i="11"/>
  <c r="U127" i="11"/>
  <c r="R127" i="11"/>
  <c r="AA127" i="11"/>
  <c r="Z127" i="11"/>
  <c r="T127" i="11"/>
  <c r="X127" i="11"/>
  <c r="W127" i="11"/>
  <c r="P33" i="14"/>
  <c r="N23" i="17"/>
  <c r="AO12" i="3" s="1"/>
  <c r="N29" i="16"/>
  <c r="J23" i="20"/>
  <c r="CD12" i="3" s="1"/>
  <c r="M33" i="20"/>
  <c r="CG28" i="3" s="1"/>
  <c r="N130" i="14"/>
  <c r="N175" i="14"/>
  <c r="BA47" i="3"/>
  <c r="BA51" i="3"/>
  <c r="AC25" i="11"/>
  <c r="S25" i="11"/>
  <c r="W25" i="11"/>
  <c r="Y25" i="11"/>
  <c r="X25" i="11"/>
  <c r="V25" i="11"/>
  <c r="U25" i="11"/>
  <c r="T25" i="11"/>
  <c r="R25" i="11"/>
  <c r="AB25" i="11"/>
  <c r="AA25" i="11"/>
  <c r="Z25" i="11"/>
  <c r="R121" i="14"/>
  <c r="L24" i="22"/>
  <c r="DJ12" i="3" s="1"/>
  <c r="AA199" i="11"/>
  <c r="AC199" i="11"/>
  <c r="R199" i="11"/>
  <c r="S199" i="11"/>
  <c r="Z199" i="11"/>
  <c r="AB199" i="11"/>
  <c r="Y199" i="11"/>
  <c r="W199" i="11"/>
  <c r="X199" i="11"/>
  <c r="V199" i="11"/>
  <c r="T199" i="11"/>
  <c r="U199" i="11"/>
  <c r="K90" i="14"/>
  <c r="Q22" i="14"/>
  <c r="M33" i="21"/>
  <c r="CV25" i="3"/>
  <c r="CV26" i="3" s="1"/>
  <c r="N40" i="19"/>
  <c r="BS35" i="3" s="1"/>
  <c r="V232" i="11"/>
  <c r="U232" i="11"/>
  <c r="Z232" i="11"/>
  <c r="W232" i="11"/>
  <c r="X232" i="11"/>
  <c r="AA232" i="11"/>
  <c r="Y232" i="11"/>
  <c r="T232" i="11"/>
  <c r="R232" i="11"/>
  <c r="AC232" i="11"/>
  <c r="AB232" i="11"/>
  <c r="S232" i="11"/>
  <c r="AA163" i="11"/>
  <c r="U163" i="11"/>
  <c r="AC163" i="11"/>
  <c r="R163" i="11"/>
  <c r="W163" i="11"/>
  <c r="X163" i="11"/>
  <c r="T163" i="11"/>
  <c r="Z163" i="11"/>
  <c r="Y163" i="11"/>
  <c r="S163" i="11"/>
  <c r="AB163" i="11"/>
  <c r="V163" i="11"/>
  <c r="S99" i="14"/>
  <c r="T151" i="14"/>
  <c r="P170" i="14"/>
  <c r="V38" i="14"/>
  <c r="J13" i="17"/>
  <c r="V8" i="11"/>
  <c r="W8" i="11"/>
  <c r="Y8" i="11"/>
  <c r="X8" i="11"/>
  <c r="U8" i="11"/>
  <c r="T8" i="11"/>
  <c r="S8" i="11"/>
  <c r="R8" i="11"/>
  <c r="AC8" i="11"/>
  <c r="AB8" i="11"/>
  <c r="AA8" i="11"/>
  <c r="Z8" i="11"/>
  <c r="V242" i="11"/>
  <c r="Z242" i="11"/>
  <c r="X242" i="11"/>
  <c r="T242" i="11"/>
  <c r="AC242" i="11"/>
  <c r="AB242" i="11"/>
  <c r="AA242" i="11"/>
  <c r="W242" i="11"/>
  <c r="Y242" i="11"/>
  <c r="U242" i="11"/>
  <c r="S242" i="11"/>
  <c r="R242" i="11"/>
  <c r="P8" i="14"/>
  <c r="K69" i="14"/>
  <c r="N38" i="19"/>
  <c r="BS33" i="3" s="1"/>
  <c r="V16" i="15"/>
  <c r="BC51" i="3"/>
  <c r="BC47" i="3"/>
  <c r="K67" i="26"/>
  <c r="W20" i="23"/>
  <c r="EI7" i="3" s="1"/>
  <c r="U207" i="11"/>
  <c r="Y207" i="11"/>
  <c r="Z207" i="11"/>
  <c r="V207" i="11"/>
  <c r="T207" i="11"/>
  <c r="S207" i="11"/>
  <c r="R207" i="11"/>
  <c r="AA207" i="11"/>
  <c r="X207" i="11"/>
  <c r="W207" i="11"/>
  <c r="AC207" i="11"/>
  <c r="AB207" i="11"/>
  <c r="L111" i="14"/>
  <c r="N43" i="14"/>
  <c r="O13" i="14"/>
  <c r="O95" i="14"/>
  <c r="M95" i="14"/>
  <c r="K34" i="22"/>
  <c r="DI28" i="3" s="1"/>
  <c r="U59" i="14"/>
  <c r="J40" i="3"/>
  <c r="M44" i="16"/>
  <c r="M41" i="16" s="1"/>
  <c r="AC203" i="11"/>
  <c r="S203" i="11"/>
  <c r="Z203" i="11"/>
  <c r="V203" i="11"/>
  <c r="R203" i="11"/>
  <c r="AA203" i="11"/>
  <c r="Y203" i="11"/>
  <c r="X203" i="11"/>
  <c r="U203" i="11"/>
  <c r="AB203" i="11"/>
  <c r="W203" i="11"/>
  <c r="T203" i="11"/>
  <c r="N40" i="17"/>
  <c r="AO35" i="3" s="1"/>
  <c r="S33" i="14"/>
  <c r="Q33" i="14"/>
  <c r="N31" i="16"/>
  <c r="N30" i="16"/>
  <c r="L19" i="19"/>
  <c r="BQ4" i="3" s="1"/>
  <c r="BQ5" i="3" s="1"/>
  <c r="O175" i="14"/>
  <c r="L64" i="14"/>
  <c r="S121" i="14"/>
  <c r="AA93" i="11"/>
  <c r="S93" i="11"/>
  <c r="Z93" i="11"/>
  <c r="Y93" i="11"/>
  <c r="W93" i="11"/>
  <c r="V93" i="11"/>
  <c r="T93" i="11"/>
  <c r="R93" i="11"/>
  <c r="AC93" i="11"/>
  <c r="AB93" i="11"/>
  <c r="X93" i="11"/>
  <c r="U93" i="11"/>
  <c r="U151" i="14"/>
  <c r="N147" i="14"/>
  <c r="L33" i="20"/>
  <c r="CF28" i="3" s="1"/>
  <c r="Q170" i="14"/>
  <c r="M38" i="14"/>
  <c r="K28" i="17"/>
  <c r="AL21" i="3" s="1"/>
  <c r="Q8" i="14"/>
  <c r="V85" i="14"/>
  <c r="U137" i="14"/>
  <c r="N44" i="20"/>
  <c r="N41" i="20" s="1"/>
  <c r="L34" i="18"/>
  <c r="BB27" i="3" s="1"/>
  <c r="M24" i="22"/>
  <c r="DK12" i="3" s="1"/>
  <c r="V111" i="14"/>
  <c r="O43" i="14"/>
  <c r="Q125" i="14"/>
  <c r="V13" i="14"/>
  <c r="P95" i="14"/>
  <c r="N34" i="22"/>
  <c r="DL28" i="3" s="1"/>
  <c r="N95" i="14"/>
  <c r="M33" i="16"/>
  <c r="AA133" i="11"/>
  <c r="W133" i="11"/>
  <c r="T133" i="11"/>
  <c r="X133" i="11"/>
  <c r="R133" i="11"/>
  <c r="Z133" i="11"/>
  <c r="V133" i="11"/>
  <c r="U133" i="11"/>
  <c r="AB133" i="11"/>
  <c r="Y133" i="11"/>
  <c r="S133" i="11"/>
  <c r="AC133" i="11"/>
  <c r="S85" i="14"/>
  <c r="T33" i="14"/>
  <c r="R33" i="14"/>
  <c r="K26" i="18"/>
  <c r="T238" i="11"/>
  <c r="AB238" i="11"/>
  <c r="U238" i="11"/>
  <c r="AC238" i="11"/>
  <c r="W238" i="11"/>
  <c r="Z238" i="11"/>
  <c r="AA238" i="11"/>
  <c r="Y238" i="11"/>
  <c r="X238" i="11"/>
  <c r="V238" i="11"/>
  <c r="S238" i="11"/>
  <c r="R238" i="11"/>
  <c r="M18" i="14"/>
  <c r="K33" i="16"/>
  <c r="I44" i="17"/>
  <c r="I41" i="17" s="1"/>
  <c r="I21" i="17"/>
  <c r="AJ9" i="3"/>
  <c r="AJ10" i="3" s="1"/>
  <c r="V47" i="3"/>
  <c r="V51" i="3"/>
  <c r="U181" i="11"/>
  <c r="X181" i="11"/>
  <c r="T181" i="11"/>
  <c r="V181" i="11"/>
  <c r="Y181" i="11"/>
  <c r="S181" i="11"/>
  <c r="AC181" i="11"/>
  <c r="AB181" i="11"/>
  <c r="AA181" i="11"/>
  <c r="Z181" i="11"/>
  <c r="R181" i="11"/>
  <c r="W181" i="11"/>
  <c r="T121" i="14"/>
  <c r="L90" i="14"/>
  <c r="J29" i="22"/>
  <c r="DH21" i="3" s="1"/>
  <c r="AA219" i="11"/>
  <c r="T219" i="11"/>
  <c r="AB219" i="11"/>
  <c r="X219" i="11"/>
  <c r="V219" i="11"/>
  <c r="Y219" i="11"/>
  <c r="W219" i="11"/>
  <c r="U219" i="11"/>
  <c r="R219" i="11"/>
  <c r="S219" i="11"/>
  <c r="AC219" i="11"/>
  <c r="Z219" i="11"/>
  <c r="AB36" i="11"/>
  <c r="R36" i="11"/>
  <c r="Y36" i="11"/>
  <c r="Z36" i="11"/>
  <c r="V36" i="11"/>
  <c r="U36" i="11"/>
  <c r="T36" i="11"/>
  <c r="S36" i="11"/>
  <c r="AC36" i="11"/>
  <c r="AA36" i="11"/>
  <c r="X36" i="11"/>
  <c r="W36" i="11"/>
  <c r="N137" i="14"/>
  <c r="L23" i="20"/>
  <c r="CF12" i="3" s="1"/>
  <c r="V151" i="14"/>
  <c r="T170" i="14"/>
  <c r="R170" i="14"/>
  <c r="N38" i="14"/>
  <c r="L28" i="17"/>
  <c r="AM21" i="3" s="1"/>
  <c r="N25" i="18"/>
  <c r="BD16" i="3" s="1"/>
  <c r="BD9" i="3" s="1"/>
  <c r="BD10" i="3" s="1"/>
  <c r="S8" i="14"/>
  <c r="L69" i="14"/>
  <c r="J32" i="18"/>
  <c r="AZ28" i="3" s="1"/>
  <c r="X51" i="3"/>
  <c r="X47" i="3"/>
  <c r="L18" i="18"/>
  <c r="BB4" i="3" s="1"/>
  <c r="BB5" i="3" s="1"/>
  <c r="BP47" i="3"/>
  <c r="BP51" i="3"/>
  <c r="M29" i="22"/>
  <c r="DK21" i="3" s="1"/>
  <c r="U85" i="14"/>
  <c r="M111" i="14"/>
  <c r="K23" i="19"/>
  <c r="BP12" i="3" s="1"/>
  <c r="P43" i="14"/>
  <c r="K47" i="14"/>
  <c r="R125" i="14"/>
  <c r="K28" i="16"/>
  <c r="M13" i="14"/>
  <c r="T85" i="14"/>
  <c r="Q95" i="14"/>
  <c r="R137" i="14"/>
  <c r="CU47" i="3"/>
  <c r="CU51" i="3"/>
  <c r="H5" i="26"/>
  <c r="I37" i="20"/>
  <c r="CC32" i="3" s="1"/>
  <c r="I22" i="20"/>
  <c r="CC11" i="3" s="1"/>
  <c r="I12" i="20"/>
  <c r="I39" i="20"/>
  <c r="CC34" i="3" s="1"/>
  <c r="I34" i="20"/>
  <c r="CC29" i="3" s="1"/>
  <c r="I29" i="20"/>
  <c r="CC22" i="3" s="1"/>
  <c r="I24" i="20"/>
  <c r="CC13" i="3" s="1"/>
  <c r="I19" i="20"/>
  <c r="CC4" i="3" s="1"/>
  <c r="I8" i="20"/>
  <c r="I33" i="20"/>
  <c r="CC28" i="3" s="1"/>
  <c r="I30" i="20"/>
  <c r="CC23" i="3" s="1"/>
  <c r="I38" i="20"/>
  <c r="CC33" i="3" s="1"/>
  <c r="I35" i="20"/>
  <c r="CC27" i="3" s="1"/>
  <c r="I40" i="20"/>
  <c r="CC35" i="3" s="1"/>
  <c r="I11" i="20"/>
  <c r="I25" i="20"/>
  <c r="CC15" i="3" s="1"/>
  <c r="I45" i="20"/>
  <c r="CC40" i="3" s="1"/>
  <c r="I10" i="20"/>
  <c r="I26" i="20"/>
  <c r="CC16" i="3" s="1"/>
  <c r="I31" i="20"/>
  <c r="CC24" i="3" s="1"/>
  <c r="I23" i="20"/>
  <c r="CC12" i="3" s="1"/>
  <c r="I28" i="20"/>
  <c r="CC21" i="3" s="1"/>
  <c r="I43" i="20"/>
  <c r="K157" i="14"/>
  <c r="K156" i="14" s="1"/>
  <c r="J157" i="14"/>
  <c r="J156" i="14" s="1"/>
  <c r="M23" i="16"/>
  <c r="K33" i="14"/>
  <c r="N44" i="16"/>
  <c r="Z39" i="3" s="1"/>
  <c r="J19" i="20"/>
  <c r="CD4" i="3" s="1"/>
  <c r="CD5" i="3" s="1"/>
  <c r="L44" i="19"/>
  <c r="L41" i="19" s="1"/>
  <c r="CE31" i="3" l="1"/>
  <c r="P23" i="12"/>
  <c r="I36" i="17"/>
  <c r="X4" i="3"/>
  <c r="X5" i="3" s="1"/>
  <c r="X6" i="3" s="1"/>
  <c r="V4" i="3"/>
  <c r="V5" i="3" s="1"/>
  <c r="V6" i="3" s="1"/>
  <c r="Y4" i="3"/>
  <c r="Y5" i="3" s="1"/>
  <c r="Y6" i="3" s="1"/>
  <c r="W4" i="3"/>
  <c r="W5" i="3" s="1"/>
  <c r="W6" i="3" s="1"/>
  <c r="Z4" i="3"/>
  <c r="Z5" i="3" s="1"/>
  <c r="Z6" i="3" s="1"/>
  <c r="I31" i="17"/>
  <c r="AJ24" i="3" s="1"/>
  <c r="AJ19" i="3" s="1"/>
  <c r="AJ20" i="3" s="1"/>
  <c r="CE5" i="3"/>
  <c r="G24" i="3"/>
  <c r="K36" i="2"/>
  <c r="G15" i="3"/>
  <c r="G23" i="3"/>
  <c r="I24" i="2"/>
  <c r="BO31" i="3"/>
  <c r="J31" i="2"/>
  <c r="L36" i="2"/>
  <c r="I33" i="2"/>
  <c r="J24" i="2"/>
  <c r="I23" i="2"/>
  <c r="DK31" i="3"/>
  <c r="DZ51" i="3"/>
  <c r="BR31" i="3"/>
  <c r="I36" i="2"/>
  <c r="G29" i="3"/>
  <c r="I31" i="2"/>
  <c r="K23" i="2"/>
  <c r="G22" i="3"/>
  <c r="L24" i="2"/>
  <c r="K24" i="2"/>
  <c r="I15" i="3"/>
  <c r="I32" i="2"/>
  <c r="K13" i="17"/>
  <c r="N33" i="17"/>
  <c r="AO28" i="3" s="1"/>
  <c r="I29" i="3"/>
  <c r="J33" i="17"/>
  <c r="AK28" i="3" s="1"/>
  <c r="AK25" i="3" s="1"/>
  <c r="AK26" i="3" s="1"/>
  <c r="L13" i="17"/>
  <c r="M33" i="17"/>
  <c r="AN28" i="3" s="1"/>
  <c r="I33" i="17"/>
  <c r="AJ28" i="3" s="1"/>
  <c r="AJ25" i="3" s="1"/>
  <c r="AJ26" i="3" s="1"/>
  <c r="K33" i="17"/>
  <c r="AL28" i="3" s="1"/>
  <c r="L41" i="17"/>
  <c r="L33" i="17"/>
  <c r="AM28" i="3" s="1"/>
  <c r="M13" i="17"/>
  <c r="EA31" i="3"/>
  <c r="DY5" i="3"/>
  <c r="DY6" i="3" s="1"/>
  <c r="DY26" i="3"/>
  <c r="DY31" i="3"/>
  <c r="DY37" i="3"/>
  <c r="BR10" i="3"/>
  <c r="DX5" i="3"/>
  <c r="DX41" i="3" s="1"/>
  <c r="DX42" i="3" s="1"/>
  <c r="DX37" i="3"/>
  <c r="EA47" i="3"/>
  <c r="EA10" i="3"/>
  <c r="DY10" i="3"/>
  <c r="EA37" i="3"/>
  <c r="DY8" i="3"/>
  <c r="EA51" i="3"/>
  <c r="EA5" i="3"/>
  <c r="EA41" i="3" s="1"/>
  <c r="EA42" i="3" s="1"/>
  <c r="EA26" i="3"/>
  <c r="DX10" i="3"/>
  <c r="DX26" i="3"/>
  <c r="DX31" i="3"/>
  <c r="EE3" i="3"/>
  <c r="EE37" i="3" s="1"/>
  <c r="U30" i="12"/>
  <c r="U28" i="12" s="1"/>
  <c r="DZ31" i="3"/>
  <c r="DZ26" i="3"/>
  <c r="DZ5" i="3"/>
  <c r="DZ20" i="3"/>
  <c r="DZ10" i="3"/>
  <c r="DW3" i="3"/>
  <c r="DW31" i="3" s="1"/>
  <c r="M30" i="12"/>
  <c r="M28" i="12" s="1"/>
  <c r="EF3" i="3"/>
  <c r="EF37" i="3" s="1"/>
  <c r="V30" i="12"/>
  <c r="V28" i="12" s="1"/>
  <c r="DZ37" i="3"/>
  <c r="EA8" i="3"/>
  <c r="DX8" i="3"/>
  <c r="I10" i="23"/>
  <c r="K5" i="26"/>
  <c r="K33" i="26" s="1"/>
  <c r="K47" i="26" s="1"/>
  <c r="I8" i="23"/>
  <c r="K20" i="21"/>
  <c r="M20" i="21"/>
  <c r="CR11" i="3"/>
  <c r="I20" i="21"/>
  <c r="K25" i="2"/>
  <c r="AM47" i="3"/>
  <c r="AJ5" i="3"/>
  <c r="AJ6" i="3" s="1"/>
  <c r="CD31" i="3"/>
  <c r="BO10" i="3"/>
  <c r="AM5" i="3"/>
  <c r="AM6" i="3" s="1"/>
  <c r="CS34" i="3"/>
  <c r="CT34" i="3"/>
  <c r="CU34" i="3"/>
  <c r="CV34" i="3"/>
  <c r="CR35" i="3"/>
  <c r="CR34" i="3"/>
  <c r="DK5" i="3"/>
  <c r="DK6" i="3" s="1"/>
  <c r="V43" i="8"/>
  <c r="S43" i="8"/>
  <c r="T9" i="25"/>
  <c r="W3" i="12"/>
  <c r="S9" i="25"/>
  <c r="T19" i="25" s="1"/>
  <c r="V3" i="12"/>
  <c r="I44" i="8"/>
  <c r="T3" i="12"/>
  <c r="Q9" i="25"/>
  <c r="R9" i="25"/>
  <c r="U3" i="12"/>
  <c r="O9" i="25"/>
  <c r="P19" i="25" s="1"/>
  <c r="R3" i="12"/>
  <c r="Q3" i="12"/>
  <c r="N9" i="25"/>
  <c r="O19" i="25" s="1"/>
  <c r="DJ5" i="3"/>
  <c r="DJ6" i="3" s="1"/>
  <c r="CG31" i="3"/>
  <c r="CE20" i="3"/>
  <c r="BQ31" i="3"/>
  <c r="BQ10" i="3"/>
  <c r="DJ31" i="3"/>
  <c r="BR5" i="3"/>
  <c r="BR6" i="3" s="1"/>
  <c r="DK26" i="3"/>
  <c r="BR26" i="3"/>
  <c r="O23" i="12"/>
  <c r="M32" i="12"/>
  <c r="P32" i="12"/>
  <c r="BN3" i="3"/>
  <c r="BN5" i="3" s="1"/>
  <c r="L36" i="12"/>
  <c r="CC3" i="3"/>
  <c r="CC5" i="3" s="1"/>
  <c r="L34" i="12"/>
  <c r="DG3" i="3"/>
  <c r="DG5" i="3" s="1"/>
  <c r="L26" i="12"/>
  <c r="I24" i="3"/>
  <c r="I23" i="3"/>
  <c r="Z40" i="3"/>
  <c r="Z36" i="3" s="1"/>
  <c r="Z37" i="3" s="1"/>
  <c r="Z35" i="3"/>
  <c r="Z34" i="3"/>
  <c r="Z33" i="3"/>
  <c r="Z32" i="3"/>
  <c r="Z28" i="3"/>
  <c r="Z24" i="3"/>
  <c r="K24" i="3" s="1"/>
  <c r="M33" i="2"/>
  <c r="Z23" i="3"/>
  <c r="K23" i="3" s="1"/>
  <c r="M32" i="2"/>
  <c r="Z22" i="3"/>
  <c r="K22" i="3" s="1"/>
  <c r="M31" i="2"/>
  <c r="Z21" i="3"/>
  <c r="M30" i="2"/>
  <c r="Z16" i="3"/>
  <c r="Z15" i="3"/>
  <c r="Z13" i="3"/>
  <c r="M23" i="2"/>
  <c r="Z12" i="3"/>
  <c r="M22" i="2"/>
  <c r="Y34" i="3"/>
  <c r="Y30" i="3" s="1"/>
  <c r="Y31" i="3" s="1"/>
  <c r="L41" i="2"/>
  <c r="L37" i="2"/>
  <c r="Y28" i="3"/>
  <c r="Y24" i="3"/>
  <c r="J24" i="3" s="1"/>
  <c r="L33" i="2"/>
  <c r="Y23" i="3"/>
  <c r="J23" i="3" s="1"/>
  <c r="L32" i="2"/>
  <c r="Y22" i="3"/>
  <c r="J22" i="3" s="1"/>
  <c r="L31" i="2"/>
  <c r="Y21" i="3"/>
  <c r="L30" i="2"/>
  <c r="Y13" i="3"/>
  <c r="L23" i="2"/>
  <c r="Y12" i="3"/>
  <c r="L22" i="2"/>
  <c r="X34" i="3"/>
  <c r="X30" i="3" s="1"/>
  <c r="X31" i="3" s="1"/>
  <c r="K41" i="2"/>
  <c r="K37" i="2"/>
  <c r="X28" i="3"/>
  <c r="X25" i="3" s="1"/>
  <c r="X26" i="3" s="1"/>
  <c r="K33" i="2"/>
  <c r="K32" i="2"/>
  <c r="X21" i="3"/>
  <c r="X19" i="3" s="1"/>
  <c r="X20" i="3" s="1"/>
  <c r="K30" i="2"/>
  <c r="X12" i="3"/>
  <c r="X9" i="3" s="1"/>
  <c r="X10" i="3" s="1"/>
  <c r="K22" i="2"/>
  <c r="W40" i="3"/>
  <c r="W36" i="3" s="1"/>
  <c r="W37" i="3" s="1"/>
  <c r="J46" i="2"/>
  <c r="W34" i="3"/>
  <c r="W30" i="3" s="1"/>
  <c r="W31" i="3" s="1"/>
  <c r="J41" i="2"/>
  <c r="J37" i="2"/>
  <c r="W28" i="3"/>
  <c r="W21" i="3"/>
  <c r="J30" i="2"/>
  <c r="W13" i="3"/>
  <c r="J23" i="2"/>
  <c r="W12" i="3"/>
  <c r="J22" i="2"/>
  <c r="V40" i="3"/>
  <c r="V36" i="3" s="1"/>
  <c r="V37" i="3" s="1"/>
  <c r="I46" i="2"/>
  <c r="V34" i="3"/>
  <c r="V30" i="3" s="1"/>
  <c r="V31" i="3" s="1"/>
  <c r="I41" i="2"/>
  <c r="I37" i="2"/>
  <c r="V28" i="3"/>
  <c r="V21" i="3"/>
  <c r="V19" i="3" s="1"/>
  <c r="V20" i="3" s="1"/>
  <c r="I30" i="2"/>
  <c r="V12" i="3"/>
  <c r="V9" i="3" s="1"/>
  <c r="V10" i="3" s="1"/>
  <c r="I22" i="2"/>
  <c r="CR18" i="3"/>
  <c r="F18" i="3" s="1"/>
  <c r="H27" i="2"/>
  <c r="CR17" i="3"/>
  <c r="F17" i="3" s="1"/>
  <c r="H26" i="2"/>
  <c r="DK39" i="3"/>
  <c r="DK36" i="3" s="1"/>
  <c r="DK37" i="3" s="1"/>
  <c r="DJ39" i="3"/>
  <c r="DJ36" i="3" s="1"/>
  <c r="DJ37" i="3" s="1"/>
  <c r="CH39" i="3"/>
  <c r="CH36" i="3" s="1"/>
  <c r="CH37" i="3" s="1"/>
  <c r="CG39" i="3"/>
  <c r="CG36" i="3" s="1"/>
  <c r="CG37" i="3" s="1"/>
  <c r="CE39" i="3"/>
  <c r="CE36" i="3" s="1"/>
  <c r="CE37" i="3" s="1"/>
  <c r="CD39" i="3"/>
  <c r="CD36" i="3" s="1"/>
  <c r="CD37" i="3" s="1"/>
  <c r="BR39" i="3"/>
  <c r="BR36" i="3" s="1"/>
  <c r="BR37" i="3" s="1"/>
  <c r="BQ39" i="3"/>
  <c r="BQ36" i="3" s="1"/>
  <c r="BQ37" i="3" s="1"/>
  <c r="BO39" i="3"/>
  <c r="BO36" i="3" s="1"/>
  <c r="BO37" i="3" s="1"/>
  <c r="AM39" i="3"/>
  <c r="AM36" i="3" s="1"/>
  <c r="AM37" i="3" s="1"/>
  <c r="AJ39" i="3"/>
  <c r="AJ36" i="3" s="1"/>
  <c r="AJ37" i="3" s="1"/>
  <c r="Y39" i="3"/>
  <c r="M42" i="21"/>
  <c r="CV36" i="3"/>
  <c r="CV37" i="3" s="1"/>
  <c r="K42" i="21"/>
  <c r="CT36" i="3"/>
  <c r="CT37" i="3" s="1"/>
  <c r="J42" i="21"/>
  <c r="CS36" i="3"/>
  <c r="CS37" i="3" s="1"/>
  <c r="DI6" i="3"/>
  <c r="DL6" i="3"/>
  <c r="DH6" i="3"/>
  <c r="DH40" i="3"/>
  <c r="DH36" i="3" s="1"/>
  <c r="DH37" i="3" s="1"/>
  <c r="DI40" i="3"/>
  <c r="DI36" i="3" s="1"/>
  <c r="DI37" i="3" s="1"/>
  <c r="DK9" i="3"/>
  <c r="DK10" i="3" s="1"/>
  <c r="DJ9" i="3"/>
  <c r="DJ10" i="3" s="1"/>
  <c r="CU6" i="3"/>
  <c r="CU40" i="3"/>
  <c r="CU36" i="3" s="1"/>
  <c r="CU37" i="3" s="1"/>
  <c r="CU32" i="3"/>
  <c r="CT32" i="3"/>
  <c r="M37" i="21"/>
  <c r="CV32" i="3"/>
  <c r="J37" i="21"/>
  <c r="CS32" i="3"/>
  <c r="CR5" i="3"/>
  <c r="CR20" i="3"/>
  <c r="CT16" i="3"/>
  <c r="H16" i="3" s="1"/>
  <c r="CU16" i="3"/>
  <c r="CU9" i="3" s="1"/>
  <c r="CU10" i="3" s="1"/>
  <c r="CV16" i="3"/>
  <c r="J16" i="3" s="1"/>
  <c r="I23" i="26"/>
  <c r="I37" i="26" s="1"/>
  <c r="CV4" i="3"/>
  <c r="CV5" i="3" s="1"/>
  <c r="CS9" i="3"/>
  <c r="CS10" i="3" s="1"/>
  <c r="I20" i="26"/>
  <c r="I34" i="26" s="1"/>
  <c r="CS4" i="3"/>
  <c r="CS5" i="3" s="1"/>
  <c r="I21" i="26"/>
  <c r="I35" i="26" s="1"/>
  <c r="I49" i="26" s="1"/>
  <c r="CT4" i="3"/>
  <c r="CT5" i="3" s="1"/>
  <c r="CH6" i="3"/>
  <c r="CD6" i="3"/>
  <c r="CG6" i="3"/>
  <c r="CF6" i="3"/>
  <c r="CE6" i="3"/>
  <c r="K32" i="20"/>
  <c r="K20" i="20" s="1"/>
  <c r="CE7" i="3" s="1"/>
  <c r="CE8" i="3" s="1"/>
  <c r="CE28" i="3"/>
  <c r="CE25" i="3" s="1"/>
  <c r="CE26" i="3" s="1"/>
  <c r="CG9" i="3"/>
  <c r="CG10" i="3" s="1"/>
  <c r="CD9" i="3"/>
  <c r="CD10" i="3" s="1"/>
  <c r="BS6" i="3"/>
  <c r="BP6" i="3"/>
  <c r="BQ6" i="3"/>
  <c r="BS40" i="3"/>
  <c r="BS36" i="3" s="1"/>
  <c r="BS37" i="3" s="1"/>
  <c r="J32" i="19"/>
  <c r="BO28" i="3"/>
  <c r="BO25" i="3" s="1"/>
  <c r="BO26" i="3" s="1"/>
  <c r="BD6" i="3"/>
  <c r="BC6" i="3"/>
  <c r="BB6" i="3"/>
  <c r="AZ6" i="3"/>
  <c r="BA6" i="3"/>
  <c r="AZ40" i="3"/>
  <c r="BD40" i="3"/>
  <c r="BD36" i="3" s="1"/>
  <c r="BD37" i="3" s="1"/>
  <c r="AZ34" i="3"/>
  <c r="AZ30" i="3" s="1"/>
  <c r="AZ31" i="3" s="1"/>
  <c r="BB22" i="3"/>
  <c r="I22" i="3" s="1"/>
  <c r="L20" i="18"/>
  <c r="BB12" i="3"/>
  <c r="BB9" i="3" s="1"/>
  <c r="BB10" i="3" s="1"/>
  <c r="AY5" i="3"/>
  <c r="AL6" i="3"/>
  <c r="AO6" i="3"/>
  <c r="AK6" i="3"/>
  <c r="AN6" i="3"/>
  <c r="AL40" i="3"/>
  <c r="AL36" i="3" s="1"/>
  <c r="AL37" i="3" s="1"/>
  <c r="AO40" i="3"/>
  <c r="AO36" i="3" s="1"/>
  <c r="AO37" i="3" s="1"/>
  <c r="AJ30" i="3"/>
  <c r="AJ31" i="3" s="1"/>
  <c r="W29" i="3"/>
  <c r="H29" i="3" s="1"/>
  <c r="Z29" i="3"/>
  <c r="K29" i="3" s="1"/>
  <c r="Y29" i="3"/>
  <c r="J29" i="3" s="1"/>
  <c r="W22" i="3"/>
  <c r="H22" i="3" s="1"/>
  <c r="W24" i="3"/>
  <c r="H24" i="3" s="1"/>
  <c r="W23" i="3"/>
  <c r="H23" i="3" s="1"/>
  <c r="W15" i="3"/>
  <c r="H15" i="3" s="1"/>
  <c r="Y15" i="3"/>
  <c r="J15" i="3" s="1"/>
  <c r="I11" i="3"/>
  <c r="G11" i="3"/>
  <c r="J11" i="3"/>
  <c r="H11" i="3"/>
  <c r="J27" i="3"/>
  <c r="K73" i="26"/>
  <c r="K74" i="26"/>
  <c r="J22" i="26"/>
  <c r="J36" i="26" s="1"/>
  <c r="J23" i="26"/>
  <c r="J37" i="26" s="1"/>
  <c r="H21" i="26"/>
  <c r="H35" i="26" s="1"/>
  <c r="G23" i="26"/>
  <c r="G37" i="26" s="1"/>
  <c r="G51" i="26" s="1"/>
  <c r="E19" i="26"/>
  <c r="E33" i="26" s="1"/>
  <c r="E47" i="26" s="1"/>
  <c r="D23" i="26"/>
  <c r="D37" i="26" s="1"/>
  <c r="D51" i="26" s="1"/>
  <c r="M36" i="16"/>
  <c r="C164" i="26"/>
  <c r="C172" i="26"/>
  <c r="W47" i="3"/>
  <c r="N41" i="17"/>
  <c r="S46" i="23"/>
  <c r="K99" i="26" s="1"/>
  <c r="K197" i="26" s="1"/>
  <c r="EF57" i="3" s="1"/>
  <c r="S10" i="23"/>
  <c r="K15" i="26"/>
  <c r="K85" i="26" s="1"/>
  <c r="W17" i="23"/>
  <c r="K14" i="26"/>
  <c r="K84" i="26" s="1"/>
  <c r="R10" i="23"/>
  <c r="P46" i="23"/>
  <c r="K96" i="26" s="1"/>
  <c r="K222" i="26" s="1"/>
  <c r="EC59" i="3" s="1"/>
  <c r="P8" i="23"/>
  <c r="K12" i="26"/>
  <c r="K82" i="26" s="1"/>
  <c r="V17" i="23"/>
  <c r="J35" i="18"/>
  <c r="Q46" i="23"/>
  <c r="K97" i="26" s="1"/>
  <c r="K195" i="26" s="1"/>
  <c r="ED57" i="3" s="1"/>
  <c r="K13" i="26"/>
  <c r="K83" i="26" s="1"/>
  <c r="T10" i="23"/>
  <c r="N40" i="18"/>
  <c r="K16" i="26"/>
  <c r="K86" i="26" s="1"/>
  <c r="T8" i="23"/>
  <c r="Q8" i="23"/>
  <c r="R46" i="23"/>
  <c r="K98" i="26" s="1"/>
  <c r="K224" i="26" s="1"/>
  <c r="K41" i="17"/>
  <c r="K217" i="26"/>
  <c r="K231" i="26" s="1"/>
  <c r="DX60" i="3" s="1"/>
  <c r="K37" i="21"/>
  <c r="K189" i="26"/>
  <c r="DX57" i="3" s="1"/>
  <c r="M36" i="20"/>
  <c r="J17" i="21"/>
  <c r="J41" i="16"/>
  <c r="L37" i="22"/>
  <c r="L37" i="21"/>
  <c r="L35" i="18"/>
  <c r="M36" i="19"/>
  <c r="N21" i="16"/>
  <c r="M21" i="16"/>
  <c r="N41" i="16"/>
  <c r="N36" i="16"/>
  <c r="K41" i="16"/>
  <c r="K18" i="20"/>
  <c r="C163" i="26"/>
  <c r="I18" i="17"/>
  <c r="C161" i="26"/>
  <c r="M18" i="16"/>
  <c r="G55" i="3"/>
  <c r="I59" i="2"/>
  <c r="L55" i="3"/>
  <c r="N59" i="2"/>
  <c r="K220" i="26"/>
  <c r="K192" i="26"/>
  <c r="EA57" i="3" s="1"/>
  <c r="L36" i="19"/>
  <c r="BP30" i="3"/>
  <c r="BP31" i="3" s="1"/>
  <c r="K36" i="19"/>
  <c r="M17" i="21"/>
  <c r="L19" i="22"/>
  <c r="M19" i="22"/>
  <c r="J36" i="20"/>
  <c r="M37" i="22"/>
  <c r="CF30" i="3"/>
  <c r="CF31" i="3" s="1"/>
  <c r="L36" i="20"/>
  <c r="J42" i="22"/>
  <c r="M18" i="19"/>
  <c r="K17" i="21"/>
  <c r="L42" i="21"/>
  <c r="K42" i="22"/>
  <c r="L21" i="19"/>
  <c r="N21" i="20"/>
  <c r="M27" i="16"/>
  <c r="I32" i="20"/>
  <c r="I36" i="20"/>
  <c r="K27" i="16"/>
  <c r="CF9" i="3"/>
  <c r="CF10" i="3" s="1"/>
  <c r="L21" i="20"/>
  <c r="L32" i="20"/>
  <c r="CF25" i="3"/>
  <c r="CF26" i="3" s="1"/>
  <c r="DY51" i="3"/>
  <c r="DY47" i="3"/>
  <c r="W85" i="14"/>
  <c r="W33" i="14"/>
  <c r="BP9" i="3"/>
  <c r="BP10" i="3" s="1"/>
  <c r="K21" i="19"/>
  <c r="I29" i="16"/>
  <c r="M32" i="20"/>
  <c r="CG25" i="3"/>
  <c r="CG26" i="3" s="1"/>
  <c r="M22" i="22"/>
  <c r="N32" i="19"/>
  <c r="BS25" i="3"/>
  <c r="BS26" i="3" s="1"/>
  <c r="I27" i="19"/>
  <c r="K50" i="26"/>
  <c r="W8" i="14"/>
  <c r="W137" i="14"/>
  <c r="I37" i="21"/>
  <c r="D24" i="26"/>
  <c r="N18" i="16"/>
  <c r="I37" i="22"/>
  <c r="J36" i="16"/>
  <c r="N35" i="18"/>
  <c r="BD30" i="3"/>
  <c r="BD31" i="3" s="1"/>
  <c r="K49" i="26"/>
  <c r="E24" i="26"/>
  <c r="N18" i="17"/>
  <c r="G24" i="26"/>
  <c r="N18" i="19"/>
  <c r="K188" i="26"/>
  <c r="DW57" i="3" s="1"/>
  <c r="K216" i="26"/>
  <c r="K174" i="26"/>
  <c r="DW56" i="3" s="1"/>
  <c r="I35" i="18"/>
  <c r="M43" i="18"/>
  <c r="BC39" i="3" s="1"/>
  <c r="BC9" i="3"/>
  <c r="BC10" i="3" s="1"/>
  <c r="M20" i="18"/>
  <c r="N36" i="17"/>
  <c r="AO30" i="3"/>
  <c r="AO31" i="3" s="1"/>
  <c r="L32" i="19"/>
  <c r="BQ25" i="3"/>
  <c r="BQ26" i="3" s="1"/>
  <c r="BN25" i="3"/>
  <c r="I36" i="19"/>
  <c r="BN30" i="3"/>
  <c r="N36" i="19"/>
  <c r="BS30" i="3"/>
  <c r="BS31" i="3" s="1"/>
  <c r="AL9" i="3"/>
  <c r="AL10" i="3" s="1"/>
  <c r="K21" i="17"/>
  <c r="CE47" i="3"/>
  <c r="CE51" i="3"/>
  <c r="N27" i="16"/>
  <c r="D22" i="26"/>
  <c r="L18" i="16"/>
  <c r="H22" i="26"/>
  <c r="L18" i="20"/>
  <c r="L43" i="18"/>
  <c r="BB39" i="3" s="1"/>
  <c r="K34" i="26"/>
  <c r="K76" i="26"/>
  <c r="N32" i="16"/>
  <c r="CT51" i="3"/>
  <c r="CT47" i="3"/>
  <c r="I27" i="20"/>
  <c r="CC19" i="3"/>
  <c r="CC25" i="3"/>
  <c r="J28" i="22"/>
  <c r="DH19" i="3"/>
  <c r="DH20" i="3" s="1"/>
  <c r="J27" i="16"/>
  <c r="I43" i="18"/>
  <c r="AY39" i="3" s="1"/>
  <c r="CV47" i="3"/>
  <c r="CV51" i="3"/>
  <c r="K27" i="19"/>
  <c r="BP19" i="3"/>
  <c r="BP20" i="3" s="1"/>
  <c r="I44" i="19"/>
  <c r="I41" i="19" s="1"/>
  <c r="I21" i="19"/>
  <c r="L22" i="22"/>
  <c r="I19" i="26"/>
  <c r="I17" i="21"/>
  <c r="AJ51" i="3"/>
  <c r="AJ47" i="3"/>
  <c r="N28" i="22"/>
  <c r="DL19" i="3"/>
  <c r="DL20" i="3" s="1"/>
  <c r="K32" i="19"/>
  <c r="BP25" i="3"/>
  <c r="BP26" i="3" s="1"/>
  <c r="D20" i="26"/>
  <c r="J18" i="16"/>
  <c r="G21" i="26"/>
  <c r="K18" i="19"/>
  <c r="N27" i="17"/>
  <c r="AO19" i="3"/>
  <c r="AO20" i="3" s="1"/>
  <c r="DJ47" i="3"/>
  <c r="DJ51" i="3"/>
  <c r="N41" i="19"/>
  <c r="L32" i="17"/>
  <c r="AM25" i="3"/>
  <c r="AM26" i="3" s="1"/>
  <c r="CD51" i="3"/>
  <c r="CD47" i="3"/>
  <c r="I20" i="18"/>
  <c r="I26" i="18"/>
  <c r="L21" i="16"/>
  <c r="M27" i="20"/>
  <c r="I32" i="19"/>
  <c r="AM30" i="3"/>
  <c r="AM31" i="3" s="1"/>
  <c r="L36" i="17"/>
  <c r="N37" i="22"/>
  <c r="DL30" i="3"/>
  <c r="DL31" i="3" s="1"/>
  <c r="J27" i="19"/>
  <c r="BO19" i="3"/>
  <c r="BO20" i="3" s="1"/>
  <c r="I33" i="21"/>
  <c r="CR25" i="3"/>
  <c r="CR26" i="3" s="1"/>
  <c r="CG51" i="3"/>
  <c r="CG47" i="3"/>
  <c r="BS9" i="3"/>
  <c r="BS10" i="3" s="1"/>
  <c r="N21" i="19"/>
  <c r="K190" i="26"/>
  <c r="DY57" i="3" s="1"/>
  <c r="K218" i="26"/>
  <c r="K176" i="26"/>
  <c r="DY56" i="3" s="1"/>
  <c r="AK9" i="3"/>
  <c r="AK10" i="3" s="1"/>
  <c r="J21" i="17"/>
  <c r="H24" i="26"/>
  <c r="N18" i="20"/>
  <c r="E22" i="26"/>
  <c r="L18" i="17"/>
  <c r="K31" i="18"/>
  <c r="L32" i="16"/>
  <c r="J31" i="18"/>
  <c r="M32" i="16"/>
  <c r="M32" i="17"/>
  <c r="AN25" i="3"/>
  <c r="AN26" i="3" s="1"/>
  <c r="K11" i="26"/>
  <c r="K81" i="26" s="1"/>
  <c r="W9" i="23"/>
  <c r="K18" i="26" s="1"/>
  <c r="O46" i="23"/>
  <c r="O8" i="23"/>
  <c r="O10" i="23"/>
  <c r="DK51" i="3"/>
  <c r="DK47" i="3"/>
  <c r="H20" i="26"/>
  <c r="J18" i="20"/>
  <c r="I31" i="18"/>
  <c r="W111" i="14"/>
  <c r="BQ47" i="3"/>
  <c r="BQ51" i="3"/>
  <c r="E20" i="26"/>
  <c r="J18" i="17"/>
  <c r="J21" i="26"/>
  <c r="K19" i="22"/>
  <c r="L28" i="22"/>
  <c r="DJ19" i="3"/>
  <c r="DJ20" i="3" s="1"/>
  <c r="N27" i="19"/>
  <c r="BS19" i="3"/>
  <c r="BS20" i="3" s="1"/>
  <c r="K226" i="26"/>
  <c r="K198" i="26"/>
  <c r="EG57" i="3" s="1"/>
  <c r="K184" i="26"/>
  <c r="EG56" i="3" s="1"/>
  <c r="DH30" i="3"/>
  <c r="DH31" i="3" s="1"/>
  <c r="J37" i="22"/>
  <c r="I32" i="17"/>
  <c r="BO51" i="3"/>
  <c r="BO47" i="3"/>
  <c r="F20" i="26"/>
  <c r="J17" i="18"/>
  <c r="DG25" i="3"/>
  <c r="J43" i="18"/>
  <c r="AZ9" i="3"/>
  <c r="AZ10" i="3" s="1"/>
  <c r="J20" i="18"/>
  <c r="AK30" i="3"/>
  <c r="AK31" i="3" s="1"/>
  <c r="J36" i="17"/>
  <c r="J24" i="26"/>
  <c r="N19" i="22"/>
  <c r="Y51" i="3"/>
  <c r="Y47" i="3"/>
  <c r="N32" i="20"/>
  <c r="CH25" i="3"/>
  <c r="CH26" i="3" s="1"/>
  <c r="BB47" i="3"/>
  <c r="BB51" i="3"/>
  <c r="J33" i="22"/>
  <c r="DH25" i="3"/>
  <c r="DH26" i="3" s="1"/>
  <c r="DI9" i="3"/>
  <c r="DI10" i="3" s="1"/>
  <c r="K22" i="22"/>
  <c r="L31" i="18"/>
  <c r="H23" i="26"/>
  <c r="M18" i="20"/>
  <c r="K32" i="16"/>
  <c r="N33" i="22"/>
  <c r="DL25" i="3"/>
  <c r="DL26" i="3" s="1"/>
  <c r="BR47" i="3"/>
  <c r="BR51" i="3"/>
  <c r="K27" i="17"/>
  <c r="AL19" i="3"/>
  <c r="AL20" i="3" s="1"/>
  <c r="G22" i="26"/>
  <c r="L18" i="19"/>
  <c r="G34" i="26"/>
  <c r="K32" i="17"/>
  <c r="AL25" i="3"/>
  <c r="AL26" i="3" s="1"/>
  <c r="F21" i="26"/>
  <c r="K17" i="18"/>
  <c r="L36" i="16"/>
  <c r="AM9" i="3"/>
  <c r="AM10" i="3" s="1"/>
  <c r="L21" i="17"/>
  <c r="J32" i="17"/>
  <c r="K36" i="16"/>
  <c r="J32" i="20"/>
  <c r="CD25" i="3"/>
  <c r="CD26" i="3" s="1"/>
  <c r="I27" i="17"/>
  <c r="S10" i="12"/>
  <c r="S6" i="12"/>
  <c r="S5" i="12"/>
  <c r="S13" i="12"/>
  <c r="S12" i="12"/>
  <c r="S4" i="12"/>
  <c r="S11" i="12"/>
  <c r="S7" i="12"/>
  <c r="S9" i="12"/>
  <c r="E23" i="26"/>
  <c r="M18" i="17"/>
  <c r="K21" i="16"/>
  <c r="W59" i="14"/>
  <c r="L27" i="19"/>
  <c r="BQ19" i="3"/>
  <c r="BQ20" i="3" s="1"/>
  <c r="M31" i="18"/>
  <c r="BC25" i="3"/>
  <c r="BC26" i="3" s="1"/>
  <c r="Z47" i="3"/>
  <c r="Z51" i="3"/>
  <c r="N20" i="18"/>
  <c r="F19" i="26"/>
  <c r="I17" i="18"/>
  <c r="I22" i="26"/>
  <c r="L17" i="21"/>
  <c r="AN9" i="3"/>
  <c r="AN10" i="3" s="1"/>
  <c r="M21" i="17"/>
  <c r="I45" i="22"/>
  <c r="I42" i="22" s="1"/>
  <c r="I22" i="22"/>
  <c r="J19" i="26"/>
  <c r="I19" i="22"/>
  <c r="K219" i="26"/>
  <c r="K177" i="26"/>
  <c r="DZ56" i="3" s="1"/>
  <c r="K191" i="26"/>
  <c r="DZ57" i="3" s="1"/>
  <c r="J20" i="26"/>
  <c r="J19" i="22"/>
  <c r="V9" i="23"/>
  <c r="K17" i="26" s="1"/>
  <c r="K28" i="22"/>
  <c r="DI19" i="3"/>
  <c r="DI20" i="3" s="1"/>
  <c r="L27" i="16"/>
  <c r="CS47" i="3"/>
  <c r="CS51" i="3"/>
  <c r="I44" i="20"/>
  <c r="I41" i="20" s="1"/>
  <c r="I21" i="20"/>
  <c r="CC9" i="3"/>
  <c r="M28" i="22"/>
  <c r="DK19" i="3"/>
  <c r="DK20" i="3" s="1"/>
  <c r="L27" i="17"/>
  <c r="AM19" i="3"/>
  <c r="AM20" i="3" s="1"/>
  <c r="H19" i="26"/>
  <c r="I18" i="20"/>
  <c r="F22" i="26"/>
  <c r="L17" i="18"/>
  <c r="K33" i="22"/>
  <c r="DI25" i="3"/>
  <c r="DI26" i="3" s="1"/>
  <c r="J27" i="17"/>
  <c r="AK19" i="3"/>
  <c r="AK20" i="3" s="1"/>
  <c r="F24" i="26"/>
  <c r="N17" i="18"/>
  <c r="J21" i="16"/>
  <c r="DI30" i="3"/>
  <c r="DI31" i="3" s="1"/>
  <c r="K37" i="22"/>
  <c r="N31" i="18"/>
  <c r="BD25" i="3"/>
  <c r="BD26" i="3" s="1"/>
  <c r="K43" i="18"/>
  <c r="BA39" i="3" s="1"/>
  <c r="BA9" i="3"/>
  <c r="BA10" i="3" s="1"/>
  <c r="K20" i="18"/>
  <c r="AL30" i="3"/>
  <c r="AL31" i="3" s="1"/>
  <c r="K36" i="17"/>
  <c r="BP36" i="3"/>
  <c r="BP37" i="3" s="1"/>
  <c r="K41" i="19"/>
  <c r="I28" i="22"/>
  <c r="I33" i="22"/>
  <c r="K79" i="26"/>
  <c r="K187" i="26"/>
  <c r="DV57" i="3" s="1"/>
  <c r="K215" i="26"/>
  <c r="K173" i="26"/>
  <c r="DV56" i="3" s="1"/>
  <c r="D21" i="26"/>
  <c r="K18" i="16"/>
  <c r="M21" i="20"/>
  <c r="L26" i="18"/>
  <c r="N36" i="20"/>
  <c r="CH30" i="3"/>
  <c r="CH31" i="3" s="1"/>
  <c r="AO25" i="3"/>
  <c r="AO26" i="3" s="1"/>
  <c r="AO9" i="3"/>
  <c r="AO10" i="3" s="1"/>
  <c r="N21" i="17"/>
  <c r="F23" i="26"/>
  <c r="M17" i="18"/>
  <c r="DH9" i="3"/>
  <c r="DH10" i="3" s="1"/>
  <c r="J22" i="22"/>
  <c r="AN30" i="3"/>
  <c r="AN31" i="3" s="1"/>
  <c r="M36" i="17"/>
  <c r="J32" i="16"/>
  <c r="V25" i="3"/>
  <c r="V26" i="3" s="1"/>
  <c r="G19" i="26"/>
  <c r="I18" i="19"/>
  <c r="I45" i="21"/>
  <c r="CR39" i="3" s="1"/>
  <c r="M27" i="19"/>
  <c r="BR19" i="3"/>
  <c r="BR20" i="3" s="1"/>
  <c r="DX51" i="3"/>
  <c r="DX47" i="3"/>
  <c r="J21" i="20"/>
  <c r="E21" i="26"/>
  <c r="K18" i="17"/>
  <c r="M27" i="17"/>
  <c r="AN19" i="3"/>
  <c r="AN20" i="3" s="1"/>
  <c r="N32" i="17" l="1"/>
  <c r="N46" i="17" s="1"/>
  <c r="E94" i="26" s="1"/>
  <c r="N20" i="16"/>
  <c r="M46" i="16"/>
  <c r="J20" i="16"/>
  <c r="L46" i="16"/>
  <c r="K46" i="16"/>
  <c r="N46" i="16"/>
  <c r="D94" i="26" s="1"/>
  <c r="D178" i="26" s="1"/>
  <c r="Z56" i="3" s="1"/>
  <c r="J46" i="16"/>
  <c r="M20" i="16"/>
  <c r="L20" i="16"/>
  <c r="X7" i="3" s="1"/>
  <c r="K20" i="16"/>
  <c r="W7" i="3" s="1"/>
  <c r="J29" i="2"/>
  <c r="I35" i="2"/>
  <c r="I34" i="2" s="1"/>
  <c r="I20" i="2"/>
  <c r="J35" i="2"/>
  <c r="J34" i="2" s="1"/>
  <c r="J3" i="12"/>
  <c r="L35" i="2"/>
  <c r="L34" i="2" s="1"/>
  <c r="I29" i="2"/>
  <c r="K35" i="2"/>
  <c r="K34" i="2" s="1"/>
  <c r="M35" i="2"/>
  <c r="DW8" i="3"/>
  <c r="EE20" i="3"/>
  <c r="EF8" i="3"/>
  <c r="DW26" i="3"/>
  <c r="EF20" i="3"/>
  <c r="DX6" i="3"/>
  <c r="EF5" i="3"/>
  <c r="EF6" i="3" s="1"/>
  <c r="EE8" i="3"/>
  <c r="DY41" i="3"/>
  <c r="DY42" i="3" s="1"/>
  <c r="EE10" i="3"/>
  <c r="DW20" i="3"/>
  <c r="DW37" i="3"/>
  <c r="K75" i="26"/>
  <c r="EA6" i="3"/>
  <c r="DW5" i="3"/>
  <c r="DW41" i="3" s="1"/>
  <c r="DW42" i="3" s="1"/>
  <c r="EF31" i="3"/>
  <c r="J29" i="12"/>
  <c r="EF10" i="3"/>
  <c r="EF26" i="3"/>
  <c r="DW10" i="3"/>
  <c r="EE31" i="3"/>
  <c r="EE5" i="3"/>
  <c r="EE41" i="3" s="1"/>
  <c r="EE42" i="3" s="1"/>
  <c r="EE26" i="3"/>
  <c r="EB3" i="3"/>
  <c r="EB10" i="3" s="1"/>
  <c r="R30" i="12"/>
  <c r="R28" i="12" s="1"/>
  <c r="ED3" i="3"/>
  <c r="ED31" i="3" s="1"/>
  <c r="T30" i="12"/>
  <c r="T28" i="12" s="1"/>
  <c r="EC3" i="3"/>
  <c r="EC26" i="3" s="1"/>
  <c r="S30" i="12"/>
  <c r="S28" i="12" s="1"/>
  <c r="EG3" i="3"/>
  <c r="EG10" i="3" s="1"/>
  <c r="W30" i="12"/>
  <c r="W28" i="12" s="1"/>
  <c r="DZ6" i="3"/>
  <c r="DZ41" i="3"/>
  <c r="DZ42" i="3" s="1"/>
  <c r="DV3" i="3"/>
  <c r="DV8" i="3" s="1"/>
  <c r="L30" i="12"/>
  <c r="L28" i="12" s="1"/>
  <c r="K20" i="2"/>
  <c r="J20" i="2"/>
  <c r="L20" i="2"/>
  <c r="BN31" i="3"/>
  <c r="CC26" i="3"/>
  <c r="R10" i="25"/>
  <c r="S19" i="25"/>
  <c r="Q10" i="25"/>
  <c r="R19" i="25"/>
  <c r="CS35" i="3"/>
  <c r="G35" i="3" s="1"/>
  <c r="I38" i="2"/>
  <c r="CV35" i="3"/>
  <c r="J35" i="3" s="1"/>
  <c r="L42" i="2"/>
  <c r="L38" i="2" s="1"/>
  <c r="CU35" i="3"/>
  <c r="I35" i="3" s="1"/>
  <c r="K42" i="2"/>
  <c r="K38" i="2" s="1"/>
  <c r="CT35" i="3"/>
  <c r="H35" i="3" s="1"/>
  <c r="J42" i="2"/>
  <c r="J38" i="2" s="1"/>
  <c r="W10" i="12"/>
  <c r="T12" i="21" s="1"/>
  <c r="W6" i="12"/>
  <c r="W13" i="12"/>
  <c r="T13" i="19" s="1"/>
  <c r="W5" i="12"/>
  <c r="T13" i="16" s="1"/>
  <c r="W12" i="12"/>
  <c r="T12" i="18" s="1"/>
  <c r="W9" i="12"/>
  <c r="W4" i="12"/>
  <c r="W11" i="12"/>
  <c r="T13" i="20" s="1"/>
  <c r="W7" i="12"/>
  <c r="T14" i="22" s="1"/>
  <c r="T10" i="25"/>
  <c r="V9" i="12"/>
  <c r="V5" i="12"/>
  <c r="S13" i="16" s="1"/>
  <c r="V10" i="12"/>
  <c r="S12" i="21" s="1"/>
  <c r="V4" i="12"/>
  <c r="V13" i="12"/>
  <c r="S13" i="19" s="1"/>
  <c r="V11" i="12"/>
  <c r="S13" i="20" s="1"/>
  <c r="V6" i="12"/>
  <c r="V12" i="12"/>
  <c r="S12" i="18" s="1"/>
  <c r="V7" i="12"/>
  <c r="S14" i="22" s="1"/>
  <c r="S10" i="25"/>
  <c r="U6" i="12"/>
  <c r="U5" i="12"/>
  <c r="R13" i="16" s="1"/>
  <c r="U4" i="12"/>
  <c r="U12" i="12"/>
  <c r="R12" i="18" s="1"/>
  <c r="U10" i="12"/>
  <c r="R12" i="21" s="1"/>
  <c r="U13" i="12"/>
  <c r="R13" i="19" s="1"/>
  <c r="U7" i="12"/>
  <c r="R14" i="22" s="1"/>
  <c r="U9" i="12"/>
  <c r="U11" i="12"/>
  <c r="R13" i="20" s="1"/>
  <c r="T11" i="12"/>
  <c r="Q13" i="20" s="1"/>
  <c r="T4" i="12"/>
  <c r="T7" i="12"/>
  <c r="Q14" i="22" s="1"/>
  <c r="T12" i="12"/>
  <c r="Q12" i="18" s="1"/>
  <c r="T6" i="12"/>
  <c r="T9" i="12"/>
  <c r="T5" i="12"/>
  <c r="Q13" i="16" s="1"/>
  <c r="T10" i="12"/>
  <c r="Q12" i="21" s="1"/>
  <c r="T13" i="12"/>
  <c r="Q13" i="19" s="1"/>
  <c r="R10" i="12"/>
  <c r="O12" i="21" s="1"/>
  <c r="R6" i="12"/>
  <c r="R5" i="12"/>
  <c r="O13" i="16" s="1"/>
  <c r="R12" i="12"/>
  <c r="O12" i="18" s="1"/>
  <c r="R4" i="12"/>
  <c r="R11" i="12"/>
  <c r="O13" i="20" s="1"/>
  <c r="R7" i="12"/>
  <c r="O14" i="22" s="1"/>
  <c r="R9" i="12"/>
  <c r="R13" i="12"/>
  <c r="O13" i="19" s="1"/>
  <c r="T17" i="25"/>
  <c r="S15" i="2" s="1"/>
  <c r="O10" i="25"/>
  <c r="S17" i="25"/>
  <c r="R15" i="2" s="1"/>
  <c r="W9" i="25"/>
  <c r="W10" i="25" s="1"/>
  <c r="R17" i="25"/>
  <c r="Q15" i="2" s="1"/>
  <c r="N10" i="25"/>
  <c r="V9" i="25"/>
  <c r="V10" i="25" s="1"/>
  <c r="T18" i="25"/>
  <c r="Q17" i="25"/>
  <c r="P15" i="2" s="1"/>
  <c r="P17" i="25"/>
  <c r="O15" i="2" s="1"/>
  <c r="O17" i="25"/>
  <c r="Q6" i="12"/>
  <c r="Q7" i="12"/>
  <c r="N14" i="22" s="1"/>
  <c r="Q9" i="12"/>
  <c r="Q13" i="12"/>
  <c r="N13" i="19" s="1"/>
  <c r="Q12" i="12"/>
  <c r="N12" i="18" s="1"/>
  <c r="Q10" i="12"/>
  <c r="Q4" i="12"/>
  <c r="Q5" i="12"/>
  <c r="N13" i="16" s="1"/>
  <c r="Q11" i="12"/>
  <c r="N13" i="20" s="1"/>
  <c r="CC20" i="3"/>
  <c r="BN26" i="3"/>
  <c r="CC10" i="3"/>
  <c r="DG26" i="3"/>
  <c r="L32" i="12"/>
  <c r="K87" i="26"/>
  <c r="M29" i="2"/>
  <c r="Z30" i="3"/>
  <c r="Z31" i="3" s="1"/>
  <c r="Z9" i="3"/>
  <c r="Z10" i="3" s="1"/>
  <c r="L29" i="2"/>
  <c r="L45" i="2"/>
  <c r="L43" i="2" s="1"/>
  <c r="K29" i="2"/>
  <c r="K45" i="2"/>
  <c r="K43" i="2" s="1"/>
  <c r="J45" i="2"/>
  <c r="J43" i="2" s="1"/>
  <c r="W9" i="3"/>
  <c r="W10" i="3" s="1"/>
  <c r="K46" i="20"/>
  <c r="H91" i="26" s="1"/>
  <c r="H189" i="26" s="1"/>
  <c r="CE57" i="3" s="1"/>
  <c r="AZ39" i="3"/>
  <c r="I45" i="2"/>
  <c r="I43" i="2" s="1"/>
  <c r="U22" i="3"/>
  <c r="F22" i="3" s="1"/>
  <c r="H31" i="2"/>
  <c r="J46" i="19"/>
  <c r="G90" i="26" s="1"/>
  <c r="G216" i="26" s="1"/>
  <c r="DG39" i="3"/>
  <c r="DG36" i="3" s="1"/>
  <c r="DG37" i="3" s="1"/>
  <c r="CC39" i="3"/>
  <c r="CC36" i="3" s="1"/>
  <c r="CC37" i="3" s="1"/>
  <c r="BN39" i="3"/>
  <c r="BN36" i="3" s="1"/>
  <c r="BN37" i="3" s="1"/>
  <c r="J19" i="21"/>
  <c r="CS7" i="3" s="1"/>
  <c r="CS8" i="3" s="1"/>
  <c r="I42" i="21"/>
  <c r="I19" i="21" s="1"/>
  <c r="CR7" i="3" s="1"/>
  <c r="CR8" i="3" s="1"/>
  <c r="CR36" i="3"/>
  <c r="CR37" i="3" s="1"/>
  <c r="W25" i="3"/>
  <c r="W26" i="3" s="1"/>
  <c r="Y25" i="3"/>
  <c r="Y26" i="3" s="1"/>
  <c r="I40" i="18"/>
  <c r="I19" i="18" s="1"/>
  <c r="AY7" i="3" s="1"/>
  <c r="AY8" i="3" s="1"/>
  <c r="AY36" i="3"/>
  <c r="AY37" i="3" s="1"/>
  <c r="Z25" i="3"/>
  <c r="Z26" i="3" s="1"/>
  <c r="W19" i="3"/>
  <c r="W20" i="3" s="1"/>
  <c r="DG6" i="3"/>
  <c r="DG30" i="3"/>
  <c r="DG31" i="3" s="1"/>
  <c r="DG19" i="3"/>
  <c r="DG20" i="3" s="1"/>
  <c r="DG9" i="3"/>
  <c r="DG10" i="3" s="1"/>
  <c r="CT6" i="3"/>
  <c r="CS6" i="3"/>
  <c r="CR6" i="3"/>
  <c r="CV6" i="3"/>
  <c r="I40" i="3"/>
  <c r="CR30" i="3"/>
  <c r="CR31" i="3" s="1"/>
  <c r="CT9" i="3"/>
  <c r="CT10" i="3" s="1"/>
  <c r="CV9" i="3"/>
  <c r="CV10" i="3" s="1"/>
  <c r="CR9" i="3"/>
  <c r="CR10" i="3" s="1"/>
  <c r="CE41" i="3"/>
  <c r="CE42" i="3" s="1"/>
  <c r="CC6" i="3"/>
  <c r="CC30" i="3"/>
  <c r="CC31" i="3" s="1"/>
  <c r="BN6" i="3"/>
  <c r="BN19" i="3"/>
  <c r="BN20" i="3" s="1"/>
  <c r="BN9" i="3"/>
  <c r="BN10" i="3" s="1"/>
  <c r="AY6" i="3"/>
  <c r="M40" i="18"/>
  <c r="M19" i="18" s="1"/>
  <c r="BC7" i="3" s="1"/>
  <c r="BC36" i="3"/>
  <c r="BC37" i="3" s="1"/>
  <c r="L40" i="18"/>
  <c r="L19" i="18" s="1"/>
  <c r="BB7" i="3" s="1"/>
  <c r="J40" i="18"/>
  <c r="J19" i="18" s="1"/>
  <c r="AZ7" i="3" s="1"/>
  <c r="K40" i="18"/>
  <c r="K45" i="18" s="1"/>
  <c r="AY30" i="3"/>
  <c r="AY31" i="3" s="1"/>
  <c r="G27" i="3"/>
  <c r="AZ25" i="3"/>
  <c r="AZ26" i="3" s="1"/>
  <c r="H27" i="3"/>
  <c r="BA25" i="3"/>
  <c r="BA26" i="3" s="1"/>
  <c r="AY25" i="3"/>
  <c r="AY26" i="3" s="1"/>
  <c r="I27" i="3"/>
  <c r="BB25" i="3"/>
  <c r="BB26" i="3" s="1"/>
  <c r="BB19" i="3"/>
  <c r="BB20" i="3" s="1"/>
  <c r="AY19" i="3"/>
  <c r="AY20" i="3" s="1"/>
  <c r="AY9" i="3"/>
  <c r="AY10" i="3" s="1"/>
  <c r="Y36" i="3"/>
  <c r="Y37" i="3" s="1"/>
  <c r="Y9" i="3"/>
  <c r="Y10" i="3" s="1"/>
  <c r="Z19" i="3"/>
  <c r="Z20" i="3" s="1"/>
  <c r="Y19" i="3"/>
  <c r="Y20" i="3" s="1"/>
  <c r="H21" i="3"/>
  <c r="H40" i="3"/>
  <c r="J32" i="3"/>
  <c r="H32" i="3"/>
  <c r="I28" i="3"/>
  <c r="G32" i="3"/>
  <c r="J21" i="3"/>
  <c r="G28" i="3"/>
  <c r="K12" i="3"/>
  <c r="K28" i="3"/>
  <c r="I16" i="3"/>
  <c r="H28" i="3"/>
  <c r="K21" i="3"/>
  <c r="J28" i="3"/>
  <c r="G21" i="3"/>
  <c r="J12" i="3"/>
  <c r="I12" i="3"/>
  <c r="G12" i="3"/>
  <c r="I21" i="3"/>
  <c r="H12" i="3"/>
  <c r="G40" i="3"/>
  <c r="I32" i="3"/>
  <c r="K44" i="26"/>
  <c r="K58" i="26" s="1"/>
  <c r="K88" i="26"/>
  <c r="M19" i="21"/>
  <c r="CV7" i="3" s="1"/>
  <c r="CV8" i="3" s="1"/>
  <c r="H63" i="26"/>
  <c r="H77" i="26" s="1"/>
  <c r="M17" i="2"/>
  <c r="M14" i="2" s="1"/>
  <c r="M16" i="25"/>
  <c r="L17" i="2"/>
  <c r="L14" i="2" s="1"/>
  <c r="L16" i="25"/>
  <c r="K17" i="2"/>
  <c r="N16" i="25"/>
  <c r="K183" i="26"/>
  <c r="EF56" i="3" s="1"/>
  <c r="K225" i="26"/>
  <c r="K239" i="26" s="1"/>
  <c r="EF60" i="3" s="1"/>
  <c r="K55" i="3"/>
  <c r="M59" i="2"/>
  <c r="S55" i="3"/>
  <c r="W10" i="23"/>
  <c r="K43" i="26"/>
  <c r="K57" i="26" s="1"/>
  <c r="C162" i="26"/>
  <c r="W8" i="23"/>
  <c r="EI3" i="3" s="1"/>
  <c r="K236" i="26"/>
  <c r="EC60" i="3" s="1"/>
  <c r="K223" i="26"/>
  <c r="K237" i="26" s="1"/>
  <c r="ED60" i="3" s="1"/>
  <c r="K180" i="26"/>
  <c r="EC56" i="3" s="1"/>
  <c r="K41" i="26"/>
  <c r="K55" i="26" s="1"/>
  <c r="K238" i="26"/>
  <c r="EE60" i="3" s="1"/>
  <c r="DX59" i="3"/>
  <c r="K42" i="26"/>
  <c r="K181" i="26"/>
  <c r="ED56" i="3" s="1"/>
  <c r="K194" i="26"/>
  <c r="EC57" i="3" s="1"/>
  <c r="K40" i="26"/>
  <c r="EE59" i="3"/>
  <c r="V46" i="23"/>
  <c r="K101" i="26" s="1"/>
  <c r="K199" i="26" s="1"/>
  <c r="EH57" i="3" s="1"/>
  <c r="K196" i="26"/>
  <c r="EE57" i="3" s="1"/>
  <c r="K182" i="26"/>
  <c r="EE56" i="3" s="1"/>
  <c r="K19" i="21"/>
  <c r="CT7" i="3" s="1"/>
  <c r="CT8" i="3" s="1"/>
  <c r="M46" i="19"/>
  <c r="G93" i="26" s="1"/>
  <c r="I48" i="26"/>
  <c r="H55" i="3"/>
  <c r="J59" i="2"/>
  <c r="J55" i="3"/>
  <c r="L59" i="2"/>
  <c r="K234" i="26"/>
  <c r="EA60" i="3" s="1"/>
  <c r="EA59" i="3"/>
  <c r="L19" i="21"/>
  <c r="CU7" i="3" s="1"/>
  <c r="H49" i="26"/>
  <c r="Y7" i="3"/>
  <c r="L46" i="20"/>
  <c r="H92" i="26" s="1"/>
  <c r="J51" i="26"/>
  <c r="J20" i="19"/>
  <c r="BO7" i="3" s="1"/>
  <c r="M20" i="20"/>
  <c r="CG7" i="3" s="1"/>
  <c r="N20" i="17"/>
  <c r="AO7" i="3" s="1"/>
  <c r="V8" i="23"/>
  <c r="EH3" i="3" s="1"/>
  <c r="J47" i="22"/>
  <c r="J90" i="26" s="1"/>
  <c r="J216" i="26" s="1"/>
  <c r="I33" i="26"/>
  <c r="I47" i="26" s="1"/>
  <c r="L46" i="19"/>
  <c r="G92" i="26" s="1"/>
  <c r="G190" i="26" s="1"/>
  <c r="BQ57" i="3" s="1"/>
  <c r="N45" i="18"/>
  <c r="K47" i="22"/>
  <c r="J91" i="26" s="1"/>
  <c r="J175" i="26" s="1"/>
  <c r="DI56" i="3" s="1"/>
  <c r="J20" i="20"/>
  <c r="CD7" i="3" s="1"/>
  <c r="N46" i="20"/>
  <c r="H94" i="26" s="1"/>
  <c r="H220" i="26" s="1"/>
  <c r="I46" i="17"/>
  <c r="E89" i="26" s="1"/>
  <c r="Z7" i="3"/>
  <c r="K46" i="17"/>
  <c r="E91" i="26" s="1"/>
  <c r="E189" i="26" s="1"/>
  <c r="AL57" i="3" s="1"/>
  <c r="N20" i="20"/>
  <c r="CH7" i="3" s="1"/>
  <c r="K46" i="19"/>
  <c r="G91" i="26" s="1"/>
  <c r="G175" i="26" s="1"/>
  <c r="BP56" i="3" s="1"/>
  <c r="N21" i="22"/>
  <c r="DL7" i="3" s="1"/>
  <c r="M20" i="19"/>
  <c r="BR7" i="3" s="1"/>
  <c r="N47" i="22"/>
  <c r="J94" i="26" s="1"/>
  <c r="J220" i="26" s="1"/>
  <c r="L20" i="17"/>
  <c r="AM7" i="3" s="1"/>
  <c r="D93" i="26"/>
  <c r="D219" i="26" s="1"/>
  <c r="H33" i="26"/>
  <c r="H47" i="26" s="1"/>
  <c r="L20" i="20"/>
  <c r="CF7" i="3" s="1"/>
  <c r="J46" i="17"/>
  <c r="E90" i="26" s="1"/>
  <c r="E216" i="26" s="1"/>
  <c r="N20" i="19"/>
  <c r="BS7" i="3" s="1"/>
  <c r="D92" i="26"/>
  <c r="D190" i="26" s="1"/>
  <c r="X57" i="3" s="1"/>
  <c r="N19" i="18"/>
  <c r="BD7" i="3" s="1"/>
  <c r="P13" i="19"/>
  <c r="D35" i="26"/>
  <c r="F37" i="26"/>
  <c r="J33" i="26"/>
  <c r="V7" i="3"/>
  <c r="K233" i="26"/>
  <c r="DZ60" i="3" s="1"/>
  <c r="DZ59" i="3"/>
  <c r="I21" i="22"/>
  <c r="DG7" i="3" s="1"/>
  <c r="DG8" i="3" s="1"/>
  <c r="I36" i="26"/>
  <c r="P13" i="16"/>
  <c r="M46" i="20"/>
  <c r="H93" i="26" s="1"/>
  <c r="F34" i="26"/>
  <c r="K95" i="26"/>
  <c r="W46" i="23"/>
  <c r="K102" i="26" s="1"/>
  <c r="L46" i="17"/>
  <c r="E92" i="26" s="1"/>
  <c r="E38" i="26"/>
  <c r="D38" i="26"/>
  <c r="K45" i="26"/>
  <c r="K46" i="26"/>
  <c r="G35" i="26"/>
  <c r="P14" i="22"/>
  <c r="P13" i="17"/>
  <c r="H37" i="26"/>
  <c r="BN47" i="3"/>
  <c r="BN51" i="3"/>
  <c r="K39" i="26"/>
  <c r="L20" i="19"/>
  <c r="BQ7" i="3" s="1"/>
  <c r="E36" i="26"/>
  <c r="D90" i="26"/>
  <c r="CR51" i="3"/>
  <c r="CR47" i="3"/>
  <c r="G33" i="26"/>
  <c r="H36" i="26"/>
  <c r="K230" i="26"/>
  <c r="DW60" i="3" s="1"/>
  <c r="DW59" i="3"/>
  <c r="J35" i="26"/>
  <c r="K232" i="26"/>
  <c r="DY60" i="3" s="1"/>
  <c r="DY59" i="3"/>
  <c r="J38" i="26"/>
  <c r="D34" i="26"/>
  <c r="I20" i="19"/>
  <c r="BN7" i="3" s="1"/>
  <c r="BN8" i="3" s="1"/>
  <c r="P13" i="20"/>
  <c r="P12" i="21"/>
  <c r="AY51" i="3"/>
  <c r="AY47" i="3"/>
  <c r="J21" i="22"/>
  <c r="DH7" i="3" s="1"/>
  <c r="V10" i="23"/>
  <c r="F38" i="26"/>
  <c r="F35" i="26"/>
  <c r="G48" i="26"/>
  <c r="H38" i="26"/>
  <c r="L21" i="22"/>
  <c r="DJ7" i="3" s="1"/>
  <c r="L47" i="22"/>
  <c r="J92" i="26" s="1"/>
  <c r="F33" i="26"/>
  <c r="N46" i="19"/>
  <c r="G94" i="26" s="1"/>
  <c r="I46" i="19"/>
  <c r="J34" i="26"/>
  <c r="M20" i="17"/>
  <c r="AN7" i="3" s="1"/>
  <c r="D91" i="26"/>
  <c r="M46" i="17"/>
  <c r="E93" i="26" s="1"/>
  <c r="P12" i="18"/>
  <c r="G36" i="26"/>
  <c r="K21" i="22"/>
  <c r="DI7" i="3" s="1"/>
  <c r="K240" i="26"/>
  <c r="EG60" i="3" s="1"/>
  <c r="EG59" i="3"/>
  <c r="E34" i="26"/>
  <c r="J46" i="20"/>
  <c r="H90" i="26" s="1"/>
  <c r="J20" i="17"/>
  <c r="AK7" i="3" s="1"/>
  <c r="D36" i="26"/>
  <c r="K229" i="26"/>
  <c r="DV60" i="3" s="1"/>
  <c r="DV59" i="3"/>
  <c r="E35" i="26"/>
  <c r="CC47" i="3"/>
  <c r="CC51" i="3"/>
  <c r="J50" i="26"/>
  <c r="I51" i="26"/>
  <c r="DW51" i="3"/>
  <c r="DW47" i="3"/>
  <c r="K20" i="17"/>
  <c r="AL7" i="3" s="1"/>
  <c r="G38" i="26"/>
  <c r="M21" i="22"/>
  <c r="DK7" i="3" s="1"/>
  <c r="M47" i="22"/>
  <c r="J93" i="26" s="1"/>
  <c r="K20" i="19"/>
  <c r="BP7" i="3" s="1"/>
  <c r="I47" i="22"/>
  <c r="F36" i="26"/>
  <c r="E37" i="26"/>
  <c r="EG51" i="3"/>
  <c r="H34" i="26"/>
  <c r="K48" i="26"/>
  <c r="DG51" i="3"/>
  <c r="DG47" i="3"/>
  <c r="I20" i="20"/>
  <c r="CC7" i="3" s="1"/>
  <c r="CC8" i="3" s="1"/>
  <c r="I46" i="20"/>
  <c r="I20" i="17"/>
  <c r="AJ7" i="3" s="1"/>
  <c r="I45" i="18" l="1"/>
  <c r="EB26" i="3"/>
  <c r="ED8" i="3"/>
  <c r="G188" i="26"/>
  <c r="BO57" i="3" s="1"/>
  <c r="G174" i="26"/>
  <c r="BO56" i="3" s="1"/>
  <c r="J45" i="18"/>
  <c r="F90" i="26" s="1"/>
  <c r="F188" i="26" s="1"/>
  <c r="AZ57" i="3" s="1"/>
  <c r="EB5" i="3"/>
  <c r="EB41" i="3" s="1"/>
  <c r="EB42" i="3" s="1"/>
  <c r="EE6" i="3"/>
  <c r="EF41" i="3"/>
  <c r="EF42" i="3" s="1"/>
  <c r="DW6" i="3"/>
  <c r="J5" i="12"/>
  <c r="W10" i="14" s="1"/>
  <c r="J11" i="12"/>
  <c r="W140" i="14" s="1"/>
  <c r="ED26" i="3"/>
  <c r="EC5" i="3"/>
  <c r="EC6" i="3" s="1"/>
  <c r="ED37" i="3"/>
  <c r="EG5" i="3"/>
  <c r="EG6" i="3" s="1"/>
  <c r="M45" i="18"/>
  <c r="F93" i="26" s="1"/>
  <c r="F191" i="26" s="1"/>
  <c r="BC57" i="3" s="1"/>
  <c r="ED10" i="3"/>
  <c r="EG26" i="3"/>
  <c r="EG47" i="3"/>
  <c r="EG20" i="3"/>
  <c r="EC20" i="3"/>
  <c r="EC47" i="3"/>
  <c r="EG8" i="3"/>
  <c r="EG37" i="3"/>
  <c r="ED5" i="3"/>
  <c r="ED41" i="3" s="1"/>
  <c r="ED42" i="3" s="1"/>
  <c r="EB37" i="3"/>
  <c r="EC8" i="3"/>
  <c r="ED20" i="3"/>
  <c r="EC10" i="3"/>
  <c r="EC31" i="3"/>
  <c r="EC37" i="3"/>
  <c r="J7" i="12"/>
  <c r="W91" i="14" s="1"/>
  <c r="EB20" i="3"/>
  <c r="EG31" i="3"/>
  <c r="N13" i="17"/>
  <c r="S13" i="17"/>
  <c r="Q13" i="17"/>
  <c r="T13" i="17"/>
  <c r="R13" i="17"/>
  <c r="O13" i="17"/>
  <c r="EB31" i="3"/>
  <c r="EB8" i="3"/>
  <c r="J28" i="12"/>
  <c r="K19" i="18"/>
  <c r="BA7" i="3" s="1"/>
  <c r="BA8" i="3" s="1"/>
  <c r="DV5" i="3"/>
  <c r="DV6" i="3" s="1"/>
  <c r="DV20" i="3"/>
  <c r="DV37" i="3"/>
  <c r="DV47" i="3"/>
  <c r="DV51" i="3"/>
  <c r="DV31" i="3"/>
  <c r="DV26" i="3"/>
  <c r="DV10" i="3"/>
  <c r="N12" i="21"/>
  <c r="H175" i="26"/>
  <c r="CE56" i="3" s="1"/>
  <c r="L45" i="18"/>
  <c r="F92" i="26" s="1"/>
  <c r="F190" i="26" s="1"/>
  <c r="BB57" i="3" s="1"/>
  <c r="J6" i="12"/>
  <c r="W39" i="14" s="1"/>
  <c r="J13" i="12"/>
  <c r="W122" i="14" s="1"/>
  <c r="H217" i="26"/>
  <c r="J12" i="12"/>
  <c r="W72" i="14" s="1"/>
  <c r="J10" i="12"/>
  <c r="W183" i="14" s="1"/>
  <c r="CV30" i="3"/>
  <c r="CV31" i="3" s="1"/>
  <c r="CU30" i="3"/>
  <c r="CU31" i="3" s="1"/>
  <c r="CT30" i="3"/>
  <c r="CT31" i="3" s="1"/>
  <c r="CS30" i="3"/>
  <c r="CS31" i="3" s="1"/>
  <c r="J47" i="21"/>
  <c r="I90" i="26" s="1"/>
  <c r="I216" i="26" s="1"/>
  <c r="J4" i="12"/>
  <c r="J9" i="12"/>
  <c r="S16" i="2"/>
  <c r="V18" i="25"/>
  <c r="W18" i="25"/>
  <c r="N15" i="2"/>
  <c r="W17" i="25"/>
  <c r="V17" i="25"/>
  <c r="EF59" i="3"/>
  <c r="I62" i="26"/>
  <c r="L18" i="2"/>
  <c r="K18" i="2"/>
  <c r="J18" i="2"/>
  <c r="I18" i="2"/>
  <c r="M47" i="21"/>
  <c r="I93" i="26" s="1"/>
  <c r="I177" i="26" s="1"/>
  <c r="CV56" i="3" s="1"/>
  <c r="I65" i="26"/>
  <c r="CS41" i="3"/>
  <c r="CS42" i="3" s="1"/>
  <c r="EB6" i="3"/>
  <c r="EI31" i="3"/>
  <c r="EI37" i="3"/>
  <c r="EH31" i="3"/>
  <c r="EH37" i="3"/>
  <c r="EI20" i="3"/>
  <c r="EI26" i="3"/>
  <c r="EH20" i="3"/>
  <c r="EH26" i="3"/>
  <c r="EI5" i="3"/>
  <c r="EI10" i="3"/>
  <c r="EI8" i="3"/>
  <c r="EH5" i="3"/>
  <c r="EH10" i="3"/>
  <c r="EH8" i="3"/>
  <c r="DI8" i="3"/>
  <c r="DI41" i="3"/>
  <c r="DI42" i="3" s="1"/>
  <c r="DK8" i="3"/>
  <c r="DK41" i="3"/>
  <c r="DK42" i="3" s="1"/>
  <c r="DH8" i="3"/>
  <c r="DH41" i="3"/>
  <c r="DH42" i="3" s="1"/>
  <c r="DL8" i="3"/>
  <c r="DL41" i="3"/>
  <c r="DL42" i="3" s="1"/>
  <c r="DJ8" i="3"/>
  <c r="DJ41" i="3"/>
  <c r="DJ42" i="3" s="1"/>
  <c r="DG41" i="3"/>
  <c r="DG42" i="3" s="1"/>
  <c r="CV41" i="3"/>
  <c r="CV42" i="3" s="1"/>
  <c r="CU8" i="3"/>
  <c r="CU41" i="3"/>
  <c r="CU42" i="3" s="1"/>
  <c r="CR41" i="3"/>
  <c r="CR42" i="3" s="1"/>
  <c r="CT41" i="3"/>
  <c r="CT42" i="3" s="1"/>
  <c r="CD8" i="3"/>
  <c r="CD41" i="3"/>
  <c r="CD42" i="3" s="1"/>
  <c r="CF8" i="3"/>
  <c r="CF41" i="3"/>
  <c r="CF42" i="3" s="1"/>
  <c r="CG8" i="3"/>
  <c r="CG41" i="3"/>
  <c r="CG42" i="3" s="1"/>
  <c r="CH8" i="3"/>
  <c r="CH41" i="3"/>
  <c r="CH42" i="3" s="1"/>
  <c r="CC41" i="3"/>
  <c r="CC42" i="3" s="1"/>
  <c r="BQ8" i="3"/>
  <c r="BQ41" i="3"/>
  <c r="BQ42" i="3" s="1"/>
  <c r="BR8" i="3"/>
  <c r="BR41" i="3"/>
  <c r="BR42" i="3" s="1"/>
  <c r="BS8" i="3"/>
  <c r="BS41" i="3"/>
  <c r="BS42" i="3" s="1"/>
  <c r="BP8" i="3"/>
  <c r="BP41" i="3"/>
  <c r="BP42" i="3" s="1"/>
  <c r="BO8" i="3"/>
  <c r="BO41" i="3"/>
  <c r="BO42" i="3" s="1"/>
  <c r="BN41" i="3"/>
  <c r="BN42" i="3" s="1"/>
  <c r="J39" i="3"/>
  <c r="BB8" i="3"/>
  <c r="BB41" i="3"/>
  <c r="BB42" i="3" s="1"/>
  <c r="BC8" i="3"/>
  <c r="BC41" i="3"/>
  <c r="BC42" i="3" s="1"/>
  <c r="AZ8" i="3"/>
  <c r="AZ41" i="3"/>
  <c r="AZ42" i="3" s="1"/>
  <c r="BD8" i="3"/>
  <c r="BD41" i="3"/>
  <c r="BD42" i="3" s="1"/>
  <c r="AY41" i="3"/>
  <c r="AY42" i="3" s="1"/>
  <c r="BA36" i="3"/>
  <c r="BA37" i="3" s="1"/>
  <c r="H39" i="3"/>
  <c r="AZ36" i="3"/>
  <c r="AZ37" i="3" s="1"/>
  <c r="G39" i="3"/>
  <c r="BB36" i="3"/>
  <c r="I39" i="3"/>
  <c r="J36" i="3"/>
  <c r="AJ8" i="3"/>
  <c r="AJ41" i="3"/>
  <c r="AJ42" i="3" s="1"/>
  <c r="AL8" i="3"/>
  <c r="AL41" i="3"/>
  <c r="AL42" i="3" s="1"/>
  <c r="AK8" i="3"/>
  <c r="AK41" i="3"/>
  <c r="AK42" i="3" s="1"/>
  <c r="AO8" i="3"/>
  <c r="AO41" i="3"/>
  <c r="AO42" i="3" s="1"/>
  <c r="AN8" i="3"/>
  <c r="AN41" i="3"/>
  <c r="AN42" i="3" s="1"/>
  <c r="AM8" i="3"/>
  <c r="AM41" i="3"/>
  <c r="AM42" i="3" s="1"/>
  <c r="Y8" i="3"/>
  <c r="Y41" i="3"/>
  <c r="Y42" i="3" s="1"/>
  <c r="W8" i="3"/>
  <c r="W41" i="3"/>
  <c r="W42" i="3" s="1"/>
  <c r="V8" i="3"/>
  <c r="V41" i="3"/>
  <c r="V42" i="3" s="1"/>
  <c r="Z8" i="3"/>
  <c r="Z41" i="3"/>
  <c r="Z42" i="3" s="1"/>
  <c r="X8" i="3"/>
  <c r="X41" i="3"/>
  <c r="X42" i="3" s="1"/>
  <c r="G19" i="3"/>
  <c r="I25" i="3"/>
  <c r="J25" i="3"/>
  <c r="G25" i="3"/>
  <c r="J19" i="3"/>
  <c r="H25" i="3"/>
  <c r="K19" i="3"/>
  <c r="H19" i="3"/>
  <c r="I19" i="3"/>
  <c r="ED59" i="3"/>
  <c r="J62" i="26"/>
  <c r="J76" i="26" s="1"/>
  <c r="J64" i="26"/>
  <c r="J66" i="26"/>
  <c r="J80" i="26" s="1"/>
  <c r="J63" i="26"/>
  <c r="J77" i="26" s="1"/>
  <c r="J65" i="26"/>
  <c r="J79" i="26" s="1"/>
  <c r="K47" i="21"/>
  <c r="I91" i="26" s="1"/>
  <c r="I217" i="26" s="1"/>
  <c r="I64" i="26"/>
  <c r="I78" i="26" s="1"/>
  <c r="H65" i="26"/>
  <c r="H79" i="26" s="1"/>
  <c r="H66" i="26"/>
  <c r="H80" i="26" s="1"/>
  <c r="H62" i="26"/>
  <c r="H76" i="26" s="1"/>
  <c r="H64" i="26"/>
  <c r="H78" i="26" s="1"/>
  <c r="G63" i="26"/>
  <c r="G77" i="26" s="1"/>
  <c r="G62" i="26"/>
  <c r="G76" i="26" s="1"/>
  <c r="G66" i="26"/>
  <c r="G80" i="26" s="1"/>
  <c r="G65" i="26"/>
  <c r="G79" i="26" s="1"/>
  <c r="G64" i="26"/>
  <c r="I63" i="26"/>
  <c r="I77" i="26" s="1"/>
  <c r="F66" i="26"/>
  <c r="F80" i="26" s="1"/>
  <c r="F62" i="26"/>
  <c r="F76" i="26" s="1"/>
  <c r="F64" i="26"/>
  <c r="F78" i="26" s="1"/>
  <c r="F65" i="26"/>
  <c r="F79" i="26" s="1"/>
  <c r="E63" i="26"/>
  <c r="E77" i="26" s="1"/>
  <c r="E66" i="26"/>
  <c r="E80" i="26" s="1"/>
  <c r="E62" i="26"/>
  <c r="E76" i="26" s="1"/>
  <c r="E64" i="26"/>
  <c r="E78" i="26" s="1"/>
  <c r="E65" i="26"/>
  <c r="E79" i="26" s="1"/>
  <c r="D63" i="26"/>
  <c r="D77" i="26" s="1"/>
  <c r="D64" i="26"/>
  <c r="D78" i="26" s="1"/>
  <c r="D66" i="26"/>
  <c r="D80" i="26" s="1"/>
  <c r="D62" i="26"/>
  <c r="D76" i="26" s="1"/>
  <c r="D65" i="26"/>
  <c r="D79" i="26" s="1"/>
  <c r="K14" i="2"/>
  <c r="EE51" i="3"/>
  <c r="EE47" i="3"/>
  <c r="F94" i="26"/>
  <c r="F192" i="26" s="1"/>
  <c r="BD57" i="3" s="1"/>
  <c r="F91" i="26"/>
  <c r="F175" i="26" s="1"/>
  <c r="BA56" i="3" s="1"/>
  <c r="EF51" i="3"/>
  <c r="ED47" i="3"/>
  <c r="ED51" i="3"/>
  <c r="EF47" i="3"/>
  <c r="K185" i="26"/>
  <c r="EH56" i="3" s="1"/>
  <c r="K227" i="26"/>
  <c r="K241" i="26" s="1"/>
  <c r="EH60" i="3" s="1"/>
  <c r="G219" i="26"/>
  <c r="G233" i="26" s="1"/>
  <c r="BR60" i="3" s="1"/>
  <c r="G191" i="26"/>
  <c r="BR57" i="3" s="1"/>
  <c r="K54" i="26"/>
  <c r="K56" i="26"/>
  <c r="EC51" i="3"/>
  <c r="I55" i="3"/>
  <c r="K59" i="2"/>
  <c r="G177" i="26"/>
  <c r="BR56" i="3" s="1"/>
  <c r="J174" i="26"/>
  <c r="DH56" i="3" s="1"/>
  <c r="H218" i="26"/>
  <c r="H232" i="26" s="1"/>
  <c r="CF60" i="3" s="1"/>
  <c r="J188" i="26"/>
  <c r="DH57" i="3" s="1"/>
  <c r="H190" i="26"/>
  <c r="CF57" i="3" s="1"/>
  <c r="L47" i="21"/>
  <c r="I92" i="26" s="1"/>
  <c r="H176" i="26"/>
  <c r="CF56" i="3" s="1"/>
  <c r="J189" i="26"/>
  <c r="DI57" i="3" s="1"/>
  <c r="D192" i="26"/>
  <c r="Z57" i="3" s="1"/>
  <c r="J217" i="26"/>
  <c r="DI59" i="3" s="1"/>
  <c r="D177" i="26"/>
  <c r="Y56" i="3" s="1"/>
  <c r="G218" i="26"/>
  <c r="BQ59" i="3" s="1"/>
  <c r="D191" i="26"/>
  <c r="Y57" i="3" s="1"/>
  <c r="G176" i="26"/>
  <c r="BQ56" i="3" s="1"/>
  <c r="D220" i="26"/>
  <c r="Z59" i="3" s="1"/>
  <c r="H178" i="26"/>
  <c r="CH56" i="3" s="1"/>
  <c r="E175" i="26"/>
  <c r="AL56" i="3" s="1"/>
  <c r="H192" i="26"/>
  <c r="CH57" i="3" s="1"/>
  <c r="E217" i="26"/>
  <c r="E231" i="26" s="1"/>
  <c r="AL60" i="3" s="1"/>
  <c r="G217" i="26"/>
  <c r="G231" i="26" s="1"/>
  <c r="BP60" i="3" s="1"/>
  <c r="G189" i="26"/>
  <c r="BP57" i="3" s="1"/>
  <c r="E174" i="26"/>
  <c r="AK56" i="3" s="1"/>
  <c r="W89" i="14"/>
  <c r="D218" i="26"/>
  <c r="D232" i="26" s="1"/>
  <c r="X60" i="3" s="1"/>
  <c r="J192" i="26"/>
  <c r="DL57" i="3" s="1"/>
  <c r="W100" i="14"/>
  <c r="J178" i="26"/>
  <c r="DL56" i="3" s="1"/>
  <c r="W102" i="14"/>
  <c r="W177" i="14"/>
  <c r="W174" i="14"/>
  <c r="W181" i="14"/>
  <c r="W166" i="14"/>
  <c r="W138" i="14"/>
  <c r="W67" i="14"/>
  <c r="W172" i="14"/>
  <c r="W139" i="14"/>
  <c r="W154" i="14"/>
  <c r="D176" i="26"/>
  <c r="X56" i="3" s="1"/>
  <c r="W182" i="14"/>
  <c r="W167" i="14"/>
  <c r="W12" i="14"/>
  <c r="W178" i="14"/>
  <c r="W165" i="14"/>
  <c r="W168" i="14"/>
  <c r="W171" i="14"/>
  <c r="W74" i="14"/>
  <c r="W71" i="14"/>
  <c r="W146" i="14"/>
  <c r="W51" i="14"/>
  <c r="W24" i="14"/>
  <c r="W129" i="14"/>
  <c r="E188" i="26"/>
  <c r="AK57" i="3" s="1"/>
  <c r="W65" i="14"/>
  <c r="W145" i="14"/>
  <c r="W44" i="14"/>
  <c r="W123" i="14"/>
  <c r="W114" i="14"/>
  <c r="W119" i="14"/>
  <c r="W127" i="14"/>
  <c r="W16" i="14"/>
  <c r="W128" i="14"/>
  <c r="W126" i="14"/>
  <c r="I61" i="26"/>
  <c r="I47" i="21"/>
  <c r="G50" i="26"/>
  <c r="W61" i="14"/>
  <c r="G89" i="26"/>
  <c r="W155" i="14"/>
  <c r="W149" i="14"/>
  <c r="D216" i="26"/>
  <c r="D174" i="26"/>
  <c r="V56" i="3" s="1"/>
  <c r="D188" i="26"/>
  <c r="V57" i="3" s="1"/>
  <c r="K53" i="26"/>
  <c r="W50" i="14"/>
  <c r="W93" i="14"/>
  <c r="W92" i="14"/>
  <c r="E176" i="26"/>
  <c r="AM56" i="3" s="1"/>
  <c r="E190" i="26"/>
  <c r="AM57" i="3" s="1"/>
  <c r="E218" i="26"/>
  <c r="W9" i="14"/>
  <c r="W20" i="14"/>
  <c r="G49" i="26"/>
  <c r="K200" i="26"/>
  <c r="EI57" i="3" s="1"/>
  <c r="K228" i="26"/>
  <c r="K186" i="26"/>
  <c r="EI56" i="3" s="1"/>
  <c r="D49" i="26"/>
  <c r="F61" i="26"/>
  <c r="J52" i="26"/>
  <c r="K193" i="26"/>
  <c r="EB57" i="3" s="1"/>
  <c r="K221" i="26"/>
  <c r="K179" i="26"/>
  <c r="EB56" i="3" s="1"/>
  <c r="W26" i="14"/>
  <c r="P16" i="19"/>
  <c r="V13" i="19"/>
  <c r="W13" i="19"/>
  <c r="Q16" i="19"/>
  <c r="S16" i="19"/>
  <c r="O16" i="19"/>
  <c r="T16" i="19"/>
  <c r="R16" i="19"/>
  <c r="H61" i="26"/>
  <c r="D233" i="26"/>
  <c r="Y60" i="3" s="1"/>
  <c r="Y59" i="3"/>
  <c r="W96" i="14"/>
  <c r="P17" i="22"/>
  <c r="R17" i="22"/>
  <c r="V14" i="22"/>
  <c r="P15" i="22" s="1"/>
  <c r="Q17" i="22"/>
  <c r="T17" i="22"/>
  <c r="W14" i="22"/>
  <c r="O17" i="22"/>
  <c r="S17" i="22"/>
  <c r="E51" i="26"/>
  <c r="W66" i="14"/>
  <c r="W77" i="14"/>
  <c r="G192" i="26"/>
  <c r="BS57" i="3" s="1"/>
  <c r="G220" i="26"/>
  <c r="G178" i="26"/>
  <c r="BS56" i="3" s="1"/>
  <c r="F49" i="26"/>
  <c r="W150" i="14"/>
  <c r="W48" i="14"/>
  <c r="W37" i="14"/>
  <c r="W97" i="14"/>
  <c r="H231" i="26"/>
  <c r="CE60" i="3" s="1"/>
  <c r="CE59" i="3"/>
  <c r="D52" i="26"/>
  <c r="W19" i="14"/>
  <c r="P16" i="16"/>
  <c r="Q16" i="16"/>
  <c r="S16" i="16"/>
  <c r="W13" i="16"/>
  <c r="O16" i="16"/>
  <c r="R16" i="16"/>
  <c r="T16" i="16"/>
  <c r="V13" i="16"/>
  <c r="P14" i="16" s="1"/>
  <c r="J47" i="26"/>
  <c r="W113" i="14"/>
  <c r="E230" i="26"/>
  <c r="AK60" i="3" s="1"/>
  <c r="AK59" i="3"/>
  <c r="H50" i="26"/>
  <c r="G52" i="26"/>
  <c r="H188" i="26"/>
  <c r="CD57" i="3" s="1"/>
  <c r="H216" i="26"/>
  <c r="H174" i="26"/>
  <c r="CD56" i="3" s="1"/>
  <c r="W63" i="14"/>
  <c r="W76" i="14"/>
  <c r="W141" i="14"/>
  <c r="W153" i="14"/>
  <c r="W87" i="14"/>
  <c r="M16" i="24"/>
  <c r="N16" i="24"/>
  <c r="J16" i="24"/>
  <c r="I16" i="24"/>
  <c r="K16" i="24"/>
  <c r="L16" i="24"/>
  <c r="F48" i="26"/>
  <c r="W17" i="14"/>
  <c r="I50" i="26"/>
  <c r="H234" i="26"/>
  <c r="CH60" i="3" s="1"/>
  <c r="CH59" i="3"/>
  <c r="J234" i="26"/>
  <c r="DL60" i="3" s="1"/>
  <c r="DL59" i="3"/>
  <c r="E215" i="26"/>
  <c r="E173" i="26"/>
  <c r="AJ56" i="3" s="1"/>
  <c r="E187" i="26"/>
  <c r="AJ57" i="3" s="1"/>
  <c r="H89" i="26"/>
  <c r="E61" i="26"/>
  <c r="J191" i="26"/>
  <c r="DK57" i="3" s="1"/>
  <c r="J219" i="26"/>
  <c r="J177" i="26"/>
  <c r="DK56" i="3" s="1"/>
  <c r="I76" i="26"/>
  <c r="J230" i="26"/>
  <c r="DH60" i="3" s="1"/>
  <c r="DH59" i="3"/>
  <c r="E49" i="26"/>
  <c r="E48" i="26"/>
  <c r="W68" i="14"/>
  <c r="W75" i="14"/>
  <c r="D217" i="26"/>
  <c r="D175" i="26"/>
  <c r="W56" i="3" s="1"/>
  <c r="D189" i="26"/>
  <c r="W57" i="3" s="1"/>
  <c r="F47" i="26"/>
  <c r="W148" i="14"/>
  <c r="P16" i="20"/>
  <c r="V13" i="20"/>
  <c r="P14" i="20" s="1"/>
  <c r="Q16" i="20"/>
  <c r="T16" i="20"/>
  <c r="W13" i="20"/>
  <c r="O16" i="20"/>
  <c r="S16" i="20"/>
  <c r="R16" i="20"/>
  <c r="G47" i="26"/>
  <c r="W35" i="14"/>
  <c r="P16" i="17"/>
  <c r="W13" i="17"/>
  <c r="R16" i="17"/>
  <c r="W103" i="14"/>
  <c r="EI47" i="3"/>
  <c r="EI51" i="3"/>
  <c r="W14" i="14"/>
  <c r="W118" i="14"/>
  <c r="I191" i="26"/>
  <c r="CV57" i="3" s="1"/>
  <c r="I219" i="26"/>
  <c r="W62" i="14"/>
  <c r="W152" i="14"/>
  <c r="G61" i="26"/>
  <c r="J49" i="26"/>
  <c r="E50" i="26"/>
  <c r="W41" i="14"/>
  <c r="W88" i="14"/>
  <c r="W86" i="14"/>
  <c r="K60" i="26"/>
  <c r="E52" i="26"/>
  <c r="H191" i="26"/>
  <c r="CG57" i="3" s="1"/>
  <c r="H219" i="26"/>
  <c r="H177" i="26"/>
  <c r="CG56" i="3" s="1"/>
  <c r="W21" i="14"/>
  <c r="F51" i="26"/>
  <c r="I79" i="26"/>
  <c r="F89" i="26"/>
  <c r="E192" i="26"/>
  <c r="AO57" i="3" s="1"/>
  <c r="E220" i="26"/>
  <c r="E178" i="26"/>
  <c r="AO56" i="3" s="1"/>
  <c r="H48" i="26"/>
  <c r="F50" i="26"/>
  <c r="J89" i="26"/>
  <c r="D50" i="26"/>
  <c r="W70" i="14"/>
  <c r="J48" i="26"/>
  <c r="J190" i="26"/>
  <c r="DJ57" i="3" s="1"/>
  <c r="J218" i="26"/>
  <c r="J176" i="26"/>
  <c r="DJ56" i="3" s="1"/>
  <c r="H51" i="26"/>
  <c r="W101" i="14"/>
  <c r="W98" i="14"/>
  <c r="EH47" i="3"/>
  <c r="EH51" i="3"/>
  <c r="W11" i="14"/>
  <c r="W25" i="14"/>
  <c r="J61" i="26"/>
  <c r="W115" i="14"/>
  <c r="G230" i="26"/>
  <c r="BO60" i="3" s="1"/>
  <c r="BO59" i="3"/>
  <c r="P15" i="18"/>
  <c r="W12" i="18"/>
  <c r="R15" i="18"/>
  <c r="Q15" i="18"/>
  <c r="S15" i="18"/>
  <c r="T15" i="18"/>
  <c r="V12" i="18"/>
  <c r="P13" i="18" s="1"/>
  <c r="O15" i="18"/>
  <c r="J78" i="26"/>
  <c r="F52" i="26"/>
  <c r="P15" i="21"/>
  <c r="W12" i="21"/>
  <c r="T15" i="21"/>
  <c r="Q15" i="21"/>
  <c r="O15" i="21"/>
  <c r="S15" i="21"/>
  <c r="V12" i="21"/>
  <c r="P13" i="21" s="1"/>
  <c r="N15" i="21"/>
  <c r="R15" i="21"/>
  <c r="D48" i="26"/>
  <c r="G78" i="26"/>
  <c r="W94" i="14"/>
  <c r="K59" i="26"/>
  <c r="W15" i="14"/>
  <c r="W117" i="14"/>
  <c r="E191" i="26"/>
  <c r="AN57" i="3" s="1"/>
  <c r="E219" i="26"/>
  <c r="E177" i="26"/>
  <c r="AN56" i="3" s="1"/>
  <c r="H52" i="26"/>
  <c r="EB47" i="3"/>
  <c r="EB51" i="3"/>
  <c r="V13" i="17" l="1"/>
  <c r="BR59" i="3"/>
  <c r="O16" i="17"/>
  <c r="T16" i="17"/>
  <c r="I188" i="26"/>
  <c r="CS57" i="3" s="1"/>
  <c r="Q16" i="17"/>
  <c r="W49" i="14"/>
  <c r="S16" i="17"/>
  <c r="ED6" i="3"/>
  <c r="EG41" i="3"/>
  <c r="EG42" i="3" s="1"/>
  <c r="W120" i="14"/>
  <c r="W143" i="14"/>
  <c r="W60" i="14"/>
  <c r="W124" i="14"/>
  <c r="W144" i="14"/>
  <c r="W23" i="14"/>
  <c r="W112" i="14"/>
  <c r="W180" i="14"/>
  <c r="W173" i="14"/>
  <c r="W176" i="14"/>
  <c r="W42" i="14"/>
  <c r="W46" i="14"/>
  <c r="W43" i="14" s="1"/>
  <c r="W34" i="14"/>
  <c r="W45" i="14"/>
  <c r="W40" i="14"/>
  <c r="W38" i="14" s="1"/>
  <c r="W36" i="14"/>
  <c r="EC41" i="3"/>
  <c r="EC42" i="3" s="1"/>
  <c r="I189" i="26"/>
  <c r="CT57" i="3" s="1"/>
  <c r="BA41" i="3"/>
  <c r="BA42" i="3" s="1"/>
  <c r="F63" i="26"/>
  <c r="F77" i="26" s="1"/>
  <c r="DV41" i="3"/>
  <c r="DV42" i="3" s="1"/>
  <c r="I174" i="26"/>
  <c r="CS56" i="3" s="1"/>
  <c r="F174" i="26"/>
  <c r="AZ56" i="3" s="1"/>
  <c r="F216" i="26"/>
  <c r="W169" i="14"/>
  <c r="W164" i="14"/>
  <c r="J25" i="25"/>
  <c r="I51" i="2" s="1"/>
  <c r="G49" i="3" s="1"/>
  <c r="G46" i="3" s="1"/>
  <c r="V15" i="2"/>
  <c r="U15" i="2"/>
  <c r="U16" i="2"/>
  <c r="V16" i="2"/>
  <c r="F219" i="26"/>
  <c r="BC59" i="3" s="1"/>
  <c r="M25" i="25"/>
  <c r="L51" i="2" s="1"/>
  <c r="J49" i="3" s="1"/>
  <c r="J46" i="3" s="1"/>
  <c r="CF59" i="3"/>
  <c r="EH59" i="3"/>
  <c r="F218" i="26"/>
  <c r="F232" i="26" s="1"/>
  <c r="BB60" i="3" s="1"/>
  <c r="F176" i="26"/>
  <c r="BB56" i="3" s="1"/>
  <c r="EH6" i="3"/>
  <c r="EH41" i="3"/>
  <c r="EH42" i="3" s="1"/>
  <c r="EI6" i="3"/>
  <c r="EI41" i="3"/>
  <c r="EI42" i="3" s="1"/>
  <c r="H36" i="3"/>
  <c r="BB37" i="3"/>
  <c r="I36" i="3"/>
  <c r="G36" i="3"/>
  <c r="I4" i="3"/>
  <c r="G4" i="3"/>
  <c r="J4" i="3"/>
  <c r="H4" i="3"/>
  <c r="I175" i="26"/>
  <c r="CT56" i="3" s="1"/>
  <c r="K25" i="25"/>
  <c r="J51" i="2" s="1"/>
  <c r="H49" i="3" s="1"/>
  <c r="H46" i="3" s="1"/>
  <c r="F178" i="26"/>
  <c r="BD56" i="3" s="1"/>
  <c r="F220" i="26"/>
  <c r="BD59" i="3" s="1"/>
  <c r="F177" i="26"/>
  <c r="BC56" i="3" s="1"/>
  <c r="J231" i="26"/>
  <c r="DI60" i="3" s="1"/>
  <c r="F189" i="26"/>
  <c r="BA57" i="3" s="1"/>
  <c r="L25" i="25"/>
  <c r="K51" i="2" s="1"/>
  <c r="D234" i="26"/>
  <c r="Z60" i="3" s="1"/>
  <c r="F217" i="26"/>
  <c r="BA59" i="3" s="1"/>
  <c r="W69" i="14"/>
  <c r="BP59" i="3"/>
  <c r="X59" i="3"/>
  <c r="G232" i="26"/>
  <c r="BQ60" i="3" s="1"/>
  <c r="I176" i="26"/>
  <c r="CU56" i="3" s="1"/>
  <c r="I190" i="26"/>
  <c r="CU57" i="3" s="1"/>
  <c r="I218" i="26"/>
  <c r="AL59" i="3"/>
  <c r="W147" i="14"/>
  <c r="W179" i="14"/>
  <c r="W170" i="14"/>
  <c r="W121" i="14"/>
  <c r="W151" i="14"/>
  <c r="W47" i="14"/>
  <c r="W163" i="14"/>
  <c r="W175" i="14"/>
  <c r="W73" i="14"/>
  <c r="W116" i="14"/>
  <c r="W99" i="14"/>
  <c r="W90" i="14"/>
  <c r="W64" i="14"/>
  <c r="W13" i="14"/>
  <c r="W125" i="14"/>
  <c r="I233" i="26"/>
  <c r="CV60" i="3" s="1"/>
  <c r="CV59" i="3"/>
  <c r="E75" i="26"/>
  <c r="H75" i="26"/>
  <c r="E232" i="26"/>
  <c r="AM60" i="3" s="1"/>
  <c r="AM59" i="3"/>
  <c r="J233" i="26"/>
  <c r="DK60" i="3" s="1"/>
  <c r="DK59" i="3"/>
  <c r="H230" i="26"/>
  <c r="CD60" i="3" s="1"/>
  <c r="CD59" i="3"/>
  <c r="W17" i="22"/>
  <c r="V17" i="22"/>
  <c r="J232" i="26"/>
  <c r="DJ60" i="3" s="1"/>
  <c r="DJ59" i="3"/>
  <c r="E233" i="26"/>
  <c r="AN60" i="3" s="1"/>
  <c r="AN59" i="3"/>
  <c r="V15" i="21"/>
  <c r="W15" i="18"/>
  <c r="V15" i="18"/>
  <c r="T13" i="21"/>
  <c r="I13" i="21"/>
  <c r="R13" i="21"/>
  <c r="O13" i="21"/>
  <c r="L13" i="21"/>
  <c r="M13" i="21"/>
  <c r="S13" i="21"/>
  <c r="Q13" i="21"/>
  <c r="J13" i="21"/>
  <c r="N13" i="21"/>
  <c r="K13" i="21"/>
  <c r="I13" i="18"/>
  <c r="R13" i="18"/>
  <c r="L13" i="18"/>
  <c r="S13" i="18"/>
  <c r="J13" i="18"/>
  <c r="K13" i="18"/>
  <c r="Q13" i="18"/>
  <c r="N13" i="18"/>
  <c r="T13" i="18"/>
  <c r="O13" i="18"/>
  <c r="M13" i="18"/>
  <c r="G75" i="26"/>
  <c r="K14" i="17"/>
  <c r="R14" i="17"/>
  <c r="L14" i="17"/>
  <c r="M14" i="17"/>
  <c r="O14" i="17"/>
  <c r="T14" i="17"/>
  <c r="N14" i="17"/>
  <c r="I14" i="17"/>
  <c r="J14" i="17"/>
  <c r="Q14" i="17"/>
  <c r="S14" i="17"/>
  <c r="Q14" i="20"/>
  <c r="N14" i="20"/>
  <c r="M14" i="20"/>
  <c r="T14" i="20"/>
  <c r="K14" i="20"/>
  <c r="L14" i="20"/>
  <c r="R14" i="20"/>
  <c r="I14" i="20"/>
  <c r="J14" i="20"/>
  <c r="S14" i="20"/>
  <c r="O14" i="20"/>
  <c r="H173" i="26"/>
  <c r="CC56" i="3" s="1"/>
  <c r="H187" i="26"/>
  <c r="CC57" i="3" s="1"/>
  <c r="H215" i="26"/>
  <c r="W16" i="19"/>
  <c r="V16" i="19"/>
  <c r="I89" i="26"/>
  <c r="W16" i="17"/>
  <c r="V16" i="17"/>
  <c r="D231" i="26"/>
  <c r="W60" i="3" s="1"/>
  <c r="W59" i="3"/>
  <c r="W95" i="14"/>
  <c r="W18" i="14"/>
  <c r="D230" i="26"/>
  <c r="V60" i="3" s="1"/>
  <c r="V59" i="3"/>
  <c r="I75" i="26"/>
  <c r="W15" i="21"/>
  <c r="J75" i="26"/>
  <c r="E234" i="26"/>
  <c r="AO60" i="3" s="1"/>
  <c r="AO59" i="3"/>
  <c r="F230" i="26"/>
  <c r="AZ60" i="3" s="1"/>
  <c r="AZ59" i="3"/>
  <c r="W16" i="16"/>
  <c r="V16" i="16"/>
  <c r="W22" i="14"/>
  <c r="P14" i="17"/>
  <c r="W16" i="20"/>
  <c r="V16" i="20"/>
  <c r="E229" i="26"/>
  <c r="AJ60" i="3" s="1"/>
  <c r="AJ59" i="3"/>
  <c r="F75" i="26"/>
  <c r="J187" i="26"/>
  <c r="DG57" i="3" s="1"/>
  <c r="J215" i="26"/>
  <c r="J173" i="26"/>
  <c r="DG56" i="3" s="1"/>
  <c r="R15" i="22"/>
  <c r="M15" i="22"/>
  <c r="L15" i="22"/>
  <c r="Q15" i="22"/>
  <c r="I15" i="22"/>
  <c r="K15" i="22"/>
  <c r="T15" i="22"/>
  <c r="J15" i="22"/>
  <c r="N15" i="22"/>
  <c r="O15" i="22"/>
  <c r="S15" i="22"/>
  <c r="Q14" i="19"/>
  <c r="I14" i="19"/>
  <c r="L14" i="19"/>
  <c r="R14" i="19"/>
  <c r="S14" i="19"/>
  <c r="M14" i="19"/>
  <c r="N14" i="19"/>
  <c r="T14" i="19"/>
  <c r="J14" i="19"/>
  <c r="K14" i="19"/>
  <c r="O14" i="19"/>
  <c r="K242" i="26"/>
  <c r="EI60" i="3" s="1"/>
  <c r="EI59" i="3"/>
  <c r="F215" i="26"/>
  <c r="F173" i="26"/>
  <c r="AY56" i="3" s="1"/>
  <c r="F187" i="26"/>
  <c r="AY57" i="3" s="1"/>
  <c r="H233" i="26"/>
  <c r="CG60" i="3" s="1"/>
  <c r="CG59" i="3"/>
  <c r="I231" i="26"/>
  <c r="CT60" i="3" s="1"/>
  <c r="CT59" i="3"/>
  <c r="G234" i="26"/>
  <c r="BS60" i="3" s="1"/>
  <c r="BS59" i="3"/>
  <c r="K235" i="26"/>
  <c r="EB60" i="3" s="1"/>
  <c r="EB59" i="3"/>
  <c r="G187" i="26"/>
  <c r="BN57" i="3" s="1"/>
  <c r="G215" i="26"/>
  <c r="G173" i="26"/>
  <c r="BN56" i="3" s="1"/>
  <c r="K14" i="16"/>
  <c r="J14" i="16"/>
  <c r="Q14" i="16"/>
  <c r="I14" i="16"/>
  <c r="S14" i="16"/>
  <c r="N14" i="16"/>
  <c r="R14" i="16"/>
  <c r="L14" i="16"/>
  <c r="T14" i="16"/>
  <c r="O14" i="16"/>
  <c r="M14" i="16"/>
  <c r="P14" i="19"/>
  <c r="I230" i="26"/>
  <c r="CS60" i="3" s="1"/>
  <c r="CS59" i="3"/>
  <c r="W142" i="14" l="1"/>
  <c r="F233" i="26"/>
  <c r="BC60" i="3" s="1"/>
  <c r="BB59" i="3"/>
  <c r="DV62" i="3"/>
  <c r="F234" i="26"/>
  <c r="BD60" i="3" s="1"/>
  <c r="I49" i="3"/>
  <c r="I46" i="3" s="1"/>
  <c r="F231" i="26"/>
  <c r="BA60" i="3" s="1"/>
  <c r="I232" i="26"/>
  <c r="CU60" i="3" s="1"/>
  <c r="CU59" i="3"/>
  <c r="V14" i="16"/>
  <c r="P17" i="19"/>
  <c r="P9" i="19" s="1"/>
  <c r="P40" i="19" s="1"/>
  <c r="BU35" i="3" s="1"/>
  <c r="P17" i="20"/>
  <c r="P9" i="20" s="1"/>
  <c r="P31" i="20" s="1"/>
  <c r="CJ24" i="3" s="1"/>
  <c r="S16" i="21"/>
  <c r="S8" i="21" s="1"/>
  <c r="S27" i="21" s="1"/>
  <c r="W14" i="19"/>
  <c r="O17" i="19"/>
  <c r="Q17" i="19"/>
  <c r="Q9" i="19" s="1"/>
  <c r="S17" i="19"/>
  <c r="S9" i="19" s="1"/>
  <c r="K17" i="24"/>
  <c r="K9" i="24" s="1"/>
  <c r="N22" i="12" s="1"/>
  <c r="R17" i="20"/>
  <c r="R9" i="20" s="1"/>
  <c r="V14" i="17"/>
  <c r="V13" i="18"/>
  <c r="V13" i="21"/>
  <c r="W14" i="16"/>
  <c r="O17" i="16"/>
  <c r="O10" i="16" s="1"/>
  <c r="O9" i="16" s="1"/>
  <c r="G229" i="26"/>
  <c r="BN60" i="3" s="1"/>
  <c r="BN59" i="3"/>
  <c r="S17" i="16"/>
  <c r="S10" i="16" s="1"/>
  <c r="S9" i="16" s="1"/>
  <c r="F229" i="26"/>
  <c r="AY60" i="3" s="1"/>
  <c r="AY59" i="3"/>
  <c r="R17" i="19"/>
  <c r="R9" i="19" s="1"/>
  <c r="V15" i="22"/>
  <c r="I17" i="24"/>
  <c r="W13" i="18"/>
  <c r="O16" i="18"/>
  <c r="T16" i="21"/>
  <c r="T8" i="21" s="1"/>
  <c r="T27" i="21" s="1"/>
  <c r="Q18" i="22"/>
  <c r="Q9" i="22" s="1"/>
  <c r="T17" i="17"/>
  <c r="T16" i="18"/>
  <c r="T8" i="18" s="1"/>
  <c r="W35" i="12" s="1"/>
  <c r="N16" i="21"/>
  <c r="Q17" i="16"/>
  <c r="Q10" i="16" s="1"/>
  <c r="Q9" i="16" s="1"/>
  <c r="V14" i="19"/>
  <c r="M17" i="24"/>
  <c r="M9" i="24" s="1"/>
  <c r="P22" i="12" s="1"/>
  <c r="H229" i="26"/>
  <c r="CC60" i="3" s="1"/>
  <c r="CC59" i="3"/>
  <c r="T17" i="20"/>
  <c r="T9" i="20" s="1"/>
  <c r="W14" i="17"/>
  <c r="O17" i="17"/>
  <c r="O10" i="17" s="1"/>
  <c r="J17" i="24"/>
  <c r="J9" i="24" s="1"/>
  <c r="M22" i="12" s="1"/>
  <c r="Q16" i="18"/>
  <c r="Q8" i="18" s="1"/>
  <c r="T35" i="12" s="1"/>
  <c r="Q16" i="21"/>
  <c r="Q8" i="21" s="1"/>
  <c r="Q27" i="21" s="1"/>
  <c r="S18" i="22"/>
  <c r="S9" i="22" s="1"/>
  <c r="R18" i="22"/>
  <c r="R9" i="22" s="1"/>
  <c r="P16" i="18"/>
  <c r="P8" i="18" s="1"/>
  <c r="S35" i="12" s="1"/>
  <c r="W15" i="22"/>
  <c r="O18" i="22"/>
  <c r="N17" i="24"/>
  <c r="N9" i="24" s="1"/>
  <c r="W14" i="20"/>
  <c r="O17" i="20"/>
  <c r="Q17" i="20"/>
  <c r="Q9" i="20" s="1"/>
  <c r="R17" i="17"/>
  <c r="T17" i="16"/>
  <c r="T10" i="16" s="1"/>
  <c r="T9" i="16" s="1"/>
  <c r="T17" i="19"/>
  <c r="T9" i="19" s="1"/>
  <c r="P17" i="17"/>
  <c r="S17" i="20"/>
  <c r="S9" i="20" s="1"/>
  <c r="S17" i="17"/>
  <c r="S16" i="18"/>
  <c r="S8" i="18" s="1"/>
  <c r="V35" i="12" s="1"/>
  <c r="P18" i="22"/>
  <c r="P9" i="22" s="1"/>
  <c r="L17" i="24"/>
  <c r="L9" i="24" s="1"/>
  <c r="O22" i="12" s="1"/>
  <c r="Q17" i="17"/>
  <c r="P16" i="21"/>
  <c r="P8" i="21" s="1"/>
  <c r="P27" i="21" s="1"/>
  <c r="W13" i="21"/>
  <c r="O16" i="21"/>
  <c r="R17" i="16"/>
  <c r="R10" i="16" s="1"/>
  <c r="R9" i="16" s="1"/>
  <c r="T18" i="22"/>
  <c r="T9" i="22" s="1"/>
  <c r="J229" i="26"/>
  <c r="DG60" i="3" s="1"/>
  <c r="DG59" i="3"/>
  <c r="I187" i="26"/>
  <c r="CR57" i="3" s="1"/>
  <c r="I215" i="26"/>
  <c r="I173" i="26"/>
  <c r="CR56" i="3" s="1"/>
  <c r="V14" i="20"/>
  <c r="R16" i="18"/>
  <c r="R8" i="18" s="1"/>
  <c r="U35" i="12" s="1"/>
  <c r="R16" i="21"/>
  <c r="R8" i="21" s="1"/>
  <c r="R27" i="21" s="1"/>
  <c r="P17" i="16"/>
  <c r="P10" i="16" s="1"/>
  <c r="P9" i="16" s="1"/>
  <c r="Q9" i="17" l="1"/>
  <c r="Q49" i="17" s="1" a="1"/>
  <c r="Q49" i="17" s="1"/>
  <c r="Q10" i="17"/>
  <c r="R9" i="17"/>
  <c r="R49" i="17" s="1" a="1"/>
  <c r="R49" i="17" s="1"/>
  <c r="R10" i="17"/>
  <c r="S9" i="17"/>
  <c r="S49" i="17" s="1" a="1"/>
  <c r="S49" i="17" s="1"/>
  <c r="S10" i="17"/>
  <c r="T9" i="17"/>
  <c r="T49" i="17" s="1" a="1"/>
  <c r="T49" i="17" s="1"/>
  <c r="T10" i="17"/>
  <c r="P9" i="17"/>
  <c r="P49" i="17" s="1" a="1"/>
  <c r="P49" i="17" s="1"/>
  <c r="P10" i="17"/>
  <c r="S11" i="22"/>
  <c r="P11" i="22"/>
  <c r="T11" i="22"/>
  <c r="Q11" i="22"/>
  <c r="R11" i="22"/>
  <c r="CZ14" i="3"/>
  <c r="P28" i="2"/>
  <c r="CY14" i="3"/>
  <c r="O28" i="2"/>
  <c r="DB14" i="3"/>
  <c r="R28" i="2"/>
  <c r="DA14" i="3"/>
  <c r="Q28" i="2"/>
  <c r="DC14" i="3"/>
  <c r="S28" i="2"/>
  <c r="Q21" i="21"/>
  <c r="Q22" i="21"/>
  <c r="R22" i="21"/>
  <c r="R21" i="21"/>
  <c r="S22" i="21"/>
  <c r="R26" i="2" s="1"/>
  <c r="S21" i="21"/>
  <c r="T21" i="21"/>
  <c r="T22" i="21"/>
  <c r="P21" i="21"/>
  <c r="P22" i="21"/>
  <c r="Q39" i="21"/>
  <c r="CZ33" i="3" s="1"/>
  <c r="Q40" i="21"/>
  <c r="CZ34" i="3" s="1"/>
  <c r="Q41" i="21"/>
  <c r="R41" i="21"/>
  <c r="R39" i="21"/>
  <c r="R40" i="21"/>
  <c r="DA34" i="3" s="1"/>
  <c r="S40" i="21"/>
  <c r="DB34" i="3" s="1"/>
  <c r="S41" i="21"/>
  <c r="S39" i="21"/>
  <c r="DB33" i="3" s="1"/>
  <c r="T39" i="21"/>
  <c r="DC33" i="3" s="1"/>
  <c r="T40" i="21"/>
  <c r="DC34" i="3" s="1"/>
  <c r="T41" i="21"/>
  <c r="P39" i="21"/>
  <c r="P40" i="21"/>
  <c r="CY34" i="3" s="1"/>
  <c r="P41" i="21"/>
  <c r="S33" i="12"/>
  <c r="T33" i="12"/>
  <c r="V33" i="12"/>
  <c r="U33" i="12"/>
  <c r="W33" i="12"/>
  <c r="S25" i="21"/>
  <c r="DB15" i="3" s="1"/>
  <c r="P11" i="19"/>
  <c r="EV13" i="3"/>
  <c r="EU13" i="3"/>
  <c r="ET13" i="3"/>
  <c r="J41" i="24"/>
  <c r="K41" i="24"/>
  <c r="L41" i="24"/>
  <c r="M41" i="24"/>
  <c r="N41" i="24"/>
  <c r="G12" i="26"/>
  <c r="P37" i="19"/>
  <c r="R131" i="14"/>
  <c r="R130" i="14" s="1"/>
  <c r="P26" i="19"/>
  <c r="BU16" i="3" s="1"/>
  <c r="P39" i="19"/>
  <c r="BU34" i="3" s="1"/>
  <c r="P29" i="19"/>
  <c r="BU22" i="3" s="1"/>
  <c r="P31" i="19"/>
  <c r="BU24" i="3" s="1"/>
  <c r="P19" i="19"/>
  <c r="BU4" i="3" s="1"/>
  <c r="P33" i="19"/>
  <c r="BU28" i="3" s="1"/>
  <c r="P22" i="19"/>
  <c r="P28" i="19"/>
  <c r="BU21" i="3" s="1"/>
  <c r="P43" i="19"/>
  <c r="S36" i="21"/>
  <c r="P38" i="19"/>
  <c r="BU33" i="3" s="1"/>
  <c r="P25" i="19"/>
  <c r="BU15" i="3" s="1"/>
  <c r="P34" i="19"/>
  <c r="BU29" i="3" s="1"/>
  <c r="P45" i="19"/>
  <c r="BU40" i="3" s="1"/>
  <c r="P23" i="19"/>
  <c r="BU12" i="3" s="1"/>
  <c r="P30" i="19"/>
  <c r="BU23" i="3" s="1"/>
  <c r="P10" i="19"/>
  <c r="P12" i="19"/>
  <c r="P35" i="19"/>
  <c r="BU27" i="3" s="1"/>
  <c r="P8" i="19"/>
  <c r="P24" i="19"/>
  <c r="BU13" i="3" s="1"/>
  <c r="S10" i="21"/>
  <c r="S7" i="21"/>
  <c r="DB3" i="3" s="1"/>
  <c r="DB20" i="3" s="1"/>
  <c r="S11" i="21"/>
  <c r="P8" i="20"/>
  <c r="I15" i="26"/>
  <c r="S44" i="21"/>
  <c r="S38" i="21"/>
  <c r="P22" i="20"/>
  <c r="H12" i="26"/>
  <c r="S26" i="21"/>
  <c r="DB16" i="3" s="1"/>
  <c r="P37" i="20"/>
  <c r="CJ32" i="3" s="1"/>
  <c r="S18" i="21"/>
  <c r="P10" i="20"/>
  <c r="P45" i="20"/>
  <c r="CJ40" i="3" s="1"/>
  <c r="S46" i="21"/>
  <c r="DB40" i="3" s="1"/>
  <c r="R157" i="14"/>
  <c r="R156" i="14" s="1"/>
  <c r="P25" i="20"/>
  <c r="CJ15" i="3" s="1"/>
  <c r="P28" i="20"/>
  <c r="CJ21" i="3" s="1"/>
  <c r="P11" i="20"/>
  <c r="P29" i="20"/>
  <c r="CJ22" i="3" s="1"/>
  <c r="P33" i="20"/>
  <c r="CJ28" i="3" s="1"/>
  <c r="P35" i="20"/>
  <c r="CJ27" i="3" s="1"/>
  <c r="P23" i="20"/>
  <c r="CJ12" i="3" s="1"/>
  <c r="P24" i="20"/>
  <c r="CJ13" i="3" s="1"/>
  <c r="S9" i="21"/>
  <c r="U185" i="14"/>
  <c r="U184" i="14" s="1"/>
  <c r="S23" i="21"/>
  <c r="R27" i="2" s="1"/>
  <c r="P40" i="20"/>
  <c r="CJ35" i="3" s="1"/>
  <c r="P39" i="20"/>
  <c r="CJ34" i="3" s="1"/>
  <c r="P43" i="20"/>
  <c r="P30" i="20"/>
  <c r="CJ23" i="3" s="1"/>
  <c r="P12" i="20"/>
  <c r="P34" i="20"/>
  <c r="CJ29" i="3" s="1"/>
  <c r="P38" i="20"/>
  <c r="CJ33" i="3" s="1"/>
  <c r="P19" i="20"/>
  <c r="CJ4" i="3" s="1"/>
  <c r="P26" i="20"/>
  <c r="CJ16" i="3" s="1"/>
  <c r="L7" i="26"/>
  <c r="K30" i="25" s="1"/>
  <c r="K29" i="25" s="1"/>
  <c r="M147" i="26" s="1"/>
  <c r="K8" i="24"/>
  <c r="K10" i="24"/>
  <c r="W16" i="18"/>
  <c r="O8" i="18"/>
  <c r="R35" i="12" s="1"/>
  <c r="J35" i="12" s="1"/>
  <c r="V16" i="18"/>
  <c r="G15" i="26"/>
  <c r="S34" i="19"/>
  <c r="BX29" i="3" s="1"/>
  <c r="S39" i="19"/>
  <c r="BX34" i="3" s="1"/>
  <c r="S45" i="19"/>
  <c r="BX40" i="3" s="1"/>
  <c r="S38" i="19"/>
  <c r="BX33" i="3" s="1"/>
  <c r="S30" i="19"/>
  <c r="BX23" i="3" s="1"/>
  <c r="S22" i="19"/>
  <c r="BX11" i="3" s="1"/>
  <c r="S29" i="19"/>
  <c r="BX22" i="3" s="1"/>
  <c r="S37" i="19"/>
  <c r="BX32" i="3" s="1"/>
  <c r="S28" i="19"/>
  <c r="BX21" i="3" s="1"/>
  <c r="S40" i="19"/>
  <c r="BX35" i="3" s="1"/>
  <c r="S31" i="19"/>
  <c r="BX24" i="3" s="1"/>
  <c r="S25" i="19"/>
  <c r="BX15" i="3" s="1"/>
  <c r="S19" i="19"/>
  <c r="BX4" i="3" s="1"/>
  <c r="S43" i="19"/>
  <c r="S35" i="19"/>
  <c r="BX27" i="3" s="1"/>
  <c r="S26" i="19"/>
  <c r="BX16" i="3" s="1"/>
  <c r="S12" i="19"/>
  <c r="S11" i="19"/>
  <c r="S23" i="19"/>
  <c r="BX12" i="3" s="1"/>
  <c r="S10" i="19"/>
  <c r="S24" i="19"/>
  <c r="BX13" i="3" s="1"/>
  <c r="S8" i="19"/>
  <c r="S33" i="19"/>
  <c r="BX28" i="3" s="1"/>
  <c r="U131" i="14"/>
  <c r="U130" i="14" s="1"/>
  <c r="I16" i="26"/>
  <c r="T44" i="21"/>
  <c r="T38" i="21"/>
  <c r="DC32" i="3" s="1"/>
  <c r="T46" i="21"/>
  <c r="DC40" i="3" s="1"/>
  <c r="T26" i="21"/>
  <c r="DC16" i="3" s="1"/>
  <c r="T23" i="21"/>
  <c r="T7" i="21"/>
  <c r="DC3" i="3" s="1"/>
  <c r="DC20" i="3" s="1"/>
  <c r="T25" i="21"/>
  <c r="DC15" i="3" s="1"/>
  <c r="T11" i="21"/>
  <c r="T36" i="21"/>
  <c r="DC27" i="3" s="1"/>
  <c r="T18" i="21"/>
  <c r="DC4" i="3" s="1"/>
  <c r="T9" i="21"/>
  <c r="T10" i="21"/>
  <c r="V185" i="14"/>
  <c r="V184" i="14" s="1"/>
  <c r="G13" i="26"/>
  <c r="Q40" i="19"/>
  <c r="BV35" i="3" s="1"/>
  <c r="Q39" i="19"/>
  <c r="BV34" i="3" s="1"/>
  <c r="Q31" i="19"/>
  <c r="BV24" i="3" s="1"/>
  <c r="Q23" i="19"/>
  <c r="BV12" i="3" s="1"/>
  <c r="Q22" i="19"/>
  <c r="BV11" i="3" s="1"/>
  <c r="Q33" i="19"/>
  <c r="BV28" i="3" s="1"/>
  <c r="Q24" i="19"/>
  <c r="BV13" i="3" s="1"/>
  <c r="Q8" i="19"/>
  <c r="Q37" i="19"/>
  <c r="BV32" i="3" s="1"/>
  <c r="Q34" i="19"/>
  <c r="BV29" i="3" s="1"/>
  <c r="Q45" i="19"/>
  <c r="BV40" i="3" s="1"/>
  <c r="Q28" i="19"/>
  <c r="BV21" i="3" s="1"/>
  <c r="Q19" i="19"/>
  <c r="BV4" i="3" s="1"/>
  <c r="Q25" i="19"/>
  <c r="BV15" i="3" s="1"/>
  <c r="Q38" i="19"/>
  <c r="BV33" i="3" s="1"/>
  <c r="Q29" i="19"/>
  <c r="BV22" i="3" s="1"/>
  <c r="Q35" i="19"/>
  <c r="BV27" i="3" s="1"/>
  <c r="Q26" i="19"/>
  <c r="BV16" i="3" s="1"/>
  <c r="Q12" i="19"/>
  <c r="Q11" i="19"/>
  <c r="Q43" i="19"/>
  <c r="Q30" i="19"/>
  <c r="BV23" i="3" s="1"/>
  <c r="Q10" i="19"/>
  <c r="S131" i="14"/>
  <c r="S130" i="14" s="1"/>
  <c r="L8" i="26"/>
  <c r="L30" i="25" s="1"/>
  <c r="L29" i="25" s="1"/>
  <c r="M148" i="26" s="1"/>
  <c r="L8" i="24"/>
  <c r="L10" i="24"/>
  <c r="H15" i="26"/>
  <c r="S37" i="20"/>
  <c r="CM32" i="3" s="1"/>
  <c r="S22" i="20"/>
  <c r="CM11" i="3" s="1"/>
  <c r="S12" i="20"/>
  <c r="S39" i="20"/>
  <c r="CM34" i="3" s="1"/>
  <c r="S34" i="20"/>
  <c r="CM29" i="3" s="1"/>
  <c r="S29" i="20"/>
  <c r="CM22" i="3" s="1"/>
  <c r="S24" i="20"/>
  <c r="CM13" i="3" s="1"/>
  <c r="S19" i="20"/>
  <c r="CM4" i="3" s="1"/>
  <c r="S33" i="20"/>
  <c r="CM28" i="3" s="1"/>
  <c r="S30" i="20"/>
  <c r="CM23" i="3" s="1"/>
  <c r="S40" i="20"/>
  <c r="CM35" i="3" s="1"/>
  <c r="S10" i="20"/>
  <c r="S43" i="20"/>
  <c r="S26" i="20"/>
  <c r="CM16" i="3" s="1"/>
  <c r="S23" i="20"/>
  <c r="CM12" i="3" s="1"/>
  <c r="S45" i="20"/>
  <c r="CM40" i="3" s="1"/>
  <c r="S31" i="20"/>
  <c r="CM24" i="3" s="1"/>
  <c r="S28" i="20"/>
  <c r="CM21" i="3" s="1"/>
  <c r="S25" i="20"/>
  <c r="CM15" i="3" s="1"/>
  <c r="S11" i="20"/>
  <c r="S8" i="20"/>
  <c r="S38" i="20"/>
  <c r="CM33" i="3" s="1"/>
  <c r="S35" i="20"/>
  <c r="CM27" i="3" s="1"/>
  <c r="U157" i="14"/>
  <c r="U156" i="14" s="1"/>
  <c r="O9" i="19"/>
  <c r="W17" i="19"/>
  <c r="V17" i="19"/>
  <c r="I13" i="26"/>
  <c r="Q25" i="21"/>
  <c r="CZ15" i="3" s="1"/>
  <c r="Q11" i="21"/>
  <c r="Q44" i="21"/>
  <c r="Q38" i="21"/>
  <c r="CZ32" i="3" s="1"/>
  <c r="Q46" i="21"/>
  <c r="CZ40" i="3" s="1"/>
  <c r="Q26" i="21"/>
  <c r="CZ16" i="3" s="1"/>
  <c r="Q23" i="21"/>
  <c r="Q7" i="21"/>
  <c r="CZ3" i="3" s="1"/>
  <c r="CZ20" i="3" s="1"/>
  <c r="Q9" i="21"/>
  <c r="Q18" i="21"/>
  <c r="CZ4" i="3" s="1"/>
  <c r="Q36" i="21"/>
  <c r="CZ27" i="3" s="1"/>
  <c r="Q10" i="21"/>
  <c r="S185" i="14"/>
  <c r="S184" i="14" s="1"/>
  <c r="W17" i="16"/>
  <c r="V17" i="16"/>
  <c r="I14" i="26"/>
  <c r="R36" i="21"/>
  <c r="DA27" i="3" s="1"/>
  <c r="R18" i="21"/>
  <c r="DA4" i="3" s="1"/>
  <c r="R44" i="21"/>
  <c r="R38" i="21"/>
  <c r="DA32" i="3" s="1"/>
  <c r="R10" i="21"/>
  <c r="R46" i="21"/>
  <c r="DA40" i="3" s="1"/>
  <c r="R26" i="21"/>
  <c r="DA16" i="3" s="1"/>
  <c r="R23" i="21"/>
  <c r="R9" i="21"/>
  <c r="DA33" i="3"/>
  <c r="R25" i="21"/>
  <c r="DA15" i="3" s="1"/>
  <c r="R11" i="21"/>
  <c r="R7" i="21"/>
  <c r="DA3" i="3" s="1"/>
  <c r="DA20" i="3" s="1"/>
  <c r="T185" i="14"/>
  <c r="T184" i="14" s="1"/>
  <c r="F13" i="26"/>
  <c r="Q38" i="18"/>
  <c r="BG34" i="3" s="1"/>
  <c r="Q33" i="18"/>
  <c r="BG29" i="3" s="1"/>
  <c r="Q28" i="18"/>
  <c r="BG22" i="3" s="1"/>
  <c r="Q23" i="18"/>
  <c r="BG13" i="3" s="1"/>
  <c r="Q18" i="18"/>
  <c r="BG4" i="3" s="1"/>
  <c r="Q30" i="18"/>
  <c r="BG24" i="3" s="1"/>
  <c r="Q25" i="18"/>
  <c r="BG16" i="3" s="1"/>
  <c r="Q39" i="18"/>
  <c r="BG35" i="3" s="1"/>
  <c r="Q22" i="18"/>
  <c r="BG12" i="3" s="1"/>
  <c r="Q10" i="18"/>
  <c r="Q44" i="18"/>
  <c r="BG40" i="3" s="1"/>
  <c r="Q37" i="18"/>
  <c r="BG33" i="3" s="1"/>
  <c r="Q29" i="18"/>
  <c r="BG23" i="3" s="1"/>
  <c r="Q21" i="18"/>
  <c r="BG11" i="3" s="1"/>
  <c r="Q42" i="18"/>
  <c r="Q36" i="18"/>
  <c r="BG32" i="3" s="1"/>
  <c r="Q27" i="18"/>
  <c r="BG21" i="3" s="1"/>
  <c r="Q9" i="18"/>
  <c r="Q11" i="18"/>
  <c r="Q7" i="18"/>
  <c r="BG3" i="3" s="1"/>
  <c r="Q24" i="18"/>
  <c r="BG15" i="3" s="1"/>
  <c r="Q32" i="18"/>
  <c r="BG28" i="3" s="1"/>
  <c r="Q34" i="18"/>
  <c r="BG27" i="3" s="1"/>
  <c r="S79" i="14"/>
  <c r="S78" i="14" s="1"/>
  <c r="I9" i="24"/>
  <c r="L10" i="26"/>
  <c r="N10" i="24"/>
  <c r="N8" i="24"/>
  <c r="J14" i="26"/>
  <c r="R36" i="22"/>
  <c r="DP27" i="3" s="1"/>
  <c r="R35" i="22"/>
  <c r="DP29" i="3" s="1"/>
  <c r="R27" i="22"/>
  <c r="DP16" i="3" s="1"/>
  <c r="R26" i="22"/>
  <c r="DP15" i="3" s="1"/>
  <c r="R20" i="22"/>
  <c r="DP4" i="3" s="1"/>
  <c r="R41" i="22"/>
  <c r="DP35" i="3" s="1"/>
  <c r="R40" i="22"/>
  <c r="DP34" i="3" s="1"/>
  <c r="R24" i="22"/>
  <c r="DP12" i="3" s="1"/>
  <c r="R46" i="22"/>
  <c r="DP40" i="3" s="1"/>
  <c r="R44" i="22"/>
  <c r="R10" i="22"/>
  <c r="R34" i="22"/>
  <c r="DP28" i="3" s="1"/>
  <c r="R25" i="22"/>
  <c r="DP13" i="3" s="1"/>
  <c r="R38" i="22"/>
  <c r="DP32" i="3" s="1"/>
  <c r="R13" i="22"/>
  <c r="R12" i="17" s="1"/>
  <c r="R8" i="22"/>
  <c r="R12" i="22"/>
  <c r="R11" i="17" s="1"/>
  <c r="R39" i="22"/>
  <c r="DP33" i="3" s="1"/>
  <c r="T105" i="14"/>
  <c r="T104" i="14" s="1"/>
  <c r="L9" i="26"/>
  <c r="M30" i="25" s="1"/>
  <c r="M29" i="25" s="1"/>
  <c r="M149" i="26" s="1"/>
  <c r="M10" i="24"/>
  <c r="M8" i="24"/>
  <c r="W18" i="22"/>
  <c r="O9" i="22"/>
  <c r="V18" i="22"/>
  <c r="J16" i="26"/>
  <c r="T35" i="22"/>
  <c r="DR29" i="3" s="1"/>
  <c r="T20" i="22"/>
  <c r="DR4" i="3" s="1"/>
  <c r="T34" i="22"/>
  <c r="DR28" i="3" s="1"/>
  <c r="T26" i="22"/>
  <c r="DR15" i="3" s="1"/>
  <c r="T25" i="22"/>
  <c r="DR13" i="3" s="1"/>
  <c r="T40" i="22"/>
  <c r="DR34" i="3" s="1"/>
  <c r="T46" i="22"/>
  <c r="DR40" i="3" s="1"/>
  <c r="T39" i="22"/>
  <c r="DR33" i="3" s="1"/>
  <c r="T38" i="22"/>
  <c r="DR32" i="3" s="1"/>
  <c r="T41" i="22"/>
  <c r="DR35" i="3" s="1"/>
  <c r="T36" i="22"/>
  <c r="DR27" i="3" s="1"/>
  <c r="T27" i="22"/>
  <c r="DR16" i="3" s="1"/>
  <c r="T13" i="22"/>
  <c r="T12" i="17" s="1"/>
  <c r="T8" i="22"/>
  <c r="T24" i="22"/>
  <c r="DR12" i="3" s="1"/>
  <c r="T12" i="22"/>
  <c r="T11" i="17" s="1"/>
  <c r="T44" i="22"/>
  <c r="T10" i="22"/>
  <c r="V105" i="14"/>
  <c r="V104" i="14" s="1"/>
  <c r="E12" i="26"/>
  <c r="P24" i="17"/>
  <c r="AQ13" i="3" s="1"/>
  <c r="P19" i="17"/>
  <c r="AQ4" i="3" s="1"/>
  <c r="P22" i="17"/>
  <c r="AQ11" i="3" s="1"/>
  <c r="P43" i="17"/>
  <c r="F12" i="26"/>
  <c r="P34" i="18"/>
  <c r="BF27" i="3" s="1"/>
  <c r="P25" i="18"/>
  <c r="BF16" i="3" s="1"/>
  <c r="P32" i="18"/>
  <c r="BF28" i="3" s="1"/>
  <c r="P24" i="18"/>
  <c r="BF15" i="3" s="1"/>
  <c r="P23" i="18"/>
  <c r="BF13" i="3" s="1"/>
  <c r="P39" i="18"/>
  <c r="BF35" i="3" s="1"/>
  <c r="P30" i="18"/>
  <c r="BF24" i="3" s="1"/>
  <c r="P22" i="18"/>
  <c r="BF12" i="3" s="1"/>
  <c r="P38" i="18"/>
  <c r="BF34" i="3" s="1"/>
  <c r="P44" i="18"/>
  <c r="BF40" i="3" s="1"/>
  <c r="P37" i="18"/>
  <c r="BF33" i="3" s="1"/>
  <c r="P29" i="18"/>
  <c r="BF23" i="3" s="1"/>
  <c r="P21" i="18"/>
  <c r="BF11" i="3" s="1"/>
  <c r="P28" i="18"/>
  <c r="BF22" i="3" s="1"/>
  <c r="P42" i="18"/>
  <c r="P36" i="18"/>
  <c r="BF32" i="3" s="1"/>
  <c r="P27" i="18"/>
  <c r="BF21" i="3" s="1"/>
  <c r="P10" i="18"/>
  <c r="P9" i="18"/>
  <c r="P33" i="18"/>
  <c r="BF29" i="3" s="1"/>
  <c r="P18" i="18"/>
  <c r="BF4" i="3" s="1"/>
  <c r="P11" i="18"/>
  <c r="P7" i="18"/>
  <c r="BF3" i="3" s="1"/>
  <c r="R79" i="14"/>
  <c r="R78" i="14" s="1"/>
  <c r="F14" i="26"/>
  <c r="R33" i="18"/>
  <c r="BH29" i="3" s="1"/>
  <c r="R32" i="18"/>
  <c r="BH28" i="3" s="1"/>
  <c r="R24" i="18"/>
  <c r="BH15" i="3" s="1"/>
  <c r="R39" i="18"/>
  <c r="BH35" i="3" s="1"/>
  <c r="R23" i="18"/>
  <c r="BH13" i="3" s="1"/>
  <c r="R22" i="18"/>
  <c r="BH12" i="3" s="1"/>
  <c r="R30" i="18"/>
  <c r="BH24" i="3" s="1"/>
  <c r="R44" i="18"/>
  <c r="BH40" i="3" s="1"/>
  <c r="R38" i="18"/>
  <c r="BH34" i="3" s="1"/>
  <c r="R37" i="18"/>
  <c r="BH33" i="3" s="1"/>
  <c r="R29" i="18"/>
  <c r="BH23" i="3" s="1"/>
  <c r="R21" i="18"/>
  <c r="BH11" i="3" s="1"/>
  <c r="R42" i="18"/>
  <c r="R36" i="18"/>
  <c r="BH32" i="3" s="1"/>
  <c r="R28" i="18"/>
  <c r="BH22" i="3" s="1"/>
  <c r="R27" i="18"/>
  <c r="BH21" i="3" s="1"/>
  <c r="R18" i="18"/>
  <c r="BH4" i="3" s="1"/>
  <c r="R34" i="18"/>
  <c r="BH27" i="3" s="1"/>
  <c r="R25" i="18"/>
  <c r="BH16" i="3" s="1"/>
  <c r="R11" i="18"/>
  <c r="R10" i="18"/>
  <c r="R9" i="18"/>
  <c r="R7" i="18"/>
  <c r="BH3" i="3" s="1"/>
  <c r="T79" i="14"/>
  <c r="T78" i="14" s="1"/>
  <c r="G16" i="26"/>
  <c r="T39" i="19"/>
  <c r="BY34" i="3" s="1"/>
  <c r="T34" i="19"/>
  <c r="BY29" i="3" s="1"/>
  <c r="T29" i="19"/>
  <c r="BY22" i="3" s="1"/>
  <c r="T24" i="19"/>
  <c r="BY13" i="3" s="1"/>
  <c r="T19" i="19"/>
  <c r="BY4" i="3" s="1"/>
  <c r="T31" i="19"/>
  <c r="BY24" i="3" s="1"/>
  <c r="T26" i="19"/>
  <c r="BY16" i="3" s="1"/>
  <c r="T33" i="19"/>
  <c r="BY28" i="3" s="1"/>
  <c r="T25" i="19"/>
  <c r="BY15" i="3" s="1"/>
  <c r="T45" i="19"/>
  <c r="BY40" i="3" s="1"/>
  <c r="T38" i="19"/>
  <c r="BY33" i="3" s="1"/>
  <c r="T30" i="19"/>
  <c r="BY23" i="3" s="1"/>
  <c r="T22" i="19"/>
  <c r="BY11" i="3" s="1"/>
  <c r="T11" i="19"/>
  <c r="T43" i="19"/>
  <c r="T37" i="19"/>
  <c r="BY32" i="3" s="1"/>
  <c r="T28" i="19"/>
  <c r="BY21" i="3" s="1"/>
  <c r="T8" i="19"/>
  <c r="T40" i="19"/>
  <c r="BY35" i="3" s="1"/>
  <c r="T35" i="19"/>
  <c r="BY27" i="3" s="1"/>
  <c r="T12" i="19"/>
  <c r="T23" i="19"/>
  <c r="BY12" i="3" s="1"/>
  <c r="T10" i="19"/>
  <c r="V131" i="14"/>
  <c r="V130" i="14" s="1"/>
  <c r="L6" i="26"/>
  <c r="J30" i="25" s="1"/>
  <c r="J29" i="25" s="1"/>
  <c r="M146" i="26" s="1"/>
  <c r="J8" i="24"/>
  <c r="J10" i="24"/>
  <c r="N8" i="21"/>
  <c r="N27" i="21" s="1"/>
  <c r="V16" i="21"/>
  <c r="J15" i="26"/>
  <c r="S46" i="22"/>
  <c r="DQ40" i="3" s="1"/>
  <c r="S41" i="22"/>
  <c r="DQ35" i="3" s="1"/>
  <c r="S36" i="22"/>
  <c r="DQ27" i="3" s="1"/>
  <c r="S26" i="22"/>
  <c r="DQ15" i="3" s="1"/>
  <c r="S40" i="22"/>
  <c r="DQ34" i="3" s="1"/>
  <c r="S35" i="22"/>
  <c r="DQ29" i="3" s="1"/>
  <c r="S25" i="22"/>
  <c r="DQ13" i="3" s="1"/>
  <c r="S27" i="22"/>
  <c r="DQ16" i="3" s="1"/>
  <c r="S20" i="22"/>
  <c r="DQ4" i="3" s="1"/>
  <c r="S34" i="22"/>
  <c r="DQ28" i="3" s="1"/>
  <c r="S24" i="22"/>
  <c r="DQ12" i="3" s="1"/>
  <c r="S13" i="22"/>
  <c r="S12" i="17" s="1"/>
  <c r="S39" i="22"/>
  <c r="DQ33" i="3" s="1"/>
  <c r="S44" i="22"/>
  <c r="S10" i="22"/>
  <c r="S38" i="22"/>
  <c r="DQ32" i="3" s="1"/>
  <c r="S8" i="22"/>
  <c r="S12" i="22"/>
  <c r="S11" i="17" s="1"/>
  <c r="U105" i="14"/>
  <c r="U104" i="14" s="1"/>
  <c r="W16" i="21"/>
  <c r="O8" i="21"/>
  <c r="O27" i="21" s="1"/>
  <c r="N28" i="2" s="1"/>
  <c r="O9" i="17"/>
  <c r="O49" i="17" s="1" a="1"/>
  <c r="O49" i="17" s="1"/>
  <c r="W17" i="17"/>
  <c r="V17" i="17"/>
  <c r="F16" i="26"/>
  <c r="T39" i="18"/>
  <c r="BJ35" i="3" s="1"/>
  <c r="T23" i="18"/>
  <c r="BJ13" i="3" s="1"/>
  <c r="T44" i="18"/>
  <c r="BJ40" i="3" s="1"/>
  <c r="T38" i="18"/>
  <c r="BJ34" i="3" s="1"/>
  <c r="T30" i="18"/>
  <c r="BJ24" i="3" s="1"/>
  <c r="T29" i="18"/>
  <c r="BJ23" i="3" s="1"/>
  <c r="T21" i="18"/>
  <c r="BJ11" i="3" s="1"/>
  <c r="T37" i="18"/>
  <c r="BJ33" i="3" s="1"/>
  <c r="T36" i="18"/>
  <c r="BJ32" i="3" s="1"/>
  <c r="T28" i="18"/>
  <c r="BJ22" i="3" s="1"/>
  <c r="T9" i="18"/>
  <c r="T42" i="18"/>
  <c r="T27" i="18"/>
  <c r="BJ21" i="3" s="1"/>
  <c r="T34" i="18"/>
  <c r="BJ27" i="3" s="1"/>
  <c r="T18" i="18"/>
  <c r="BJ4" i="3" s="1"/>
  <c r="T32" i="18"/>
  <c r="BJ28" i="3" s="1"/>
  <c r="T25" i="18"/>
  <c r="BJ16" i="3" s="1"/>
  <c r="T22" i="18"/>
  <c r="BJ12" i="3" s="1"/>
  <c r="T11" i="18"/>
  <c r="T7" i="18"/>
  <c r="BJ3" i="3" s="1"/>
  <c r="T33" i="18"/>
  <c r="BJ29" i="3" s="1"/>
  <c r="T24" i="18"/>
  <c r="BJ15" i="3" s="1"/>
  <c r="T10" i="18"/>
  <c r="V79" i="14"/>
  <c r="V78" i="14" s="1"/>
  <c r="I229" i="26"/>
  <c r="CR60" i="3" s="1"/>
  <c r="CR59" i="3"/>
  <c r="E13" i="26"/>
  <c r="Q40" i="17"/>
  <c r="AR35" i="3" s="1"/>
  <c r="Q39" i="17"/>
  <c r="AR34" i="3" s="1"/>
  <c r="Q35" i="17"/>
  <c r="AR27" i="3" s="1"/>
  <c r="Q45" i="17"/>
  <c r="AR40" i="3" s="1"/>
  <c r="Q43" i="17"/>
  <c r="Q38" i="17"/>
  <c r="AR33" i="3" s="1"/>
  <c r="Q37" i="17"/>
  <c r="AR32" i="3" s="1"/>
  <c r="Q34" i="17"/>
  <c r="AR29" i="3" s="1"/>
  <c r="Q33" i="17"/>
  <c r="AR28" i="3" s="1"/>
  <c r="Q26" i="17"/>
  <c r="AR16" i="3" s="1"/>
  <c r="Q23" i="17"/>
  <c r="AR12" i="3" s="1"/>
  <c r="Q25" i="17"/>
  <c r="AR15" i="3" s="1"/>
  <c r="Q24" i="17"/>
  <c r="AR13" i="3" s="1"/>
  <c r="Q22" i="17"/>
  <c r="AR11" i="3" s="1"/>
  <c r="Q19" i="17"/>
  <c r="AR4" i="3" s="1"/>
  <c r="Q8" i="17"/>
  <c r="S53" i="14"/>
  <c r="S52" i="14" s="1"/>
  <c r="E15" i="26"/>
  <c r="S24" i="17"/>
  <c r="AT13" i="3" s="1"/>
  <c r="S38" i="17"/>
  <c r="AT33" i="3" s="1"/>
  <c r="S40" i="17"/>
  <c r="AT35" i="3" s="1"/>
  <c r="S39" i="17"/>
  <c r="AT34" i="3" s="1"/>
  <c r="S37" i="17"/>
  <c r="AT32" i="3" s="1"/>
  <c r="S35" i="17"/>
  <c r="AT27" i="3" s="1"/>
  <c r="S34" i="17"/>
  <c r="AT29" i="3" s="1"/>
  <c r="S33" i="17"/>
  <c r="AT28" i="3" s="1"/>
  <c r="S26" i="17"/>
  <c r="AT16" i="3" s="1"/>
  <c r="S25" i="17"/>
  <c r="AT15" i="3" s="1"/>
  <c r="S8" i="17"/>
  <c r="S45" i="17"/>
  <c r="AT40" i="3" s="1"/>
  <c r="U53" i="14"/>
  <c r="U52" i="14" s="1"/>
  <c r="W17" i="20"/>
  <c r="O9" i="20"/>
  <c r="V17" i="20"/>
  <c r="J12" i="26"/>
  <c r="P44" i="22"/>
  <c r="P36" i="22"/>
  <c r="DN27" i="3" s="1"/>
  <c r="P34" i="22"/>
  <c r="DN28" i="3" s="1"/>
  <c r="P26" i="22"/>
  <c r="DN15" i="3" s="1"/>
  <c r="P20" i="22"/>
  <c r="DN4" i="3" s="1"/>
  <c r="P25" i="22"/>
  <c r="DN13" i="3" s="1"/>
  <c r="P41" i="22"/>
  <c r="DN35" i="3" s="1"/>
  <c r="P24" i="22"/>
  <c r="DN12" i="3" s="1"/>
  <c r="P39" i="22"/>
  <c r="DN33" i="3" s="1"/>
  <c r="P12" i="22"/>
  <c r="P11" i="17" s="1"/>
  <c r="P46" i="22"/>
  <c r="DN40" i="3" s="1"/>
  <c r="P27" i="22"/>
  <c r="DN16" i="3" s="1"/>
  <c r="P40" i="22"/>
  <c r="DN34" i="3" s="1"/>
  <c r="P38" i="22"/>
  <c r="DN32" i="3" s="1"/>
  <c r="P13" i="22"/>
  <c r="P12" i="17" s="1"/>
  <c r="P35" i="22"/>
  <c r="DN29" i="3" s="1"/>
  <c r="P8" i="22"/>
  <c r="P10" i="22"/>
  <c r="R105" i="14"/>
  <c r="R104" i="14" s="1"/>
  <c r="E14" i="26"/>
  <c r="R26" i="17"/>
  <c r="AS16" i="3" s="1"/>
  <c r="R43" i="17"/>
  <c r="R23" i="17"/>
  <c r="AS12" i="3" s="1"/>
  <c r="R45" i="17"/>
  <c r="AS40" i="3" s="1"/>
  <c r="R38" i="17"/>
  <c r="AS33" i="3" s="1"/>
  <c r="R40" i="17"/>
  <c r="AS35" i="3" s="1"/>
  <c r="R39" i="17"/>
  <c r="AS34" i="3" s="1"/>
  <c r="R37" i="17"/>
  <c r="AS32" i="3" s="1"/>
  <c r="R35" i="17"/>
  <c r="AS27" i="3" s="1"/>
  <c r="R34" i="17"/>
  <c r="AS29" i="3" s="1"/>
  <c r="R33" i="17"/>
  <c r="AS28" i="3" s="1"/>
  <c r="R25" i="17"/>
  <c r="AS15" i="3" s="1"/>
  <c r="R24" i="17"/>
  <c r="AS13" i="3" s="1"/>
  <c r="R22" i="17"/>
  <c r="AS11" i="3" s="1"/>
  <c r="R19" i="17"/>
  <c r="AS4" i="3" s="1"/>
  <c r="R8" i="17"/>
  <c r="T53" i="14"/>
  <c r="T52" i="14" s="1"/>
  <c r="T43" i="17"/>
  <c r="T38" i="17"/>
  <c r="AU33" i="3" s="1"/>
  <c r="T33" i="17"/>
  <c r="AU28" i="3" s="1"/>
  <c r="T23" i="17"/>
  <c r="AU12" i="3" s="1"/>
  <c r="T39" i="17"/>
  <c r="AU34" i="3" s="1"/>
  <c r="T35" i="17"/>
  <c r="AU27" i="3" s="1"/>
  <c r="T8" i="17"/>
  <c r="T45" i="17"/>
  <c r="AU40" i="3" s="1"/>
  <c r="T25" i="17"/>
  <c r="AU15" i="3" s="1"/>
  <c r="T22" i="17"/>
  <c r="AU11" i="3" s="1"/>
  <c r="T24" i="17"/>
  <c r="AU13" i="3" s="1"/>
  <c r="T19" i="17"/>
  <c r="AU4" i="3" s="1"/>
  <c r="T37" i="17"/>
  <c r="AU32" i="3" s="1"/>
  <c r="T40" i="17"/>
  <c r="AU35" i="3" s="1"/>
  <c r="V53" i="14"/>
  <c r="V52" i="14" s="1"/>
  <c r="G14" i="26"/>
  <c r="R37" i="19"/>
  <c r="BW32" i="3" s="1"/>
  <c r="R22" i="19"/>
  <c r="BW11" i="3" s="1"/>
  <c r="R12" i="19"/>
  <c r="R39" i="19"/>
  <c r="BW34" i="3" s="1"/>
  <c r="R34" i="19"/>
  <c r="BW29" i="3" s="1"/>
  <c r="R29" i="19"/>
  <c r="BW22" i="3" s="1"/>
  <c r="R24" i="19"/>
  <c r="BW13" i="3" s="1"/>
  <c r="R19" i="19"/>
  <c r="BW4" i="3" s="1"/>
  <c r="R35" i="19"/>
  <c r="BW27" i="3" s="1"/>
  <c r="R26" i="19"/>
  <c r="BW16" i="3" s="1"/>
  <c r="R40" i="19"/>
  <c r="BW35" i="3" s="1"/>
  <c r="R31" i="19"/>
  <c r="BW24" i="3" s="1"/>
  <c r="R23" i="19"/>
  <c r="BW12" i="3" s="1"/>
  <c r="R45" i="19"/>
  <c r="BW40" i="3" s="1"/>
  <c r="R38" i="19"/>
  <c r="BW33" i="3" s="1"/>
  <c r="R30" i="19"/>
  <c r="BW23" i="3" s="1"/>
  <c r="R11" i="19"/>
  <c r="R28" i="19"/>
  <c r="BW21" i="3" s="1"/>
  <c r="R25" i="19"/>
  <c r="BW15" i="3" s="1"/>
  <c r="R43" i="19"/>
  <c r="R10" i="19"/>
  <c r="R8" i="19"/>
  <c r="R33" i="19"/>
  <c r="BW28" i="3" s="1"/>
  <c r="T131" i="14"/>
  <c r="T130" i="14" s="1"/>
  <c r="I12" i="26"/>
  <c r="CY33" i="3"/>
  <c r="P25" i="21"/>
  <c r="CY15" i="3" s="1"/>
  <c r="P36" i="21"/>
  <c r="CY27" i="3" s="1"/>
  <c r="P18" i="21"/>
  <c r="CY4" i="3" s="1"/>
  <c r="P44" i="21"/>
  <c r="P38" i="21"/>
  <c r="CY32" i="3" s="1"/>
  <c r="P46" i="21"/>
  <c r="CY40" i="3" s="1"/>
  <c r="P26" i="21"/>
  <c r="CY16" i="3" s="1"/>
  <c r="P23" i="21"/>
  <c r="P7" i="21"/>
  <c r="CY3" i="3" s="1"/>
  <c r="P9" i="21"/>
  <c r="P10" i="21"/>
  <c r="P11" i="21"/>
  <c r="R185" i="14"/>
  <c r="R184" i="14" s="1"/>
  <c r="F15" i="26"/>
  <c r="S30" i="18"/>
  <c r="BI24" i="3" s="1"/>
  <c r="S25" i="18"/>
  <c r="BI16" i="3" s="1"/>
  <c r="S10" i="18"/>
  <c r="S42" i="18"/>
  <c r="S37" i="18"/>
  <c r="BI33" i="3" s="1"/>
  <c r="S32" i="18"/>
  <c r="BI28" i="3" s="1"/>
  <c r="S27" i="18"/>
  <c r="BI21" i="3" s="1"/>
  <c r="S22" i="18"/>
  <c r="BI12" i="3" s="1"/>
  <c r="S44" i="18"/>
  <c r="BI40" i="3" s="1"/>
  <c r="S38" i="18"/>
  <c r="BI34" i="3" s="1"/>
  <c r="S29" i="18"/>
  <c r="BI23" i="3" s="1"/>
  <c r="S21" i="18"/>
  <c r="BI11" i="3" s="1"/>
  <c r="S36" i="18"/>
  <c r="BI32" i="3" s="1"/>
  <c r="S28" i="18"/>
  <c r="BI22" i="3" s="1"/>
  <c r="S34" i="18"/>
  <c r="BI27" i="3" s="1"/>
  <c r="S18" i="18"/>
  <c r="BI4" i="3" s="1"/>
  <c r="S39" i="18"/>
  <c r="BI35" i="3" s="1"/>
  <c r="S33" i="18"/>
  <c r="BI29" i="3" s="1"/>
  <c r="S24" i="18"/>
  <c r="BI15" i="3" s="1"/>
  <c r="S23" i="18"/>
  <c r="BI13" i="3" s="1"/>
  <c r="S11" i="18"/>
  <c r="S7" i="18"/>
  <c r="BI3" i="3" s="1"/>
  <c r="S9" i="18"/>
  <c r="U79" i="14"/>
  <c r="U78" i="14" s="1"/>
  <c r="H13" i="26"/>
  <c r="Q45" i="20"/>
  <c r="CK40" i="3" s="1"/>
  <c r="Q40" i="20"/>
  <c r="CK35" i="3" s="1"/>
  <c r="Q35" i="20"/>
  <c r="CK27" i="3" s="1"/>
  <c r="Q30" i="20"/>
  <c r="CK23" i="3" s="1"/>
  <c r="Q25" i="20"/>
  <c r="CK15" i="3" s="1"/>
  <c r="Q10" i="20"/>
  <c r="Q37" i="20"/>
  <c r="CK32" i="3" s="1"/>
  <c r="Q22" i="20"/>
  <c r="CK11" i="3" s="1"/>
  <c r="Q12" i="20"/>
  <c r="Q43" i="20"/>
  <c r="Q29" i="20"/>
  <c r="CK22" i="3" s="1"/>
  <c r="Q26" i="20"/>
  <c r="CK16" i="3" s="1"/>
  <c r="Q23" i="20"/>
  <c r="CK12" i="3" s="1"/>
  <c r="Q39" i="20"/>
  <c r="CK34" i="3" s="1"/>
  <c r="Q33" i="20"/>
  <c r="CK28" i="3" s="1"/>
  <c r="Q38" i="20"/>
  <c r="CK33" i="3" s="1"/>
  <c r="Q11" i="20"/>
  <c r="Q8" i="20"/>
  <c r="Q24" i="20"/>
  <c r="CK13" i="3" s="1"/>
  <c r="Q34" i="20"/>
  <c r="CK29" i="3" s="1"/>
  <c r="Q19" i="20"/>
  <c r="CK4" i="3" s="1"/>
  <c r="Q31" i="20"/>
  <c r="CK24" i="3" s="1"/>
  <c r="Q28" i="20"/>
  <c r="CK21" i="3" s="1"/>
  <c r="S157" i="14"/>
  <c r="S156" i="14" s="1"/>
  <c r="H16" i="26"/>
  <c r="T31" i="20"/>
  <c r="CN24" i="3" s="1"/>
  <c r="T26" i="20"/>
  <c r="CN16" i="3" s="1"/>
  <c r="T38" i="20"/>
  <c r="CN33" i="3" s="1"/>
  <c r="T35" i="20"/>
  <c r="CN27" i="3" s="1"/>
  <c r="T34" i="20"/>
  <c r="CN29" i="3" s="1"/>
  <c r="T43" i="20"/>
  <c r="T23" i="20"/>
  <c r="CN12" i="3" s="1"/>
  <c r="T45" i="20"/>
  <c r="CN40" i="3" s="1"/>
  <c r="T28" i="20"/>
  <c r="CN21" i="3" s="1"/>
  <c r="T25" i="20"/>
  <c r="CN15" i="3" s="1"/>
  <c r="T24" i="20"/>
  <c r="CN13" i="3" s="1"/>
  <c r="T22" i="20"/>
  <c r="CN11" i="3" s="1"/>
  <c r="T33" i="20"/>
  <c r="CN28" i="3" s="1"/>
  <c r="T30" i="20"/>
  <c r="CN23" i="3" s="1"/>
  <c r="T29" i="20"/>
  <c r="CN22" i="3" s="1"/>
  <c r="T19" i="20"/>
  <c r="CN4" i="3" s="1"/>
  <c r="T8" i="20"/>
  <c r="T39" i="20"/>
  <c r="CN34" i="3" s="1"/>
  <c r="T12" i="20"/>
  <c r="T40" i="20"/>
  <c r="CN35" i="3" s="1"/>
  <c r="T10" i="20"/>
  <c r="T37" i="20"/>
  <c r="CN32" i="3" s="1"/>
  <c r="T11" i="20"/>
  <c r="V157" i="14"/>
  <c r="V156" i="14" s="1"/>
  <c r="J13" i="26"/>
  <c r="Q44" i="22"/>
  <c r="Q39" i="22"/>
  <c r="DO33" i="3" s="1"/>
  <c r="Q34" i="22"/>
  <c r="DO28" i="3" s="1"/>
  <c r="Q24" i="22"/>
  <c r="DO12" i="3" s="1"/>
  <c r="Q38" i="22"/>
  <c r="DO32" i="3" s="1"/>
  <c r="Q36" i="22"/>
  <c r="DO27" i="3" s="1"/>
  <c r="Q35" i="22"/>
  <c r="DO29" i="3" s="1"/>
  <c r="Q27" i="22"/>
  <c r="DO16" i="3" s="1"/>
  <c r="Q25" i="22"/>
  <c r="DO13" i="3" s="1"/>
  <c r="Q10" i="22"/>
  <c r="Q41" i="22"/>
  <c r="DO35" i="3" s="1"/>
  <c r="Q40" i="22"/>
  <c r="DO34" i="3" s="1"/>
  <c r="Q46" i="22"/>
  <c r="DO40" i="3" s="1"/>
  <c r="Q20" i="22"/>
  <c r="DO4" i="3" s="1"/>
  <c r="Q13" i="22"/>
  <c r="Q12" i="17" s="1"/>
  <c r="Q8" i="22"/>
  <c r="Q26" i="22"/>
  <c r="DO15" i="3" s="1"/>
  <c r="Q12" i="22"/>
  <c r="Q11" i="17" s="1"/>
  <c r="S105" i="14"/>
  <c r="S104" i="14" s="1"/>
  <c r="H14" i="26"/>
  <c r="R39" i="20"/>
  <c r="CL34" i="3" s="1"/>
  <c r="R34" i="20"/>
  <c r="CL29" i="3" s="1"/>
  <c r="R29" i="20"/>
  <c r="CL22" i="3" s="1"/>
  <c r="R24" i="20"/>
  <c r="CL13" i="3" s="1"/>
  <c r="R45" i="20"/>
  <c r="CL40" i="3" s="1"/>
  <c r="R31" i="20"/>
  <c r="CL24" i="3" s="1"/>
  <c r="R28" i="20"/>
  <c r="CL21" i="3" s="1"/>
  <c r="R25" i="20"/>
  <c r="CL15" i="3" s="1"/>
  <c r="R19" i="20"/>
  <c r="CL4" i="3" s="1"/>
  <c r="R38" i="20"/>
  <c r="CL33" i="3" s="1"/>
  <c r="R37" i="20"/>
  <c r="CL32" i="3" s="1"/>
  <c r="R35" i="20"/>
  <c r="CL27" i="3" s="1"/>
  <c r="R40" i="20"/>
  <c r="CL35" i="3" s="1"/>
  <c r="R43" i="20"/>
  <c r="R26" i="20"/>
  <c r="CL16" i="3" s="1"/>
  <c r="R23" i="20"/>
  <c r="CL12" i="3" s="1"/>
  <c r="R22" i="20"/>
  <c r="CL11" i="3" s="1"/>
  <c r="R11" i="20"/>
  <c r="R8" i="20"/>
  <c r="R12" i="20"/>
  <c r="R33" i="20"/>
  <c r="CL28" i="3" s="1"/>
  <c r="R30" i="20"/>
  <c r="CL23" i="3" s="1"/>
  <c r="R10" i="20"/>
  <c r="T157" i="14"/>
  <c r="T156" i="14" s="1"/>
  <c r="P26" i="17" l="1"/>
  <c r="AQ16" i="3" s="1"/>
  <c r="P33" i="17"/>
  <c r="AQ28" i="3" s="1"/>
  <c r="P35" i="17"/>
  <c r="AQ27" i="3" s="1"/>
  <c r="P34" i="17"/>
  <c r="AQ29" i="3" s="1"/>
  <c r="P39" i="17"/>
  <c r="AQ34" i="3" s="1"/>
  <c r="P23" i="17"/>
  <c r="AQ12" i="3" s="1"/>
  <c r="R23" i="22"/>
  <c r="DP11" i="3" s="1"/>
  <c r="Q23" i="22"/>
  <c r="DO11" i="3" s="1"/>
  <c r="T23" i="22"/>
  <c r="DR11" i="3" s="1"/>
  <c r="P23" i="22"/>
  <c r="DN11" i="3" s="1"/>
  <c r="S23" i="22"/>
  <c r="DQ11" i="3" s="1"/>
  <c r="Q31" i="22"/>
  <c r="Q32" i="22"/>
  <c r="DO24" i="3" s="1"/>
  <c r="S32" i="22"/>
  <c r="DQ24" i="3" s="1"/>
  <c r="S31" i="22"/>
  <c r="DQ23" i="3" s="1"/>
  <c r="T32" i="22"/>
  <c r="DR24" i="3" s="1"/>
  <c r="T31" i="22"/>
  <c r="DR23" i="3" s="1"/>
  <c r="R32" i="22"/>
  <c r="DP24" i="3" s="1"/>
  <c r="R31" i="22"/>
  <c r="DP23" i="3" s="1"/>
  <c r="P32" i="22"/>
  <c r="DN24" i="3" s="1"/>
  <c r="P31" i="22"/>
  <c r="DN23" i="3" s="1"/>
  <c r="DO23" i="3"/>
  <c r="R11" i="16"/>
  <c r="R29" i="16" s="1"/>
  <c r="AD22" i="3" s="1"/>
  <c r="R30" i="22"/>
  <c r="DP22" i="3" s="1"/>
  <c r="R29" i="22"/>
  <c r="DP21" i="3" s="1"/>
  <c r="Q11" i="16"/>
  <c r="Q29" i="16" s="1"/>
  <c r="AC22" i="3" s="1"/>
  <c r="Q29" i="22"/>
  <c r="DO21" i="3" s="1"/>
  <c r="Q30" i="22"/>
  <c r="DO22" i="3" s="1"/>
  <c r="T11" i="16"/>
  <c r="T29" i="16" s="1"/>
  <c r="AF22" i="3" s="1"/>
  <c r="T30" i="22"/>
  <c r="DR22" i="3" s="1"/>
  <c r="T29" i="22"/>
  <c r="DR21" i="3" s="1"/>
  <c r="P11" i="16"/>
  <c r="P28" i="16" s="1"/>
  <c r="AB21" i="3" s="1"/>
  <c r="P29" i="22"/>
  <c r="DN21" i="3" s="1"/>
  <c r="P30" i="22"/>
  <c r="DN22" i="3" s="1"/>
  <c r="S11" i="16"/>
  <c r="S26" i="16" s="1"/>
  <c r="AE16" i="3" s="1"/>
  <c r="S30" i="22"/>
  <c r="DQ22" i="3" s="1"/>
  <c r="S29" i="22"/>
  <c r="DQ21" i="3" s="1"/>
  <c r="P37" i="17"/>
  <c r="AQ32" i="3" s="1"/>
  <c r="T26" i="17"/>
  <c r="AU16" i="3" s="1"/>
  <c r="E16" i="26"/>
  <c r="S22" i="17"/>
  <c r="AT11" i="3" s="1"/>
  <c r="S43" i="17"/>
  <c r="R53" i="14"/>
  <c r="R52" i="14" s="1"/>
  <c r="P38" i="17"/>
  <c r="AQ33" i="3" s="1"/>
  <c r="T34" i="17"/>
  <c r="AU29" i="3" s="1"/>
  <c r="S23" i="17"/>
  <c r="AT12" i="3" s="1"/>
  <c r="S19" i="17"/>
  <c r="AT4" i="3" s="1"/>
  <c r="P45" i="17"/>
  <c r="AQ40" i="3" s="1"/>
  <c r="P40" i="17"/>
  <c r="AQ35" i="3" s="1"/>
  <c r="P8" i="17"/>
  <c r="AQ3" i="3" s="1"/>
  <c r="AQ5" i="3" s="1"/>
  <c r="P25" i="17"/>
  <c r="AQ15" i="3" s="1"/>
  <c r="Q24" i="16"/>
  <c r="AC13" i="3" s="1"/>
  <c r="Q45" i="16"/>
  <c r="AC40" i="3" s="1"/>
  <c r="Q38" i="16"/>
  <c r="AC33" i="3" s="1"/>
  <c r="Q37" i="16"/>
  <c r="AC32" i="3" s="1"/>
  <c r="Q43" i="16"/>
  <c r="Q40" i="16"/>
  <c r="AC35" i="3" s="1"/>
  <c r="Q39" i="16"/>
  <c r="AC34" i="3" s="1"/>
  <c r="Q35" i="16"/>
  <c r="AC27" i="3" s="1"/>
  <c r="S28" i="14"/>
  <c r="S27" i="14" s="1"/>
  <c r="D13" i="26"/>
  <c r="Q26" i="16"/>
  <c r="AC16" i="3" s="1"/>
  <c r="T25" i="16"/>
  <c r="AF15" i="3" s="1"/>
  <c r="T24" i="16"/>
  <c r="AF13" i="3" s="1"/>
  <c r="T40" i="16"/>
  <c r="AF35" i="3" s="1"/>
  <c r="T8" i="16"/>
  <c r="W24" i="12" s="1"/>
  <c r="T38" i="16"/>
  <c r="AF33" i="3" s="1"/>
  <c r="V28" i="14"/>
  <c r="V27" i="14" s="1"/>
  <c r="T34" i="16"/>
  <c r="AF29" i="3" s="1"/>
  <c r="T19" i="16"/>
  <c r="D30" i="26" s="1"/>
  <c r="D16" i="26"/>
  <c r="T26" i="16"/>
  <c r="AF16" i="3" s="1"/>
  <c r="T23" i="16"/>
  <c r="AF12" i="3" s="1"/>
  <c r="T39" i="16"/>
  <c r="AF34" i="3" s="1"/>
  <c r="T37" i="16"/>
  <c r="AF32" i="3" s="1"/>
  <c r="T35" i="16"/>
  <c r="AF27" i="3" s="1"/>
  <c r="T22" i="16"/>
  <c r="AF11" i="3" s="1"/>
  <c r="T45" i="16"/>
  <c r="AF40" i="3" s="1"/>
  <c r="T33" i="16"/>
  <c r="AF28" i="3" s="1"/>
  <c r="T43" i="16"/>
  <c r="P45" i="16"/>
  <c r="AB40" i="3" s="1"/>
  <c r="P39" i="16"/>
  <c r="AB34" i="3" s="1"/>
  <c r="P40" i="16"/>
  <c r="AB35" i="3" s="1"/>
  <c r="P24" i="16"/>
  <c r="O23" i="2" s="1"/>
  <c r="P34" i="16"/>
  <c r="AB29" i="3" s="1"/>
  <c r="P35" i="16"/>
  <c r="AB27" i="3" s="1"/>
  <c r="P19" i="16"/>
  <c r="D26" i="26" s="1"/>
  <c r="R28" i="14"/>
  <c r="R27" i="14" s="1"/>
  <c r="P22" i="16"/>
  <c r="AB11" i="3" s="1"/>
  <c r="P25" i="16"/>
  <c r="AB15" i="3" s="1"/>
  <c r="D12" i="26"/>
  <c r="P8" i="16"/>
  <c r="AB3" i="3" s="1"/>
  <c r="P43" i="16"/>
  <c r="P26" i="16"/>
  <c r="AB16" i="3" s="1"/>
  <c r="P23" i="16"/>
  <c r="AB12" i="3" s="1"/>
  <c r="P37" i="16"/>
  <c r="P38" i="16"/>
  <c r="AB33" i="3" s="1"/>
  <c r="P33" i="16"/>
  <c r="AB28" i="3" s="1"/>
  <c r="R33" i="16"/>
  <c r="AD28" i="3" s="1"/>
  <c r="T28" i="14"/>
  <c r="T27" i="14" s="1"/>
  <c r="R25" i="16"/>
  <c r="AD15" i="3" s="1"/>
  <c r="R24" i="16"/>
  <c r="Q23" i="2" s="1"/>
  <c r="D14" i="26"/>
  <c r="R40" i="16"/>
  <c r="AD35" i="3" s="1"/>
  <c r="R39" i="16"/>
  <c r="AD34" i="3" s="1"/>
  <c r="R22" i="16"/>
  <c r="R44" i="16" s="1"/>
  <c r="R35" i="16"/>
  <c r="AD27" i="3" s="1"/>
  <c r="R8" i="16"/>
  <c r="U24" i="12" s="1"/>
  <c r="R45" i="16"/>
  <c r="AD40" i="3" s="1"/>
  <c r="R38" i="16"/>
  <c r="AD33" i="3" s="1"/>
  <c r="R34" i="16"/>
  <c r="AD29" i="3" s="1"/>
  <c r="R19" i="16"/>
  <c r="R26" i="16"/>
  <c r="AD16" i="3" s="1"/>
  <c r="R23" i="16"/>
  <c r="AD12" i="3" s="1"/>
  <c r="R37" i="16"/>
  <c r="AD32" i="3" s="1"/>
  <c r="R43" i="16"/>
  <c r="Q19" i="16"/>
  <c r="D27" i="26" s="1"/>
  <c r="Q25" i="16"/>
  <c r="AC15" i="3" s="1"/>
  <c r="S38" i="16"/>
  <c r="AE33" i="3" s="1"/>
  <c r="S43" i="16"/>
  <c r="D15" i="26"/>
  <c r="Q22" i="16"/>
  <c r="AC11" i="3" s="1"/>
  <c r="S28" i="17"/>
  <c r="AT21" i="3" s="1"/>
  <c r="S29" i="17"/>
  <c r="AT22" i="3" s="1"/>
  <c r="Q28" i="17"/>
  <c r="AR21" i="3" s="1"/>
  <c r="Q29" i="17"/>
  <c r="AR22" i="3" s="1"/>
  <c r="Q33" i="16"/>
  <c r="AC28" i="3" s="1"/>
  <c r="P28" i="17"/>
  <c r="AQ21" i="3" s="1"/>
  <c r="P29" i="17"/>
  <c r="AQ22" i="3" s="1"/>
  <c r="T28" i="17"/>
  <c r="AU21" i="3" s="1"/>
  <c r="T29" i="17"/>
  <c r="AU22" i="3" s="1"/>
  <c r="R28" i="17"/>
  <c r="AS21" i="3" s="1"/>
  <c r="R29" i="17"/>
  <c r="AS22" i="3" s="1"/>
  <c r="Q23" i="16"/>
  <c r="AC12" i="3" s="1"/>
  <c r="Q34" i="16"/>
  <c r="AC29" i="3" s="1"/>
  <c r="Q8" i="16"/>
  <c r="AC3" i="3" s="1"/>
  <c r="S33" i="16"/>
  <c r="AE28" i="3" s="1"/>
  <c r="S45" i="16"/>
  <c r="AE40" i="3" s="1"/>
  <c r="S35" i="16"/>
  <c r="AE27" i="3" s="1"/>
  <c r="S25" i="16"/>
  <c r="AE15" i="3" s="1"/>
  <c r="S24" i="16"/>
  <c r="AE13" i="3" s="1"/>
  <c r="S19" i="16"/>
  <c r="S18" i="16" s="1"/>
  <c r="S8" i="16"/>
  <c r="AE3" i="3" s="1"/>
  <c r="S22" i="16"/>
  <c r="AE11" i="3" s="1"/>
  <c r="S39" i="16"/>
  <c r="AE34" i="3" s="1"/>
  <c r="U28" i="14"/>
  <c r="U27" i="14" s="1"/>
  <c r="S37" i="16"/>
  <c r="AE32" i="3" s="1"/>
  <c r="S40" i="16"/>
  <c r="AE35" i="3" s="1"/>
  <c r="S23" i="16"/>
  <c r="AE12" i="3" s="1"/>
  <c r="O11" i="22"/>
  <c r="S34" i="16"/>
  <c r="AE29" i="3" s="1"/>
  <c r="V49" i="17"/>
  <c r="W49" i="17"/>
  <c r="DB35" i="3"/>
  <c r="R57" i="2"/>
  <c r="CY35" i="3"/>
  <c r="CY30" i="3" s="1"/>
  <c r="CY31" i="3" s="1"/>
  <c r="O57" i="2"/>
  <c r="DA35" i="3"/>
  <c r="DA30" i="3" s="1"/>
  <c r="DA31" i="3" s="1"/>
  <c r="Q57" i="2"/>
  <c r="CZ35" i="3"/>
  <c r="CZ30" i="3" s="1"/>
  <c r="CZ31" i="3" s="1"/>
  <c r="P57" i="2"/>
  <c r="DC35" i="3"/>
  <c r="DC30" i="3" s="1"/>
  <c r="DC31" i="3" s="1"/>
  <c r="S57" i="2"/>
  <c r="CW14" i="3"/>
  <c r="M28" i="2"/>
  <c r="W27" i="21"/>
  <c r="CX14" i="3"/>
  <c r="V27" i="21"/>
  <c r="CY11" i="3"/>
  <c r="P20" i="21"/>
  <c r="DC11" i="3"/>
  <c r="T20" i="21"/>
  <c r="DB11" i="3"/>
  <c r="S20" i="21"/>
  <c r="DA11" i="3"/>
  <c r="R20" i="21"/>
  <c r="CZ11" i="3"/>
  <c r="Q20" i="21"/>
  <c r="O21" i="21"/>
  <c r="O22" i="21"/>
  <c r="W22" i="21" s="1"/>
  <c r="N21" i="21"/>
  <c r="N22" i="21"/>
  <c r="O39" i="21"/>
  <c r="CX33" i="3" s="1"/>
  <c r="O40" i="21"/>
  <c r="O41" i="21"/>
  <c r="N57" i="2" s="1"/>
  <c r="N39" i="21"/>
  <c r="N40" i="21"/>
  <c r="N41" i="21"/>
  <c r="M57" i="2" s="1"/>
  <c r="R33" i="12"/>
  <c r="Q33" i="12"/>
  <c r="Q32" i="12" s="1"/>
  <c r="Q22" i="12" s="1"/>
  <c r="EM3" i="3"/>
  <c r="EM37" i="3" s="1"/>
  <c r="EP3" i="3"/>
  <c r="EP26" i="3" s="1"/>
  <c r="EL3" i="3"/>
  <c r="EL37" i="3" s="1"/>
  <c r="EO3" i="3"/>
  <c r="EO5" i="3" s="1"/>
  <c r="EN3" i="3"/>
  <c r="EN26" i="3" s="1"/>
  <c r="BW3" i="3"/>
  <c r="BW5" i="3" s="1"/>
  <c r="U36" i="12"/>
  <c r="BX3" i="3"/>
  <c r="BX5" i="3" s="1"/>
  <c r="V36" i="12"/>
  <c r="BY3" i="3"/>
  <c r="BY5" i="3" s="1"/>
  <c r="W36" i="12"/>
  <c r="BV3" i="3"/>
  <c r="BV5" i="3" s="1"/>
  <c r="T36" i="12"/>
  <c r="BU3" i="3"/>
  <c r="BU5" i="3" s="1"/>
  <c r="S36" i="12"/>
  <c r="CK3" i="3"/>
  <c r="CK5" i="3" s="1"/>
  <c r="T34" i="12"/>
  <c r="CJ3" i="3"/>
  <c r="CJ5" i="3" s="1"/>
  <c r="S34" i="12"/>
  <c r="CL3" i="3"/>
  <c r="CL5" i="3" s="1"/>
  <c r="U34" i="12"/>
  <c r="CN3" i="3"/>
  <c r="CN5" i="3" s="1"/>
  <c r="W34" i="12"/>
  <c r="CM3" i="3"/>
  <c r="CM5" i="3" s="1"/>
  <c r="V34" i="12"/>
  <c r="DO3" i="3"/>
  <c r="DO5" i="3" s="1"/>
  <c r="T26" i="12"/>
  <c r="DN3" i="3"/>
  <c r="DN5" i="3" s="1"/>
  <c r="S26" i="12"/>
  <c r="DQ3" i="3"/>
  <c r="DQ5" i="3" s="1"/>
  <c r="V26" i="12"/>
  <c r="DR3" i="3"/>
  <c r="DR5" i="3" s="1"/>
  <c r="W26" i="12"/>
  <c r="DP3" i="3"/>
  <c r="DP5" i="3" s="1"/>
  <c r="U26" i="12"/>
  <c r="AT3" i="3"/>
  <c r="V25" i="12"/>
  <c r="AR3" i="3"/>
  <c r="AR5" i="3" s="1"/>
  <c r="T25" i="12"/>
  <c r="AU3" i="3"/>
  <c r="AU5" i="3" s="1"/>
  <c r="W25" i="12"/>
  <c r="AS3" i="3"/>
  <c r="AS5" i="3" s="1"/>
  <c r="U25" i="12"/>
  <c r="DC18" i="3"/>
  <c r="Q18" i="3" s="1"/>
  <c r="S27" i="2"/>
  <c r="DC17" i="3"/>
  <c r="Q17" i="3" s="1"/>
  <c r="S26" i="2"/>
  <c r="DA18" i="3"/>
  <c r="O18" i="3" s="1"/>
  <c r="Q27" i="2"/>
  <c r="DA17" i="3"/>
  <c r="O17" i="3" s="1"/>
  <c r="Q26" i="2"/>
  <c r="CZ18" i="3"/>
  <c r="N18" i="3" s="1"/>
  <c r="P27" i="2"/>
  <c r="CZ17" i="3"/>
  <c r="N17" i="3" s="1"/>
  <c r="P26" i="2"/>
  <c r="CY18" i="3"/>
  <c r="M18" i="3" s="1"/>
  <c r="O27" i="2"/>
  <c r="CY17" i="3"/>
  <c r="M17" i="3" s="1"/>
  <c r="O26" i="2"/>
  <c r="ER13" i="3"/>
  <c r="ES13" i="3"/>
  <c r="DB32" i="3"/>
  <c r="S33" i="21"/>
  <c r="DB27" i="3"/>
  <c r="DB25" i="3" s="1"/>
  <c r="DB26" i="3" s="1"/>
  <c r="CY5" i="3"/>
  <c r="CY20" i="3"/>
  <c r="DA5" i="3"/>
  <c r="DB17" i="3"/>
  <c r="P17" i="3" s="1"/>
  <c r="S45" i="21"/>
  <c r="DB39" i="3" s="1"/>
  <c r="DB18" i="3"/>
  <c r="P18" i="3" s="1"/>
  <c r="I29" i="26"/>
  <c r="I43" i="26" s="1"/>
  <c r="DB4" i="3"/>
  <c r="DB5" i="3" s="1"/>
  <c r="DC5" i="3"/>
  <c r="CZ5" i="3"/>
  <c r="CJ25" i="3"/>
  <c r="CJ19" i="3"/>
  <c r="P44" i="20"/>
  <c r="CJ39" i="3" s="1"/>
  <c r="CJ11" i="3"/>
  <c r="CJ9" i="3" s="1"/>
  <c r="BU32" i="3"/>
  <c r="BU30" i="3" s="1"/>
  <c r="BU25" i="3"/>
  <c r="BU19" i="3"/>
  <c r="P44" i="19"/>
  <c r="BU39" i="3" s="1"/>
  <c r="BU11" i="3"/>
  <c r="BU9" i="3" s="1"/>
  <c r="BH5" i="3"/>
  <c r="BI5" i="3"/>
  <c r="BF5" i="3"/>
  <c r="BG5" i="3"/>
  <c r="BJ5" i="3"/>
  <c r="P18" i="20"/>
  <c r="P18" i="19"/>
  <c r="M26" i="25"/>
  <c r="M28" i="25"/>
  <c r="M27" i="25" s="1"/>
  <c r="M135" i="26" s="1"/>
  <c r="L26" i="25"/>
  <c r="L28" i="25"/>
  <c r="L27" i="25" s="1"/>
  <c r="M134" i="26" s="1"/>
  <c r="K26" i="25"/>
  <c r="K28" i="25"/>
  <c r="K27" i="25" s="1"/>
  <c r="M133" i="26" s="1"/>
  <c r="J26" i="25"/>
  <c r="J28" i="25"/>
  <c r="J27" i="25" s="1"/>
  <c r="M132" i="26" s="1"/>
  <c r="C167" i="26"/>
  <c r="C170" i="26"/>
  <c r="C171" i="26"/>
  <c r="C169" i="26"/>
  <c r="C168" i="26"/>
  <c r="EQ13" i="3"/>
  <c r="P32" i="19"/>
  <c r="S17" i="21"/>
  <c r="S37" i="21"/>
  <c r="P36" i="20"/>
  <c r="CJ30" i="3"/>
  <c r="P27" i="19"/>
  <c r="G26" i="26"/>
  <c r="P32" i="20"/>
  <c r="P21" i="20"/>
  <c r="P21" i="19"/>
  <c r="P36" i="19"/>
  <c r="H26" i="26"/>
  <c r="P27" i="20"/>
  <c r="H28" i="26"/>
  <c r="R18" i="20"/>
  <c r="G28" i="26"/>
  <c r="R18" i="19"/>
  <c r="R27" i="20"/>
  <c r="CL19" i="3"/>
  <c r="Q33" i="22"/>
  <c r="DO25" i="3"/>
  <c r="F29" i="26"/>
  <c r="S17" i="18"/>
  <c r="S31" i="18"/>
  <c r="BI25" i="3"/>
  <c r="BI26" i="3" s="1"/>
  <c r="I26" i="26"/>
  <c r="P17" i="21"/>
  <c r="T36" i="17"/>
  <c r="AU30" i="3"/>
  <c r="H11" i="26"/>
  <c r="O43" i="20"/>
  <c r="O38" i="20"/>
  <c r="CI33" i="3" s="1"/>
  <c r="O33" i="20"/>
  <c r="CI28" i="3" s="1"/>
  <c r="O28" i="20"/>
  <c r="CI21" i="3" s="1"/>
  <c r="O23" i="20"/>
  <c r="CI12" i="3" s="1"/>
  <c r="O8" i="20"/>
  <c r="O45" i="20"/>
  <c r="CI40" i="3" s="1"/>
  <c r="O40" i="20"/>
  <c r="CI35" i="3" s="1"/>
  <c r="O35" i="20"/>
  <c r="CI27" i="3" s="1"/>
  <c r="O30" i="20"/>
  <c r="CI23" i="3" s="1"/>
  <c r="O25" i="20"/>
  <c r="CI15" i="3" s="1"/>
  <c r="O10" i="20"/>
  <c r="O22" i="20"/>
  <c r="CI11" i="3" s="1"/>
  <c r="O29" i="20"/>
  <c r="CI22" i="3" s="1"/>
  <c r="O26" i="20"/>
  <c r="CI16" i="3" s="1"/>
  <c r="O37" i="20"/>
  <c r="CI32" i="3" s="1"/>
  <c r="O34" i="20"/>
  <c r="CI29" i="3" s="1"/>
  <c r="O31" i="20"/>
  <c r="CI24" i="3" s="1"/>
  <c r="O19" i="20"/>
  <c r="CI4" i="3" s="1"/>
  <c r="O12" i="20"/>
  <c r="O24" i="20"/>
  <c r="CI13" i="3" s="1"/>
  <c r="O39" i="20"/>
  <c r="CI34" i="3" s="1"/>
  <c r="O11" i="20"/>
  <c r="W9" i="20"/>
  <c r="H18" i="26" s="1"/>
  <c r="Q157" i="14"/>
  <c r="Q156" i="14" s="1"/>
  <c r="V9" i="20"/>
  <c r="H17" i="26" s="1"/>
  <c r="W157" i="14"/>
  <c r="W156" i="14" s="1"/>
  <c r="Q32" i="17"/>
  <c r="AR25" i="3"/>
  <c r="L20" i="26"/>
  <c r="L34" i="26" s="1"/>
  <c r="J18" i="24"/>
  <c r="R26" i="18"/>
  <c r="BH19" i="3"/>
  <c r="BH20" i="3" s="1"/>
  <c r="P31" i="18"/>
  <c r="BF25" i="3"/>
  <c r="BF26" i="3" s="1"/>
  <c r="J30" i="26"/>
  <c r="T19" i="22"/>
  <c r="EP30" i="3"/>
  <c r="N36" i="24"/>
  <c r="R45" i="21"/>
  <c r="DA39" i="3" s="1"/>
  <c r="I27" i="26"/>
  <c r="Q17" i="21"/>
  <c r="G27" i="26"/>
  <c r="Q18" i="19"/>
  <c r="L21" i="26"/>
  <c r="L35" i="26" s="1"/>
  <c r="K18" i="24"/>
  <c r="T35" i="18"/>
  <c r="BJ30" i="3"/>
  <c r="BJ31" i="3" s="1"/>
  <c r="EL9" i="3"/>
  <c r="J21" i="24"/>
  <c r="G30" i="26"/>
  <c r="T18" i="19"/>
  <c r="R43" i="18"/>
  <c r="BH39" i="3" s="1"/>
  <c r="F26" i="26"/>
  <c r="P17" i="18"/>
  <c r="P44" i="17"/>
  <c r="P21" i="17"/>
  <c r="T37" i="22"/>
  <c r="DR30" i="3"/>
  <c r="M36" i="24"/>
  <c r="I34" i="3"/>
  <c r="Q27" i="19"/>
  <c r="BV19" i="3"/>
  <c r="K21" i="24"/>
  <c r="EM9" i="3"/>
  <c r="Q27" i="20"/>
  <c r="CK19" i="3"/>
  <c r="T43" i="18"/>
  <c r="BJ39" i="3" s="1"/>
  <c r="I11" i="26"/>
  <c r="O9" i="21"/>
  <c r="W9" i="21" s="1"/>
  <c r="O36" i="21"/>
  <c r="CX27" i="3" s="1"/>
  <c r="O18" i="21"/>
  <c r="CX4" i="3" s="1"/>
  <c r="O44" i="21"/>
  <c r="O38" i="21"/>
  <c r="CX32" i="3" s="1"/>
  <c r="O10" i="21"/>
  <c r="W10" i="21" s="1"/>
  <c r="W8" i="21"/>
  <c r="O46" i="21"/>
  <c r="CX40" i="3" s="1"/>
  <c r="O26" i="21"/>
  <c r="CX16" i="3" s="1"/>
  <c r="O23" i="21"/>
  <c r="O7" i="21"/>
  <c r="O25" i="21"/>
  <c r="CX15" i="3" s="1"/>
  <c r="O11" i="21"/>
  <c r="W11" i="21" s="1"/>
  <c r="Q185" i="14"/>
  <c r="Q184" i="14" s="1"/>
  <c r="S33" i="22"/>
  <c r="DQ25" i="3"/>
  <c r="G34" i="3"/>
  <c r="T44" i="19"/>
  <c r="T41" i="19" s="1"/>
  <c r="T21" i="19"/>
  <c r="BY9" i="3"/>
  <c r="R35" i="18"/>
  <c r="BH30" i="3"/>
  <c r="BH31" i="3" s="1"/>
  <c r="E26" i="26"/>
  <c r="P18" i="17"/>
  <c r="R28" i="22"/>
  <c r="DB51" i="3"/>
  <c r="DB47" i="3"/>
  <c r="Q43" i="18"/>
  <c r="BG39" i="3" s="1"/>
  <c r="D11" i="26"/>
  <c r="O39" i="16"/>
  <c r="O24" i="16"/>
  <c r="O19" i="16"/>
  <c r="O35" i="16"/>
  <c r="O23" i="16"/>
  <c r="O8" i="16"/>
  <c r="O45" i="16"/>
  <c r="O26" i="16"/>
  <c r="O22" i="16"/>
  <c r="W9" i="16"/>
  <c r="D18" i="26" s="1"/>
  <c r="O37" i="16"/>
  <c r="O43" i="16"/>
  <c r="Q28" i="14"/>
  <c r="Q27" i="14" s="1"/>
  <c r="S27" i="19"/>
  <c r="BX19" i="3"/>
  <c r="R27" i="19"/>
  <c r="BW19" i="3"/>
  <c r="R36" i="17"/>
  <c r="AS30" i="3"/>
  <c r="P37" i="22"/>
  <c r="DN30" i="3"/>
  <c r="Q31" i="17"/>
  <c r="AR24" i="3" s="1"/>
  <c r="Q30" i="17"/>
  <c r="AR23" i="3" s="1"/>
  <c r="Q36" i="17"/>
  <c r="AR30" i="3"/>
  <c r="E30" i="26"/>
  <c r="T18" i="17"/>
  <c r="S32" i="17"/>
  <c r="AT25" i="3"/>
  <c r="E27" i="26"/>
  <c r="Q18" i="17"/>
  <c r="T20" i="18"/>
  <c r="BJ9" i="3"/>
  <c r="BJ10" i="3" s="1"/>
  <c r="S37" i="22"/>
  <c r="DQ30" i="3"/>
  <c r="J29" i="26"/>
  <c r="S19" i="22"/>
  <c r="R30" i="16"/>
  <c r="R31" i="16"/>
  <c r="R37" i="22"/>
  <c r="DP30" i="3"/>
  <c r="Q45" i="21"/>
  <c r="CZ39" i="3" s="1"/>
  <c r="S44" i="20"/>
  <c r="S41" i="20" s="1"/>
  <c r="S21" i="20"/>
  <c r="CM9" i="3"/>
  <c r="L22" i="26"/>
  <c r="L18" i="24"/>
  <c r="S36" i="19"/>
  <c r="BX30" i="3"/>
  <c r="K36" i="24"/>
  <c r="Q44" i="20"/>
  <c r="Q41" i="20" s="1"/>
  <c r="Q21" i="20"/>
  <c r="CK9" i="3"/>
  <c r="S35" i="18"/>
  <c r="BI30" i="3"/>
  <c r="BI31" i="3" s="1"/>
  <c r="Q36" i="20"/>
  <c r="CK30" i="3"/>
  <c r="S20" i="18"/>
  <c r="R44" i="19"/>
  <c r="R41" i="19" s="1"/>
  <c r="R21" i="19"/>
  <c r="BW9" i="3"/>
  <c r="R31" i="17"/>
  <c r="AS24" i="3" s="1"/>
  <c r="R30" i="17"/>
  <c r="AS23" i="3" s="1"/>
  <c r="J26" i="26"/>
  <c r="P19" i="22"/>
  <c r="Q21" i="17"/>
  <c r="Q44" i="17"/>
  <c r="Q41" i="17" s="1"/>
  <c r="AR9" i="3"/>
  <c r="T31" i="18"/>
  <c r="BJ25" i="3"/>
  <c r="BJ26" i="3" s="1"/>
  <c r="E11" i="26"/>
  <c r="O37" i="17"/>
  <c r="AP32" i="3" s="1"/>
  <c r="O33" i="17"/>
  <c r="AP28" i="3" s="1"/>
  <c r="O43" i="17"/>
  <c r="O24" i="17"/>
  <c r="AP13" i="3" s="1"/>
  <c r="O45" i="17"/>
  <c r="AP40" i="3" s="1"/>
  <c r="O39" i="17"/>
  <c r="AP34" i="3" s="1"/>
  <c r="O40" i="17"/>
  <c r="AP35" i="3" s="1"/>
  <c r="O38" i="17"/>
  <c r="AP33" i="3" s="1"/>
  <c r="O35" i="17"/>
  <c r="AP27" i="3" s="1"/>
  <c r="O34" i="17"/>
  <c r="AP29" i="3" s="1"/>
  <c r="O26" i="17"/>
  <c r="AP16" i="3" s="1"/>
  <c r="O25" i="17"/>
  <c r="AP15" i="3" s="1"/>
  <c r="O23" i="17"/>
  <c r="AP12" i="3" s="1"/>
  <c r="O19" i="17"/>
  <c r="AP4" i="3" s="1"/>
  <c r="W9" i="17"/>
  <c r="E18" i="26" s="1"/>
  <c r="O22" i="17"/>
  <c r="AP11" i="3" s="1"/>
  <c r="O8" i="17"/>
  <c r="Q53" i="14"/>
  <c r="Q52" i="14" s="1"/>
  <c r="V9" i="17"/>
  <c r="E17" i="26" s="1"/>
  <c r="W53" i="14"/>
  <c r="W52" i="14" s="1"/>
  <c r="T31" i="16"/>
  <c r="T30" i="16"/>
  <c r="T21" i="16"/>
  <c r="R20" i="18"/>
  <c r="BH9" i="3"/>
  <c r="BH10" i="3" s="1"/>
  <c r="P43" i="18"/>
  <c r="BF39" i="3" s="1"/>
  <c r="J34" i="3"/>
  <c r="Q26" i="18"/>
  <c r="BG19" i="3"/>
  <c r="BG20" i="3" s="1"/>
  <c r="R37" i="21"/>
  <c r="Q31" i="16"/>
  <c r="Q30" i="16"/>
  <c r="S36" i="20"/>
  <c r="CM30" i="3"/>
  <c r="L21" i="24"/>
  <c r="EN9" i="3"/>
  <c r="Q36" i="19"/>
  <c r="BV30" i="3"/>
  <c r="S31" i="16"/>
  <c r="S30" i="16"/>
  <c r="H34" i="3"/>
  <c r="Q37" i="22"/>
  <c r="DO30" i="3"/>
  <c r="S30" i="17"/>
  <c r="AT23" i="3" s="1"/>
  <c r="S31" i="17"/>
  <c r="AT24" i="3" s="1"/>
  <c r="P33" i="21"/>
  <c r="CY25" i="3"/>
  <c r="CY26" i="3" s="1"/>
  <c r="R32" i="19"/>
  <c r="BW25" i="3"/>
  <c r="R32" i="20"/>
  <c r="CL25" i="3"/>
  <c r="T32" i="20"/>
  <c r="CN25" i="3"/>
  <c r="Q32" i="20"/>
  <c r="CK25" i="3"/>
  <c r="P45" i="21"/>
  <c r="CY39" i="3" s="1"/>
  <c r="R36" i="19"/>
  <c r="BW30" i="3"/>
  <c r="T30" i="17"/>
  <c r="AU23" i="3" s="1"/>
  <c r="T31" i="17"/>
  <c r="AU24" i="3" s="1"/>
  <c r="E28" i="26"/>
  <c r="R18" i="17"/>
  <c r="F30" i="26"/>
  <c r="T17" i="18"/>
  <c r="J36" i="24"/>
  <c r="R31" i="18"/>
  <c r="BH25" i="3"/>
  <c r="BH26" i="3" s="1"/>
  <c r="P26" i="18"/>
  <c r="BF19" i="3"/>
  <c r="BF20" i="3" s="1"/>
  <c r="P32" i="17"/>
  <c r="AQ25" i="3"/>
  <c r="T22" i="22"/>
  <c r="T45" i="22"/>
  <c r="T42" i="22" s="1"/>
  <c r="DR9" i="3"/>
  <c r="J11" i="26"/>
  <c r="O27" i="22"/>
  <c r="DM16" i="3" s="1"/>
  <c r="O46" i="22"/>
  <c r="DM40" i="3" s="1"/>
  <c r="O41" i="22"/>
  <c r="DM35" i="3" s="1"/>
  <c r="O36" i="22"/>
  <c r="DM27" i="3" s="1"/>
  <c r="O26" i="22"/>
  <c r="DM15" i="3" s="1"/>
  <c r="O38" i="22"/>
  <c r="DM32" i="3" s="1"/>
  <c r="O44" i="22"/>
  <c r="O35" i="22"/>
  <c r="DM29" i="3" s="1"/>
  <c r="O8" i="22"/>
  <c r="O34" i="22"/>
  <c r="DM28" i="3" s="1"/>
  <c r="O20" i="22"/>
  <c r="DM4" i="3" s="1"/>
  <c r="O25" i="22"/>
  <c r="DM13" i="3" s="1"/>
  <c r="W9" i="22"/>
  <c r="J18" i="26" s="1"/>
  <c r="O39" i="22"/>
  <c r="DM33" i="3" s="1"/>
  <c r="O12" i="22"/>
  <c r="O11" i="17" s="1"/>
  <c r="O28" i="17" s="1"/>
  <c r="AP21" i="3" s="1"/>
  <c r="O10" i="22"/>
  <c r="O40" i="22"/>
  <c r="DM34" i="3" s="1"/>
  <c r="O24" i="22"/>
  <c r="DM12" i="3" s="1"/>
  <c r="O13" i="22"/>
  <c r="O12" i="17" s="1"/>
  <c r="Q105" i="14"/>
  <c r="Q104" i="14" s="1"/>
  <c r="W105" i="14"/>
  <c r="W104" i="14" s="1"/>
  <c r="V9" i="22"/>
  <c r="J17" i="26" s="1"/>
  <c r="R33" i="22"/>
  <c r="DP25" i="3"/>
  <c r="Q35" i="18"/>
  <c r="BG30" i="3"/>
  <c r="BG31" i="3" s="1"/>
  <c r="L36" i="24"/>
  <c r="S21" i="19"/>
  <c r="S44" i="19"/>
  <c r="S41" i="19" s="1"/>
  <c r="BX9" i="3"/>
  <c r="P37" i="21"/>
  <c r="H30" i="26"/>
  <c r="T18" i="20"/>
  <c r="J27" i="26"/>
  <c r="Q19" i="22"/>
  <c r="R36" i="20"/>
  <c r="CL30" i="3"/>
  <c r="Q45" i="22"/>
  <c r="Q42" i="22" s="1"/>
  <c r="Q22" i="22"/>
  <c r="DO9" i="3"/>
  <c r="T36" i="20"/>
  <c r="CN30" i="3"/>
  <c r="T21" i="20"/>
  <c r="T44" i="20"/>
  <c r="T41" i="20" s="1"/>
  <c r="CN9" i="3"/>
  <c r="T21" i="17"/>
  <c r="T44" i="17"/>
  <c r="T41" i="17" s="1"/>
  <c r="AU9" i="3"/>
  <c r="T32" i="17"/>
  <c r="AU25" i="3"/>
  <c r="R21" i="17"/>
  <c r="R44" i="17"/>
  <c r="R41" i="17" s="1"/>
  <c r="AS9" i="3"/>
  <c r="P45" i="22"/>
  <c r="P42" i="22" s="1"/>
  <c r="P22" i="22"/>
  <c r="DN9" i="3"/>
  <c r="P33" i="22"/>
  <c r="DN25" i="3"/>
  <c r="S36" i="17"/>
  <c r="AT30" i="3"/>
  <c r="P35" i="18"/>
  <c r="BF30" i="3"/>
  <c r="BF31" i="3" s="1"/>
  <c r="AQ30" i="3"/>
  <c r="T28" i="22"/>
  <c r="J28" i="26"/>
  <c r="R19" i="22"/>
  <c r="I28" i="26"/>
  <c r="R17" i="21"/>
  <c r="Q37" i="21"/>
  <c r="S27" i="20"/>
  <c r="CM19" i="3"/>
  <c r="S32" i="20"/>
  <c r="CM25" i="3"/>
  <c r="T45" i="21"/>
  <c r="DC39" i="3" s="1"/>
  <c r="F11" i="26"/>
  <c r="O36" i="18"/>
  <c r="BE32" i="3" s="1"/>
  <c r="O21" i="18"/>
  <c r="BE11" i="3" s="1"/>
  <c r="O11" i="18"/>
  <c r="O38" i="18"/>
  <c r="BE34" i="3" s="1"/>
  <c r="O33" i="18"/>
  <c r="BE29" i="3" s="1"/>
  <c r="O28" i="18"/>
  <c r="BE22" i="3" s="1"/>
  <c r="O23" i="18"/>
  <c r="BE13" i="3" s="1"/>
  <c r="O18" i="18"/>
  <c r="BE4" i="3" s="1"/>
  <c r="O32" i="18"/>
  <c r="BE28" i="3" s="1"/>
  <c r="O24" i="18"/>
  <c r="BE15" i="3" s="1"/>
  <c r="O7" i="18"/>
  <c r="BE3" i="3" s="1"/>
  <c r="O39" i="18"/>
  <c r="BE35" i="3" s="1"/>
  <c r="O30" i="18"/>
  <c r="BE24" i="3" s="1"/>
  <c r="O22" i="18"/>
  <c r="BE12" i="3" s="1"/>
  <c r="O44" i="18"/>
  <c r="BE40" i="3" s="1"/>
  <c r="O37" i="18"/>
  <c r="BE33" i="3" s="1"/>
  <c r="O29" i="18"/>
  <c r="BE23" i="3" s="1"/>
  <c r="O42" i="18"/>
  <c r="O27" i="18"/>
  <c r="BE21" i="3" s="1"/>
  <c r="O10" i="18"/>
  <c r="O9" i="18"/>
  <c r="W8" i="18"/>
  <c r="O34" i="18"/>
  <c r="BE27" i="3" s="1"/>
  <c r="O25" i="18"/>
  <c r="BE16" i="3" s="1"/>
  <c r="Q79" i="14"/>
  <c r="Q78" i="14" s="1"/>
  <c r="V8" i="18"/>
  <c r="W79" i="14"/>
  <c r="W78" i="14" s="1"/>
  <c r="T26" i="18"/>
  <c r="BJ19" i="3"/>
  <c r="BJ20" i="3" s="1"/>
  <c r="T18" i="16"/>
  <c r="S45" i="22"/>
  <c r="S42" i="22" s="1"/>
  <c r="S22" i="22"/>
  <c r="DQ9" i="3"/>
  <c r="T32" i="19"/>
  <c r="BY25" i="3"/>
  <c r="D28" i="26"/>
  <c r="R18" i="16"/>
  <c r="L24" i="26"/>
  <c r="N18" i="24"/>
  <c r="L5" i="26"/>
  <c r="I8" i="24"/>
  <c r="I10" i="24"/>
  <c r="Q20" i="18"/>
  <c r="BG9" i="3"/>
  <c r="BG10" i="3" s="1"/>
  <c r="F27" i="26"/>
  <c r="Q17" i="18"/>
  <c r="R33" i="21"/>
  <c r="DA25" i="3"/>
  <c r="DA26" i="3" s="1"/>
  <c r="Q36" i="16"/>
  <c r="H29" i="26"/>
  <c r="S18" i="20"/>
  <c r="Q32" i="19"/>
  <c r="BV25" i="3"/>
  <c r="S32" i="19"/>
  <c r="BX25" i="3"/>
  <c r="S43" i="18"/>
  <c r="BI39" i="3" s="1"/>
  <c r="S44" i="17"/>
  <c r="S41" i="17" s="1"/>
  <c r="S21" i="17"/>
  <c r="AT9" i="3"/>
  <c r="I10" i="26"/>
  <c r="N30" i="25" s="1"/>
  <c r="N29" i="25" s="1"/>
  <c r="M150" i="26" s="1"/>
  <c r="N25" i="21"/>
  <c r="N11" i="21"/>
  <c r="N36" i="21"/>
  <c r="N18" i="21"/>
  <c r="CW4" i="3" s="1"/>
  <c r="N44" i="21"/>
  <c r="N38" i="21"/>
  <c r="N10" i="21"/>
  <c r="N46" i="21"/>
  <c r="N26" i="21"/>
  <c r="N23" i="21"/>
  <c r="M27" i="2" s="1"/>
  <c r="N7" i="21"/>
  <c r="CW3" i="3" s="1"/>
  <c r="CW20" i="3" s="1"/>
  <c r="N9" i="21"/>
  <c r="P185" i="14"/>
  <c r="P184" i="14" s="1"/>
  <c r="W185" i="14"/>
  <c r="W184" i="14" s="1"/>
  <c r="J185" i="14"/>
  <c r="J184" i="14" s="1"/>
  <c r="V8" i="21"/>
  <c r="T27" i="19"/>
  <c r="BY19" i="3"/>
  <c r="P31" i="17"/>
  <c r="AQ24" i="3" s="1"/>
  <c r="P30" i="17"/>
  <c r="AQ23" i="3" s="1"/>
  <c r="L23" i="26"/>
  <c r="L37" i="26" s="1"/>
  <c r="M18" i="24"/>
  <c r="R45" i="22"/>
  <c r="R42" i="22" s="1"/>
  <c r="R22" i="22"/>
  <c r="DP9" i="3"/>
  <c r="EP9" i="3"/>
  <c r="N21" i="24"/>
  <c r="G11" i="26"/>
  <c r="O25" i="19"/>
  <c r="BT15" i="3" s="1"/>
  <c r="O33" i="19"/>
  <c r="BT28" i="3" s="1"/>
  <c r="O24" i="19"/>
  <c r="BT13" i="3" s="1"/>
  <c r="O40" i="19"/>
  <c r="BT35" i="3" s="1"/>
  <c r="O30" i="19"/>
  <c r="BT23" i="3" s="1"/>
  <c r="O10" i="19"/>
  <c r="O8" i="19"/>
  <c r="O37" i="19"/>
  <c r="BT32" i="3" s="1"/>
  <c r="O31" i="19"/>
  <c r="BT24" i="3" s="1"/>
  <c r="O22" i="19"/>
  <c r="BT11" i="3" s="1"/>
  <c r="O45" i="19"/>
  <c r="BT40" i="3" s="1"/>
  <c r="O34" i="19"/>
  <c r="BT29" i="3" s="1"/>
  <c r="O28" i="19"/>
  <c r="BT21" i="3" s="1"/>
  <c r="O19" i="19"/>
  <c r="BT4" i="3" s="1"/>
  <c r="W9" i="19"/>
  <c r="G18" i="26" s="1"/>
  <c r="O38" i="19"/>
  <c r="BT33" i="3" s="1"/>
  <c r="O35" i="19"/>
  <c r="BT27" i="3" s="1"/>
  <c r="O29" i="19"/>
  <c r="BT22" i="3" s="1"/>
  <c r="O23" i="19"/>
  <c r="BT12" i="3" s="1"/>
  <c r="O12" i="19"/>
  <c r="O39" i="19"/>
  <c r="BT34" i="3" s="1"/>
  <c r="O43" i="19"/>
  <c r="O11" i="19"/>
  <c r="O26" i="19"/>
  <c r="BT16" i="3" s="1"/>
  <c r="Q131" i="14"/>
  <c r="Q130" i="14" s="1"/>
  <c r="W131" i="14"/>
  <c r="W130" i="14" s="1"/>
  <c r="V9" i="19"/>
  <c r="G17" i="26" s="1"/>
  <c r="Q44" i="19"/>
  <c r="Q41" i="19" s="1"/>
  <c r="Q21" i="19"/>
  <c r="BV9" i="3"/>
  <c r="I30" i="26"/>
  <c r="T17" i="21"/>
  <c r="G29" i="26"/>
  <c r="S18" i="19"/>
  <c r="R44" i="20"/>
  <c r="R41" i="20" s="1"/>
  <c r="R21" i="20"/>
  <c r="CL9" i="3"/>
  <c r="Q28" i="22"/>
  <c r="DO19" i="3"/>
  <c r="T27" i="20"/>
  <c r="CN19" i="3"/>
  <c r="H27" i="26"/>
  <c r="Q18" i="20"/>
  <c r="S26" i="18"/>
  <c r="BI19" i="3"/>
  <c r="BI20" i="3" s="1"/>
  <c r="R32" i="17"/>
  <c r="AS25" i="3"/>
  <c r="P30" i="16"/>
  <c r="P31" i="16"/>
  <c r="T36" i="19"/>
  <c r="BY30" i="3"/>
  <c r="F28" i="26"/>
  <c r="R17" i="18"/>
  <c r="P20" i="18"/>
  <c r="BF9" i="3"/>
  <c r="BF10" i="3" s="1"/>
  <c r="T33" i="22"/>
  <c r="DR25" i="3"/>
  <c r="M21" i="24"/>
  <c r="EO9" i="3"/>
  <c r="Q31" i="18"/>
  <c r="BG25" i="3"/>
  <c r="BG26" i="3" s="1"/>
  <c r="Q33" i="21"/>
  <c r="CZ25" i="3"/>
  <c r="CZ26" i="3" s="1"/>
  <c r="T33" i="21"/>
  <c r="DC25" i="3"/>
  <c r="DC26" i="3" s="1"/>
  <c r="T37" i="21"/>
  <c r="D42" i="26" l="1"/>
  <c r="P28" i="22"/>
  <c r="S28" i="22"/>
  <c r="BY31" i="3"/>
  <c r="P18" i="16"/>
  <c r="P41" i="17"/>
  <c r="AQ9" i="3"/>
  <c r="T36" i="16"/>
  <c r="S28" i="16"/>
  <c r="AE21" i="3" s="1"/>
  <c r="R36" i="16"/>
  <c r="P29" i="16"/>
  <c r="AB22" i="3" s="1"/>
  <c r="D44" i="26"/>
  <c r="T44" i="16"/>
  <c r="T41" i="16" s="1"/>
  <c r="Q28" i="16"/>
  <c r="AC21" i="3" s="1"/>
  <c r="R28" i="16"/>
  <c r="AD21" i="3" s="1"/>
  <c r="AT5" i="3"/>
  <c r="AT6" i="3" s="1"/>
  <c r="P44" i="16"/>
  <c r="P41" i="16" s="1"/>
  <c r="S44" i="16"/>
  <c r="S41" i="16" s="1"/>
  <c r="O23" i="22"/>
  <c r="DM11" i="3" s="1"/>
  <c r="S25" i="12"/>
  <c r="S36" i="16"/>
  <c r="AF3" i="3"/>
  <c r="DN19" i="3"/>
  <c r="DN20" i="3" s="1"/>
  <c r="DP19" i="3"/>
  <c r="DP20" i="3" s="1"/>
  <c r="DR19" i="3"/>
  <c r="DR20" i="3" s="1"/>
  <c r="T28" i="16"/>
  <c r="AF21" i="3" s="1"/>
  <c r="BY26" i="3"/>
  <c r="DQ19" i="3"/>
  <c r="O31" i="22"/>
  <c r="DM23" i="3" s="1"/>
  <c r="O32" i="22"/>
  <c r="DM24" i="3" s="1"/>
  <c r="S29" i="16"/>
  <c r="AE22" i="3" s="1"/>
  <c r="Q21" i="16"/>
  <c r="O30" i="22"/>
  <c r="DM22" i="3" s="1"/>
  <c r="O11" i="16"/>
  <c r="O38" i="16" s="1"/>
  <c r="AA33" i="3" s="1"/>
  <c r="O29" i="22"/>
  <c r="DM21" i="3" s="1"/>
  <c r="S18" i="17"/>
  <c r="D40" i="26"/>
  <c r="P23" i="2"/>
  <c r="S24" i="12"/>
  <c r="AB13" i="3"/>
  <c r="AB9" i="3" s="1"/>
  <c r="AB10" i="3" s="1"/>
  <c r="S23" i="2"/>
  <c r="P21" i="16"/>
  <c r="Q32" i="16"/>
  <c r="Q18" i="16"/>
  <c r="BY20" i="3"/>
  <c r="P36" i="17"/>
  <c r="Q44" i="16"/>
  <c r="Q41" i="16" s="1"/>
  <c r="E29" i="26"/>
  <c r="AD13" i="3"/>
  <c r="O13" i="3" s="1"/>
  <c r="P36" i="16"/>
  <c r="AB32" i="3"/>
  <c r="AB30" i="3" s="1"/>
  <c r="AB31" i="3" s="1"/>
  <c r="R32" i="16"/>
  <c r="CJ47" i="3"/>
  <c r="P32" i="16"/>
  <c r="R21" i="16"/>
  <c r="AD3" i="3"/>
  <c r="AD11" i="3"/>
  <c r="AF4" i="3"/>
  <c r="AA4" i="3"/>
  <c r="AC4" i="3"/>
  <c r="AC5" i="3" s="1"/>
  <c r="AC6" i="3" s="1"/>
  <c r="AB4" i="3"/>
  <c r="AB5" i="3" s="1"/>
  <c r="AB6" i="3" s="1"/>
  <c r="AE4" i="3"/>
  <c r="AE5" i="3" s="1"/>
  <c r="AE6" i="3" s="1"/>
  <c r="AD4" i="3"/>
  <c r="T32" i="16"/>
  <c r="R41" i="16"/>
  <c r="T24" i="12"/>
  <c r="T23" i="12" s="1"/>
  <c r="S21" i="16"/>
  <c r="O33" i="16"/>
  <c r="AA28" i="3" s="1"/>
  <c r="O40" i="16"/>
  <c r="AA35" i="3" s="1"/>
  <c r="O25" i="16"/>
  <c r="AA15" i="3" s="1"/>
  <c r="O34" i="16"/>
  <c r="AA29" i="3" s="1"/>
  <c r="D29" i="26"/>
  <c r="EM10" i="3"/>
  <c r="R23" i="2"/>
  <c r="S32" i="16"/>
  <c r="V24" i="12"/>
  <c r="V23" i="12" s="1"/>
  <c r="BV31" i="3"/>
  <c r="DQ20" i="3"/>
  <c r="BX26" i="3"/>
  <c r="AT31" i="3"/>
  <c r="DO10" i="3"/>
  <c r="BW31" i="3"/>
  <c r="DQ10" i="3"/>
  <c r="AS10" i="3"/>
  <c r="AR10" i="3"/>
  <c r="DR10" i="3"/>
  <c r="AR31" i="3"/>
  <c r="DN26" i="3"/>
  <c r="AT10" i="3"/>
  <c r="CJ51" i="3"/>
  <c r="BX10" i="3"/>
  <c r="BW26" i="3"/>
  <c r="CK31" i="3"/>
  <c r="AT26" i="3"/>
  <c r="EN10" i="3"/>
  <c r="DO31" i="3"/>
  <c r="BW10" i="3"/>
  <c r="DN31" i="3"/>
  <c r="BX31" i="3"/>
  <c r="AU26" i="3"/>
  <c r="BY10" i="3"/>
  <c r="BX20" i="3"/>
  <c r="DB30" i="3"/>
  <c r="DB31" i="3" s="1"/>
  <c r="J30" i="12"/>
  <c r="CK26" i="3"/>
  <c r="BW20" i="3"/>
  <c r="CK20" i="3"/>
  <c r="CL10" i="3"/>
  <c r="V57" i="2"/>
  <c r="AU10" i="3"/>
  <c r="CL26" i="3"/>
  <c r="DO20" i="3"/>
  <c r="CL31" i="3"/>
  <c r="U57" i="2"/>
  <c r="DP26" i="3"/>
  <c r="DE14" i="3"/>
  <c r="V28" i="2"/>
  <c r="DD14" i="3"/>
  <c r="U28" i="2"/>
  <c r="M21" i="2"/>
  <c r="N20" i="21"/>
  <c r="CX11" i="3"/>
  <c r="O20" i="21"/>
  <c r="CM20" i="3"/>
  <c r="EO10" i="3"/>
  <c r="DP10" i="3"/>
  <c r="W21" i="21"/>
  <c r="DE11" i="3" s="1"/>
  <c r="V21" i="21"/>
  <c r="CW11" i="3"/>
  <c r="K11" i="3" s="1"/>
  <c r="AQ31" i="3"/>
  <c r="BU51" i="3"/>
  <c r="CM26" i="3"/>
  <c r="V22" i="21"/>
  <c r="CJ31" i="3"/>
  <c r="DO26" i="3"/>
  <c r="CW35" i="3"/>
  <c r="K35" i="3" s="1"/>
  <c r="M42" i="2"/>
  <c r="V41" i="21"/>
  <c r="DD35" i="3" s="1"/>
  <c r="CW34" i="3"/>
  <c r="K34" i="3" s="1"/>
  <c r="V40" i="21"/>
  <c r="DD34" i="3" s="1"/>
  <c r="M41" i="2"/>
  <c r="CX35" i="3"/>
  <c r="W41" i="21"/>
  <c r="DE35" i="3" s="1"/>
  <c r="CX34" i="3"/>
  <c r="W40" i="21"/>
  <c r="DE34" i="3" s="1"/>
  <c r="CM31" i="3"/>
  <c r="BU47" i="3"/>
  <c r="J33" i="12"/>
  <c r="EP31" i="3"/>
  <c r="CK10" i="3"/>
  <c r="DP31" i="3"/>
  <c r="EL10" i="3"/>
  <c r="EP10" i="3"/>
  <c r="BV26" i="3"/>
  <c r="CN31" i="3"/>
  <c r="AQ26" i="3"/>
  <c r="AQ10" i="3"/>
  <c r="DR26" i="3"/>
  <c r="AS26" i="3"/>
  <c r="BV10" i="3"/>
  <c r="EM26" i="3"/>
  <c r="CN26" i="3"/>
  <c r="AR26" i="3"/>
  <c r="AU31" i="3"/>
  <c r="CL20" i="3"/>
  <c r="DQ26" i="3"/>
  <c r="DN10" i="3"/>
  <c r="CN10" i="3"/>
  <c r="AS31" i="3"/>
  <c r="DR31" i="3"/>
  <c r="CM10" i="3"/>
  <c r="BV20" i="3"/>
  <c r="CN20" i="3"/>
  <c r="DQ31" i="3"/>
  <c r="EL26" i="3"/>
  <c r="BU20" i="3"/>
  <c r="EL5" i="3"/>
  <c r="EL6" i="3" s="1"/>
  <c r="EL20" i="3"/>
  <c r="EM5" i="3"/>
  <c r="EM6" i="3" s="1"/>
  <c r="CJ26" i="3"/>
  <c r="EP37" i="3"/>
  <c r="G3" i="3"/>
  <c r="G26" i="3" s="1"/>
  <c r="H3" i="3"/>
  <c r="H37" i="3" s="1"/>
  <c r="CJ10" i="3"/>
  <c r="U32" i="12"/>
  <c r="I3" i="3"/>
  <c r="I37" i="3" s="1"/>
  <c r="EN20" i="3"/>
  <c r="EP20" i="3"/>
  <c r="EP5" i="3"/>
  <c r="EP6" i="3" s="1"/>
  <c r="EM20" i="3"/>
  <c r="BU31" i="3"/>
  <c r="EN5" i="3"/>
  <c r="EN6" i="3" s="1"/>
  <c r="EN37" i="3"/>
  <c r="EO20" i="3"/>
  <c r="EO37" i="3"/>
  <c r="EO26" i="3"/>
  <c r="J3" i="3"/>
  <c r="J37" i="3" s="1"/>
  <c r="W32" i="12"/>
  <c r="S32" i="12"/>
  <c r="W23" i="12"/>
  <c r="T32" i="12"/>
  <c r="V32" i="12"/>
  <c r="CJ20" i="3"/>
  <c r="U23" i="12"/>
  <c r="BU26" i="3"/>
  <c r="BU10" i="3"/>
  <c r="BT3" i="3"/>
  <c r="BT5" i="3" s="1"/>
  <c r="R36" i="12"/>
  <c r="J36" i="12" s="1"/>
  <c r="CI3" i="3"/>
  <c r="CI5" i="3" s="1"/>
  <c r="R34" i="12"/>
  <c r="J34" i="12" s="1"/>
  <c r="DM3" i="3"/>
  <c r="DM5" i="3" s="1"/>
  <c r="R26" i="12"/>
  <c r="J26" i="12" s="1"/>
  <c r="AP3" i="3"/>
  <c r="AP5" i="3" s="1"/>
  <c r="R25" i="12"/>
  <c r="AA3" i="3"/>
  <c r="R24" i="12"/>
  <c r="AB25" i="3"/>
  <c r="AB26" i="3" s="1"/>
  <c r="AD25" i="3"/>
  <c r="AF24" i="3"/>
  <c r="AF23" i="3"/>
  <c r="AE30" i="3"/>
  <c r="AE31" i="3" s="1"/>
  <c r="S42" i="21"/>
  <c r="S19" i="21" s="1"/>
  <c r="DB7" i="3" s="1"/>
  <c r="DB8" i="3" s="1"/>
  <c r="AE24" i="3"/>
  <c r="AE23" i="3"/>
  <c r="Q45" i="2"/>
  <c r="AD24" i="3"/>
  <c r="AD23" i="3"/>
  <c r="AC24" i="3"/>
  <c r="AC23" i="3"/>
  <c r="O45" i="2"/>
  <c r="AB24" i="3"/>
  <c r="AB23" i="3"/>
  <c r="AA40" i="3"/>
  <c r="AA34" i="3"/>
  <c r="AA32" i="3"/>
  <c r="AA27" i="3"/>
  <c r="CX18" i="3"/>
  <c r="N27" i="2"/>
  <c r="CX17" i="3"/>
  <c r="L17" i="3" s="1"/>
  <c r="S17" i="3" s="1"/>
  <c r="N26" i="2"/>
  <c r="AA16" i="3"/>
  <c r="AA13" i="3"/>
  <c r="N23" i="2"/>
  <c r="AA12" i="3"/>
  <c r="AA11" i="3"/>
  <c r="CW40" i="3"/>
  <c r="K40" i="3" s="1"/>
  <c r="M46" i="2"/>
  <c r="CW33" i="3"/>
  <c r="M40" i="2"/>
  <c r="CW32" i="3"/>
  <c r="M39" i="2"/>
  <c r="CW27" i="3"/>
  <c r="CW25" i="3" s="1"/>
  <c r="CW26" i="3" s="1"/>
  <c r="M37" i="2"/>
  <c r="M34" i="2" s="1"/>
  <c r="CW17" i="3"/>
  <c r="K17" i="3" s="1"/>
  <c r="M26" i="2"/>
  <c r="CW16" i="3"/>
  <c r="K16" i="3" s="1"/>
  <c r="M25" i="2"/>
  <c r="CW15" i="3"/>
  <c r="M24" i="2"/>
  <c r="DR39" i="3"/>
  <c r="DR36" i="3" s="1"/>
  <c r="DR37" i="3" s="1"/>
  <c r="DQ39" i="3"/>
  <c r="DQ36" i="3" s="1"/>
  <c r="DQ37" i="3" s="1"/>
  <c r="DP39" i="3"/>
  <c r="DP36" i="3" s="1"/>
  <c r="DP37" i="3" s="1"/>
  <c r="DO39" i="3"/>
  <c r="DO36" i="3" s="1"/>
  <c r="DO37" i="3" s="1"/>
  <c r="DN39" i="3"/>
  <c r="DN36" i="3" s="1"/>
  <c r="DN37" i="3" s="1"/>
  <c r="CN39" i="3"/>
  <c r="CN36" i="3" s="1"/>
  <c r="CN37" i="3" s="1"/>
  <c r="CM39" i="3"/>
  <c r="CM36" i="3" s="1"/>
  <c r="CM37" i="3" s="1"/>
  <c r="CL39" i="3"/>
  <c r="CL36" i="3" s="1"/>
  <c r="CL37" i="3" s="1"/>
  <c r="CK39" i="3"/>
  <c r="CK36" i="3" s="1"/>
  <c r="CK37" i="3" s="1"/>
  <c r="BY39" i="3"/>
  <c r="BY36" i="3" s="1"/>
  <c r="BY37" i="3" s="1"/>
  <c r="BX39" i="3"/>
  <c r="BX36" i="3" s="1"/>
  <c r="BX37" i="3" s="1"/>
  <c r="BW39" i="3"/>
  <c r="BW36" i="3" s="1"/>
  <c r="BW37" i="3" s="1"/>
  <c r="BV39" i="3"/>
  <c r="BV36" i="3" s="1"/>
  <c r="BV37" i="3" s="1"/>
  <c r="AU39" i="3"/>
  <c r="AU36" i="3" s="1"/>
  <c r="AU37" i="3" s="1"/>
  <c r="AT39" i="3"/>
  <c r="AT36" i="3" s="1"/>
  <c r="AT37" i="3" s="1"/>
  <c r="AS39" i="3"/>
  <c r="AS36" i="3" s="1"/>
  <c r="AS37" i="3" s="1"/>
  <c r="AR39" i="3"/>
  <c r="AR36" i="3" s="1"/>
  <c r="AR37" i="3" s="1"/>
  <c r="AQ39" i="3"/>
  <c r="AQ36" i="3" s="1"/>
  <c r="AQ37" i="3" s="1"/>
  <c r="AD39" i="3"/>
  <c r="AD36" i="3" s="1"/>
  <c r="AB39" i="3"/>
  <c r="AB36" i="3" s="1"/>
  <c r="AB37" i="3" s="1"/>
  <c r="T42" i="21"/>
  <c r="T19" i="21" s="1"/>
  <c r="DC7" i="3" s="1"/>
  <c r="DC8" i="3" s="1"/>
  <c r="DC36" i="3"/>
  <c r="DC37" i="3" s="1"/>
  <c r="DB36" i="3"/>
  <c r="DB37" i="3" s="1"/>
  <c r="R42" i="21"/>
  <c r="R19" i="21" s="1"/>
  <c r="DA7" i="3" s="1"/>
  <c r="DA8" i="3" s="1"/>
  <c r="DA36" i="3"/>
  <c r="DA37" i="3" s="1"/>
  <c r="Q42" i="21"/>
  <c r="Q19" i="21" s="1"/>
  <c r="CZ7" i="3" s="1"/>
  <c r="CZ8" i="3" s="1"/>
  <c r="CZ36" i="3"/>
  <c r="CZ37" i="3" s="1"/>
  <c r="P42" i="21"/>
  <c r="P19" i="21" s="1"/>
  <c r="CY7" i="3" s="1"/>
  <c r="CY8" i="3" s="1"/>
  <c r="CY36" i="3"/>
  <c r="CY37" i="3" s="1"/>
  <c r="CJ36" i="3"/>
  <c r="CJ37" i="3" s="1"/>
  <c r="N13" i="3"/>
  <c r="BU36" i="3"/>
  <c r="BU37" i="3" s="1"/>
  <c r="T40" i="18"/>
  <c r="T19" i="18" s="1"/>
  <c r="BJ7" i="3" s="1"/>
  <c r="BJ8" i="3" s="1"/>
  <c r="BJ36" i="3"/>
  <c r="BJ37" i="3" s="1"/>
  <c r="S40" i="18"/>
  <c r="S19" i="18" s="1"/>
  <c r="BI7" i="3" s="1"/>
  <c r="BI8" i="3" s="1"/>
  <c r="BI36" i="3"/>
  <c r="BI37" i="3" s="1"/>
  <c r="R40" i="18"/>
  <c r="R19" i="18" s="1"/>
  <c r="BH7" i="3" s="1"/>
  <c r="BH8" i="3" s="1"/>
  <c r="BH36" i="3"/>
  <c r="BH37" i="3" s="1"/>
  <c r="Q40" i="18"/>
  <c r="Q19" i="18" s="1"/>
  <c r="BG7" i="3" s="1"/>
  <c r="BG8" i="3" s="1"/>
  <c r="BG36" i="3"/>
  <c r="BG37" i="3" s="1"/>
  <c r="P40" i="18"/>
  <c r="P19" i="18" s="1"/>
  <c r="BF7" i="3" s="1"/>
  <c r="BF8" i="3" s="1"/>
  <c r="BF36" i="3"/>
  <c r="BF37" i="3" s="1"/>
  <c r="EO6" i="3"/>
  <c r="J33" i="3"/>
  <c r="EO30" i="3"/>
  <c r="EO31" i="3" s="1"/>
  <c r="I33" i="3"/>
  <c r="EN30" i="3"/>
  <c r="EN31" i="3" s="1"/>
  <c r="H33" i="3"/>
  <c r="EM30" i="3"/>
  <c r="EM31" i="3" s="1"/>
  <c r="G33" i="3"/>
  <c r="EL30" i="3"/>
  <c r="EL31" i="3" s="1"/>
  <c r="EK3" i="3"/>
  <c r="DO6" i="3"/>
  <c r="DP6" i="3"/>
  <c r="DR6" i="3"/>
  <c r="DQ6" i="3"/>
  <c r="DN6" i="3"/>
  <c r="P41" i="20"/>
  <c r="P46" i="20" s="1"/>
  <c r="H96" i="26" s="1"/>
  <c r="H194" i="26" s="1"/>
  <c r="CJ57" i="3" s="1"/>
  <c r="P41" i="19"/>
  <c r="P46" i="19" s="1"/>
  <c r="G96" i="26" s="1"/>
  <c r="G222" i="26" s="1"/>
  <c r="DA6" i="3"/>
  <c r="CZ6" i="3"/>
  <c r="CY6" i="3"/>
  <c r="DC6" i="3"/>
  <c r="DB6" i="3"/>
  <c r="P17" i="2"/>
  <c r="P14" i="2" s="1"/>
  <c r="CW18" i="3"/>
  <c r="K18" i="3" s="1"/>
  <c r="DB9" i="3"/>
  <c r="DB10" i="3" s="1"/>
  <c r="W7" i="21"/>
  <c r="DE3" i="3" s="1"/>
  <c r="DE20" i="3" s="1"/>
  <c r="CX3" i="3"/>
  <c r="CZ9" i="3"/>
  <c r="CZ10" i="3" s="1"/>
  <c r="DA9" i="3"/>
  <c r="DA10" i="3" s="1"/>
  <c r="CW5" i="3"/>
  <c r="DC9" i="3"/>
  <c r="DC10" i="3" s="1"/>
  <c r="K3" i="3"/>
  <c r="K20" i="3" s="1"/>
  <c r="CY9" i="3"/>
  <c r="CY10" i="3" s="1"/>
  <c r="CM6" i="3"/>
  <c r="CL6" i="3"/>
  <c r="CK6" i="3"/>
  <c r="CN6" i="3"/>
  <c r="CJ6" i="3"/>
  <c r="BY6" i="3"/>
  <c r="BW6" i="3"/>
  <c r="BU6" i="3"/>
  <c r="BV6" i="3"/>
  <c r="BX6" i="3"/>
  <c r="BJ6" i="3"/>
  <c r="BG6" i="3"/>
  <c r="BF6" i="3"/>
  <c r="BI6" i="3"/>
  <c r="BH6" i="3"/>
  <c r="BE5" i="3"/>
  <c r="BI9" i="3"/>
  <c r="BI10" i="3" s="1"/>
  <c r="AQ6" i="3"/>
  <c r="AR6" i="3"/>
  <c r="AS6" i="3"/>
  <c r="AU6" i="3"/>
  <c r="AU19" i="3"/>
  <c r="AU20" i="3" s="1"/>
  <c r="AQ19" i="3"/>
  <c r="AQ20" i="3" s="1"/>
  <c r="AR19" i="3"/>
  <c r="AR20" i="3" s="1"/>
  <c r="AT19" i="3"/>
  <c r="AT20" i="3" s="1"/>
  <c r="AS19" i="3"/>
  <c r="AS20" i="3" s="1"/>
  <c r="AD30" i="3"/>
  <c r="AC30" i="3"/>
  <c r="AC31" i="3" s="1"/>
  <c r="AF30" i="3"/>
  <c r="AC25" i="3"/>
  <c r="AC26" i="3" s="1"/>
  <c r="AF25" i="3"/>
  <c r="AE25" i="3"/>
  <c r="AE26" i="3" s="1"/>
  <c r="AC9" i="3"/>
  <c r="AC10" i="3" s="1"/>
  <c r="AF9" i="3"/>
  <c r="AE9" i="3"/>
  <c r="AE10" i="3" s="1"/>
  <c r="Q13" i="3"/>
  <c r="K13" i="3"/>
  <c r="I9" i="3"/>
  <c r="I13" i="3"/>
  <c r="H9" i="3"/>
  <c r="H13" i="3"/>
  <c r="J9" i="3"/>
  <c r="J13" i="3"/>
  <c r="G9" i="3"/>
  <c r="G13" i="3"/>
  <c r="P13" i="3"/>
  <c r="I17" i="26"/>
  <c r="I18" i="26"/>
  <c r="F17" i="26"/>
  <c r="F18" i="26"/>
  <c r="M23" i="25"/>
  <c r="L53" i="2"/>
  <c r="L23" i="25"/>
  <c r="M106" i="26" s="1"/>
  <c r="K53" i="2"/>
  <c r="K23" i="25"/>
  <c r="M105" i="26" s="1"/>
  <c r="J53" i="2"/>
  <c r="J23" i="25"/>
  <c r="M104" i="26" s="1"/>
  <c r="I53" i="2"/>
  <c r="S17" i="2"/>
  <c r="S14" i="2" s="1"/>
  <c r="R17" i="2"/>
  <c r="R14" i="2" s="1"/>
  <c r="Q17" i="2"/>
  <c r="Q14" i="2" s="1"/>
  <c r="O17" i="2"/>
  <c r="O14" i="2" s="1"/>
  <c r="N26" i="25"/>
  <c r="M53" i="2" s="1"/>
  <c r="N28" i="25"/>
  <c r="N27" i="25" s="1"/>
  <c r="M136" i="26" s="1"/>
  <c r="Q55" i="3"/>
  <c r="S59" i="2"/>
  <c r="R55" i="3"/>
  <c r="O55" i="3"/>
  <c r="Q59" i="2"/>
  <c r="N55" i="3"/>
  <c r="P59" i="2"/>
  <c r="C166" i="26"/>
  <c r="P55" i="3"/>
  <c r="R59" i="2"/>
  <c r="I40" i="26"/>
  <c r="I54" i="26" s="1"/>
  <c r="N20" i="24"/>
  <c r="EP7" i="3" s="1"/>
  <c r="EP8" i="3" s="1"/>
  <c r="G42" i="26"/>
  <c r="G41" i="26"/>
  <c r="G55" i="26" s="1"/>
  <c r="G40" i="26"/>
  <c r="H42" i="26"/>
  <c r="M20" i="24"/>
  <c r="EO7" i="3" s="1"/>
  <c r="EO8" i="3" s="1"/>
  <c r="V10" i="21"/>
  <c r="V9" i="21"/>
  <c r="V7" i="21"/>
  <c r="DD3" i="3" s="1"/>
  <c r="DD20" i="3" s="1"/>
  <c r="E44" i="26"/>
  <c r="V11" i="21"/>
  <c r="Q27" i="17"/>
  <c r="Q46" i="17" s="1"/>
  <c r="E97" i="26" s="1"/>
  <c r="F40" i="26"/>
  <c r="F43" i="26"/>
  <c r="F57" i="26" s="1"/>
  <c r="G44" i="26"/>
  <c r="G58" i="26" s="1"/>
  <c r="E43" i="26"/>
  <c r="H40" i="26"/>
  <c r="T27" i="17"/>
  <c r="T20" i="17" s="1"/>
  <c r="AU7" i="3" s="1"/>
  <c r="AU8" i="3" s="1"/>
  <c r="T27" i="16"/>
  <c r="S27" i="16"/>
  <c r="E40" i="26"/>
  <c r="E54" i="26" s="1"/>
  <c r="R27" i="16"/>
  <c r="R46" i="19"/>
  <c r="G98" i="26" s="1"/>
  <c r="G182" i="26" s="1"/>
  <c r="BW56" i="3" s="1"/>
  <c r="Q47" i="22"/>
  <c r="J97" i="26" s="1"/>
  <c r="J223" i="26" s="1"/>
  <c r="H43" i="26"/>
  <c r="H57" i="26" s="1"/>
  <c r="J43" i="26"/>
  <c r="J57" i="26" s="1"/>
  <c r="I41" i="26"/>
  <c r="D54" i="26"/>
  <c r="D56" i="26"/>
  <c r="L51" i="26"/>
  <c r="DA47" i="3"/>
  <c r="DA51" i="3"/>
  <c r="AQ47" i="3"/>
  <c r="AQ51" i="3"/>
  <c r="W29" i="19"/>
  <c r="CA22" i="3" s="1"/>
  <c r="V29" i="19"/>
  <c r="BZ22" i="3" s="1"/>
  <c r="W31" i="19"/>
  <c r="CA24" i="3" s="1"/>
  <c r="V31" i="19"/>
  <c r="BZ24" i="3" s="1"/>
  <c r="I24" i="26"/>
  <c r="I38" i="26" s="1"/>
  <c r="N17" i="21"/>
  <c r="V18" i="21"/>
  <c r="W35" i="19"/>
  <c r="CA27" i="3" s="1"/>
  <c r="V35" i="19"/>
  <c r="W37" i="19"/>
  <c r="CA32" i="3" s="1"/>
  <c r="O36" i="19"/>
  <c r="BT30" i="3"/>
  <c r="V37" i="19"/>
  <c r="BZ32" i="3" s="1"/>
  <c r="N33" i="21"/>
  <c r="V36" i="21"/>
  <c r="I36" i="24"/>
  <c r="W34" i="18"/>
  <c r="BE25" i="3"/>
  <c r="BE26" i="3" s="1"/>
  <c r="V34" i="18"/>
  <c r="W30" i="18"/>
  <c r="BL24" i="3" s="1"/>
  <c r="V30" i="18"/>
  <c r="BK24" i="3" s="1"/>
  <c r="W38" i="18"/>
  <c r="BL34" i="3" s="1"/>
  <c r="V38" i="18"/>
  <c r="BK34" i="3" s="1"/>
  <c r="D41" i="26"/>
  <c r="W25" i="22"/>
  <c r="DT13" i="3" s="1"/>
  <c r="V25" i="22"/>
  <c r="DS13" i="3" s="1"/>
  <c r="W31" i="22"/>
  <c r="DT23" i="3" s="1"/>
  <c r="T21" i="22"/>
  <c r="DR7" i="3" s="1"/>
  <c r="DR8" i="3" s="1"/>
  <c r="W25" i="17"/>
  <c r="AW15" i="3" s="1"/>
  <c r="V25" i="17"/>
  <c r="AV15" i="3" s="1"/>
  <c r="W24" i="17"/>
  <c r="AW13" i="3" s="1"/>
  <c r="V24" i="17"/>
  <c r="AV13" i="3" s="1"/>
  <c r="W10" i="16"/>
  <c r="V10" i="16"/>
  <c r="W24" i="16"/>
  <c r="T20" i="19"/>
  <c r="BY7" i="3" s="1"/>
  <c r="BY8" i="3" s="1"/>
  <c r="T46" i="19"/>
  <c r="G100" i="26" s="1"/>
  <c r="W46" i="21"/>
  <c r="DE40" i="3" s="1"/>
  <c r="W31" i="20"/>
  <c r="CP24" i="3" s="1"/>
  <c r="V31" i="20"/>
  <c r="CO24" i="3" s="1"/>
  <c r="W35" i="20"/>
  <c r="V35" i="20"/>
  <c r="CO27" i="3" s="1"/>
  <c r="DN47" i="3"/>
  <c r="DN51" i="3"/>
  <c r="W38" i="19"/>
  <c r="CA33" i="3" s="1"/>
  <c r="V38" i="19"/>
  <c r="BZ33" i="3" s="1"/>
  <c r="BW47" i="3"/>
  <c r="BW51" i="3"/>
  <c r="J25" i="26"/>
  <c r="O19" i="22"/>
  <c r="W20" i="22"/>
  <c r="DT4" i="3" s="1"/>
  <c r="V20" i="22"/>
  <c r="DS4" i="3" s="1"/>
  <c r="W36" i="22"/>
  <c r="DT27" i="3" s="1"/>
  <c r="V36" i="22"/>
  <c r="DS27" i="3" s="1"/>
  <c r="W26" i="17"/>
  <c r="AW16" i="3" s="1"/>
  <c r="V26" i="17"/>
  <c r="AV16" i="3" s="1"/>
  <c r="W28" i="17"/>
  <c r="AW21" i="3" s="1"/>
  <c r="V28" i="17"/>
  <c r="AV21" i="3" s="1"/>
  <c r="C22" i="26"/>
  <c r="CZ51" i="3"/>
  <c r="CZ47" i="3"/>
  <c r="W43" i="16"/>
  <c r="W26" i="16"/>
  <c r="W34" i="16"/>
  <c r="W34" i="20"/>
  <c r="CP29" i="3" s="1"/>
  <c r="V34" i="20"/>
  <c r="CO29" i="3" s="1"/>
  <c r="W40" i="20"/>
  <c r="CP35" i="3" s="1"/>
  <c r="V40" i="20"/>
  <c r="CO35" i="3" s="1"/>
  <c r="J40" i="26"/>
  <c r="EL47" i="3"/>
  <c r="EL51" i="3"/>
  <c r="W9" i="18"/>
  <c r="V9" i="18"/>
  <c r="W21" i="18"/>
  <c r="BL11" i="3" s="1"/>
  <c r="O20" i="18"/>
  <c r="V21" i="18"/>
  <c r="BK11" i="3" s="1"/>
  <c r="BV51" i="3"/>
  <c r="BV47" i="3"/>
  <c r="W34" i="17"/>
  <c r="AW29" i="3" s="1"/>
  <c r="V34" i="17"/>
  <c r="AV29" i="3" s="1"/>
  <c r="W43" i="17"/>
  <c r="V43" i="17"/>
  <c r="O31" i="16"/>
  <c r="O30" i="16"/>
  <c r="W12" i="16"/>
  <c r="W45" i="16"/>
  <c r="W39" i="16"/>
  <c r="CL51" i="3"/>
  <c r="CL47" i="3"/>
  <c r="BX47" i="3"/>
  <c r="BX51" i="3"/>
  <c r="W37" i="20"/>
  <c r="O36" i="20"/>
  <c r="V37" i="20"/>
  <c r="CO32" i="3" s="1"/>
  <c r="W45" i="20"/>
  <c r="CP40" i="3" s="1"/>
  <c r="V45" i="20"/>
  <c r="CO40" i="3" s="1"/>
  <c r="BH51" i="3"/>
  <c r="BH47" i="3"/>
  <c r="L48" i="26"/>
  <c r="W10" i="18"/>
  <c r="V10" i="18"/>
  <c r="W7" i="18"/>
  <c r="BL3" i="3" s="1"/>
  <c r="V7" i="18"/>
  <c r="BK3" i="3" s="1"/>
  <c r="W36" i="18"/>
  <c r="BL32" i="3" s="1"/>
  <c r="O35" i="18"/>
  <c r="BE30" i="3"/>
  <c r="BE31" i="3" s="1"/>
  <c r="V36" i="18"/>
  <c r="CY47" i="3"/>
  <c r="CY51" i="3"/>
  <c r="CM47" i="3"/>
  <c r="CM51" i="3"/>
  <c r="L38" i="26"/>
  <c r="W24" i="22"/>
  <c r="DT12" i="3" s="1"/>
  <c r="V24" i="22"/>
  <c r="DS12" i="3" s="1"/>
  <c r="W8" i="22"/>
  <c r="DT3" i="3" s="1"/>
  <c r="V8" i="22"/>
  <c r="DS3" i="3" s="1"/>
  <c r="W46" i="22"/>
  <c r="DT40" i="3" s="1"/>
  <c r="V46" i="22"/>
  <c r="DS40" i="3" s="1"/>
  <c r="CK47" i="3"/>
  <c r="CK51" i="3"/>
  <c r="R45" i="18"/>
  <c r="P27" i="16"/>
  <c r="W8" i="17"/>
  <c r="AW3" i="3" s="1"/>
  <c r="V8" i="17"/>
  <c r="AV3" i="3" s="1"/>
  <c r="W35" i="17"/>
  <c r="AW27" i="3" s="1"/>
  <c r="V35" i="17"/>
  <c r="AV27" i="3" s="1"/>
  <c r="O32" i="17"/>
  <c r="W33" i="17"/>
  <c r="AW28" i="3" s="1"/>
  <c r="V33" i="17"/>
  <c r="AV28" i="3" s="1"/>
  <c r="R20" i="19"/>
  <c r="BW7" i="3" s="1"/>
  <c r="BW8" i="3" s="1"/>
  <c r="S20" i="20"/>
  <c r="CM7" i="3" s="1"/>
  <c r="CM8" i="3" s="1"/>
  <c r="I57" i="26"/>
  <c r="O32" i="16"/>
  <c r="W33" i="16"/>
  <c r="W38" i="16"/>
  <c r="O37" i="21"/>
  <c r="W37" i="21" s="1"/>
  <c r="W38" i="21"/>
  <c r="DE32" i="3" s="1"/>
  <c r="G43" i="26"/>
  <c r="AD51" i="3"/>
  <c r="AD47" i="3"/>
  <c r="W26" i="20"/>
  <c r="CP16" i="3" s="1"/>
  <c r="V26" i="20"/>
  <c r="CO16" i="3" s="1"/>
  <c r="W8" i="20"/>
  <c r="CP3" i="3" s="1"/>
  <c r="V8" i="20"/>
  <c r="CO3" i="3" s="1"/>
  <c r="R27" i="17"/>
  <c r="R20" i="17" s="1"/>
  <c r="AS7" i="3" s="1"/>
  <c r="AS8" i="3" s="1"/>
  <c r="R20" i="20"/>
  <c r="CL7" i="3" s="1"/>
  <c r="CL8" i="3" s="1"/>
  <c r="W10" i="19"/>
  <c r="V10" i="19"/>
  <c r="CN51" i="3"/>
  <c r="CN47" i="3"/>
  <c r="L49" i="26"/>
  <c r="W11" i="19"/>
  <c r="V11" i="19"/>
  <c r="W40" i="22"/>
  <c r="DT34" i="3" s="1"/>
  <c r="V40" i="22"/>
  <c r="DS34" i="3" s="1"/>
  <c r="W35" i="22"/>
  <c r="DT29" i="3" s="1"/>
  <c r="V35" i="22"/>
  <c r="DS29" i="3" s="1"/>
  <c r="W27" i="22"/>
  <c r="DT16" i="3" s="1"/>
  <c r="V27" i="22"/>
  <c r="DS16" i="3" s="1"/>
  <c r="H41" i="26"/>
  <c r="AE47" i="3"/>
  <c r="AE51" i="3"/>
  <c r="O31" i="17"/>
  <c r="AP24" i="3" s="1"/>
  <c r="O30" i="17"/>
  <c r="AP23" i="3" s="1"/>
  <c r="W12" i="17"/>
  <c r="V12" i="17"/>
  <c r="W38" i="17"/>
  <c r="AW33" i="3" s="1"/>
  <c r="V38" i="17"/>
  <c r="AV33" i="3" s="1"/>
  <c r="W37" i="17"/>
  <c r="AW32" i="3" s="1"/>
  <c r="O36" i="17"/>
  <c r="AP30" i="3"/>
  <c r="V37" i="17"/>
  <c r="AV32" i="3" s="1"/>
  <c r="AT51" i="3"/>
  <c r="AT47" i="3"/>
  <c r="O36" i="16"/>
  <c r="W37" i="16"/>
  <c r="W8" i="16"/>
  <c r="AH3" i="3" s="1"/>
  <c r="BG47" i="3"/>
  <c r="BG51" i="3"/>
  <c r="W44" i="21"/>
  <c r="DC47" i="3"/>
  <c r="DC51" i="3"/>
  <c r="J20" i="24"/>
  <c r="W29" i="20"/>
  <c r="CP22" i="3" s="1"/>
  <c r="V29" i="20"/>
  <c r="CO22" i="3" s="1"/>
  <c r="W23" i="20"/>
  <c r="CP12" i="3" s="1"/>
  <c r="V23" i="20"/>
  <c r="CO12" i="3" s="1"/>
  <c r="S46" i="20"/>
  <c r="H99" i="26" s="1"/>
  <c r="EM47" i="3"/>
  <c r="EM51" i="3"/>
  <c r="Q20" i="19"/>
  <c r="BV7" i="3" s="1"/>
  <c r="BV8" i="3" s="1"/>
  <c r="W26" i="19"/>
  <c r="CA16" i="3" s="1"/>
  <c r="V26" i="19"/>
  <c r="BZ16" i="3" s="1"/>
  <c r="W30" i="19"/>
  <c r="CA23" i="3" s="1"/>
  <c r="V30" i="19"/>
  <c r="BZ23" i="3" s="1"/>
  <c r="N45" i="21"/>
  <c r="CW39" i="3" s="1"/>
  <c r="V23" i="21"/>
  <c r="L19" i="26"/>
  <c r="I18" i="24"/>
  <c r="G25" i="26"/>
  <c r="W19" i="19"/>
  <c r="CA4" i="3" s="1"/>
  <c r="O18" i="19"/>
  <c r="V19" i="19"/>
  <c r="BZ4" i="3" s="1"/>
  <c r="W40" i="19"/>
  <c r="CA35" i="3" s="1"/>
  <c r="V40" i="19"/>
  <c r="BZ35" i="3" s="1"/>
  <c r="V26" i="21"/>
  <c r="DD16" i="3" s="1"/>
  <c r="V25" i="21"/>
  <c r="DD15" i="3" s="1"/>
  <c r="F42" i="26"/>
  <c r="O26" i="18"/>
  <c r="W27" i="18"/>
  <c r="BL21" i="3" s="1"/>
  <c r="V27" i="18"/>
  <c r="BK21" i="3" s="1"/>
  <c r="W24" i="18"/>
  <c r="BL15" i="3" s="1"/>
  <c r="V24" i="18"/>
  <c r="BK15" i="3" s="1"/>
  <c r="H44" i="26"/>
  <c r="W43" i="19"/>
  <c r="V43" i="19"/>
  <c r="W28" i="19"/>
  <c r="CA21" i="3" s="1"/>
  <c r="O27" i="19"/>
  <c r="BT19" i="3"/>
  <c r="V28" i="19"/>
  <c r="W24" i="19"/>
  <c r="CA13" i="3" s="1"/>
  <c r="V24" i="19"/>
  <c r="BZ13" i="3" s="1"/>
  <c r="V46" i="21"/>
  <c r="DD40" i="3" s="1"/>
  <c r="K33" i="3"/>
  <c r="V39" i="21"/>
  <c r="DD33" i="3" s="1"/>
  <c r="V24" i="24"/>
  <c r="I21" i="24"/>
  <c r="S21" i="22"/>
  <c r="DQ7" i="3" s="1"/>
  <c r="DQ8" i="3" s="1"/>
  <c r="W42" i="18"/>
  <c r="V42" i="18"/>
  <c r="O31" i="18"/>
  <c r="W32" i="18"/>
  <c r="BL28" i="3" s="1"/>
  <c r="V32" i="18"/>
  <c r="BK28" i="3" s="1"/>
  <c r="BY51" i="3"/>
  <c r="BY47" i="3"/>
  <c r="W10" i="22"/>
  <c r="V10" i="22"/>
  <c r="O28" i="22"/>
  <c r="W29" i="22"/>
  <c r="DT21" i="3" s="1"/>
  <c r="V29" i="22"/>
  <c r="W32" i="22"/>
  <c r="DT24" i="3" s="1"/>
  <c r="V32" i="22"/>
  <c r="DS24" i="3" s="1"/>
  <c r="W40" i="17"/>
  <c r="AW35" i="3" s="1"/>
  <c r="V40" i="17"/>
  <c r="AV35" i="3" s="1"/>
  <c r="W23" i="16"/>
  <c r="F41" i="26"/>
  <c r="W25" i="21"/>
  <c r="DE15" i="3" s="1"/>
  <c r="I25" i="26"/>
  <c r="W18" i="21"/>
  <c r="O17" i="21"/>
  <c r="W17" i="21" s="1"/>
  <c r="I44" i="26"/>
  <c r="W11" i="20"/>
  <c r="V11" i="20"/>
  <c r="W28" i="20"/>
  <c r="CP21" i="3" s="1"/>
  <c r="O27" i="20"/>
  <c r="V28" i="20"/>
  <c r="W29" i="18"/>
  <c r="BL23" i="3" s="1"/>
  <c r="V29" i="18"/>
  <c r="BK23" i="3" s="1"/>
  <c r="F25" i="26"/>
  <c r="W18" i="18"/>
  <c r="O17" i="18"/>
  <c r="V18" i="18"/>
  <c r="EN51" i="3"/>
  <c r="EN47" i="3"/>
  <c r="O22" i="22"/>
  <c r="O45" i="22"/>
  <c r="O42" i="22" s="1"/>
  <c r="W23" i="22"/>
  <c r="DT11" i="3" s="1"/>
  <c r="V23" i="22"/>
  <c r="DS11" i="3" s="1"/>
  <c r="W44" i="22"/>
  <c r="V44" i="22"/>
  <c r="D43" i="26"/>
  <c r="O44" i="17"/>
  <c r="AP39" i="3" s="1"/>
  <c r="O21" i="17"/>
  <c r="W22" i="17"/>
  <c r="AW11" i="3" s="1"/>
  <c r="V22" i="17"/>
  <c r="AV11" i="3" s="1"/>
  <c r="W39" i="17"/>
  <c r="AW34" i="3" s="1"/>
  <c r="V39" i="17"/>
  <c r="AV34" i="3" s="1"/>
  <c r="Q20" i="20"/>
  <c r="CK7" i="3" s="1"/>
  <c r="CK8" i="3" s="1"/>
  <c r="Q46" i="20"/>
  <c r="H97" i="26" s="1"/>
  <c r="BF51" i="3"/>
  <c r="BF47" i="3"/>
  <c r="W35" i="16"/>
  <c r="W39" i="21"/>
  <c r="DE33" i="3" s="1"/>
  <c r="W36" i="21"/>
  <c r="O33" i="21"/>
  <c r="W33" i="21" s="1"/>
  <c r="CX25" i="3"/>
  <c r="K20" i="24"/>
  <c r="BJ51" i="3"/>
  <c r="BJ47" i="3"/>
  <c r="W39" i="20"/>
  <c r="CP34" i="3" s="1"/>
  <c r="V39" i="20"/>
  <c r="CO34" i="3" s="1"/>
  <c r="O44" i="20"/>
  <c r="O41" i="20" s="1"/>
  <c r="O21" i="20"/>
  <c r="W22" i="20"/>
  <c r="CP11" i="3" s="1"/>
  <c r="V22" i="20"/>
  <c r="CO11" i="3" s="1"/>
  <c r="W33" i="20"/>
  <c r="CP28" i="3" s="1"/>
  <c r="O32" i="20"/>
  <c r="V33" i="20"/>
  <c r="CO28" i="3" s="1"/>
  <c r="S47" i="22"/>
  <c r="J99" i="26" s="1"/>
  <c r="EP47" i="3"/>
  <c r="EP51" i="3"/>
  <c r="W13" i="22"/>
  <c r="V13" i="22"/>
  <c r="O33" i="22"/>
  <c r="W34" i="22"/>
  <c r="DT28" i="3" s="1"/>
  <c r="V34" i="22"/>
  <c r="DS28" i="3" s="1"/>
  <c r="W41" i="22"/>
  <c r="DT35" i="3" s="1"/>
  <c r="V41" i="22"/>
  <c r="DS35" i="3" s="1"/>
  <c r="W37" i="18"/>
  <c r="BL33" i="3" s="1"/>
  <c r="V37" i="18"/>
  <c r="BK33" i="3" s="1"/>
  <c r="W23" i="18"/>
  <c r="BL13" i="3" s="1"/>
  <c r="V23" i="18"/>
  <c r="BK13" i="3" s="1"/>
  <c r="L36" i="26"/>
  <c r="EO51" i="3"/>
  <c r="EO47" i="3"/>
  <c r="W12" i="22"/>
  <c r="V12" i="22"/>
  <c r="W30" i="22"/>
  <c r="DT22" i="3" s="1"/>
  <c r="V30" i="22"/>
  <c r="DS22" i="3" s="1"/>
  <c r="W10" i="17"/>
  <c r="V10" i="17"/>
  <c r="Q27" i="16"/>
  <c r="O44" i="16"/>
  <c r="O41" i="16" s="1"/>
  <c r="O21" i="16"/>
  <c r="W22" i="16"/>
  <c r="DR51" i="3"/>
  <c r="DR47" i="3"/>
  <c r="DP51" i="3"/>
  <c r="DP47" i="3"/>
  <c r="F44" i="26"/>
  <c r="AR51" i="3"/>
  <c r="AR47" i="3"/>
  <c r="W24" i="20"/>
  <c r="CP13" i="3" s="1"/>
  <c r="V24" i="20"/>
  <c r="CO13" i="3" s="1"/>
  <c r="W10" i="20"/>
  <c r="V10" i="20"/>
  <c r="W38" i="20"/>
  <c r="CP33" i="3" s="1"/>
  <c r="V38" i="20"/>
  <c r="CO33" i="3" s="1"/>
  <c r="Q21" i="22"/>
  <c r="DO7" i="3" s="1"/>
  <c r="DO8" i="3" s="1"/>
  <c r="AU51" i="3"/>
  <c r="AU47" i="3"/>
  <c r="W39" i="19"/>
  <c r="CA34" i="3" s="1"/>
  <c r="V39" i="19"/>
  <c r="BZ34" i="3" s="1"/>
  <c r="W34" i="19"/>
  <c r="CA29" i="3" s="1"/>
  <c r="V34" i="19"/>
  <c r="BZ29" i="3" s="1"/>
  <c r="W33" i="19"/>
  <c r="CA28" i="3" s="1"/>
  <c r="O32" i="19"/>
  <c r="V33" i="19"/>
  <c r="BZ28" i="3" s="1"/>
  <c r="I42" i="26"/>
  <c r="W12" i="19"/>
  <c r="V12" i="19"/>
  <c r="W45" i="19"/>
  <c r="CA40" i="3" s="1"/>
  <c r="V45" i="19"/>
  <c r="BZ40" i="3" s="1"/>
  <c r="W25" i="19"/>
  <c r="CA15" i="3" s="1"/>
  <c r="V25" i="19"/>
  <c r="BZ15" i="3" s="1"/>
  <c r="N37" i="21"/>
  <c r="V38" i="21"/>
  <c r="DO47" i="3"/>
  <c r="DO51" i="3"/>
  <c r="S20" i="19"/>
  <c r="BX7" i="3" s="1"/>
  <c r="BX8" i="3" s="1"/>
  <c r="S46" i="19"/>
  <c r="G99" i="26" s="1"/>
  <c r="W39" i="22"/>
  <c r="DT33" i="3" s="1"/>
  <c r="V39" i="22"/>
  <c r="DS33" i="3" s="1"/>
  <c r="O37" i="22"/>
  <c r="W38" i="22"/>
  <c r="V38" i="22"/>
  <c r="DS32" i="3" s="1"/>
  <c r="R46" i="20"/>
  <c r="H98" i="26" s="1"/>
  <c r="BI47" i="3"/>
  <c r="BI51" i="3"/>
  <c r="L20" i="24"/>
  <c r="E25" i="26"/>
  <c r="W19" i="17"/>
  <c r="AW4" i="3" s="1"/>
  <c r="O18" i="17"/>
  <c r="V19" i="17"/>
  <c r="AV4" i="3" s="1"/>
  <c r="W45" i="17"/>
  <c r="AW40" i="3" s="1"/>
  <c r="V45" i="17"/>
  <c r="AV40" i="3" s="1"/>
  <c r="AS51" i="3"/>
  <c r="AS47" i="3"/>
  <c r="W11" i="16"/>
  <c r="V11" i="16"/>
  <c r="D25" i="26"/>
  <c r="D39" i="26" s="1"/>
  <c r="W19" i="16"/>
  <c r="AH4" i="3" s="1"/>
  <c r="O18" i="16"/>
  <c r="J44" i="26"/>
  <c r="W23" i="21"/>
  <c r="O45" i="21"/>
  <c r="CX39" i="3" s="1"/>
  <c r="J42" i="26"/>
  <c r="E41" i="26"/>
  <c r="W12" i="20"/>
  <c r="V12" i="20"/>
  <c r="W25" i="20"/>
  <c r="CP15" i="3" s="1"/>
  <c r="V25" i="20"/>
  <c r="CO15" i="3" s="1"/>
  <c r="W43" i="20"/>
  <c r="V43" i="20"/>
  <c r="W8" i="19"/>
  <c r="CA3" i="3" s="1"/>
  <c r="V8" i="19"/>
  <c r="BZ3" i="3" s="1"/>
  <c r="C23" i="26"/>
  <c r="I41" i="24"/>
  <c r="W24" i="24"/>
  <c r="D58" i="26"/>
  <c r="W39" i="18"/>
  <c r="BL35" i="3" s="1"/>
  <c r="V39" i="18"/>
  <c r="BK35" i="3" s="1"/>
  <c r="W11" i="18"/>
  <c r="V11" i="18"/>
  <c r="P21" i="22"/>
  <c r="DN7" i="3" s="1"/>
  <c r="DN8" i="3" s="1"/>
  <c r="P47" i="22"/>
  <c r="J96" i="26" s="1"/>
  <c r="W23" i="19"/>
  <c r="CA12" i="3" s="1"/>
  <c r="V23" i="19"/>
  <c r="BZ12" i="3" s="1"/>
  <c r="O44" i="19"/>
  <c r="O41" i="19" s="1"/>
  <c r="W22" i="19"/>
  <c r="CA11" i="3" s="1"/>
  <c r="O21" i="19"/>
  <c r="V22" i="19"/>
  <c r="BZ11" i="3" s="1"/>
  <c r="R21" i="22"/>
  <c r="DP7" i="3" s="1"/>
  <c r="DP8" i="3" s="1"/>
  <c r="R47" i="22"/>
  <c r="J98" i="26" s="1"/>
  <c r="V44" i="21"/>
  <c r="W44" i="18"/>
  <c r="BL40" i="3" s="1"/>
  <c r="V44" i="18"/>
  <c r="BK40" i="3" s="1"/>
  <c r="W28" i="18"/>
  <c r="BL22" i="3" s="1"/>
  <c r="V28" i="18"/>
  <c r="BK22" i="3" s="1"/>
  <c r="AB47" i="3"/>
  <c r="AB51" i="3"/>
  <c r="T20" i="20"/>
  <c r="CN7" i="3" s="1"/>
  <c r="CN8" i="3" s="1"/>
  <c r="T46" i="20"/>
  <c r="H100" i="26" s="1"/>
  <c r="AF47" i="3"/>
  <c r="AF51" i="3"/>
  <c r="W25" i="18"/>
  <c r="BL16" i="3" s="1"/>
  <c r="V25" i="18"/>
  <c r="BK16" i="3" s="1"/>
  <c r="O43" i="18"/>
  <c r="BE39" i="3" s="1"/>
  <c r="W22" i="18"/>
  <c r="BL12" i="3" s="1"/>
  <c r="V22" i="18"/>
  <c r="BK12" i="3" s="1"/>
  <c r="W33" i="18"/>
  <c r="BL29" i="3" s="1"/>
  <c r="V33" i="18"/>
  <c r="BK29" i="3" s="1"/>
  <c r="J41" i="26"/>
  <c r="AC51" i="3"/>
  <c r="AC47" i="3"/>
  <c r="W26" i="22"/>
  <c r="DT15" i="3" s="1"/>
  <c r="V26" i="22"/>
  <c r="DS15" i="3" s="1"/>
  <c r="P27" i="17"/>
  <c r="P20" i="17" s="1"/>
  <c r="AQ7" i="3" s="1"/>
  <c r="AQ8" i="3" s="1"/>
  <c r="DQ47" i="3"/>
  <c r="DQ51" i="3"/>
  <c r="W23" i="17"/>
  <c r="AW12" i="3" s="1"/>
  <c r="V23" i="17"/>
  <c r="AV12" i="3" s="1"/>
  <c r="O29" i="17"/>
  <c r="AP22" i="3" s="1"/>
  <c r="W11" i="17"/>
  <c r="V11" i="17"/>
  <c r="E42" i="26"/>
  <c r="Q46" i="19"/>
  <c r="G97" i="26" s="1"/>
  <c r="S27" i="17"/>
  <c r="S20" i="17" s="1"/>
  <c r="AT7" i="3" s="1"/>
  <c r="AT8" i="3" s="1"/>
  <c r="W25" i="16"/>
  <c r="W40" i="16"/>
  <c r="T47" i="22"/>
  <c r="J100" i="26" s="1"/>
  <c r="W26" i="21"/>
  <c r="DE16" i="3" s="1"/>
  <c r="C21" i="26"/>
  <c r="C20" i="26"/>
  <c r="H25" i="26"/>
  <c r="O18" i="20"/>
  <c r="W19" i="20"/>
  <c r="CP4" i="3" s="1"/>
  <c r="V19" i="20"/>
  <c r="CO4" i="3" s="1"/>
  <c r="W30" i="20"/>
  <c r="CP23" i="3" s="1"/>
  <c r="V30" i="20"/>
  <c r="CO23" i="3" s="1"/>
  <c r="V31" i="22" l="1"/>
  <c r="DS23" i="3" s="1"/>
  <c r="AF26" i="3"/>
  <c r="AF39" i="3"/>
  <c r="AF36" i="3" s="1"/>
  <c r="AF37" i="3" s="1"/>
  <c r="S45" i="2"/>
  <c r="T20" i="16"/>
  <c r="AF7" i="3" s="1"/>
  <c r="AF8" i="3" s="1"/>
  <c r="AE39" i="3"/>
  <c r="P39" i="3" s="1"/>
  <c r="S23" i="12"/>
  <c r="AF10" i="3"/>
  <c r="AF31" i="3"/>
  <c r="R45" i="2"/>
  <c r="J25" i="12"/>
  <c r="AD31" i="3"/>
  <c r="AF5" i="3"/>
  <c r="AF6" i="3" s="1"/>
  <c r="M13" i="3"/>
  <c r="P45" i="2"/>
  <c r="O28" i="16"/>
  <c r="AA21" i="3" s="1"/>
  <c r="O29" i="16"/>
  <c r="AA22" i="3" s="1"/>
  <c r="Q20" i="16"/>
  <c r="AC7" i="3" s="1"/>
  <c r="AC8" i="3" s="1"/>
  <c r="Q46" i="16"/>
  <c r="AD9" i="3"/>
  <c r="AD10" i="3" s="1"/>
  <c r="O20" i="16"/>
  <c r="P20" i="16"/>
  <c r="AB7" i="3" s="1"/>
  <c r="AC39" i="3"/>
  <c r="AC36" i="3" s="1"/>
  <c r="AC37" i="3" s="1"/>
  <c r="P46" i="16"/>
  <c r="AD26" i="3"/>
  <c r="AD37" i="3"/>
  <c r="AA5" i="3"/>
  <c r="AA6" i="3" s="1"/>
  <c r="R20" i="16"/>
  <c r="AD5" i="3"/>
  <c r="AD6" i="3" s="1"/>
  <c r="S46" i="16"/>
  <c r="D99" i="26" s="1"/>
  <c r="R46" i="16"/>
  <c r="D98" i="26" s="1"/>
  <c r="O46" i="16"/>
  <c r="T46" i="16"/>
  <c r="D100" i="26" s="1"/>
  <c r="D184" i="26" s="1"/>
  <c r="AF56" i="3" s="1"/>
  <c r="S20" i="16"/>
  <c r="BT20" i="3"/>
  <c r="AP31" i="3"/>
  <c r="G5" i="3"/>
  <c r="G6" i="3" s="1"/>
  <c r="M20" i="2"/>
  <c r="L14" i="3"/>
  <c r="DD11" i="3"/>
  <c r="G37" i="3"/>
  <c r="G20" i="3"/>
  <c r="BT31" i="3"/>
  <c r="I20" i="3"/>
  <c r="H10" i="3"/>
  <c r="H20" i="3"/>
  <c r="I10" i="3"/>
  <c r="H26" i="3"/>
  <c r="G10" i="3"/>
  <c r="H5" i="3"/>
  <c r="H6" i="3" s="1"/>
  <c r="J20" i="3"/>
  <c r="I5" i="3"/>
  <c r="I6" i="3" s="1"/>
  <c r="I26" i="3"/>
  <c r="J26" i="3"/>
  <c r="J5" i="3"/>
  <c r="J6" i="3" s="1"/>
  <c r="J10" i="3"/>
  <c r="R32" i="12"/>
  <c r="J32" i="12" s="1"/>
  <c r="R23" i="12"/>
  <c r="S45" i="18"/>
  <c r="F99" i="26" s="1"/>
  <c r="F225" i="26" s="1"/>
  <c r="AH40" i="3"/>
  <c r="AH35" i="3"/>
  <c r="AH34" i="3"/>
  <c r="AH33" i="3"/>
  <c r="AH32" i="3"/>
  <c r="AH27" i="3"/>
  <c r="AH29" i="3"/>
  <c r="AH28" i="3"/>
  <c r="DE18" i="3"/>
  <c r="V27" i="2"/>
  <c r="DE17" i="3"/>
  <c r="V26" i="2"/>
  <c r="AH16" i="3"/>
  <c r="AH15" i="3"/>
  <c r="AH13" i="3"/>
  <c r="V23" i="2"/>
  <c r="AH12" i="3"/>
  <c r="AH11" i="3"/>
  <c r="AA30" i="3"/>
  <c r="AA31" i="3" s="1"/>
  <c r="Q45" i="18"/>
  <c r="P45" i="18"/>
  <c r="F96" i="26" s="1"/>
  <c r="F180" i="26" s="1"/>
  <c r="BF56" i="3" s="1"/>
  <c r="L18" i="3"/>
  <c r="S18" i="3" s="1"/>
  <c r="DD18" i="3"/>
  <c r="U27" i="2"/>
  <c r="DD17" i="3"/>
  <c r="U26" i="2"/>
  <c r="N45" i="2"/>
  <c r="AA24" i="3"/>
  <c r="AA23" i="3"/>
  <c r="M38" i="2"/>
  <c r="M45" i="2"/>
  <c r="M43" i="2" s="1"/>
  <c r="DM39" i="3"/>
  <c r="DM36" i="3" s="1"/>
  <c r="DM37" i="3" s="1"/>
  <c r="CI39" i="3"/>
  <c r="CI36" i="3" s="1"/>
  <c r="CI37" i="3" s="1"/>
  <c r="BT39" i="3"/>
  <c r="BT36" i="3" s="1"/>
  <c r="BT37" i="3" s="1"/>
  <c r="AA39" i="3"/>
  <c r="W45" i="21"/>
  <c r="CX36" i="3"/>
  <c r="CX37" i="3" s="1"/>
  <c r="N42" i="21"/>
  <c r="CW36" i="3"/>
  <c r="CW37" i="3" s="1"/>
  <c r="CX26" i="3"/>
  <c r="T45" i="18"/>
  <c r="F100" i="26" s="1"/>
  <c r="F184" i="26" s="1"/>
  <c r="BJ56" i="3" s="1"/>
  <c r="O40" i="18"/>
  <c r="W40" i="18" s="1"/>
  <c r="BE36" i="3"/>
  <c r="BE37" i="3" s="1"/>
  <c r="EP41" i="3"/>
  <c r="EP42" i="3" s="1"/>
  <c r="EO41" i="3"/>
  <c r="EO42" i="3" s="1"/>
  <c r="EK26" i="3"/>
  <c r="EK37" i="3"/>
  <c r="EK30" i="3"/>
  <c r="EK31" i="3" s="1"/>
  <c r="EK5" i="3"/>
  <c r="EK20" i="3"/>
  <c r="EX13" i="3"/>
  <c r="EW13" i="3"/>
  <c r="EM7" i="3"/>
  <c r="EL7" i="3"/>
  <c r="EN7" i="3"/>
  <c r="EK9" i="3"/>
  <c r="EK10" i="3" s="1"/>
  <c r="DN41" i="3"/>
  <c r="DN42" i="3" s="1"/>
  <c r="DM6" i="3"/>
  <c r="DQ41" i="3"/>
  <c r="DQ42" i="3" s="1"/>
  <c r="DR41" i="3"/>
  <c r="DR42" i="3" s="1"/>
  <c r="DP41" i="3"/>
  <c r="DP42" i="3" s="1"/>
  <c r="DO41" i="3"/>
  <c r="DO42" i="3" s="1"/>
  <c r="P20" i="20"/>
  <c r="CJ7" i="3" s="1"/>
  <c r="CJ8" i="3" s="1"/>
  <c r="P20" i="19"/>
  <c r="BU7" i="3" s="1"/>
  <c r="BU8" i="3" s="1"/>
  <c r="DT32" i="3"/>
  <c r="DT30" i="3" s="1"/>
  <c r="DT31" i="3" s="1"/>
  <c r="DS30" i="3"/>
  <c r="DS31" i="3" s="1"/>
  <c r="DM30" i="3"/>
  <c r="DM31" i="3" s="1"/>
  <c r="DS25" i="3"/>
  <c r="DS26" i="3" s="1"/>
  <c r="DM25" i="3"/>
  <c r="DM26" i="3" s="1"/>
  <c r="DT25" i="3"/>
  <c r="DT26" i="3" s="1"/>
  <c r="DS21" i="3"/>
  <c r="DS19" i="3" s="1"/>
  <c r="DS20" i="3" s="1"/>
  <c r="DT19" i="3"/>
  <c r="DT20" i="3" s="1"/>
  <c r="DM19" i="3"/>
  <c r="DM20" i="3" s="1"/>
  <c r="DM9" i="3"/>
  <c r="DM10" i="3" s="1"/>
  <c r="DT9" i="3"/>
  <c r="DT10" i="3" s="1"/>
  <c r="DS5" i="3"/>
  <c r="DS9" i="3"/>
  <c r="DS10" i="3" s="1"/>
  <c r="DT5" i="3"/>
  <c r="DB41" i="3"/>
  <c r="DB42" i="3" s="1"/>
  <c r="DC41" i="3"/>
  <c r="DC42" i="3" s="1"/>
  <c r="CY41" i="3"/>
  <c r="CY42" i="3" s="1"/>
  <c r="CZ41" i="3"/>
  <c r="CZ42" i="3" s="1"/>
  <c r="CW6" i="3"/>
  <c r="DA41" i="3"/>
  <c r="DA42" i="3" s="1"/>
  <c r="Q16" i="25"/>
  <c r="DD32" i="3"/>
  <c r="DD30" i="3" s="1"/>
  <c r="DD31" i="3" s="1"/>
  <c r="DE30" i="3"/>
  <c r="DE31" i="3" s="1"/>
  <c r="CX30" i="3"/>
  <c r="CX31" i="3" s="1"/>
  <c r="K32" i="3"/>
  <c r="CW30" i="3"/>
  <c r="CW31" i="3" s="1"/>
  <c r="DD27" i="3"/>
  <c r="DD25" i="3" s="1"/>
  <c r="DD26" i="3" s="1"/>
  <c r="DE27" i="3"/>
  <c r="DE25" i="3" s="1"/>
  <c r="DE26" i="3" s="1"/>
  <c r="CX5" i="3"/>
  <c r="CX20" i="3"/>
  <c r="I31" i="26"/>
  <c r="I45" i="26" s="1"/>
  <c r="I59" i="26" s="1"/>
  <c r="DD4" i="3"/>
  <c r="DD5" i="3" s="1"/>
  <c r="K15" i="3"/>
  <c r="CW9" i="3"/>
  <c r="CW10" i="3" s="1"/>
  <c r="I32" i="26"/>
  <c r="I46" i="26" s="1"/>
  <c r="DE4" i="3"/>
  <c r="DE5" i="3" s="1"/>
  <c r="CN41" i="3"/>
  <c r="CN42" i="3" s="1"/>
  <c r="CK41" i="3"/>
  <c r="CK42" i="3" s="1"/>
  <c r="CI6" i="3"/>
  <c r="CL41" i="3"/>
  <c r="CL42" i="3" s="1"/>
  <c r="CM41" i="3"/>
  <c r="CM42" i="3" s="1"/>
  <c r="CP32" i="3"/>
  <c r="CP30" i="3" s="1"/>
  <c r="CP31" i="3" s="1"/>
  <c r="CO30" i="3"/>
  <c r="CO31" i="3" s="1"/>
  <c r="CI30" i="3"/>
  <c r="CI31" i="3" s="1"/>
  <c r="CP27" i="3"/>
  <c r="CP25" i="3" s="1"/>
  <c r="CP26" i="3" s="1"/>
  <c r="CI25" i="3"/>
  <c r="CI26" i="3" s="1"/>
  <c r="CO25" i="3"/>
  <c r="CO26" i="3" s="1"/>
  <c r="CO21" i="3"/>
  <c r="CO19" i="3" s="1"/>
  <c r="CO20" i="3" s="1"/>
  <c r="CI19" i="3"/>
  <c r="CI20" i="3" s="1"/>
  <c r="CP5" i="3"/>
  <c r="CP19" i="3"/>
  <c r="CP20" i="3" s="1"/>
  <c r="CO5" i="3"/>
  <c r="CO9" i="3"/>
  <c r="CO10" i="3" s="1"/>
  <c r="CI9" i="3"/>
  <c r="CI10" i="3" s="1"/>
  <c r="CP9" i="3"/>
  <c r="CP10" i="3" s="1"/>
  <c r="BX41" i="3"/>
  <c r="BX42" i="3" s="1"/>
  <c r="BV41" i="3"/>
  <c r="BV42" i="3" s="1"/>
  <c r="BT6" i="3"/>
  <c r="BW41" i="3"/>
  <c r="BW42" i="3" s="1"/>
  <c r="BY41" i="3"/>
  <c r="BY42" i="3" s="1"/>
  <c r="BZ30" i="3"/>
  <c r="BZ31" i="3" s="1"/>
  <c r="CA30" i="3"/>
  <c r="CA31" i="3" s="1"/>
  <c r="BZ27" i="3"/>
  <c r="BZ25" i="3" s="1"/>
  <c r="BZ26" i="3" s="1"/>
  <c r="BT25" i="3"/>
  <c r="BT26" i="3" s="1"/>
  <c r="CA25" i="3"/>
  <c r="CA26" i="3" s="1"/>
  <c r="BZ5" i="3"/>
  <c r="CA5" i="3"/>
  <c r="BZ21" i="3"/>
  <c r="BZ19" i="3" s="1"/>
  <c r="BZ20" i="3" s="1"/>
  <c r="CA19" i="3"/>
  <c r="CA20" i="3" s="1"/>
  <c r="CA9" i="3"/>
  <c r="CA10" i="3" s="1"/>
  <c r="BZ9" i="3"/>
  <c r="BZ10" i="3" s="1"/>
  <c r="BT9" i="3"/>
  <c r="BT10" i="3" s="1"/>
  <c r="BH41" i="3"/>
  <c r="BH42" i="3" s="1"/>
  <c r="BI41" i="3"/>
  <c r="BI42" i="3" s="1"/>
  <c r="BE6" i="3"/>
  <c r="BF41" i="3"/>
  <c r="BF42" i="3" s="1"/>
  <c r="BG41" i="3"/>
  <c r="BG42" i="3" s="1"/>
  <c r="BJ41" i="3"/>
  <c r="BJ42" i="3" s="1"/>
  <c r="BK32" i="3"/>
  <c r="BK30" i="3" s="1"/>
  <c r="BK31" i="3" s="1"/>
  <c r="BL30" i="3"/>
  <c r="BL31" i="3" s="1"/>
  <c r="BL27" i="3"/>
  <c r="BL25" i="3" s="1"/>
  <c r="BL26" i="3" s="1"/>
  <c r="BK27" i="3"/>
  <c r="BK25" i="3" s="1"/>
  <c r="BK26" i="3" s="1"/>
  <c r="BE19" i="3"/>
  <c r="BE20" i="3" s="1"/>
  <c r="BK19" i="3"/>
  <c r="BK20" i="3" s="1"/>
  <c r="BL19" i="3"/>
  <c r="BL20" i="3" s="1"/>
  <c r="F32" i="26"/>
  <c r="F46" i="26" s="1"/>
  <c r="F60" i="26" s="1"/>
  <c r="BL4" i="3"/>
  <c r="BL5" i="3" s="1"/>
  <c r="BE9" i="3"/>
  <c r="BE10" i="3" s="1"/>
  <c r="BL9" i="3"/>
  <c r="BL10" i="3" s="1"/>
  <c r="BK9" i="3"/>
  <c r="BK10" i="3" s="1"/>
  <c r="F31" i="26"/>
  <c r="F45" i="26" s="1"/>
  <c r="BK4" i="3"/>
  <c r="BK5" i="3" s="1"/>
  <c r="AU41" i="3"/>
  <c r="AU42" i="3" s="1"/>
  <c r="AS41" i="3"/>
  <c r="AS42" i="3" s="1"/>
  <c r="AT41" i="3"/>
  <c r="AT42" i="3" s="1"/>
  <c r="AQ41" i="3"/>
  <c r="AQ42" i="3" s="1"/>
  <c r="AP6" i="3"/>
  <c r="AP36" i="3"/>
  <c r="AP37" i="3" s="1"/>
  <c r="AW30" i="3"/>
  <c r="AW31" i="3" s="1"/>
  <c r="AV30" i="3"/>
  <c r="AV31" i="3" s="1"/>
  <c r="M39" i="3"/>
  <c r="AP25" i="3"/>
  <c r="AP26" i="3" s="1"/>
  <c r="AV25" i="3"/>
  <c r="AV26" i="3" s="1"/>
  <c r="AW25" i="3"/>
  <c r="AW26" i="3" s="1"/>
  <c r="O39" i="3"/>
  <c r="AW9" i="3"/>
  <c r="AW10" i="3" s="1"/>
  <c r="AP9" i="3"/>
  <c r="AP10" i="3" s="1"/>
  <c r="AV9" i="3"/>
  <c r="AV10" i="3" s="1"/>
  <c r="AV5" i="3"/>
  <c r="AW5" i="3"/>
  <c r="R17" i="3"/>
  <c r="AA25" i="3"/>
  <c r="AA26" i="3" s="1"/>
  <c r="AH5" i="3"/>
  <c r="AB19" i="3"/>
  <c r="AB20" i="3" s="1"/>
  <c r="AD19" i="3"/>
  <c r="AD20" i="3" s="1"/>
  <c r="AE19" i="3"/>
  <c r="AE20" i="3" s="1"/>
  <c r="AF19" i="3"/>
  <c r="AF20" i="3" s="1"/>
  <c r="AC19" i="3"/>
  <c r="AC20" i="3" s="1"/>
  <c r="AA9" i="3"/>
  <c r="AA10" i="3" s="1"/>
  <c r="H30" i="3"/>
  <c r="H31" i="3" s="1"/>
  <c r="L13" i="3"/>
  <c r="J30" i="3"/>
  <c r="J31" i="3" s="1"/>
  <c r="I30" i="3"/>
  <c r="I31" i="3" s="1"/>
  <c r="K25" i="3"/>
  <c r="K27" i="3"/>
  <c r="G30" i="3"/>
  <c r="G31" i="3" s="1"/>
  <c r="L65" i="26"/>
  <c r="L79" i="26" s="1"/>
  <c r="J7" i="3"/>
  <c r="J8" i="3" s="1"/>
  <c r="N46" i="24"/>
  <c r="L94" i="26" s="1"/>
  <c r="L178" i="26" s="1"/>
  <c r="EP56" i="3" s="1"/>
  <c r="J70" i="26"/>
  <c r="J84" i="26" s="1"/>
  <c r="J31" i="26"/>
  <c r="J45" i="26" s="1"/>
  <c r="J59" i="26" s="1"/>
  <c r="J68" i="26"/>
  <c r="J82" i="26" s="1"/>
  <c r="J32" i="26"/>
  <c r="J46" i="26" s="1"/>
  <c r="J60" i="26" s="1"/>
  <c r="J72" i="26"/>
  <c r="J86" i="26" s="1"/>
  <c r="J69" i="26"/>
  <c r="J71" i="26"/>
  <c r="J85" i="26" s="1"/>
  <c r="H222" i="26"/>
  <c r="CJ59" i="3" s="1"/>
  <c r="I69" i="26"/>
  <c r="I83" i="26" s="1"/>
  <c r="S47" i="21"/>
  <c r="I99" i="26" s="1"/>
  <c r="I183" i="26" s="1"/>
  <c r="DB56" i="3" s="1"/>
  <c r="H72" i="26"/>
  <c r="H32" i="26"/>
  <c r="H46" i="26" s="1"/>
  <c r="H70" i="26"/>
  <c r="H84" i="26" s="1"/>
  <c r="H69" i="26"/>
  <c r="H83" i="26" s="1"/>
  <c r="H31" i="26"/>
  <c r="H45" i="26" s="1"/>
  <c r="H71" i="26"/>
  <c r="H85" i="26" s="1"/>
  <c r="G32" i="26"/>
  <c r="G46" i="26" s="1"/>
  <c r="G60" i="26" s="1"/>
  <c r="G69" i="26"/>
  <c r="G83" i="26" s="1"/>
  <c r="G71" i="26"/>
  <c r="G85" i="26" s="1"/>
  <c r="G31" i="26"/>
  <c r="G45" i="26" s="1"/>
  <c r="G72" i="26"/>
  <c r="G86" i="26" s="1"/>
  <c r="G70" i="26"/>
  <c r="G84" i="26" s="1"/>
  <c r="F72" i="26"/>
  <c r="F86" i="26" s="1"/>
  <c r="F69" i="26"/>
  <c r="F83" i="26" s="1"/>
  <c r="F68" i="26"/>
  <c r="F82" i="26" s="1"/>
  <c r="F70" i="26"/>
  <c r="F84" i="26" s="1"/>
  <c r="F71" i="26"/>
  <c r="F85" i="26" s="1"/>
  <c r="E71" i="26"/>
  <c r="E85" i="26" s="1"/>
  <c r="E72" i="26"/>
  <c r="E86" i="26" s="1"/>
  <c r="E68" i="26"/>
  <c r="E82" i="26" s="1"/>
  <c r="E70" i="26"/>
  <c r="E84" i="26" s="1"/>
  <c r="E31" i="26"/>
  <c r="E45" i="26" s="1"/>
  <c r="E32" i="26"/>
  <c r="E46" i="26" s="1"/>
  <c r="D32" i="26"/>
  <c r="D46" i="26" s="1"/>
  <c r="D60" i="26" s="1"/>
  <c r="L8" i="2"/>
  <c r="M107" i="26"/>
  <c r="O16" i="25"/>
  <c r="N17" i="2"/>
  <c r="V17" i="2" s="1"/>
  <c r="K8" i="2"/>
  <c r="J8" i="2"/>
  <c r="I8" i="2"/>
  <c r="R16" i="25"/>
  <c r="S16" i="25"/>
  <c r="T16" i="25"/>
  <c r="P16" i="25"/>
  <c r="W19" i="25"/>
  <c r="V19" i="25"/>
  <c r="F98" i="26"/>
  <c r="F182" i="26" s="1"/>
  <c r="BH56" i="3" s="1"/>
  <c r="F97" i="26"/>
  <c r="F195" i="26" s="1"/>
  <c r="BG57" i="3" s="1"/>
  <c r="G56" i="26"/>
  <c r="E58" i="26"/>
  <c r="G180" i="26"/>
  <c r="BU56" i="3" s="1"/>
  <c r="M46" i="24"/>
  <c r="L93" i="26" s="1"/>
  <c r="L219" i="26" s="1"/>
  <c r="G194" i="26"/>
  <c r="BU57" i="3" s="1"/>
  <c r="E57" i="26"/>
  <c r="H56" i="26"/>
  <c r="AE7" i="3"/>
  <c r="L66" i="26"/>
  <c r="I71" i="26"/>
  <c r="I85" i="26" s="1"/>
  <c r="T46" i="17"/>
  <c r="E100" i="26" s="1"/>
  <c r="E226" i="26" s="1"/>
  <c r="M55" i="3"/>
  <c r="O59" i="2"/>
  <c r="F54" i="26"/>
  <c r="H180" i="26"/>
  <c r="CJ56" i="3" s="1"/>
  <c r="Q20" i="17"/>
  <c r="AR7" i="3" s="1"/>
  <c r="G54" i="26"/>
  <c r="J39" i="26"/>
  <c r="J53" i="26" s="1"/>
  <c r="AD7" i="3"/>
  <c r="Q47" i="21"/>
  <c r="I97" i="26" s="1"/>
  <c r="I181" i="26" s="1"/>
  <c r="CZ56" i="3" s="1"/>
  <c r="D96" i="26"/>
  <c r="D222" i="26" s="1"/>
  <c r="O27" i="16"/>
  <c r="W27" i="16" s="1"/>
  <c r="R46" i="17"/>
  <c r="E98" i="26" s="1"/>
  <c r="E224" i="26" s="1"/>
  <c r="O27" i="17"/>
  <c r="V27" i="17" s="1"/>
  <c r="I55" i="26"/>
  <c r="G39" i="26"/>
  <c r="G53" i="26" s="1"/>
  <c r="J181" i="26"/>
  <c r="DO56" i="3" s="1"/>
  <c r="V37" i="21"/>
  <c r="G224" i="26"/>
  <c r="BW59" i="3" s="1"/>
  <c r="J195" i="26"/>
  <c r="DO57" i="3" s="1"/>
  <c r="H39" i="26"/>
  <c r="H53" i="26" s="1"/>
  <c r="H54" i="26"/>
  <c r="G196" i="26"/>
  <c r="BW57" i="3" s="1"/>
  <c r="E39" i="26"/>
  <c r="E53" i="26" s="1"/>
  <c r="W41" i="16"/>
  <c r="W41" i="19"/>
  <c r="V41" i="19"/>
  <c r="W42" i="22"/>
  <c r="V42" i="22"/>
  <c r="O47" i="22"/>
  <c r="D53" i="26"/>
  <c r="J47" i="3"/>
  <c r="W17" i="18"/>
  <c r="V17" i="18"/>
  <c r="W27" i="20"/>
  <c r="V27" i="20"/>
  <c r="C148" i="26"/>
  <c r="F56" i="26"/>
  <c r="C133" i="26"/>
  <c r="J56" i="2" s="1"/>
  <c r="J55" i="2" s="1"/>
  <c r="O42" i="21"/>
  <c r="W42" i="21" s="1"/>
  <c r="AA51" i="3"/>
  <c r="AA47" i="3"/>
  <c r="W36" i="20"/>
  <c r="V36" i="20"/>
  <c r="I48" i="2"/>
  <c r="J237" i="26"/>
  <c r="DO60" i="3" s="1"/>
  <c r="DO59" i="3"/>
  <c r="J196" i="26"/>
  <c r="DP57" i="3" s="1"/>
  <c r="J224" i="26"/>
  <c r="J182" i="26"/>
  <c r="DP56" i="3" s="1"/>
  <c r="J194" i="26"/>
  <c r="DN57" i="3" s="1"/>
  <c r="J222" i="26"/>
  <c r="J180" i="26"/>
  <c r="DN56" i="3" s="1"/>
  <c r="I52" i="26"/>
  <c r="H223" i="26"/>
  <c r="H181" i="26"/>
  <c r="CK56" i="3" s="1"/>
  <c r="H195" i="26"/>
  <c r="CK57" i="3" s="1"/>
  <c r="W44" i="17"/>
  <c r="AW39" i="3" s="1"/>
  <c r="V44" i="17"/>
  <c r="AV39" i="3" s="1"/>
  <c r="C134" i="26"/>
  <c r="K56" i="2" s="1"/>
  <c r="K55" i="2" s="1"/>
  <c r="BE51" i="3"/>
  <c r="BE47" i="3"/>
  <c r="H183" i="26"/>
  <c r="CM56" i="3" s="1"/>
  <c r="H225" i="26"/>
  <c r="H197" i="26"/>
  <c r="CM57" i="3" s="1"/>
  <c r="W32" i="16"/>
  <c r="C146" i="26"/>
  <c r="W29" i="16"/>
  <c r="V29" i="16"/>
  <c r="L64" i="26"/>
  <c r="L46" i="24"/>
  <c r="L92" i="26" s="1"/>
  <c r="W37" i="22"/>
  <c r="V37" i="22"/>
  <c r="DD51" i="3"/>
  <c r="DD47" i="3"/>
  <c r="D97" i="26"/>
  <c r="L48" i="2"/>
  <c r="W27" i="19"/>
  <c r="V27" i="19"/>
  <c r="F39" i="26"/>
  <c r="W30" i="17"/>
  <c r="AW23" i="3" s="1"/>
  <c r="V30" i="17"/>
  <c r="AV23" i="3" s="1"/>
  <c r="CO51" i="3"/>
  <c r="CO47" i="3"/>
  <c r="I68" i="26"/>
  <c r="P47" i="21"/>
  <c r="I96" i="26" s="1"/>
  <c r="D55" i="26"/>
  <c r="W31" i="17"/>
  <c r="AW24" i="3" s="1"/>
  <c r="V31" i="17"/>
  <c r="AV24" i="3" s="1"/>
  <c r="C132" i="26"/>
  <c r="I56" i="2" s="1"/>
  <c r="I55" i="2" s="1"/>
  <c r="V33" i="21"/>
  <c r="BZ47" i="3"/>
  <c r="BZ51" i="3"/>
  <c r="S46" i="17"/>
  <c r="E99" i="26" s="1"/>
  <c r="BL47" i="3"/>
  <c r="BL51" i="3"/>
  <c r="I39" i="26"/>
  <c r="CA47" i="3"/>
  <c r="CA51" i="3"/>
  <c r="W32" i="17"/>
  <c r="V32" i="17"/>
  <c r="CX47" i="3"/>
  <c r="CX51" i="3"/>
  <c r="E56" i="26"/>
  <c r="DS47" i="3"/>
  <c r="DS51" i="3"/>
  <c r="DM51" i="3"/>
  <c r="DM47" i="3"/>
  <c r="BK47" i="3"/>
  <c r="BK51" i="3"/>
  <c r="I72" i="26"/>
  <c r="T47" i="21"/>
  <c r="I100" i="26" s="1"/>
  <c r="C149" i="26"/>
  <c r="J58" i="26"/>
  <c r="AW47" i="3"/>
  <c r="AW51" i="3"/>
  <c r="F55" i="26"/>
  <c r="W18" i="17"/>
  <c r="V18" i="17"/>
  <c r="I56" i="26"/>
  <c r="W32" i="19"/>
  <c r="V32" i="19"/>
  <c r="F58" i="26"/>
  <c r="O20" i="20"/>
  <c r="CI7" i="3" s="1"/>
  <c r="CI8" i="3" s="1"/>
  <c r="W21" i="20"/>
  <c r="V21" i="20"/>
  <c r="O46" i="20"/>
  <c r="L63" i="26"/>
  <c r="K46" i="24"/>
  <c r="L91" i="26" s="1"/>
  <c r="C135" i="26"/>
  <c r="L56" i="2" s="1"/>
  <c r="L55" i="2" s="1"/>
  <c r="W28" i="22"/>
  <c r="V28" i="22"/>
  <c r="N19" i="21"/>
  <c r="CW7" i="3" s="1"/>
  <c r="CW8" i="3" s="1"/>
  <c r="V20" i="21"/>
  <c r="H47" i="3"/>
  <c r="L62" i="26"/>
  <c r="J46" i="24"/>
  <c r="L90" i="26" s="1"/>
  <c r="W36" i="17"/>
  <c r="V36" i="17"/>
  <c r="O41" i="17"/>
  <c r="G184" i="26"/>
  <c r="BY56" i="3" s="1"/>
  <c r="G226" i="26"/>
  <c r="G198" i="26"/>
  <c r="BY57" i="3" s="1"/>
  <c r="W32" i="20"/>
  <c r="V32" i="20"/>
  <c r="W21" i="17"/>
  <c r="V21" i="17"/>
  <c r="DT51" i="3"/>
  <c r="DT47" i="3"/>
  <c r="W18" i="20"/>
  <c r="V18" i="20"/>
  <c r="CI47" i="3"/>
  <c r="CI51" i="3"/>
  <c r="W29" i="17"/>
  <c r="AP19" i="3"/>
  <c r="AP20" i="3" s="1"/>
  <c r="V29" i="17"/>
  <c r="H226" i="26"/>
  <c r="H198" i="26"/>
  <c r="CN57" i="3" s="1"/>
  <c r="H184" i="26"/>
  <c r="CN56" i="3" s="1"/>
  <c r="E55" i="26"/>
  <c r="W18" i="16"/>
  <c r="H224" i="26"/>
  <c r="H196" i="26"/>
  <c r="CL57" i="3" s="1"/>
  <c r="H182" i="26"/>
  <c r="CL56" i="3" s="1"/>
  <c r="G225" i="26"/>
  <c r="G197" i="26"/>
  <c r="BX57" i="3" s="1"/>
  <c r="G183" i="26"/>
  <c r="BX56" i="3" s="1"/>
  <c r="P46" i="17"/>
  <c r="E96" i="26" s="1"/>
  <c r="W21" i="16"/>
  <c r="L50" i="26"/>
  <c r="W44" i="20"/>
  <c r="CP39" i="3" s="1"/>
  <c r="V44" i="20"/>
  <c r="CO39" i="3" s="1"/>
  <c r="AH25" i="3"/>
  <c r="AH26" i="3" s="1"/>
  <c r="I58" i="26"/>
  <c r="I70" i="26"/>
  <c r="R47" i="21"/>
  <c r="I98" i="26" s="1"/>
  <c r="I20" i="24"/>
  <c r="W18" i="19"/>
  <c r="V18" i="19"/>
  <c r="L52" i="26"/>
  <c r="W30" i="16"/>
  <c r="V17" i="21"/>
  <c r="G223" i="26"/>
  <c r="G181" i="26"/>
  <c r="BV56" i="3" s="1"/>
  <c r="G195" i="26"/>
  <c r="BV57" i="3" s="1"/>
  <c r="H86" i="26"/>
  <c r="W21" i="19"/>
  <c r="O20" i="19"/>
  <c r="BT7" i="3" s="1"/>
  <c r="BT8" i="3" s="1"/>
  <c r="V21" i="19"/>
  <c r="O46" i="19"/>
  <c r="W44" i="16"/>
  <c r="AH39" i="3" s="1"/>
  <c r="J197" i="26"/>
  <c r="DQ57" i="3" s="1"/>
  <c r="J225" i="26"/>
  <c r="J183" i="26"/>
  <c r="DQ56" i="3" s="1"/>
  <c r="D57" i="26"/>
  <c r="AP51" i="3"/>
  <c r="AP47" i="3"/>
  <c r="I47" i="3"/>
  <c r="W31" i="18"/>
  <c r="V31" i="18"/>
  <c r="W20" i="21"/>
  <c r="W35" i="18"/>
  <c r="V35" i="18"/>
  <c r="W31" i="16"/>
  <c r="W20" i="18"/>
  <c r="O19" i="18"/>
  <c r="BE7" i="3" s="1"/>
  <c r="BE8" i="3" s="1"/>
  <c r="V20" i="18"/>
  <c r="O45" i="18"/>
  <c r="DE51" i="3"/>
  <c r="DE47" i="3"/>
  <c r="C24" i="26"/>
  <c r="J55" i="26"/>
  <c r="CW51" i="3"/>
  <c r="CW47" i="3"/>
  <c r="BT47" i="3"/>
  <c r="BT51" i="3"/>
  <c r="J226" i="26"/>
  <c r="J198" i="26"/>
  <c r="DR57" i="3" s="1"/>
  <c r="J184" i="26"/>
  <c r="DR56" i="3" s="1"/>
  <c r="W43" i="18"/>
  <c r="BL39" i="3" s="1"/>
  <c r="V43" i="18"/>
  <c r="BK39" i="3" s="1"/>
  <c r="W45" i="22"/>
  <c r="DT39" i="3" s="1"/>
  <c r="V45" i="22"/>
  <c r="DS39" i="3" s="1"/>
  <c r="H58" i="26"/>
  <c r="J48" i="2"/>
  <c r="EK47" i="3"/>
  <c r="EK51" i="3"/>
  <c r="DE9" i="3"/>
  <c r="DE10" i="3" s="1"/>
  <c r="AV51" i="3"/>
  <c r="AV47" i="3"/>
  <c r="W19" i="22"/>
  <c r="V19" i="22"/>
  <c r="W36" i="19"/>
  <c r="V36" i="19"/>
  <c r="W44" i="19"/>
  <c r="CA39" i="3" s="1"/>
  <c r="V44" i="19"/>
  <c r="BZ39" i="3" s="1"/>
  <c r="W41" i="20"/>
  <c r="V41" i="20"/>
  <c r="J56" i="26"/>
  <c r="J83" i="26"/>
  <c r="W33" i="22"/>
  <c r="V33" i="22"/>
  <c r="O21" i="22"/>
  <c r="DM7" i="3" s="1"/>
  <c r="DM8" i="3" s="1"/>
  <c r="W22" i="22"/>
  <c r="V22" i="22"/>
  <c r="AH51" i="3"/>
  <c r="AH47" i="3"/>
  <c r="K48" i="2"/>
  <c r="W26" i="18"/>
  <c r="V26" i="18"/>
  <c r="V45" i="21"/>
  <c r="DD39" i="3" s="1"/>
  <c r="C147" i="26"/>
  <c r="CP47" i="3"/>
  <c r="CP51" i="3"/>
  <c r="W36" i="16"/>
  <c r="H55" i="26"/>
  <c r="G236" i="26"/>
  <c r="BU60" i="3" s="1"/>
  <c r="BU59" i="3"/>
  <c r="L33" i="26"/>
  <c r="G57" i="26"/>
  <c r="E195" i="26"/>
  <c r="AR57" i="3" s="1"/>
  <c r="E223" i="26"/>
  <c r="E181" i="26"/>
  <c r="AR56" i="3" s="1"/>
  <c r="J54" i="26"/>
  <c r="G47" i="3"/>
  <c r="AE36" i="3" l="1"/>
  <c r="AE37" i="3" s="1"/>
  <c r="Q39" i="3"/>
  <c r="D72" i="26"/>
  <c r="D86" i="26" s="1"/>
  <c r="S13" i="3"/>
  <c r="N39" i="3"/>
  <c r="W28" i="16"/>
  <c r="AH21" i="3" s="1"/>
  <c r="D68" i="26"/>
  <c r="D82" i="26" s="1"/>
  <c r="D69" i="26"/>
  <c r="D83" i="26" s="1"/>
  <c r="V40" i="18"/>
  <c r="AB8" i="3"/>
  <c r="AB41" i="3"/>
  <c r="AB42" i="3" s="1"/>
  <c r="AC41" i="3"/>
  <c r="AC42" i="3" s="1"/>
  <c r="D196" i="26"/>
  <c r="AD57" i="3" s="1"/>
  <c r="D224" i="26"/>
  <c r="D182" i="26"/>
  <c r="AD56" i="3" s="1"/>
  <c r="D183" i="26"/>
  <c r="AE56" i="3" s="1"/>
  <c r="D197" i="26"/>
  <c r="AE57" i="3" s="1"/>
  <c r="D225" i="26"/>
  <c r="AE59" i="3" s="1"/>
  <c r="AF41" i="3"/>
  <c r="AF42" i="3" s="1"/>
  <c r="AA19" i="3"/>
  <c r="AA20" i="3" s="1"/>
  <c r="CX9" i="3"/>
  <c r="CX10" i="3" s="1"/>
  <c r="S14" i="3"/>
  <c r="R14" i="3"/>
  <c r="DD9" i="3"/>
  <c r="DD10" i="3" s="1"/>
  <c r="V45" i="2"/>
  <c r="AH24" i="3"/>
  <c r="AH23" i="3"/>
  <c r="AH22" i="3"/>
  <c r="R18" i="3"/>
  <c r="AG22" i="3"/>
  <c r="M18" i="2"/>
  <c r="L192" i="26"/>
  <c r="EP57" i="3" s="1"/>
  <c r="L220" i="26"/>
  <c r="DE39" i="3"/>
  <c r="DE36" i="3" s="1"/>
  <c r="DE37" i="3" s="1"/>
  <c r="DT36" i="3"/>
  <c r="DT37" i="3" s="1"/>
  <c r="DS36" i="3"/>
  <c r="DS37" i="3" s="1"/>
  <c r="DD36" i="3"/>
  <c r="DD37" i="3" s="1"/>
  <c r="C65" i="26"/>
  <c r="CP36" i="3"/>
  <c r="CP37" i="3" s="1"/>
  <c r="CO36" i="3"/>
  <c r="CO37" i="3" s="1"/>
  <c r="CA36" i="3"/>
  <c r="CA37" i="3" s="1"/>
  <c r="BZ36" i="3"/>
  <c r="BZ37" i="3" s="1"/>
  <c r="BL36" i="3"/>
  <c r="BL37" i="3" s="1"/>
  <c r="BK36" i="3"/>
  <c r="BK37" i="3" s="1"/>
  <c r="AW36" i="3"/>
  <c r="AW37" i="3" s="1"/>
  <c r="AV36" i="3"/>
  <c r="AV37" i="3" s="1"/>
  <c r="EK6" i="3"/>
  <c r="EN8" i="3"/>
  <c r="EN41" i="3"/>
  <c r="EN42" i="3" s="1"/>
  <c r="EL8" i="3"/>
  <c r="EL41" i="3"/>
  <c r="EL42" i="3" s="1"/>
  <c r="EM8" i="3"/>
  <c r="EM41" i="3"/>
  <c r="EM42" i="3" s="1"/>
  <c r="EK7" i="3"/>
  <c r="EK8" i="3" s="1"/>
  <c r="I7" i="3"/>
  <c r="G7" i="3"/>
  <c r="H7" i="3"/>
  <c r="DT6" i="3"/>
  <c r="DS6" i="3"/>
  <c r="DM41" i="3"/>
  <c r="DM42" i="3" s="1"/>
  <c r="G68" i="26"/>
  <c r="G82" i="26" s="1"/>
  <c r="H68" i="26"/>
  <c r="H82" i="26" s="1"/>
  <c r="CJ41" i="3"/>
  <c r="CJ42" i="3" s="1"/>
  <c r="BU41" i="3"/>
  <c r="BU42" i="3" s="1"/>
  <c r="K39" i="3"/>
  <c r="DE6" i="3"/>
  <c r="CW41" i="3"/>
  <c r="CW42" i="3" s="1"/>
  <c r="DD6" i="3"/>
  <c r="CX6" i="3"/>
  <c r="K7" i="3"/>
  <c r="K8" i="3" s="1"/>
  <c r="CO6" i="3"/>
  <c r="CP6" i="3"/>
  <c r="CI41" i="3"/>
  <c r="CI42" i="3" s="1"/>
  <c r="CA6" i="3"/>
  <c r="BZ6" i="3"/>
  <c r="BT41" i="3"/>
  <c r="BT42" i="3" s="1"/>
  <c r="L39" i="3"/>
  <c r="BL6" i="3"/>
  <c r="BK6" i="3"/>
  <c r="BE41" i="3"/>
  <c r="BE42" i="3" s="1"/>
  <c r="AV6" i="3"/>
  <c r="AR8" i="3"/>
  <c r="AR41" i="3"/>
  <c r="AR42" i="3" s="1"/>
  <c r="AW6" i="3"/>
  <c r="AV22" i="3"/>
  <c r="AV19" i="3" s="1"/>
  <c r="AV20" i="3" s="1"/>
  <c r="AW22" i="3"/>
  <c r="AW19" i="3" s="1"/>
  <c r="AW20" i="3" s="1"/>
  <c r="S39" i="3"/>
  <c r="AH6" i="3"/>
  <c r="AE8" i="3"/>
  <c r="AE41" i="3"/>
  <c r="AE42" i="3" s="1"/>
  <c r="AD8" i="3"/>
  <c r="AD41" i="3"/>
  <c r="AD42" i="3" s="1"/>
  <c r="AA36" i="3"/>
  <c r="AA37" i="3" s="1"/>
  <c r="AH36" i="3"/>
  <c r="AH37" i="3" s="1"/>
  <c r="AH30" i="3"/>
  <c r="AH31" i="3" s="1"/>
  <c r="AH9" i="3"/>
  <c r="AH10" i="3" s="1"/>
  <c r="J41" i="3"/>
  <c r="J42" i="3" s="1"/>
  <c r="K30" i="3"/>
  <c r="K31" i="3" s="1"/>
  <c r="K4" i="3"/>
  <c r="K36" i="3"/>
  <c r="K9" i="3"/>
  <c r="K10" i="3" s="1"/>
  <c r="K26" i="3"/>
  <c r="H236" i="26"/>
  <c r="CJ60" i="3" s="1"/>
  <c r="F183" i="26"/>
  <c r="BI56" i="3" s="1"/>
  <c r="I197" i="26"/>
  <c r="DB57" i="3" s="1"/>
  <c r="I225" i="26"/>
  <c r="I239" i="26" s="1"/>
  <c r="DB60" i="3" s="1"/>
  <c r="F181" i="26"/>
  <c r="BG56" i="3" s="1"/>
  <c r="F194" i="26"/>
  <c r="BF57" i="3" s="1"/>
  <c r="F197" i="26"/>
  <c r="BI57" i="3" s="1"/>
  <c r="F222" i="26"/>
  <c r="F236" i="26" s="1"/>
  <c r="BF60" i="3" s="1"/>
  <c r="F198" i="26"/>
  <c r="BJ57" i="3" s="1"/>
  <c r="F226" i="26"/>
  <c r="F240" i="26" s="1"/>
  <c r="BJ60" i="3" s="1"/>
  <c r="F196" i="26"/>
  <c r="BH57" i="3" s="1"/>
  <c r="L177" i="26"/>
  <c r="EO56" i="3" s="1"/>
  <c r="L191" i="26"/>
  <c r="EO57" i="3" s="1"/>
  <c r="E69" i="26"/>
  <c r="E83" i="26" s="1"/>
  <c r="D70" i="26"/>
  <c r="D84" i="26" s="1"/>
  <c r="D71" i="26"/>
  <c r="D85" i="26" s="1"/>
  <c r="F224" i="26"/>
  <c r="BH59" i="3" s="1"/>
  <c r="U59" i="2"/>
  <c r="V59" i="2"/>
  <c r="N14" i="2"/>
  <c r="U14" i="2" s="1"/>
  <c r="U17" i="2"/>
  <c r="M8" i="2"/>
  <c r="W16" i="25"/>
  <c r="V16" i="25"/>
  <c r="F223" i="26"/>
  <c r="F237" i="26" s="1"/>
  <c r="BG60" i="3" s="1"/>
  <c r="D226" i="26"/>
  <c r="AF59" i="3" s="1"/>
  <c r="G238" i="26"/>
  <c r="BW60" i="3" s="1"/>
  <c r="D198" i="26"/>
  <c r="AF57" i="3" s="1"/>
  <c r="E184" i="26"/>
  <c r="AU56" i="3" s="1"/>
  <c r="L80" i="26"/>
  <c r="E198" i="26"/>
  <c r="AU57" i="3" s="1"/>
  <c r="I195" i="26"/>
  <c r="CZ57" i="3" s="1"/>
  <c r="O46" i="17"/>
  <c r="E95" i="26" s="1"/>
  <c r="I223" i="26"/>
  <c r="I237" i="26" s="1"/>
  <c r="CZ60" i="3" s="1"/>
  <c r="AA7" i="3"/>
  <c r="W46" i="16"/>
  <c r="D102" i="26" s="1"/>
  <c r="D180" i="26"/>
  <c r="AB56" i="3" s="1"/>
  <c r="D194" i="26"/>
  <c r="AB57" i="3" s="1"/>
  <c r="O19" i="21"/>
  <c r="CX7" i="3" s="1"/>
  <c r="CX8" i="3" s="1"/>
  <c r="V42" i="21"/>
  <c r="D239" i="26"/>
  <c r="AE60" i="3" s="1"/>
  <c r="W27" i="17"/>
  <c r="E196" i="26"/>
  <c r="AS57" i="3" s="1"/>
  <c r="E182" i="26"/>
  <c r="AS56" i="3" s="1"/>
  <c r="O20" i="17"/>
  <c r="AP7" i="3" s="1"/>
  <c r="G237" i="26"/>
  <c r="BV60" i="3" s="1"/>
  <c r="BV59" i="3"/>
  <c r="I52" i="3"/>
  <c r="I50" i="3" s="1"/>
  <c r="I51" i="3" s="1"/>
  <c r="I60" i="26"/>
  <c r="C105" i="26"/>
  <c r="G67" i="26"/>
  <c r="W20" i="19"/>
  <c r="CA7" i="3" s="1"/>
  <c r="CA8" i="3" s="1"/>
  <c r="V20" i="19"/>
  <c r="BZ7" i="3" s="1"/>
  <c r="BZ8" i="3" s="1"/>
  <c r="I66" i="26"/>
  <c r="N47" i="21"/>
  <c r="I86" i="26"/>
  <c r="D236" i="26"/>
  <c r="AB60" i="3" s="1"/>
  <c r="AB59" i="3"/>
  <c r="J52" i="3"/>
  <c r="J50" i="3" s="1"/>
  <c r="J51" i="3" s="1"/>
  <c r="D195" i="26"/>
  <c r="AC57" i="3" s="1"/>
  <c r="D223" i="26"/>
  <c r="D181" i="26"/>
  <c r="AC56" i="3" s="1"/>
  <c r="I53" i="3"/>
  <c r="J236" i="26"/>
  <c r="DN60" i="3" s="1"/>
  <c r="DN59" i="3"/>
  <c r="I54" i="3"/>
  <c r="K58" i="2"/>
  <c r="H52" i="3"/>
  <c r="H50" i="3" s="1"/>
  <c r="H51" i="3" s="1"/>
  <c r="L216" i="26"/>
  <c r="L174" i="26"/>
  <c r="EL56" i="3" s="1"/>
  <c r="L188" i="26"/>
  <c r="EL57" i="3" s="1"/>
  <c r="H67" i="26"/>
  <c r="W20" i="20"/>
  <c r="CP7" i="3" s="1"/>
  <c r="CP8" i="3" s="1"/>
  <c r="V20" i="20"/>
  <c r="CO7" i="3" s="1"/>
  <c r="CO8" i="3" s="1"/>
  <c r="F53" i="26"/>
  <c r="C107" i="26"/>
  <c r="H239" i="26"/>
  <c r="CM60" i="3" s="1"/>
  <c r="CM59" i="3"/>
  <c r="H237" i="26"/>
  <c r="CK60" i="3" s="1"/>
  <c r="CK59" i="3"/>
  <c r="C106" i="26"/>
  <c r="L47" i="26"/>
  <c r="BF59" i="3"/>
  <c r="L61" i="26"/>
  <c r="I46" i="24"/>
  <c r="L76" i="26"/>
  <c r="C62" i="26"/>
  <c r="E60" i="26"/>
  <c r="DB59" i="3"/>
  <c r="H54" i="3"/>
  <c r="J58" i="2"/>
  <c r="H238" i="26"/>
  <c r="CL60" i="3" s="1"/>
  <c r="CL59" i="3"/>
  <c r="G53" i="3"/>
  <c r="F239" i="26"/>
  <c r="BI60" i="3" s="1"/>
  <c r="BI59" i="3"/>
  <c r="I224" i="26"/>
  <c r="I182" i="26"/>
  <c r="DA56" i="3" s="1"/>
  <c r="I196" i="26"/>
  <c r="DA57" i="3" s="1"/>
  <c r="E194" i="26"/>
  <c r="AQ57" i="3" s="1"/>
  <c r="E222" i="26"/>
  <c r="E180" i="26"/>
  <c r="AQ56" i="3" s="1"/>
  <c r="W41" i="17"/>
  <c r="V41" i="17"/>
  <c r="L234" i="26"/>
  <c r="EP60" i="3" s="1"/>
  <c r="EP59" i="3"/>
  <c r="BJ59" i="3"/>
  <c r="F59" i="26"/>
  <c r="H59" i="26"/>
  <c r="G54" i="3"/>
  <c r="I58" i="2"/>
  <c r="J238" i="26"/>
  <c r="DP60" i="3" s="1"/>
  <c r="DP59" i="3"/>
  <c r="H60" i="26"/>
  <c r="E238" i="26"/>
  <c r="AS60" i="3" s="1"/>
  <c r="AS59" i="3"/>
  <c r="D238" i="26"/>
  <c r="AD60" i="3" s="1"/>
  <c r="AD59" i="3"/>
  <c r="I84" i="26"/>
  <c r="I53" i="26"/>
  <c r="I222" i="26"/>
  <c r="I180" i="26"/>
  <c r="CY56" i="3" s="1"/>
  <c r="I194" i="26"/>
  <c r="CY57" i="3" s="1"/>
  <c r="L218" i="26"/>
  <c r="L176" i="26"/>
  <c r="EN56" i="3" s="1"/>
  <c r="L190" i="26"/>
  <c r="EN57" i="3" s="1"/>
  <c r="H53" i="3"/>
  <c r="C136" i="26"/>
  <c r="M56" i="2" s="1"/>
  <c r="M55" i="2" s="1"/>
  <c r="F95" i="26"/>
  <c r="W45" i="18"/>
  <c r="F102" i="26" s="1"/>
  <c r="V45" i="18"/>
  <c r="F101" i="26" s="1"/>
  <c r="E240" i="26"/>
  <c r="AU60" i="3" s="1"/>
  <c r="AU59" i="3"/>
  <c r="H240" i="26"/>
  <c r="CN60" i="3" s="1"/>
  <c r="CN59" i="3"/>
  <c r="G240" i="26"/>
  <c r="BY60" i="3" s="1"/>
  <c r="BY59" i="3"/>
  <c r="L189" i="26"/>
  <c r="EM57" i="3" s="1"/>
  <c r="L217" i="26"/>
  <c r="L175" i="26"/>
  <c r="EM56" i="3" s="1"/>
  <c r="J54" i="3"/>
  <c r="L58" i="2"/>
  <c r="E225" i="26"/>
  <c r="E183" i="26"/>
  <c r="AT56" i="3" s="1"/>
  <c r="E197" i="26"/>
  <c r="AT57" i="3" s="1"/>
  <c r="I82" i="26"/>
  <c r="L78" i="26"/>
  <c r="C64" i="26"/>
  <c r="C104" i="26"/>
  <c r="E59" i="26"/>
  <c r="L77" i="26"/>
  <c r="C63" i="26"/>
  <c r="G59" i="26"/>
  <c r="G52" i="3"/>
  <c r="G50" i="3" s="1"/>
  <c r="G51" i="3" s="1"/>
  <c r="J67" i="26"/>
  <c r="W21" i="22"/>
  <c r="DT7" i="3" s="1"/>
  <c r="DT8" i="3" s="1"/>
  <c r="V21" i="22"/>
  <c r="DS7" i="3" s="1"/>
  <c r="DS8" i="3" s="1"/>
  <c r="J240" i="26"/>
  <c r="DR60" i="3" s="1"/>
  <c r="DR59" i="3"/>
  <c r="F67" i="26"/>
  <c r="W19" i="18"/>
  <c r="BL7" i="3" s="1"/>
  <c r="BL8" i="3" s="1"/>
  <c r="V19" i="18"/>
  <c r="BK7" i="3" s="1"/>
  <c r="BK8" i="3" s="1"/>
  <c r="J239" i="26"/>
  <c r="DQ60" i="3" s="1"/>
  <c r="DQ59" i="3"/>
  <c r="G95" i="26"/>
  <c r="W46" i="19"/>
  <c r="G102" i="26" s="1"/>
  <c r="V46" i="19"/>
  <c r="G101" i="26" s="1"/>
  <c r="J53" i="3"/>
  <c r="H95" i="26"/>
  <c r="W46" i="20"/>
  <c r="H102" i="26" s="1"/>
  <c r="V46" i="20"/>
  <c r="H101" i="26" s="1"/>
  <c r="L233" i="26"/>
  <c r="EO60" i="3" s="1"/>
  <c r="EO59" i="3"/>
  <c r="E237" i="26"/>
  <c r="AR60" i="3" s="1"/>
  <c r="AR59" i="3"/>
  <c r="K52" i="3"/>
  <c r="K50" i="3" s="1"/>
  <c r="K51" i="3" s="1"/>
  <c r="C150" i="26"/>
  <c r="G239" i="26"/>
  <c r="BX60" i="3" s="1"/>
  <c r="BX59" i="3"/>
  <c r="I226" i="26"/>
  <c r="I198" i="26"/>
  <c r="DC57" i="3" s="1"/>
  <c r="I184" i="26"/>
  <c r="DC56" i="3" s="1"/>
  <c r="J95" i="26"/>
  <c r="W47" i="22"/>
  <c r="J102" i="26" s="1"/>
  <c r="V47" i="22"/>
  <c r="J101" i="26" s="1"/>
  <c r="AH19" i="3" l="1"/>
  <c r="AH20" i="3" s="1"/>
  <c r="CZ59" i="3"/>
  <c r="F238" i="26"/>
  <c r="BH60" i="3" s="1"/>
  <c r="EK41" i="3"/>
  <c r="EK42" i="3" s="1"/>
  <c r="H8" i="3"/>
  <c r="H41" i="3"/>
  <c r="H42" i="3" s="1"/>
  <c r="G8" i="3"/>
  <c r="G41" i="3"/>
  <c r="G42" i="3" s="1"/>
  <c r="I8" i="3"/>
  <c r="I41" i="3"/>
  <c r="I42" i="3" s="1"/>
  <c r="DS41" i="3"/>
  <c r="DS42" i="3" s="1"/>
  <c r="DT41" i="3"/>
  <c r="DT42" i="3" s="1"/>
  <c r="CX41" i="3"/>
  <c r="CX42" i="3" s="1"/>
  <c r="CP41" i="3"/>
  <c r="CP42" i="3" s="1"/>
  <c r="CO41" i="3"/>
  <c r="CO42" i="3" s="1"/>
  <c r="BZ41" i="3"/>
  <c r="BZ42" i="3" s="1"/>
  <c r="CA41" i="3"/>
  <c r="CA42" i="3" s="1"/>
  <c r="BK41" i="3"/>
  <c r="BK42" i="3" s="1"/>
  <c r="BL41" i="3"/>
  <c r="BL42" i="3" s="1"/>
  <c r="AP8" i="3"/>
  <c r="AP41" i="3"/>
  <c r="AP42" i="3" s="1"/>
  <c r="AA8" i="3"/>
  <c r="AA41" i="3"/>
  <c r="AA42" i="3" s="1"/>
  <c r="K37" i="3"/>
  <c r="K5" i="3"/>
  <c r="J73" i="26"/>
  <c r="J87" i="26" s="1"/>
  <c r="J74" i="26"/>
  <c r="J88" i="26" s="1"/>
  <c r="I67" i="26"/>
  <c r="I81" i="26" s="1"/>
  <c r="H74" i="26"/>
  <c r="H88" i="26" s="1"/>
  <c r="H73" i="26"/>
  <c r="H87" i="26" s="1"/>
  <c r="G73" i="26"/>
  <c r="G74" i="26"/>
  <c r="G88" i="26" s="1"/>
  <c r="D240" i="26"/>
  <c r="AF60" i="3" s="1"/>
  <c r="F73" i="26"/>
  <c r="F87" i="26" s="1"/>
  <c r="F74" i="26"/>
  <c r="F88" i="26" s="1"/>
  <c r="V20" i="17"/>
  <c r="AV7" i="3" s="1"/>
  <c r="V14" i="2"/>
  <c r="D67" i="26"/>
  <c r="D81" i="26" s="1"/>
  <c r="W19" i="21"/>
  <c r="DE7" i="3" s="1"/>
  <c r="BG59" i="3"/>
  <c r="W20" i="16"/>
  <c r="AH7" i="3" s="1"/>
  <c r="N25" i="25"/>
  <c r="V46" i="17"/>
  <c r="E101" i="26" s="1"/>
  <c r="W46" i="17"/>
  <c r="E102" i="26" s="1"/>
  <c r="E186" i="26" s="1"/>
  <c r="AW56" i="3" s="1"/>
  <c r="V19" i="21"/>
  <c r="DD7" i="3" s="1"/>
  <c r="D95" i="26"/>
  <c r="D221" i="26" s="1"/>
  <c r="O47" i="21"/>
  <c r="O48" i="21" s="1"/>
  <c r="W20" i="17"/>
  <c r="AW7" i="3" s="1"/>
  <c r="E67" i="26"/>
  <c r="E81" i="26" s="1"/>
  <c r="H44" i="3"/>
  <c r="E236" i="26"/>
  <c r="AQ60" i="3" s="1"/>
  <c r="AQ59" i="3"/>
  <c r="I80" i="26"/>
  <c r="C66" i="26"/>
  <c r="F185" i="26"/>
  <c r="BK56" i="3" s="1"/>
  <c r="F227" i="26"/>
  <c r="F199" i="26"/>
  <c r="BK57" i="3" s="1"/>
  <c r="I236" i="26"/>
  <c r="CY60" i="3" s="1"/>
  <c r="CY59" i="3"/>
  <c r="D237" i="26"/>
  <c r="AC60" i="3" s="1"/>
  <c r="AC59" i="3"/>
  <c r="D228" i="26"/>
  <c r="D200" i="26"/>
  <c r="AH57" i="3" s="1"/>
  <c r="D186" i="26"/>
  <c r="AH56" i="3" s="1"/>
  <c r="H227" i="26"/>
  <c r="H199" i="26"/>
  <c r="CO57" i="3" s="1"/>
  <c r="H185" i="26"/>
  <c r="CO56" i="3" s="1"/>
  <c r="H193" i="26"/>
  <c r="CI57" i="3" s="1"/>
  <c r="H221" i="26"/>
  <c r="H179" i="26"/>
  <c r="CI56" i="3" s="1"/>
  <c r="F81" i="26"/>
  <c r="G44" i="3"/>
  <c r="F228" i="26"/>
  <c r="F200" i="26"/>
  <c r="BL57" i="3" s="1"/>
  <c r="F186" i="26"/>
  <c r="BL56" i="3" s="1"/>
  <c r="H228" i="26"/>
  <c r="H200" i="26"/>
  <c r="CP57" i="3" s="1"/>
  <c r="H186" i="26"/>
  <c r="CP56" i="3" s="1"/>
  <c r="I240" i="26"/>
  <c r="DC60" i="3" s="1"/>
  <c r="DC59" i="3"/>
  <c r="K54" i="3"/>
  <c r="M58" i="2"/>
  <c r="L231" i="26"/>
  <c r="EM60" i="3" s="1"/>
  <c r="EM59" i="3"/>
  <c r="F193" i="26"/>
  <c r="BE57" i="3" s="1"/>
  <c r="F221" i="26"/>
  <c r="F179" i="26"/>
  <c r="BE56" i="3" s="1"/>
  <c r="G87" i="26"/>
  <c r="J81" i="26"/>
  <c r="H81" i="26"/>
  <c r="G227" i="26"/>
  <c r="G199" i="26"/>
  <c r="BZ57" i="3" s="1"/>
  <c r="G185" i="26"/>
  <c r="BZ56" i="3" s="1"/>
  <c r="G228" i="26"/>
  <c r="G200" i="26"/>
  <c r="CA57" i="3" s="1"/>
  <c r="G186" i="26"/>
  <c r="CA56" i="3" s="1"/>
  <c r="E239" i="26"/>
  <c r="AT60" i="3" s="1"/>
  <c r="AT59" i="3"/>
  <c r="K53" i="3"/>
  <c r="I238" i="26"/>
  <c r="DA60" i="3" s="1"/>
  <c r="DA59" i="3"/>
  <c r="I44" i="3"/>
  <c r="J44" i="3"/>
  <c r="G81" i="26"/>
  <c r="J227" i="26"/>
  <c r="J199" i="26"/>
  <c r="DS57" i="3" s="1"/>
  <c r="J185" i="26"/>
  <c r="DS56" i="3" s="1"/>
  <c r="G193" i="26"/>
  <c r="BT57" i="3" s="1"/>
  <c r="G221" i="26"/>
  <c r="G179" i="26"/>
  <c r="BT56" i="3" s="1"/>
  <c r="L89" i="26"/>
  <c r="L232" i="26"/>
  <c r="EN60" i="3" s="1"/>
  <c r="EN59" i="3"/>
  <c r="J200" i="26"/>
  <c r="DT57" i="3" s="1"/>
  <c r="J228" i="26"/>
  <c r="J186" i="26"/>
  <c r="DT56" i="3" s="1"/>
  <c r="J221" i="26"/>
  <c r="J179" i="26"/>
  <c r="DM56" i="3" s="1"/>
  <c r="J193" i="26"/>
  <c r="DM57" i="3" s="1"/>
  <c r="L75" i="26"/>
  <c r="L230" i="26"/>
  <c r="EL60" i="3" s="1"/>
  <c r="EL59" i="3"/>
  <c r="I94" i="26"/>
  <c r="E193" i="26"/>
  <c r="AP57" i="3" s="1"/>
  <c r="E221" i="26"/>
  <c r="E179" i="26"/>
  <c r="AP56" i="3" s="1"/>
  <c r="DD8" i="3" l="1"/>
  <c r="DD41" i="3"/>
  <c r="DD42" i="3" s="1"/>
  <c r="DE8" i="3"/>
  <c r="DE41" i="3"/>
  <c r="DE42" i="3" s="1"/>
  <c r="AW8" i="3"/>
  <c r="AW41" i="3"/>
  <c r="AW42" i="3" s="1"/>
  <c r="AV8" i="3"/>
  <c r="AV41" i="3"/>
  <c r="AV42" i="3" s="1"/>
  <c r="AH8" i="3"/>
  <c r="AH41" i="3"/>
  <c r="AH42" i="3" s="1"/>
  <c r="K6" i="3"/>
  <c r="K41" i="3"/>
  <c r="K42" i="3" s="1"/>
  <c r="I73" i="26"/>
  <c r="I87" i="26" s="1"/>
  <c r="I74" i="26"/>
  <c r="I88" i="26" s="1"/>
  <c r="E74" i="26"/>
  <c r="E88" i="26" s="1"/>
  <c r="E73" i="26"/>
  <c r="E87" i="26" s="1"/>
  <c r="D74" i="26"/>
  <c r="D88" i="26" s="1"/>
  <c r="E228" i="26"/>
  <c r="E242" i="26" s="1"/>
  <c r="AW60" i="3" s="1"/>
  <c r="E199" i="26"/>
  <c r="AV57" i="3" s="1"/>
  <c r="E185" i="26"/>
  <c r="AV56" i="3" s="1"/>
  <c r="V47" i="21"/>
  <c r="I101" i="26" s="1"/>
  <c r="I227" i="26" s="1"/>
  <c r="N23" i="25"/>
  <c r="M108" i="26" s="1"/>
  <c r="M51" i="2"/>
  <c r="E227" i="26"/>
  <c r="AV59" i="3" s="1"/>
  <c r="E200" i="26"/>
  <c r="AW57" i="3" s="1"/>
  <c r="W47" i="21"/>
  <c r="I102" i="26" s="1"/>
  <c r="I186" i="26" s="1"/>
  <c r="DE56" i="3" s="1"/>
  <c r="D193" i="26"/>
  <c r="AA57" i="3" s="1"/>
  <c r="D179" i="26"/>
  <c r="AA56" i="3" s="1"/>
  <c r="I95" i="26"/>
  <c r="D235" i="26"/>
  <c r="AA60" i="3" s="1"/>
  <c r="AA59" i="3"/>
  <c r="J235" i="26"/>
  <c r="DM60" i="3" s="1"/>
  <c r="DM59" i="3"/>
  <c r="L187" i="26"/>
  <c r="EK57" i="3" s="1"/>
  <c r="L215" i="26"/>
  <c r="L173" i="26"/>
  <c r="EK56" i="3" s="1"/>
  <c r="J241" i="26"/>
  <c r="DS60" i="3" s="1"/>
  <c r="DS59" i="3"/>
  <c r="E235" i="26"/>
  <c r="AP60" i="3" s="1"/>
  <c r="AP59" i="3"/>
  <c r="J242" i="26"/>
  <c r="DT60" i="3" s="1"/>
  <c r="DT59" i="3"/>
  <c r="G235" i="26"/>
  <c r="BT60" i="3" s="1"/>
  <c r="BT59" i="3"/>
  <c r="CC62" i="3"/>
  <c r="G241" i="26"/>
  <c r="BZ60" i="3" s="1"/>
  <c r="BZ59" i="3"/>
  <c r="F242" i="26"/>
  <c r="BL60" i="3" s="1"/>
  <c r="BL59" i="3"/>
  <c r="D242" i="26"/>
  <c r="AH60" i="3" s="1"/>
  <c r="AH59" i="3"/>
  <c r="AY62" i="3"/>
  <c r="F235" i="26"/>
  <c r="BE60" i="3" s="1"/>
  <c r="BE59" i="3"/>
  <c r="H242" i="26"/>
  <c r="CP60" i="3" s="1"/>
  <c r="CP59" i="3"/>
  <c r="H241" i="26"/>
  <c r="CO60" i="3" s="1"/>
  <c r="CO59" i="3"/>
  <c r="I192" i="26"/>
  <c r="CW57" i="3" s="1"/>
  <c r="I220" i="26"/>
  <c r="I178" i="26"/>
  <c r="CW56" i="3" s="1"/>
  <c r="AW59" i="3"/>
  <c r="H235" i="26"/>
  <c r="CI60" i="3" s="1"/>
  <c r="CI59" i="3"/>
  <c r="F241" i="26"/>
  <c r="BK60" i="3" s="1"/>
  <c r="BK59" i="3"/>
  <c r="G242" i="26"/>
  <c r="CA60" i="3" s="1"/>
  <c r="CA59" i="3"/>
  <c r="DG62" i="3" l="1"/>
  <c r="BN62" i="3"/>
  <c r="I199" i="26"/>
  <c r="DD57" i="3" s="1"/>
  <c r="I185" i="26"/>
  <c r="DD56" i="3" s="1"/>
  <c r="E241" i="26"/>
  <c r="AV60" i="3" s="1"/>
  <c r="I200" i="26"/>
  <c r="DE57" i="3" s="1"/>
  <c r="I228" i="26"/>
  <c r="I242" i="26" s="1"/>
  <c r="DE60" i="3" s="1"/>
  <c r="I193" i="26"/>
  <c r="CX57" i="3" s="1"/>
  <c r="I221" i="26"/>
  <c r="I235" i="26" s="1"/>
  <c r="CX60" i="3" s="1"/>
  <c r="I179" i="26"/>
  <c r="CX56" i="3" s="1"/>
  <c r="I241" i="26"/>
  <c r="DD60" i="3" s="1"/>
  <c r="DD59" i="3"/>
  <c r="L229" i="26"/>
  <c r="EK60" i="3" s="1"/>
  <c r="EK59" i="3"/>
  <c r="I234" i="26"/>
  <c r="CW60" i="3" s="1"/>
  <c r="CW59" i="3"/>
  <c r="CR62" i="3" l="1"/>
  <c r="AJ62" i="3"/>
  <c r="CX59" i="3"/>
  <c r="DE59" i="3"/>
  <c r="M48" i="2"/>
  <c r="K49" i="3" l="1"/>
  <c r="K46" i="3" s="1"/>
  <c r="K47" i="3" s="1"/>
  <c r="C108" i="26" l="1"/>
  <c r="K44" i="3" l="1"/>
  <c r="P14" i="3"/>
  <c r="Q14" i="3"/>
  <c r="M14" i="3"/>
  <c r="O14" i="3"/>
  <c r="N14" i="3"/>
  <c r="L19" i="12"/>
  <c r="L17" i="12"/>
  <c r="L18" i="12"/>
  <c r="Q17" i="12"/>
  <c r="U17" i="12"/>
  <c r="V17" i="12"/>
  <c r="R17" i="12"/>
  <c r="W17" i="12"/>
  <c r="T17" i="12"/>
  <c r="S17" i="12"/>
  <c r="M17" i="12"/>
  <c r="O17" i="12"/>
  <c r="N17" i="12"/>
  <c r="P17" i="12"/>
  <c r="U18" i="12"/>
  <c r="V18" i="12"/>
  <c r="W18" i="12"/>
  <c r="Q18" i="12"/>
  <c r="R18" i="12"/>
  <c r="T18" i="12"/>
  <c r="S18" i="12"/>
  <c r="O18" i="12"/>
  <c r="M18" i="12"/>
  <c r="N18" i="12"/>
  <c r="P18" i="12"/>
  <c r="V19" i="12"/>
  <c r="U19" i="12"/>
  <c r="T19" i="12"/>
  <c r="W19" i="12"/>
  <c r="Q19" i="12"/>
  <c r="R19" i="12"/>
  <c r="S19" i="12"/>
  <c r="M19" i="12"/>
  <c r="O19" i="12"/>
  <c r="N19" i="12"/>
  <c r="P19" i="12"/>
  <c r="J18" i="12" l="1"/>
  <c r="J17" i="12"/>
  <c r="J19" i="12"/>
  <c r="G3" i="12"/>
  <c r="M15" i="12"/>
  <c r="J14" i="25" s="1"/>
  <c r="O15" i="12"/>
  <c r="V15" i="12"/>
  <c r="S13" i="24" s="1"/>
  <c r="P15" i="12"/>
  <c r="M14" i="25" s="1"/>
  <c r="U15" i="12"/>
  <c r="R13" i="24" s="1"/>
  <c r="S15" i="12"/>
  <c r="P14" i="25" s="1"/>
  <c r="L15" i="12"/>
  <c r="I14" i="25" s="1"/>
  <c r="Q15" i="12"/>
  <c r="W15" i="12"/>
  <c r="T14" i="25" s="1"/>
  <c r="T15" i="12"/>
  <c r="Q13" i="24" s="1"/>
  <c r="N15" i="12"/>
  <c r="K14" i="25" s="1"/>
  <c r="G16" i="12"/>
  <c r="R15" i="12"/>
  <c r="O13" i="24" s="1"/>
  <c r="P13" i="24" l="1"/>
  <c r="L15" i="25"/>
  <c r="L13" i="24"/>
  <c r="L14" i="25"/>
  <c r="O15" i="25"/>
  <c r="O14" i="25"/>
  <c r="R16" i="12"/>
  <c r="P16" i="12"/>
  <c r="L16" i="12"/>
  <c r="U16" i="12"/>
  <c r="O16" i="12"/>
  <c r="M16" i="12"/>
  <c r="N16" i="12"/>
  <c r="V16" i="12"/>
  <c r="T16" i="12"/>
  <c r="Q16" i="12"/>
  <c r="W16" i="12"/>
  <c r="S16" i="12"/>
  <c r="Q14" i="25"/>
  <c r="Q15" i="25"/>
  <c r="S15" i="25"/>
  <c r="S14" i="25"/>
  <c r="N15" i="25"/>
  <c r="N13" i="24"/>
  <c r="R15" i="25"/>
  <c r="R14" i="25"/>
  <c r="K15" i="25"/>
  <c r="K13" i="25" s="1"/>
  <c r="K13" i="24"/>
  <c r="T15" i="25"/>
  <c r="T13" i="25" s="1"/>
  <c r="T13" i="24"/>
  <c r="N14" i="25"/>
  <c r="J15" i="25"/>
  <c r="J13" i="25" s="1"/>
  <c r="J13" i="24"/>
  <c r="P15" i="25"/>
  <c r="P13" i="25" s="1"/>
  <c r="I15" i="25"/>
  <c r="I13" i="24"/>
  <c r="J15" i="12"/>
  <c r="M13" i="24"/>
  <c r="M15" i="25"/>
  <c r="M13" i="25" s="1"/>
  <c r="W13" i="24" l="1"/>
  <c r="L13" i="25"/>
  <c r="L12" i="25" s="1"/>
  <c r="N13" i="25"/>
  <c r="M11" i="2" s="1"/>
  <c r="R16" i="24"/>
  <c r="Q13" i="25"/>
  <c r="Q12" i="25" s="1"/>
  <c r="J11" i="2"/>
  <c r="K12" i="25"/>
  <c r="S11" i="2"/>
  <c r="T12" i="25"/>
  <c r="P12" i="25"/>
  <c r="O11" i="2"/>
  <c r="Q16" i="24"/>
  <c r="P16" i="24"/>
  <c r="S13" i="25"/>
  <c r="V14" i="25"/>
  <c r="R13" i="25"/>
  <c r="W14" i="25"/>
  <c r="O13" i="25"/>
  <c r="W15" i="25"/>
  <c r="L11" i="2"/>
  <c r="M12" i="25"/>
  <c r="I11" i="2"/>
  <c r="J12" i="25"/>
  <c r="T16" i="24"/>
  <c r="J16" i="12"/>
  <c r="S16" i="24"/>
  <c r="V13" i="24"/>
  <c r="M14" i="24" s="1"/>
  <c r="V15" i="25"/>
  <c r="I13" i="25"/>
  <c r="O16" i="24"/>
  <c r="K11" i="2" l="1"/>
  <c r="K14" i="24"/>
  <c r="N12" i="25"/>
  <c r="N22" i="25" s="1"/>
  <c r="T14" i="24"/>
  <c r="L14" i="24"/>
  <c r="P11" i="2"/>
  <c r="N14" i="24"/>
  <c r="R11" i="2"/>
  <c r="S12" i="25"/>
  <c r="M13" i="26"/>
  <c r="Q22" i="25"/>
  <c r="J14" i="24"/>
  <c r="L22" i="25"/>
  <c r="M8" i="26"/>
  <c r="P22" i="25"/>
  <c r="M12" i="26"/>
  <c r="M16" i="26"/>
  <c r="T22" i="25"/>
  <c r="R14" i="24"/>
  <c r="S14" i="24"/>
  <c r="Q14" i="24"/>
  <c r="P14" i="24"/>
  <c r="O14" i="24"/>
  <c r="N11" i="2"/>
  <c r="W13" i="25"/>
  <c r="O12" i="25"/>
  <c r="I14" i="24"/>
  <c r="Q11" i="2"/>
  <c r="R12" i="25"/>
  <c r="K22" i="25"/>
  <c r="M7" i="26"/>
  <c r="W16" i="24"/>
  <c r="V16" i="24"/>
  <c r="J22" i="25"/>
  <c r="M6" i="26"/>
  <c r="H11" i="2"/>
  <c r="I12" i="25"/>
  <c r="V13" i="25"/>
  <c r="M22" i="25"/>
  <c r="M9" i="26"/>
  <c r="M10" i="26" l="1"/>
  <c r="M122" i="26" s="1"/>
  <c r="V14" i="24"/>
  <c r="U11" i="2"/>
  <c r="V11" i="2"/>
  <c r="V12" i="25"/>
  <c r="M17" i="26" s="1"/>
  <c r="I22" i="25"/>
  <c r="M5" i="26"/>
  <c r="W14" i="24"/>
  <c r="O17" i="24"/>
  <c r="P17" i="24"/>
  <c r="P9" i="24" s="1"/>
  <c r="M40" i="26"/>
  <c r="M96" i="26" s="1"/>
  <c r="M120" i="26"/>
  <c r="C8" i="26"/>
  <c r="C7" i="26"/>
  <c r="M119" i="26"/>
  <c r="Q17" i="24"/>
  <c r="Q9" i="24" s="1"/>
  <c r="M36" i="26"/>
  <c r="M92" i="26" s="1"/>
  <c r="M176" i="26" s="1"/>
  <c r="M190" i="26" s="1"/>
  <c r="L33" i="25"/>
  <c r="L34" i="25" s="1"/>
  <c r="M121" i="26"/>
  <c r="C9" i="26"/>
  <c r="K33" i="25"/>
  <c r="K34" i="25" s="1"/>
  <c r="M35" i="26"/>
  <c r="M91" i="26" s="1"/>
  <c r="M175" i="26" s="1"/>
  <c r="M189" i="26" s="1"/>
  <c r="S17" i="24"/>
  <c r="S9" i="24" s="1"/>
  <c r="M33" i="25"/>
  <c r="M34" i="25" s="1"/>
  <c r="M37" i="26"/>
  <c r="M93" i="26" s="1"/>
  <c r="M177" i="26" s="1"/>
  <c r="M191" i="26" s="1"/>
  <c r="M14" i="26"/>
  <c r="R22" i="25"/>
  <c r="R17" i="24"/>
  <c r="R9" i="24" s="1"/>
  <c r="M41" i="26"/>
  <c r="M97" i="26" s="1"/>
  <c r="M44" i="26"/>
  <c r="M100" i="26" s="1"/>
  <c r="S22" i="25"/>
  <c r="M15" i="26"/>
  <c r="W12" i="25"/>
  <c r="M18" i="26" s="1"/>
  <c r="M11" i="26"/>
  <c r="O22" i="25"/>
  <c r="N33" i="25"/>
  <c r="N34" i="25" s="1"/>
  <c r="M38" i="26"/>
  <c r="M94" i="26" s="1"/>
  <c r="M178" i="26" s="1"/>
  <c r="M192" i="26" s="1"/>
  <c r="M118" i="26"/>
  <c r="C6" i="26"/>
  <c r="J33" i="25"/>
  <c r="J34" i="25" s="1"/>
  <c r="M34" i="26"/>
  <c r="M90" i="26" s="1"/>
  <c r="M174" i="26" s="1"/>
  <c r="M188" i="26" s="1"/>
  <c r="T17" i="24"/>
  <c r="T9" i="24" s="1"/>
  <c r="C10" i="26" l="1"/>
  <c r="C121" i="26"/>
  <c r="J45" i="3" s="1"/>
  <c r="C79" i="26"/>
  <c r="C37" i="26"/>
  <c r="L7" i="2"/>
  <c r="C76" i="26"/>
  <c r="I7" i="2"/>
  <c r="C118" i="26"/>
  <c r="G45" i="3" s="1"/>
  <c r="C34" i="26"/>
  <c r="M43" i="26"/>
  <c r="M99" i="26" s="1"/>
  <c r="U38" i="12"/>
  <c r="R26" i="24"/>
  <c r="R30" i="24"/>
  <c r="R29" i="24"/>
  <c r="R28" i="24"/>
  <c r="R33" i="24"/>
  <c r="R34" i="24"/>
  <c r="R25" i="24"/>
  <c r="R35" i="24"/>
  <c r="R38" i="24"/>
  <c r="R39" i="24"/>
  <c r="R23" i="24"/>
  <c r="R42" i="24"/>
  <c r="R37" i="24"/>
  <c r="R31" i="24"/>
  <c r="R45" i="24"/>
  <c r="R40" i="24"/>
  <c r="R22" i="24"/>
  <c r="R10" i="24"/>
  <c r="L14" i="26"/>
  <c r="R8" i="24"/>
  <c r="ET3" i="3" s="1"/>
  <c r="R19" i="24"/>
  <c r="V38" i="12"/>
  <c r="S34" i="24"/>
  <c r="S30" i="24"/>
  <c r="S39" i="24"/>
  <c r="S29" i="24"/>
  <c r="S31" i="24"/>
  <c r="S10" i="24"/>
  <c r="S8" i="24"/>
  <c r="EU3" i="3" s="1"/>
  <c r="S23" i="24"/>
  <c r="S40" i="24"/>
  <c r="S28" i="24"/>
  <c r="S37" i="24"/>
  <c r="S33" i="24"/>
  <c r="S25" i="24"/>
  <c r="S26" i="24"/>
  <c r="S19" i="24"/>
  <c r="S45" i="24"/>
  <c r="S35" i="24"/>
  <c r="S38" i="24"/>
  <c r="S42" i="24"/>
  <c r="S22" i="24"/>
  <c r="L15" i="26"/>
  <c r="C120" i="26"/>
  <c r="I45" i="3" s="1"/>
  <c r="C78" i="26"/>
  <c r="K7" i="2"/>
  <c r="C36" i="26"/>
  <c r="C122" i="26"/>
  <c r="K45" i="3" s="1"/>
  <c r="C38" i="26"/>
  <c r="C80" i="26"/>
  <c r="M7" i="2"/>
  <c r="P38" i="24"/>
  <c r="P40" i="24"/>
  <c r="S38" i="12"/>
  <c r="P39" i="24"/>
  <c r="P26" i="24"/>
  <c r="P29" i="24"/>
  <c r="P25" i="24"/>
  <c r="P34" i="24"/>
  <c r="P19" i="24"/>
  <c r="P28" i="24"/>
  <c r="P10" i="24"/>
  <c r="P31" i="24"/>
  <c r="P35" i="24"/>
  <c r="P23" i="24"/>
  <c r="P33" i="24"/>
  <c r="P37" i="24"/>
  <c r="P30" i="24"/>
  <c r="P8" i="24"/>
  <c r="ER3" i="3" s="1"/>
  <c r="P42" i="24"/>
  <c r="P45" i="24"/>
  <c r="P22" i="24"/>
  <c r="L12" i="26"/>
  <c r="W17" i="24"/>
  <c r="V17" i="24"/>
  <c r="O9" i="24"/>
  <c r="M39" i="26"/>
  <c r="M95" i="26" s="1"/>
  <c r="W22" i="25"/>
  <c r="M46" i="26" s="1"/>
  <c r="M102" i="26" s="1"/>
  <c r="M42" i="26"/>
  <c r="M98" i="26" s="1"/>
  <c r="T29" i="24"/>
  <c r="W38" i="12"/>
  <c r="T40" i="24"/>
  <c r="T23" i="24"/>
  <c r="T30" i="24"/>
  <c r="T25" i="24"/>
  <c r="T34" i="24"/>
  <c r="T39" i="24"/>
  <c r="T35" i="24"/>
  <c r="T33" i="24"/>
  <c r="T37" i="24"/>
  <c r="T31" i="24"/>
  <c r="T8" i="24"/>
  <c r="EV3" i="3" s="1"/>
  <c r="T10" i="24"/>
  <c r="T42" i="24"/>
  <c r="T45" i="24"/>
  <c r="T22" i="24"/>
  <c r="L16" i="26"/>
  <c r="T26" i="24"/>
  <c r="T38" i="24"/>
  <c r="T19" i="24"/>
  <c r="T28" i="24"/>
  <c r="T38" i="12"/>
  <c r="Q37" i="24"/>
  <c r="Q34" i="24"/>
  <c r="Q39" i="24"/>
  <c r="Q38" i="24"/>
  <c r="Q30" i="24"/>
  <c r="Q29" i="24"/>
  <c r="Q10" i="24"/>
  <c r="Q28" i="24"/>
  <c r="Q8" i="24"/>
  <c r="ES3" i="3" s="1"/>
  <c r="Q23" i="24"/>
  <c r="Q26" i="24"/>
  <c r="Q40" i="24"/>
  <c r="L13" i="26"/>
  <c r="Q25" i="24"/>
  <c r="Q35" i="24"/>
  <c r="Q42" i="24"/>
  <c r="Q19" i="24"/>
  <c r="Q33" i="24"/>
  <c r="Q22" i="24"/>
  <c r="Q31" i="24"/>
  <c r="Q45" i="24"/>
  <c r="M33" i="26"/>
  <c r="M89" i="26" s="1"/>
  <c r="V22" i="25"/>
  <c r="M45" i="26" s="1"/>
  <c r="M101" i="26" s="1"/>
  <c r="C77" i="26"/>
  <c r="C119" i="26"/>
  <c r="H45" i="3" s="1"/>
  <c r="C35" i="26"/>
  <c r="J7" i="2"/>
  <c r="K54" i="2" l="1"/>
  <c r="K19" i="2"/>
  <c r="K9" i="2"/>
  <c r="EU16" i="3"/>
  <c r="P16" i="3" s="1"/>
  <c r="R25" i="2"/>
  <c r="L27" i="26"/>
  <c r="C27" i="26" s="1"/>
  <c r="P8" i="2" s="1"/>
  <c r="Q18" i="24"/>
  <c r="ES4" i="3"/>
  <c r="N4" i="3" s="1"/>
  <c r="P30" i="2"/>
  <c r="ES21" i="3"/>
  <c r="Q27" i="24"/>
  <c r="EV4" i="3"/>
  <c r="Q4" i="3" s="1"/>
  <c r="T18" i="24"/>
  <c r="L30" i="26"/>
  <c r="C30" i="26" s="1"/>
  <c r="S8" i="2" s="1"/>
  <c r="EV24" i="3"/>
  <c r="Q24" i="3" s="1"/>
  <c r="S33" i="2"/>
  <c r="W45" i="12"/>
  <c r="W41" i="12"/>
  <c r="W42" i="12"/>
  <c r="W22" i="12"/>
  <c r="W43" i="12"/>
  <c r="W44" i="12"/>
  <c r="W40" i="12"/>
  <c r="W39" i="12"/>
  <c r="W46" i="12"/>
  <c r="P28" i="25"/>
  <c r="P27" i="25" s="1"/>
  <c r="M138" i="26" s="1"/>
  <c r="C138" i="26" s="1"/>
  <c r="P30" i="25"/>
  <c r="P29" i="25" s="1"/>
  <c r="M152" i="26" s="1"/>
  <c r="C152" i="26" s="1"/>
  <c r="C12" i="26"/>
  <c r="P26" i="25"/>
  <c r="O53" i="2" s="1"/>
  <c r="M52" i="3" s="1"/>
  <c r="M50" i="3" s="1"/>
  <c r="O37" i="2"/>
  <c r="ER27" i="3"/>
  <c r="S43" i="12"/>
  <c r="S46" i="12"/>
  <c r="S22" i="12"/>
  <c r="S39" i="12"/>
  <c r="S44" i="12"/>
  <c r="S40" i="12"/>
  <c r="S45" i="12"/>
  <c r="S41" i="12"/>
  <c r="S42" i="12"/>
  <c r="R24" i="2"/>
  <c r="EU15" i="3"/>
  <c r="P15" i="3" s="1"/>
  <c r="R31" i="2"/>
  <c r="EU22" i="3"/>
  <c r="P22" i="3" s="1"/>
  <c r="Q42" i="2"/>
  <c r="ET35" i="3"/>
  <c r="O35" i="3" s="1"/>
  <c r="ET15" i="3"/>
  <c r="O15" i="3" s="1"/>
  <c r="Q24" i="2"/>
  <c r="ES28" i="3"/>
  <c r="N28" i="3" s="1"/>
  <c r="Q32" i="24"/>
  <c r="P35" i="2"/>
  <c r="ES51" i="3"/>
  <c r="ES47" i="3"/>
  <c r="N3" i="3"/>
  <c r="EV33" i="3"/>
  <c r="Q33" i="3" s="1"/>
  <c r="S40" i="2"/>
  <c r="EV32" i="3"/>
  <c r="S39" i="2"/>
  <c r="T36" i="24"/>
  <c r="EV22" i="3"/>
  <c r="Q22" i="3" s="1"/>
  <c r="S31" i="2"/>
  <c r="O21" i="2"/>
  <c r="P21" i="24"/>
  <c r="ER11" i="3"/>
  <c r="ER24" i="3"/>
  <c r="M24" i="3" s="1"/>
  <c r="O33" i="2"/>
  <c r="O42" i="2"/>
  <c r="ER35" i="3"/>
  <c r="M35" i="3" s="1"/>
  <c r="EU34" i="3"/>
  <c r="P34" i="3" s="1"/>
  <c r="R41" i="2"/>
  <c r="Q36" i="2"/>
  <c r="ET29" i="3"/>
  <c r="O29" i="3" s="1"/>
  <c r="C48" i="26"/>
  <c r="C90" i="26"/>
  <c r="C174" i="26" s="1"/>
  <c r="O46" i="2"/>
  <c r="ER40" i="3"/>
  <c r="M40" i="3" s="1"/>
  <c r="P25" i="25"/>
  <c r="EU28" i="3"/>
  <c r="P28" i="3" s="1"/>
  <c r="R35" i="2"/>
  <c r="S32" i="24"/>
  <c r="R32" i="2"/>
  <c r="EU23" i="3"/>
  <c r="P23" i="3" s="1"/>
  <c r="Q46" i="2"/>
  <c r="ET40" i="3"/>
  <c r="O40" i="3" s="1"/>
  <c r="R25" i="25"/>
  <c r="ET28" i="3"/>
  <c r="O28" i="3" s="1"/>
  <c r="Q35" i="2"/>
  <c r="R32" i="24"/>
  <c r="ES38" i="3"/>
  <c r="Q41" i="24"/>
  <c r="P44" i="2"/>
  <c r="P31" i="2"/>
  <c r="ES22" i="3"/>
  <c r="N22" i="3" s="1"/>
  <c r="P37" i="2"/>
  <c r="ES27" i="3"/>
  <c r="S37" i="2"/>
  <c r="EV27" i="3"/>
  <c r="R36" i="2"/>
  <c r="EU29" i="3"/>
  <c r="P29" i="3" s="1"/>
  <c r="Q33" i="2"/>
  <c r="ET24" i="3"/>
  <c r="O24" i="3" s="1"/>
  <c r="Q30" i="2"/>
  <c r="R27" i="24"/>
  <c r="ET21" i="3"/>
  <c r="I19" i="2"/>
  <c r="I9" i="2"/>
  <c r="I54" i="2"/>
  <c r="O40" i="2"/>
  <c r="ER33" i="3"/>
  <c r="M33" i="3" s="1"/>
  <c r="S26" i="25"/>
  <c r="R53" i="2" s="1"/>
  <c r="P52" i="3" s="1"/>
  <c r="P50" i="3" s="1"/>
  <c r="S30" i="25"/>
  <c r="S29" i="25" s="1"/>
  <c r="M155" i="26" s="1"/>
  <c r="C155" i="26" s="1"/>
  <c r="S28" i="25"/>
  <c r="S27" i="25" s="1"/>
  <c r="M141" i="26" s="1"/>
  <c r="C141" i="26" s="1"/>
  <c r="C15" i="26"/>
  <c r="S25" i="2"/>
  <c r="EV16" i="3"/>
  <c r="Q16" i="3" s="1"/>
  <c r="O44" i="2"/>
  <c r="P41" i="24"/>
  <c r="ER38" i="3"/>
  <c r="EU11" i="3"/>
  <c r="R21" i="2"/>
  <c r="S21" i="24"/>
  <c r="R39" i="2"/>
  <c r="EU32" i="3"/>
  <c r="S36" i="24"/>
  <c r="ES15" i="3"/>
  <c r="N15" i="3" s="1"/>
  <c r="P24" i="2"/>
  <c r="P40" i="2"/>
  <c r="ES33" i="3"/>
  <c r="N33" i="3" s="1"/>
  <c r="T28" i="25"/>
  <c r="T27" i="25" s="1"/>
  <c r="M142" i="26" s="1"/>
  <c r="C142" i="26" s="1"/>
  <c r="T30" i="25"/>
  <c r="T29" i="25" s="1"/>
  <c r="M156" i="26" s="1"/>
  <c r="C156" i="26" s="1"/>
  <c r="T26" i="25"/>
  <c r="S53" i="2" s="1"/>
  <c r="Q52" i="3" s="1"/>
  <c r="Q50" i="3" s="1"/>
  <c r="C16" i="26"/>
  <c r="M19" i="2"/>
  <c r="M54" i="2"/>
  <c r="M9" i="2"/>
  <c r="S41" i="24"/>
  <c r="R44" i="2"/>
  <c r="EU38" i="3"/>
  <c r="R30" i="2"/>
  <c r="EU21" i="3"/>
  <c r="S27" i="24"/>
  <c r="V42" i="12"/>
  <c r="V44" i="12"/>
  <c r="V40" i="12"/>
  <c r="V22" i="12"/>
  <c r="V46" i="12"/>
  <c r="V45" i="12"/>
  <c r="V43" i="12"/>
  <c r="V39" i="12"/>
  <c r="V41" i="12"/>
  <c r="ET32" i="3"/>
  <c r="R36" i="24"/>
  <c r="Q39" i="2"/>
  <c r="Q31" i="2"/>
  <c r="ET22" i="3"/>
  <c r="O22" i="3" s="1"/>
  <c r="EV28" i="3"/>
  <c r="Q28" i="3" s="1"/>
  <c r="S35" i="2"/>
  <c r="T32" i="24"/>
  <c r="ES23" i="3"/>
  <c r="N23" i="3" s="1"/>
  <c r="P32" i="2"/>
  <c r="O30" i="2"/>
  <c r="P27" i="24"/>
  <c r="ER21" i="3"/>
  <c r="EV34" i="3"/>
  <c r="Q34" i="3" s="1"/>
  <c r="S41" i="2"/>
  <c r="P18" i="24"/>
  <c r="L26" i="26"/>
  <c r="C26" i="26" s="1"/>
  <c r="O8" i="2" s="1"/>
  <c r="ER4" i="3"/>
  <c r="M4" i="3" s="1"/>
  <c r="Q26" i="25"/>
  <c r="P53" i="2" s="1"/>
  <c r="N52" i="3" s="1"/>
  <c r="N50" i="3" s="1"/>
  <c r="Q28" i="25"/>
  <c r="Q27" i="25" s="1"/>
  <c r="M139" i="26" s="1"/>
  <c r="C139" i="26" s="1"/>
  <c r="Q30" i="25"/>
  <c r="Q29" i="25" s="1"/>
  <c r="M153" i="26" s="1"/>
  <c r="C153" i="26" s="1"/>
  <c r="C13" i="26"/>
  <c r="ES34" i="3"/>
  <c r="N34" i="3" s="1"/>
  <c r="P41" i="2"/>
  <c r="EV11" i="3"/>
  <c r="T21" i="24"/>
  <c r="S21" i="2"/>
  <c r="EV29" i="3"/>
  <c r="Q29" i="3" s="1"/>
  <c r="S36" i="2"/>
  <c r="ER51" i="3"/>
  <c r="ER47" i="3"/>
  <c r="M3" i="3"/>
  <c r="O36" i="2"/>
  <c r="ER29" i="3"/>
  <c r="M29" i="3" s="1"/>
  <c r="R40" i="2"/>
  <c r="EU33" i="3"/>
  <c r="P33" i="3" s="1"/>
  <c r="EU35" i="3"/>
  <c r="P35" i="3" s="1"/>
  <c r="R42" i="2"/>
  <c r="L28" i="26"/>
  <c r="C28" i="26" s="1"/>
  <c r="Q8" i="2" s="1"/>
  <c r="ET4" i="3"/>
  <c r="O4" i="3" s="1"/>
  <c r="R18" i="24"/>
  <c r="ET38" i="3"/>
  <c r="R41" i="24"/>
  <c r="Q44" i="2"/>
  <c r="ET23" i="3"/>
  <c r="O23" i="3" s="1"/>
  <c r="Q32" i="2"/>
  <c r="ES40" i="3"/>
  <c r="N40" i="3" s="1"/>
  <c r="P46" i="2"/>
  <c r="Q25" i="25"/>
  <c r="ES35" i="3"/>
  <c r="N35" i="3" s="1"/>
  <c r="P42" i="2"/>
  <c r="ES29" i="3"/>
  <c r="N29" i="3" s="1"/>
  <c r="P36" i="2"/>
  <c r="ER15" i="3"/>
  <c r="M15" i="3" s="1"/>
  <c r="O24" i="2"/>
  <c r="C52" i="26"/>
  <c r="C94" i="26"/>
  <c r="C178" i="26" s="1"/>
  <c r="EU27" i="3"/>
  <c r="R37" i="2"/>
  <c r="EU12" i="3"/>
  <c r="P12" i="3" s="1"/>
  <c r="R22" i="2"/>
  <c r="ET47" i="3"/>
  <c r="ET51" i="3"/>
  <c r="O3" i="3"/>
  <c r="ET12" i="3"/>
  <c r="O12" i="3" s="1"/>
  <c r="Q22" i="2"/>
  <c r="ET16" i="3"/>
  <c r="O16" i="3" s="1"/>
  <c r="Q25" i="2"/>
  <c r="L19" i="2"/>
  <c r="L54" i="2"/>
  <c r="L9" i="2"/>
  <c r="ES16" i="3"/>
  <c r="N16" i="3" s="1"/>
  <c r="P25" i="2"/>
  <c r="S44" i="2"/>
  <c r="T41" i="24"/>
  <c r="EV38" i="3"/>
  <c r="S32" i="2"/>
  <c r="EV23" i="3"/>
  <c r="Q23" i="3" s="1"/>
  <c r="O34" i="24"/>
  <c r="O40" i="24"/>
  <c r="O10" i="24"/>
  <c r="O30" i="24"/>
  <c r="O38" i="24"/>
  <c r="O25" i="24"/>
  <c r="O23" i="24"/>
  <c r="O28" i="24"/>
  <c r="W9" i="24"/>
  <c r="L18" i="26" s="1"/>
  <c r="R38" i="12"/>
  <c r="O31" i="24"/>
  <c r="O19" i="24"/>
  <c r="O26" i="24"/>
  <c r="O29" i="24"/>
  <c r="O37" i="24"/>
  <c r="O22" i="24"/>
  <c r="O8" i="24"/>
  <c r="O42" i="24"/>
  <c r="O33" i="24"/>
  <c r="V9" i="24"/>
  <c r="L17" i="26" s="1"/>
  <c r="O45" i="24"/>
  <c r="O35" i="24"/>
  <c r="L11" i="26"/>
  <c r="O39" i="24"/>
  <c r="ER32" i="3"/>
  <c r="O39" i="2"/>
  <c r="P36" i="24"/>
  <c r="ER22" i="3"/>
  <c r="M22" i="3" s="1"/>
  <c r="O31" i="2"/>
  <c r="EU40" i="3"/>
  <c r="P40" i="3" s="1"/>
  <c r="R46" i="2"/>
  <c r="S25" i="25"/>
  <c r="EU51" i="3"/>
  <c r="P3" i="3"/>
  <c r="EU47" i="3"/>
  <c r="R28" i="25"/>
  <c r="R27" i="25" s="1"/>
  <c r="M140" i="26" s="1"/>
  <c r="C140" i="26" s="1"/>
  <c r="R26" i="25"/>
  <c r="Q53" i="2" s="1"/>
  <c r="O52" i="3" s="1"/>
  <c r="O50" i="3" s="1"/>
  <c r="R30" i="25"/>
  <c r="R29" i="25" s="1"/>
  <c r="M154" i="26" s="1"/>
  <c r="C154" i="26" s="1"/>
  <c r="C14" i="26"/>
  <c r="Q41" i="2"/>
  <c r="ET34" i="3"/>
  <c r="O34" i="3" s="1"/>
  <c r="U43" i="12"/>
  <c r="U42" i="12"/>
  <c r="U39" i="12"/>
  <c r="U41" i="12"/>
  <c r="U44" i="12"/>
  <c r="U40" i="12"/>
  <c r="U22" i="12"/>
  <c r="U45" i="12"/>
  <c r="U46" i="12"/>
  <c r="C51" i="26"/>
  <c r="C93" i="26"/>
  <c r="C177" i="26" s="1"/>
  <c r="EV40" i="3"/>
  <c r="Q40" i="3" s="1"/>
  <c r="T25" i="25"/>
  <c r="S46" i="2"/>
  <c r="S24" i="2"/>
  <c r="EV15" i="3"/>
  <c r="Q15" i="3" s="1"/>
  <c r="O32" i="2"/>
  <c r="ER23" i="3"/>
  <c r="M23" i="3" s="1"/>
  <c r="ES24" i="3"/>
  <c r="N24" i="3" s="1"/>
  <c r="P33" i="2"/>
  <c r="ES32" i="3"/>
  <c r="P39" i="2"/>
  <c r="Q36" i="24"/>
  <c r="C91" i="26"/>
  <c r="C175" i="26" s="1"/>
  <c r="C49" i="26"/>
  <c r="Q21" i="24"/>
  <c r="ES11" i="3"/>
  <c r="P21" i="2"/>
  <c r="ES12" i="3"/>
  <c r="N12" i="3" s="1"/>
  <c r="P22" i="2"/>
  <c r="T41" i="12"/>
  <c r="T45" i="12"/>
  <c r="T43" i="12"/>
  <c r="T42" i="12"/>
  <c r="T46" i="12"/>
  <c r="T40" i="12"/>
  <c r="T39" i="12"/>
  <c r="T44" i="12"/>
  <c r="T22" i="12"/>
  <c r="S22" i="2"/>
  <c r="EV12" i="3"/>
  <c r="Q12" i="3" s="1"/>
  <c r="O35" i="2"/>
  <c r="ER28" i="3"/>
  <c r="M28" i="3" s="1"/>
  <c r="P32" i="24"/>
  <c r="O25" i="2"/>
  <c r="ER16" i="3"/>
  <c r="M16" i="3" s="1"/>
  <c r="C50" i="26"/>
  <c r="C92" i="26"/>
  <c r="C176" i="26" s="1"/>
  <c r="EU4" i="3"/>
  <c r="P4" i="3" s="1"/>
  <c r="L29" i="26"/>
  <c r="C29" i="26" s="1"/>
  <c r="R8" i="2" s="1"/>
  <c r="S18" i="24"/>
  <c r="Q40" i="2"/>
  <c r="ET33" i="3"/>
  <c r="O33" i="3" s="1"/>
  <c r="J9" i="2"/>
  <c r="J19" i="2"/>
  <c r="J54" i="2"/>
  <c r="EV21" i="3"/>
  <c r="S30" i="2"/>
  <c r="T27" i="24"/>
  <c r="EV5" i="3"/>
  <c r="EV51" i="3"/>
  <c r="Q3" i="3"/>
  <c r="Q5" i="3" s="1"/>
  <c r="EV47" i="3"/>
  <c r="S42" i="2"/>
  <c r="EV35" i="3"/>
  <c r="Q35" i="3" s="1"/>
  <c r="ER12" i="3"/>
  <c r="M12" i="3" s="1"/>
  <c r="O22" i="2"/>
  <c r="ER34" i="3"/>
  <c r="M34" i="3" s="1"/>
  <c r="O41" i="2"/>
  <c r="EU24" i="3"/>
  <c r="P24" i="3" s="1"/>
  <c r="R33" i="2"/>
  <c r="Q21" i="2"/>
  <c r="ET11" i="3"/>
  <c r="R21" i="24"/>
  <c r="Q37" i="2"/>
  <c r="ET27" i="3"/>
  <c r="L41" i="26" l="1"/>
  <c r="L55" i="26" s="1"/>
  <c r="O34" i="2"/>
  <c r="L44" i="26"/>
  <c r="L58" i="26" s="1"/>
  <c r="N51" i="3"/>
  <c r="ES5" i="3"/>
  <c r="O43" i="2"/>
  <c r="ET5" i="3"/>
  <c r="ET6" i="3" s="1"/>
  <c r="Q51" i="3"/>
  <c r="N5" i="3"/>
  <c r="N6" i="3" s="1"/>
  <c r="P38" i="2"/>
  <c r="P5" i="3"/>
  <c r="T20" i="24"/>
  <c r="EV7" i="3" s="1"/>
  <c r="EV41" i="3" s="1"/>
  <c r="EV42" i="3" s="1"/>
  <c r="R20" i="24"/>
  <c r="L70" i="26" s="1"/>
  <c r="L42" i="26"/>
  <c r="L56" i="26" s="1"/>
  <c r="O5" i="3"/>
  <c r="O6" i="3" s="1"/>
  <c r="Q43" i="2"/>
  <c r="W38" i="24"/>
  <c r="EQ33" i="3"/>
  <c r="L33" i="3" s="1"/>
  <c r="N40" i="2"/>
  <c r="V38" i="24"/>
  <c r="O30" i="25"/>
  <c r="O26" i="25"/>
  <c r="C11" i="26"/>
  <c r="O28" i="25"/>
  <c r="S29" i="2"/>
  <c r="C190" i="26"/>
  <c r="I56" i="3"/>
  <c r="P20" i="2"/>
  <c r="R51" i="2"/>
  <c r="S23" i="25"/>
  <c r="N37" i="2"/>
  <c r="V35" i="24"/>
  <c r="W35" i="24"/>
  <c r="EQ27" i="3"/>
  <c r="O18" i="24"/>
  <c r="V19" i="24"/>
  <c r="EQ4" i="3"/>
  <c r="L4" i="3" s="1"/>
  <c r="L25" i="26"/>
  <c r="C25" i="26" s="1"/>
  <c r="N8" i="2" s="1"/>
  <c r="W19" i="24"/>
  <c r="V10" i="24"/>
  <c r="W10" i="24"/>
  <c r="S34" i="2"/>
  <c r="R43" i="2"/>
  <c r="R38" i="2"/>
  <c r="R56" i="2"/>
  <c r="R55" i="2" s="1"/>
  <c r="P53" i="3"/>
  <c r="P20" i="24"/>
  <c r="L40" i="26"/>
  <c r="L54" i="26" s="1"/>
  <c r="V45" i="24"/>
  <c r="EQ40" i="3"/>
  <c r="L40" i="3" s="1"/>
  <c r="N46" i="2"/>
  <c r="W45" i="24"/>
  <c r="O25" i="25"/>
  <c r="V40" i="24"/>
  <c r="W40" i="24"/>
  <c r="EQ35" i="3"/>
  <c r="L35" i="3" s="1"/>
  <c r="N42" i="2"/>
  <c r="L10" i="2"/>
  <c r="L12" i="2"/>
  <c r="L13" i="2" s="1"/>
  <c r="L47" i="2"/>
  <c r="L60" i="2" s="1"/>
  <c r="L61" i="2" s="1"/>
  <c r="O38" i="3"/>
  <c r="ET36" i="3"/>
  <c r="ER5" i="3"/>
  <c r="S20" i="24"/>
  <c r="L43" i="26"/>
  <c r="L57" i="26" s="1"/>
  <c r="Q29" i="2"/>
  <c r="O20" i="2"/>
  <c r="M54" i="3"/>
  <c r="O58" i="2"/>
  <c r="W39" i="24"/>
  <c r="EQ34" i="3"/>
  <c r="L34" i="3" s="1"/>
  <c r="N41" i="2"/>
  <c r="V39" i="24"/>
  <c r="Q21" i="3"/>
  <c r="EV19" i="3"/>
  <c r="C42" i="26"/>
  <c r="Q7" i="2"/>
  <c r="Q9" i="2" s="1"/>
  <c r="O27" i="3"/>
  <c r="ET25" i="3"/>
  <c r="Q20" i="24"/>
  <c r="Q58" i="2"/>
  <c r="O54" i="3"/>
  <c r="EQ29" i="3"/>
  <c r="L29" i="3" s="1"/>
  <c r="W34" i="24"/>
  <c r="N36" i="2"/>
  <c r="V34" i="24"/>
  <c r="M5" i="3"/>
  <c r="C41" i="26"/>
  <c r="P7" i="2"/>
  <c r="P9" i="2" s="1"/>
  <c r="M12" i="2"/>
  <c r="M13" i="2" s="1"/>
  <c r="M47" i="2"/>
  <c r="M60" i="2" s="1"/>
  <c r="M61" i="2" s="1"/>
  <c r="M10" i="2"/>
  <c r="R20" i="2"/>
  <c r="R58" i="2"/>
  <c r="P54" i="3"/>
  <c r="P43" i="2"/>
  <c r="ES6" i="3"/>
  <c r="M53" i="3"/>
  <c r="O56" i="2"/>
  <c r="O55" i="2" s="1"/>
  <c r="O36" i="24"/>
  <c r="W37" i="24"/>
  <c r="EQ32" i="3"/>
  <c r="N39" i="2"/>
  <c r="V37" i="24"/>
  <c r="EV6" i="3"/>
  <c r="J56" i="3"/>
  <c r="C191" i="26"/>
  <c r="P6" i="3"/>
  <c r="N11" i="3"/>
  <c r="ES9" i="3"/>
  <c r="W31" i="24"/>
  <c r="EQ24" i="3"/>
  <c r="L24" i="3" s="1"/>
  <c r="V31" i="24"/>
  <c r="N33" i="2"/>
  <c r="O51" i="3"/>
  <c r="EQ28" i="3"/>
  <c r="L28" i="3" s="1"/>
  <c r="O32" i="24"/>
  <c r="N35" i="2"/>
  <c r="W33" i="24"/>
  <c r="V33" i="24"/>
  <c r="R42" i="12"/>
  <c r="J42" i="12" s="1"/>
  <c r="R39" i="12"/>
  <c r="J39" i="12" s="1"/>
  <c r="R40" i="12"/>
  <c r="J40" i="12" s="1"/>
  <c r="R45" i="12"/>
  <c r="J45" i="12" s="1"/>
  <c r="R41" i="12"/>
  <c r="J41" i="12" s="1"/>
  <c r="R44" i="12"/>
  <c r="J44" i="12" s="1"/>
  <c r="R43" i="12"/>
  <c r="J43" i="12" s="1"/>
  <c r="R22" i="12"/>
  <c r="R46" i="12"/>
  <c r="J46" i="12" s="1"/>
  <c r="J38" i="12"/>
  <c r="N54" i="3"/>
  <c r="P58" i="2"/>
  <c r="M21" i="3"/>
  <c r="ER19" i="3"/>
  <c r="EU9" i="3"/>
  <c r="P11" i="3"/>
  <c r="P51" i="3"/>
  <c r="N53" i="3"/>
  <c r="P56" i="2"/>
  <c r="P55" i="2" s="1"/>
  <c r="Q38" i="2"/>
  <c r="ER36" i="3"/>
  <c r="M38" i="3"/>
  <c r="N38" i="3"/>
  <c r="ES36" i="3"/>
  <c r="R34" i="2"/>
  <c r="S38" i="2"/>
  <c r="P34" i="2"/>
  <c r="K10" i="2"/>
  <c r="K12" i="2"/>
  <c r="K13" i="2" s="1"/>
  <c r="K47" i="2"/>
  <c r="K60" i="2" s="1"/>
  <c r="K61" i="2" s="1"/>
  <c r="V42" i="24"/>
  <c r="N44" i="2"/>
  <c r="N43" i="2" s="1"/>
  <c r="O41" i="24"/>
  <c r="W42" i="24"/>
  <c r="EQ38" i="3"/>
  <c r="P51" i="2"/>
  <c r="Q23" i="25"/>
  <c r="O11" i="3"/>
  <c r="ET9" i="3"/>
  <c r="W8" i="24"/>
  <c r="EX3" i="3" s="1"/>
  <c r="V8" i="24"/>
  <c r="EW3" i="3" s="1"/>
  <c r="EQ3" i="3"/>
  <c r="N30" i="2"/>
  <c r="W28" i="24"/>
  <c r="O27" i="24"/>
  <c r="EQ21" i="3"/>
  <c r="V28" i="24"/>
  <c r="Q38" i="3"/>
  <c r="EV36" i="3"/>
  <c r="P27" i="3"/>
  <c r="EU25" i="3"/>
  <c r="O29" i="2"/>
  <c r="S7" i="2"/>
  <c r="S9" i="2" s="1"/>
  <c r="C44" i="26"/>
  <c r="Q20" i="2"/>
  <c r="Q6" i="3"/>
  <c r="S51" i="2"/>
  <c r="T23" i="25"/>
  <c r="EU5" i="3"/>
  <c r="O38" i="2"/>
  <c r="N21" i="2"/>
  <c r="W22" i="24"/>
  <c r="V22" i="24"/>
  <c r="O21" i="24"/>
  <c r="EQ11" i="3"/>
  <c r="EQ12" i="3"/>
  <c r="L12" i="3" s="1"/>
  <c r="W23" i="24"/>
  <c r="V23" i="24"/>
  <c r="N22" i="2"/>
  <c r="K56" i="3"/>
  <c r="C192" i="26"/>
  <c r="O32" i="3"/>
  <c r="ET30" i="3"/>
  <c r="Q27" i="3"/>
  <c r="EV25" i="3"/>
  <c r="Q34" i="2"/>
  <c r="P23" i="25"/>
  <c r="O51" i="2"/>
  <c r="Q32" i="3"/>
  <c r="EV30" i="3"/>
  <c r="ER25" i="3"/>
  <c r="M27" i="3"/>
  <c r="V25" i="24"/>
  <c r="EQ15" i="3"/>
  <c r="L15" i="3" s="1"/>
  <c r="N24" i="2"/>
  <c r="W25" i="24"/>
  <c r="S43" i="2"/>
  <c r="S20" i="2"/>
  <c r="EU19" i="3"/>
  <c r="P21" i="3"/>
  <c r="I12" i="2"/>
  <c r="I13" i="2" s="1"/>
  <c r="I10" i="2"/>
  <c r="I47" i="2"/>
  <c r="I60" i="2" s="1"/>
  <c r="I61" i="2" s="1"/>
  <c r="ET7" i="3"/>
  <c r="J47" i="2"/>
  <c r="J60" i="2" s="1"/>
  <c r="J61" i="2" s="1"/>
  <c r="J10" i="2"/>
  <c r="J12" i="2"/>
  <c r="J13" i="2" s="1"/>
  <c r="C189" i="26"/>
  <c r="H56" i="3"/>
  <c r="O53" i="3"/>
  <c r="Q56" i="2"/>
  <c r="Q55" i="2" s="1"/>
  <c r="C18" i="26"/>
  <c r="ES30" i="3"/>
  <c r="N32" i="3"/>
  <c r="M32" i="3"/>
  <c r="ER30" i="3"/>
  <c r="R29" i="2"/>
  <c r="Q54" i="3"/>
  <c r="S58" i="2"/>
  <c r="ES25" i="3"/>
  <c r="N27" i="3"/>
  <c r="Q51" i="2"/>
  <c r="R23" i="25"/>
  <c r="M51" i="3"/>
  <c r="N21" i="3"/>
  <c r="ES19" i="3"/>
  <c r="R46" i="24"/>
  <c r="L98" i="26" s="1"/>
  <c r="EQ22" i="3"/>
  <c r="L22" i="3" s="1"/>
  <c r="V29" i="24"/>
  <c r="N31" i="2"/>
  <c r="W29" i="24"/>
  <c r="V26" i="24"/>
  <c r="W26" i="24"/>
  <c r="EQ16" i="3"/>
  <c r="L16" i="3" s="1"/>
  <c r="N25" i="2"/>
  <c r="V30" i="24"/>
  <c r="W30" i="24"/>
  <c r="N32" i="2"/>
  <c r="EQ23" i="3"/>
  <c r="L23" i="3" s="1"/>
  <c r="Q11" i="3"/>
  <c r="EV9" i="3"/>
  <c r="P38" i="3"/>
  <c r="EU36" i="3"/>
  <c r="Q53" i="3"/>
  <c r="S56" i="2"/>
  <c r="S55" i="2" s="1"/>
  <c r="P32" i="3"/>
  <c r="EU30" i="3"/>
  <c r="R7" i="2"/>
  <c r="R9" i="2" s="1"/>
  <c r="C43" i="26"/>
  <c r="O21" i="3"/>
  <c r="ET19" i="3"/>
  <c r="C188" i="26"/>
  <c r="G56" i="3"/>
  <c r="ER9" i="3"/>
  <c r="M11" i="3"/>
  <c r="O7" i="2"/>
  <c r="O9" i="2" s="1"/>
  <c r="C40" i="26"/>
  <c r="P29" i="2"/>
  <c r="N34" i="2" l="1"/>
  <c r="T46" i="24"/>
  <c r="L100" i="26" s="1"/>
  <c r="L226" i="26" s="1"/>
  <c r="L72" i="26"/>
  <c r="L86" i="26" s="1"/>
  <c r="Q18" i="2"/>
  <c r="Q19" i="2" s="1"/>
  <c r="N20" i="2"/>
  <c r="S18" i="2"/>
  <c r="S47" i="2" s="1"/>
  <c r="EV31" i="3"/>
  <c r="Q30" i="3"/>
  <c r="Q31" i="3" s="1"/>
  <c r="EX11" i="3"/>
  <c r="V21" i="2"/>
  <c r="S24" i="3"/>
  <c r="EW32" i="3"/>
  <c r="C202" i="26"/>
  <c r="C216" i="26" s="1"/>
  <c r="G57" i="3"/>
  <c r="EW16" i="3"/>
  <c r="Q48" i="2"/>
  <c r="Q54" i="2" s="1"/>
  <c r="O49" i="3"/>
  <c r="O46" i="3" s="1"/>
  <c r="O47" i="3" s="1"/>
  <c r="O7" i="3"/>
  <c r="ET8" i="3"/>
  <c r="S15" i="3"/>
  <c r="S12" i="3"/>
  <c r="EW21" i="3"/>
  <c r="M111" i="26"/>
  <c r="Q33" i="25"/>
  <c r="Q34" i="25" s="1"/>
  <c r="ER37" i="3"/>
  <c r="M36" i="3"/>
  <c r="M37" i="3" s="1"/>
  <c r="EX29" i="3"/>
  <c r="V36" i="2"/>
  <c r="C56" i="26"/>
  <c r="L62" i="2"/>
  <c r="L63" i="2" s="1"/>
  <c r="L64" i="2" s="1"/>
  <c r="S40" i="3"/>
  <c r="M113" i="26"/>
  <c r="S33" i="25"/>
  <c r="S34" i="25" s="1"/>
  <c r="L39" i="26"/>
  <c r="L53" i="26" s="1"/>
  <c r="S12" i="2"/>
  <c r="S13" i="2" s="1"/>
  <c r="S10" i="2"/>
  <c r="N29" i="2"/>
  <c r="W41" i="24"/>
  <c r="V41" i="24"/>
  <c r="W32" i="24"/>
  <c r="V32" i="24"/>
  <c r="V32" i="2"/>
  <c r="EX23" i="3"/>
  <c r="EU37" i="3"/>
  <c r="P36" i="3"/>
  <c r="P37" i="3" s="1"/>
  <c r="V25" i="2"/>
  <c r="EX16" i="3"/>
  <c r="M112" i="26"/>
  <c r="R33" i="25"/>
  <c r="R34" i="25" s="1"/>
  <c r="N30" i="3"/>
  <c r="N31" i="3" s="1"/>
  <c r="ES31" i="3"/>
  <c r="L84" i="26"/>
  <c r="C70" i="26"/>
  <c r="C84" i="26" s="1"/>
  <c r="EV26" i="3"/>
  <c r="Q25" i="3"/>
  <c r="Q26" i="3" s="1"/>
  <c r="V22" i="2"/>
  <c r="EX12" i="3"/>
  <c r="S48" i="2"/>
  <c r="S54" i="2" s="1"/>
  <c r="Q49" i="3"/>
  <c r="Q46" i="3" s="1"/>
  <c r="Q47" i="3" s="1"/>
  <c r="V33" i="2"/>
  <c r="EX24" i="3"/>
  <c r="N38" i="2"/>
  <c r="O19" i="3"/>
  <c r="O20" i="3" s="1"/>
  <c r="ET20" i="3"/>
  <c r="Q9" i="3"/>
  <c r="Q10" i="3" s="1"/>
  <c r="EV10" i="3"/>
  <c r="EX22" i="3"/>
  <c r="V31" i="2"/>
  <c r="I62" i="2"/>
  <c r="I63" i="2" s="1"/>
  <c r="I64" i="2" s="1"/>
  <c r="EW15" i="3"/>
  <c r="L11" i="3"/>
  <c r="EQ9" i="3"/>
  <c r="L21" i="3"/>
  <c r="EQ19" i="3"/>
  <c r="P48" i="2"/>
  <c r="P54" i="2" s="1"/>
  <c r="N49" i="3"/>
  <c r="N46" i="3" s="1"/>
  <c r="N47" i="3" s="1"/>
  <c r="EW28" i="3"/>
  <c r="N9" i="3"/>
  <c r="N10" i="3" s="1"/>
  <c r="ES10" i="3"/>
  <c r="L32" i="3"/>
  <c r="EQ30" i="3"/>
  <c r="R18" i="2"/>
  <c r="R19" i="2" s="1"/>
  <c r="S29" i="3"/>
  <c r="EV20" i="3"/>
  <c r="Q19" i="3"/>
  <c r="Q20" i="3" s="1"/>
  <c r="O18" i="2"/>
  <c r="O19" i="2" s="1"/>
  <c r="EW40" i="3"/>
  <c r="EX4" i="3"/>
  <c r="EX5" i="3" s="1"/>
  <c r="L32" i="26"/>
  <c r="R48" i="2"/>
  <c r="R54" i="2" s="1"/>
  <c r="P49" i="3"/>
  <c r="P46" i="3" s="1"/>
  <c r="P47" i="3" s="1"/>
  <c r="C57" i="26"/>
  <c r="S23" i="3"/>
  <c r="EW22" i="3"/>
  <c r="U31" i="2"/>
  <c r="ES26" i="3"/>
  <c r="N25" i="3"/>
  <c r="N26" i="3" s="1"/>
  <c r="W21" i="24"/>
  <c r="V21" i="24"/>
  <c r="O20" i="24"/>
  <c r="W27" i="24"/>
  <c r="V27" i="24"/>
  <c r="L38" i="3"/>
  <c r="EQ36" i="3"/>
  <c r="EX28" i="3"/>
  <c r="V35" i="2"/>
  <c r="V39" i="2"/>
  <c r="EX32" i="3"/>
  <c r="V8" i="2"/>
  <c r="P18" i="2"/>
  <c r="P19" i="2" s="1"/>
  <c r="M25" i="3"/>
  <c r="M26" i="3" s="1"/>
  <c r="ER26" i="3"/>
  <c r="O30" i="3"/>
  <c r="O31" i="3" s="1"/>
  <c r="ET31" i="3"/>
  <c r="EW11" i="3"/>
  <c r="C58" i="26"/>
  <c r="EX21" i="3"/>
  <c r="V30" i="2"/>
  <c r="V44" i="2"/>
  <c r="EX38" i="3"/>
  <c r="V36" i="24"/>
  <c r="W36" i="24"/>
  <c r="M62" i="2"/>
  <c r="M63" i="2" s="1"/>
  <c r="M64" i="2" s="1"/>
  <c r="EW34" i="3"/>
  <c r="L68" i="26"/>
  <c r="ER7" i="3"/>
  <c r="P46" i="24"/>
  <c r="L96" i="26" s="1"/>
  <c r="S4" i="3"/>
  <c r="Q7" i="3"/>
  <c r="EV8" i="3"/>
  <c r="R12" i="2"/>
  <c r="R13" i="2" s="1"/>
  <c r="R10" i="2"/>
  <c r="R22" i="3"/>
  <c r="S22" i="3"/>
  <c r="L71" i="26"/>
  <c r="EU7" i="3"/>
  <c r="EU41" i="3" s="1"/>
  <c r="EU42" i="3" s="1"/>
  <c r="S46" i="24"/>
  <c r="L99" i="26" s="1"/>
  <c r="S35" i="3"/>
  <c r="EW4" i="3"/>
  <c r="EW5" i="3" s="1"/>
  <c r="L31" i="26"/>
  <c r="I57" i="3"/>
  <c r="C204" i="26"/>
  <c r="C218" i="26" s="1"/>
  <c r="P12" i="2"/>
  <c r="P13" i="2" s="1"/>
  <c r="P10" i="2"/>
  <c r="S34" i="3"/>
  <c r="ER6" i="3"/>
  <c r="V42" i="2"/>
  <c r="EX35" i="3"/>
  <c r="V18" i="24"/>
  <c r="W18" i="24"/>
  <c r="EU26" i="3"/>
  <c r="P25" i="3"/>
  <c r="P26" i="3" s="1"/>
  <c r="EW47" i="3"/>
  <c r="EW51" i="3"/>
  <c r="EW38" i="3"/>
  <c r="U44" i="2"/>
  <c r="EU10" i="3"/>
  <c r="P9" i="3"/>
  <c r="P10" i="3" s="1"/>
  <c r="C55" i="26"/>
  <c r="ES7" i="3"/>
  <c r="L69" i="26"/>
  <c r="Q46" i="24"/>
  <c r="L97" i="26" s="1"/>
  <c r="V41" i="2"/>
  <c r="EX34" i="3"/>
  <c r="ET37" i="3"/>
  <c r="O36" i="3"/>
  <c r="O37" i="3" s="1"/>
  <c r="EW35" i="3"/>
  <c r="L27" i="3"/>
  <c r="EQ25" i="3"/>
  <c r="W28" i="25"/>
  <c r="O27" i="25"/>
  <c r="EW33" i="3"/>
  <c r="M110" i="26"/>
  <c r="P33" i="25"/>
  <c r="P34" i="25" s="1"/>
  <c r="EU6" i="3"/>
  <c r="EX51" i="3"/>
  <c r="EX47" i="3"/>
  <c r="K62" i="2"/>
  <c r="K63" i="2" s="1"/>
  <c r="K64" i="2" s="1"/>
  <c r="ES37" i="3"/>
  <c r="N36" i="3"/>
  <c r="N37" i="3" s="1"/>
  <c r="M19" i="3"/>
  <c r="M20" i="3" s="1"/>
  <c r="ER20" i="3"/>
  <c r="M6" i="3"/>
  <c r="ET26" i="3"/>
  <c r="O25" i="3"/>
  <c r="O26" i="3" s="1"/>
  <c r="W25" i="25"/>
  <c r="O23" i="25"/>
  <c r="N51" i="2"/>
  <c r="V37" i="2"/>
  <c r="EX27" i="3"/>
  <c r="N7" i="2"/>
  <c r="C39" i="26"/>
  <c r="C54" i="26"/>
  <c r="EW23" i="3"/>
  <c r="N19" i="3"/>
  <c r="N20" i="3" s="1"/>
  <c r="ES20" i="3"/>
  <c r="M30" i="3"/>
  <c r="M31" i="3" s="1"/>
  <c r="ER31" i="3"/>
  <c r="O48" i="2"/>
  <c r="O54" i="2" s="1"/>
  <c r="M49" i="3"/>
  <c r="M46" i="3" s="1"/>
  <c r="M47" i="3" s="1"/>
  <c r="M9" i="3"/>
  <c r="M10" i="3" s="1"/>
  <c r="ER10" i="3"/>
  <c r="ET41" i="3"/>
  <c r="ET42" i="3" s="1"/>
  <c r="EX40" i="3"/>
  <c r="V46" i="2"/>
  <c r="EW27" i="3"/>
  <c r="W26" i="25"/>
  <c r="N53" i="2"/>
  <c r="S33" i="3"/>
  <c r="O10" i="2"/>
  <c r="O12" i="2"/>
  <c r="O13" i="2" s="1"/>
  <c r="EU31" i="3"/>
  <c r="P30" i="3"/>
  <c r="P31" i="3" s="1"/>
  <c r="L196" i="26"/>
  <c r="ET57" i="3" s="1"/>
  <c r="L182" i="26"/>
  <c r="ET56" i="3" s="1"/>
  <c r="L224" i="26"/>
  <c r="H57" i="3"/>
  <c r="C203" i="26"/>
  <c r="P19" i="3"/>
  <c r="P20" i="3" s="1"/>
  <c r="EU20" i="3"/>
  <c r="K57" i="3"/>
  <c r="C206" i="26"/>
  <c r="EQ47" i="3"/>
  <c r="EQ5" i="3"/>
  <c r="L3" i="3"/>
  <c r="EQ51" i="3"/>
  <c r="S28" i="3"/>
  <c r="C205" i="26"/>
  <c r="C219" i="26" s="1"/>
  <c r="J57" i="3"/>
  <c r="S16" i="3"/>
  <c r="J62" i="2"/>
  <c r="J63" i="2" s="1"/>
  <c r="J64" i="2" s="1"/>
  <c r="EX15" i="3"/>
  <c r="V24" i="2"/>
  <c r="EW12" i="3"/>
  <c r="M114" i="26"/>
  <c r="T33" i="25"/>
  <c r="T34" i="25" s="1"/>
  <c r="EV37" i="3"/>
  <c r="Q36" i="3"/>
  <c r="Q37" i="3" s="1"/>
  <c r="O9" i="3"/>
  <c r="O10" i="3" s="1"/>
  <c r="ET10" i="3"/>
  <c r="EW24" i="3"/>
  <c r="EW29" i="3"/>
  <c r="Q10" i="2"/>
  <c r="Q12" i="2"/>
  <c r="Q13" i="2" s="1"/>
  <c r="W30" i="25"/>
  <c r="O29" i="25"/>
  <c r="EX33" i="3"/>
  <c r="V40" i="2"/>
  <c r="S19" i="2" l="1"/>
  <c r="Q47" i="2"/>
  <c r="Q60" i="2" s="1"/>
  <c r="Q61" i="2" s="1"/>
  <c r="Q62" i="2" s="1"/>
  <c r="Q63" i="2" s="1"/>
  <c r="Q64" i="2" s="1"/>
  <c r="L184" i="26"/>
  <c r="EV56" i="3" s="1"/>
  <c r="L198" i="26"/>
  <c r="EV57" i="3" s="1"/>
  <c r="C72" i="26"/>
  <c r="C86" i="26" s="1"/>
  <c r="N18" i="2"/>
  <c r="EX25" i="3"/>
  <c r="EX26" i="3" s="1"/>
  <c r="P47" i="2"/>
  <c r="P60" i="2" s="1"/>
  <c r="P61" i="2" s="1"/>
  <c r="P62" i="2" s="1"/>
  <c r="P63" i="2" s="1"/>
  <c r="P64" i="2" s="1"/>
  <c r="EW25" i="3"/>
  <c r="EW26" i="3" s="1"/>
  <c r="V29" i="2"/>
  <c r="EW9" i="3"/>
  <c r="EW10" i="3" s="1"/>
  <c r="V43" i="2"/>
  <c r="EX19" i="3"/>
  <c r="EX20" i="3" s="1"/>
  <c r="EX30" i="3"/>
  <c r="EX31" i="3" s="1"/>
  <c r="V38" i="2"/>
  <c r="EX36" i="3"/>
  <c r="EX37" i="3" s="1"/>
  <c r="C98" i="26"/>
  <c r="C53" i="26"/>
  <c r="L25" i="3"/>
  <c r="EQ26" i="3"/>
  <c r="N7" i="3"/>
  <c r="ES8" i="3"/>
  <c r="ES41" i="3"/>
  <c r="ES42" i="3" s="1"/>
  <c r="L197" i="26"/>
  <c r="EU57" i="3" s="1"/>
  <c r="L225" i="26"/>
  <c r="L183" i="26"/>
  <c r="EU56" i="3" s="1"/>
  <c r="M36" i="25"/>
  <c r="C233" i="26"/>
  <c r="J59" i="3"/>
  <c r="N35" i="25"/>
  <c r="K58" i="3"/>
  <c r="EQ6" i="3"/>
  <c r="L238" i="26"/>
  <c r="ET60" i="3" s="1"/>
  <c r="ET59" i="3"/>
  <c r="V53" i="2"/>
  <c r="S52" i="3" s="1"/>
  <c r="S50" i="3" s="1"/>
  <c r="L52" i="3"/>
  <c r="L50" i="3" s="1"/>
  <c r="L51" i="3" s="1"/>
  <c r="C69" i="26"/>
  <c r="L83" i="26"/>
  <c r="Q8" i="3"/>
  <c r="Q41" i="3"/>
  <c r="Q42" i="3" s="1"/>
  <c r="G59" i="3"/>
  <c r="J36" i="25"/>
  <c r="C230" i="26"/>
  <c r="G58" i="3"/>
  <c r="J35" i="25"/>
  <c r="V7" i="2"/>
  <c r="N9" i="2"/>
  <c r="S27" i="3"/>
  <c r="EU8" i="3"/>
  <c r="P7" i="3"/>
  <c r="V34" i="2"/>
  <c r="EQ7" i="3"/>
  <c r="EQ41" i="3" s="1"/>
  <c r="EQ42" i="3" s="1"/>
  <c r="V20" i="24"/>
  <c r="L67" i="26"/>
  <c r="W20" i="24"/>
  <c r="O46" i="24"/>
  <c r="M128" i="26"/>
  <c r="C114" i="26"/>
  <c r="M184" i="26"/>
  <c r="M198" i="26" s="1"/>
  <c r="C220" i="26"/>
  <c r="C71" i="26"/>
  <c r="L85" i="26"/>
  <c r="L180" i="26"/>
  <c r="ER56" i="3" s="1"/>
  <c r="L194" i="26"/>
  <c r="ER57" i="3" s="1"/>
  <c r="L222" i="26"/>
  <c r="L240" i="26"/>
  <c r="EV60" i="3" s="1"/>
  <c r="EV59" i="3"/>
  <c r="M127" i="26"/>
  <c r="C113" i="26"/>
  <c r="M183" i="26"/>
  <c r="M197" i="26" s="1"/>
  <c r="O8" i="3"/>
  <c r="O41" i="3"/>
  <c r="O42" i="3" s="1"/>
  <c r="EW30" i="3"/>
  <c r="EW31" i="3" s="1"/>
  <c r="M125" i="26"/>
  <c r="C111" i="26"/>
  <c r="M181" i="26"/>
  <c r="M195" i="26" s="1"/>
  <c r="N19" i="2"/>
  <c r="L19" i="3"/>
  <c r="EQ20" i="3"/>
  <c r="C112" i="26"/>
  <c r="M126" i="26"/>
  <c r="M182" i="26"/>
  <c r="M196" i="26" s="1"/>
  <c r="V20" i="2"/>
  <c r="I59" i="3"/>
  <c r="C232" i="26"/>
  <c r="L36" i="25"/>
  <c r="M7" i="3"/>
  <c r="ER8" i="3"/>
  <c r="V51" i="2"/>
  <c r="S49" i="3" s="1"/>
  <c r="S46" i="3" s="1"/>
  <c r="L49" i="3"/>
  <c r="L46" i="3" s="1"/>
  <c r="L47" i="3" s="1"/>
  <c r="N48" i="2"/>
  <c r="O47" i="2"/>
  <c r="O60" i="2" s="1"/>
  <c r="O61" i="2" s="1"/>
  <c r="EW36" i="3"/>
  <c r="EW37" i="3" s="1"/>
  <c r="J58" i="3"/>
  <c r="M35" i="25"/>
  <c r="C110" i="26"/>
  <c r="M124" i="26"/>
  <c r="M180" i="26"/>
  <c r="M194" i="26" s="1"/>
  <c r="I58" i="3"/>
  <c r="L35" i="25"/>
  <c r="L82" i="26"/>
  <c r="C68" i="26"/>
  <c r="M109" i="26"/>
  <c r="W23" i="25"/>
  <c r="M116" i="26" s="1"/>
  <c r="O33" i="25"/>
  <c r="H58" i="3"/>
  <c r="K35" i="25"/>
  <c r="ER41" i="3"/>
  <c r="ER42" i="3" s="1"/>
  <c r="L45" i="26"/>
  <c r="L59" i="26" s="1"/>
  <c r="S21" i="3"/>
  <c r="EW19" i="3"/>
  <c r="EW20" i="3" s="1"/>
  <c r="EX9" i="3"/>
  <c r="EX10" i="3" s="1"/>
  <c r="W29" i="25"/>
  <c r="M158" i="26" s="1"/>
  <c r="C158" i="26" s="1"/>
  <c r="S54" i="3" s="1"/>
  <c r="M151" i="26"/>
  <c r="C151" i="26" s="1"/>
  <c r="S3" i="3"/>
  <c r="L5" i="3"/>
  <c r="C217" i="26"/>
  <c r="M137" i="26"/>
  <c r="C137" i="26" s="1"/>
  <c r="W27" i="25"/>
  <c r="M144" i="26" s="1"/>
  <c r="C144" i="26" s="1"/>
  <c r="S53" i="3" s="1"/>
  <c r="R47" i="2"/>
  <c r="R60" i="2" s="1"/>
  <c r="R61" i="2" s="1"/>
  <c r="EQ37" i="3"/>
  <c r="L36" i="3"/>
  <c r="C32" i="26"/>
  <c r="C46" i="26" s="1"/>
  <c r="L46" i="26"/>
  <c r="L60" i="26" s="1"/>
  <c r="EQ31" i="3"/>
  <c r="L30" i="3"/>
  <c r="EQ10" i="3"/>
  <c r="L9" i="3"/>
  <c r="S60" i="2"/>
  <c r="S61" i="2" s="1"/>
  <c r="EX6" i="3"/>
  <c r="L223" i="26"/>
  <c r="L181" i="26"/>
  <c r="ES56" i="3" s="1"/>
  <c r="L195" i="26"/>
  <c r="ES57" i="3" s="1"/>
  <c r="EW6" i="3"/>
  <c r="S38" i="3"/>
  <c r="R38" i="3"/>
  <c r="S32" i="3"/>
  <c r="S11" i="3"/>
  <c r="V18" i="2" l="1"/>
  <c r="V19" i="2" s="1"/>
  <c r="C100" i="26"/>
  <c r="S47" i="3"/>
  <c r="S51" i="3"/>
  <c r="N56" i="2"/>
  <c r="L53" i="3"/>
  <c r="L236" i="26"/>
  <c r="ER60" i="3" s="1"/>
  <c r="ER59" i="3"/>
  <c r="W46" i="24"/>
  <c r="L102" i="26" s="1"/>
  <c r="V46" i="24"/>
  <c r="L101" i="26" s="1"/>
  <c r="L95" i="26"/>
  <c r="C125" i="26"/>
  <c r="N45" i="3" s="1"/>
  <c r="N44" i="3"/>
  <c r="S30" i="3"/>
  <c r="S31" i="3" s="1"/>
  <c r="L31" i="3"/>
  <c r="L74" i="26"/>
  <c r="EX7" i="3"/>
  <c r="V9" i="2"/>
  <c r="V10" i="2" s="1"/>
  <c r="N10" i="2"/>
  <c r="N12" i="2"/>
  <c r="N47" i="2"/>
  <c r="Q44" i="3"/>
  <c r="C128" i="26"/>
  <c r="Q45" i="3" s="1"/>
  <c r="S62" i="2"/>
  <c r="S63" i="2" s="1"/>
  <c r="S64" i="2" s="1"/>
  <c r="R62" i="2"/>
  <c r="R63" i="2" s="1"/>
  <c r="R64" i="2" s="1"/>
  <c r="C67" i="26"/>
  <c r="L81" i="26"/>
  <c r="S5" i="3"/>
  <c r="L6" i="3"/>
  <c r="M130" i="26"/>
  <c r="C116" i="26"/>
  <c r="M186" i="26"/>
  <c r="M200" i="26" s="1"/>
  <c r="M8" i="3"/>
  <c r="M41" i="3"/>
  <c r="M42" i="3" s="1"/>
  <c r="S19" i="3"/>
  <c r="S20" i="3" s="1"/>
  <c r="L20" i="3"/>
  <c r="EW7" i="3"/>
  <c r="L73" i="26"/>
  <c r="C60" i="26"/>
  <c r="C109" i="26"/>
  <c r="M123" i="26"/>
  <c r="M179" i="26"/>
  <c r="M193" i="26" s="1"/>
  <c r="C184" i="26"/>
  <c r="C85" i="26"/>
  <c r="C99" i="26"/>
  <c r="C183" i="26" s="1"/>
  <c r="L7" i="3"/>
  <c r="EQ8" i="3"/>
  <c r="C83" i="26"/>
  <c r="C97" i="26"/>
  <c r="C181" i="26" s="1"/>
  <c r="N54" i="2"/>
  <c r="V48" i="2"/>
  <c r="V54" i="2" s="1"/>
  <c r="S9" i="3"/>
  <c r="S10" i="3" s="1"/>
  <c r="L10" i="3"/>
  <c r="N8" i="3"/>
  <c r="N41" i="3"/>
  <c r="N42" i="3" s="1"/>
  <c r="ES59" i="3"/>
  <c r="L237" i="26"/>
  <c r="ES60" i="3" s="1"/>
  <c r="S36" i="3"/>
  <c r="S37" i="3" s="1"/>
  <c r="L37" i="3"/>
  <c r="C82" i="26"/>
  <c r="C96" i="26"/>
  <c r="C180" i="26" s="1"/>
  <c r="O62" i="2"/>
  <c r="O63" i="2" s="1"/>
  <c r="O64" i="2" s="1"/>
  <c r="I60" i="3"/>
  <c r="L37" i="25"/>
  <c r="P44" i="3"/>
  <c r="C127" i="26"/>
  <c r="P45" i="3" s="1"/>
  <c r="C234" i="26"/>
  <c r="K59" i="3"/>
  <c r="N36" i="25"/>
  <c r="J37" i="25"/>
  <c r="G60" i="3"/>
  <c r="J60" i="3"/>
  <c r="M37" i="25"/>
  <c r="O34" i="25"/>
  <c r="W33" i="25"/>
  <c r="M44" i="3"/>
  <c r="C124" i="26"/>
  <c r="M45" i="3" s="1"/>
  <c r="C126" i="26"/>
  <c r="O45" i="3" s="1"/>
  <c r="O44" i="3"/>
  <c r="C231" i="26"/>
  <c r="H59" i="3"/>
  <c r="K36" i="25"/>
  <c r="C182" i="26"/>
  <c r="N58" i="2"/>
  <c r="L54" i="3"/>
  <c r="P8" i="3"/>
  <c r="P41" i="3"/>
  <c r="P42" i="3" s="1"/>
  <c r="L26" i="3"/>
  <c r="S25" i="3"/>
  <c r="S26" i="3" s="1"/>
  <c r="EU59" i="3"/>
  <c r="L239" i="26"/>
  <c r="EU60" i="3" s="1"/>
  <c r="M56" i="3" l="1"/>
  <c r="C194" i="26"/>
  <c r="S6" i="3"/>
  <c r="V47" i="2"/>
  <c r="L87" i="26"/>
  <c r="Q56" i="3"/>
  <c r="C198" i="26"/>
  <c r="V12" i="2"/>
  <c r="V13" i="2" s="1"/>
  <c r="N13" i="2"/>
  <c r="L179" i="26"/>
  <c r="EQ56" i="3" s="1"/>
  <c r="L221" i="26"/>
  <c r="L193" i="26"/>
  <c r="EQ57" i="3" s="1"/>
  <c r="V58" i="2"/>
  <c r="O56" i="3"/>
  <c r="C196" i="26"/>
  <c r="C81" i="26"/>
  <c r="C95" i="26"/>
  <c r="C179" i="26" s="1"/>
  <c r="L185" i="26"/>
  <c r="EW56" i="3" s="1"/>
  <c r="L199" i="26"/>
  <c r="EW57" i="3" s="1"/>
  <c r="L227" i="26"/>
  <c r="K60" i="3"/>
  <c r="N37" i="25"/>
  <c r="L200" i="26"/>
  <c r="EX57" i="3" s="1"/>
  <c r="L228" i="26"/>
  <c r="L186" i="26"/>
  <c r="EX56" i="3" s="1"/>
  <c r="H60" i="3"/>
  <c r="K37" i="25"/>
  <c r="L8" i="3"/>
  <c r="S7" i="3"/>
  <c r="S8" i="3" s="1"/>
  <c r="EW8" i="3"/>
  <c r="EW41" i="3"/>
  <c r="L41" i="3"/>
  <c r="L42" i="3" s="1"/>
  <c r="L44" i="3"/>
  <c r="C123" i="26"/>
  <c r="L45" i="3" s="1"/>
  <c r="EX8" i="3"/>
  <c r="EX41" i="3"/>
  <c r="EX42" i="3" s="1"/>
  <c r="N56" i="3"/>
  <c r="C195" i="26"/>
  <c r="C130" i="26"/>
  <c r="S45" i="3" s="1"/>
  <c r="S44" i="3"/>
  <c r="L88" i="26"/>
  <c r="C74" i="26"/>
  <c r="W34" i="25"/>
  <c r="V56" i="2"/>
  <c r="N55" i="2"/>
  <c r="P56" i="3"/>
  <c r="C197" i="26"/>
  <c r="V55" i="2" l="1"/>
  <c r="C88" i="26"/>
  <c r="C102" i="26"/>
  <c r="C186" i="26" s="1"/>
  <c r="L242" i="26"/>
  <c r="EX60" i="3" s="1"/>
  <c r="EX59" i="3"/>
  <c r="EW42" i="3"/>
  <c r="EK62" i="3"/>
  <c r="L241" i="26"/>
  <c r="EW60" i="3" s="1"/>
  <c r="EW59" i="3"/>
  <c r="L235" i="26"/>
  <c r="EQ60" i="3" s="1"/>
  <c r="EQ59" i="3"/>
  <c r="C209" i="26"/>
  <c r="C223" i="26" s="1"/>
  <c r="N57" i="3"/>
  <c r="N60" i="2"/>
  <c r="C211" i="26"/>
  <c r="P57" i="3"/>
  <c r="C193" i="26"/>
  <c r="L56" i="3"/>
  <c r="O57" i="3"/>
  <c r="C210" i="26"/>
  <c r="C224" i="26" s="1"/>
  <c r="Q57" i="3"/>
  <c r="C212" i="26"/>
  <c r="S41" i="3"/>
  <c r="S42" i="3" s="1"/>
  <c r="M57" i="3"/>
  <c r="C208" i="26"/>
  <c r="C237" i="26" l="1"/>
  <c r="N59" i="3"/>
  <c r="Q36" i="25"/>
  <c r="R35" i="25"/>
  <c r="O58" i="3"/>
  <c r="N58" i="3"/>
  <c r="Q35" i="25"/>
  <c r="C207" i="26"/>
  <c r="C221" i="26" s="1"/>
  <c r="L57" i="3"/>
  <c r="Q58" i="3"/>
  <c r="T35" i="25"/>
  <c r="P58" i="3"/>
  <c r="S35" i="25"/>
  <c r="R36" i="25"/>
  <c r="O59" i="3"/>
  <c r="C238" i="26"/>
  <c r="P35" i="25"/>
  <c r="M58" i="3"/>
  <c r="C222" i="26"/>
  <c r="C225" i="26"/>
  <c r="S56" i="3"/>
  <c r="C200" i="26"/>
  <c r="V60" i="2"/>
  <c r="N61" i="2"/>
  <c r="C226" i="26"/>
  <c r="C214" i="26" l="1"/>
  <c r="C228" i="26" s="1"/>
  <c r="S57" i="3"/>
  <c r="P59" i="3"/>
  <c r="S36" i="25"/>
  <c r="C239" i="26"/>
  <c r="P36" i="25"/>
  <c r="M59" i="3"/>
  <c r="C236" i="26"/>
  <c r="T36" i="25"/>
  <c r="C240" i="26"/>
  <c r="Q59" i="3"/>
  <c r="C235" i="26"/>
  <c r="L59" i="3"/>
  <c r="O36" i="25"/>
  <c r="O35" i="25"/>
  <c r="L58" i="3"/>
  <c r="N62" i="2"/>
  <c r="V61" i="2"/>
  <c r="O60" i="3"/>
  <c r="R37" i="25"/>
  <c r="Q37" i="25"/>
  <c r="N60" i="3"/>
  <c r="O37" i="25" l="1"/>
  <c r="L60" i="3"/>
  <c r="V62" i="2"/>
  <c r="M60" i="3"/>
  <c r="P37" i="25"/>
  <c r="N63" i="2"/>
  <c r="P60" i="3"/>
  <c r="S37" i="25"/>
  <c r="Q60" i="3"/>
  <c r="T37" i="25"/>
  <c r="C242" i="26"/>
  <c r="W36" i="25"/>
  <c r="S59" i="3"/>
  <c r="W35" i="25"/>
  <c r="S58" i="3"/>
  <c r="V63" i="2" l="1"/>
  <c r="V64" i="2" s="1"/>
  <c r="N64" i="2"/>
  <c r="W37" i="25"/>
  <c r="S60" i="3"/>
  <c r="I30" i="16" l="1"/>
  <c r="H32" i="2" s="1"/>
  <c r="I31" i="16"/>
  <c r="V31" i="16" s="1"/>
  <c r="I19" i="16"/>
  <c r="V12" i="16"/>
  <c r="I23" i="16" l="1"/>
  <c r="V23" i="16" s="1"/>
  <c r="U22" i="2" s="1"/>
  <c r="I38" i="16"/>
  <c r="H40" i="2" s="1"/>
  <c r="H33" i="2"/>
  <c r="AG24" i="3"/>
  <c r="U33" i="2"/>
  <c r="V30" i="16"/>
  <c r="I22" i="16"/>
  <c r="U11" i="3" s="1"/>
  <c r="F11" i="3" s="1"/>
  <c r="R11" i="3" s="1"/>
  <c r="W28" i="14"/>
  <c r="W27" i="14" s="1"/>
  <c r="U24" i="3"/>
  <c r="F24" i="3" s="1"/>
  <c r="R24" i="3" s="1"/>
  <c r="J28" i="14"/>
  <c r="J27" i="14" s="1"/>
  <c r="I43" i="16"/>
  <c r="V43" i="16" s="1"/>
  <c r="U23" i="3"/>
  <c r="F23" i="3" s="1"/>
  <c r="R23" i="3" s="1"/>
  <c r="K28" i="14"/>
  <c r="K27" i="14" s="1"/>
  <c r="V19" i="16"/>
  <c r="I18" i="16"/>
  <c r="V18" i="16" s="1"/>
  <c r="U4" i="3"/>
  <c r="F4" i="3" s="1"/>
  <c r="R4" i="3" s="1"/>
  <c r="D19" i="26"/>
  <c r="C19" i="26" s="1"/>
  <c r="H8" i="2" s="1"/>
  <c r="U8" i="2" s="1"/>
  <c r="I39" i="16"/>
  <c r="I26" i="16"/>
  <c r="I28" i="16"/>
  <c r="V9" i="16"/>
  <c r="D17" i="26" s="1"/>
  <c r="I45" i="16"/>
  <c r="I40" i="16"/>
  <c r="I25" i="16"/>
  <c r="I33" i="16"/>
  <c r="I8" i="16"/>
  <c r="I37" i="16"/>
  <c r="I34" i="16"/>
  <c r="D5" i="26"/>
  <c r="I24" i="16"/>
  <c r="I35" i="16"/>
  <c r="AG12" i="3" l="1"/>
  <c r="H22" i="2"/>
  <c r="U12" i="3"/>
  <c r="F12" i="3" s="1"/>
  <c r="R12" i="3" s="1"/>
  <c r="I44" i="16"/>
  <c r="V44" i="16" s="1"/>
  <c r="V22" i="16"/>
  <c r="U21" i="2" s="1"/>
  <c r="H21" i="2"/>
  <c r="U33" i="3"/>
  <c r="F33" i="3" s="1"/>
  <c r="R33" i="3" s="1"/>
  <c r="I21" i="16"/>
  <c r="V38" i="16"/>
  <c r="AG33" i="3" s="1"/>
  <c r="U32" i="2"/>
  <c r="AG23" i="3"/>
  <c r="I25" i="25"/>
  <c r="V45" i="16"/>
  <c r="U40" i="3"/>
  <c r="F40" i="3" s="1"/>
  <c r="R40" i="3" s="1"/>
  <c r="H46" i="2"/>
  <c r="U29" i="3"/>
  <c r="F29" i="3" s="1"/>
  <c r="R29" i="3" s="1"/>
  <c r="H36" i="2"/>
  <c r="V34" i="16"/>
  <c r="U32" i="3"/>
  <c r="I36" i="16"/>
  <c r="V36" i="16" s="1"/>
  <c r="H39" i="2"/>
  <c r="V37" i="16"/>
  <c r="L24" i="12"/>
  <c r="U3" i="3"/>
  <c r="V8" i="16"/>
  <c r="AG3" i="3" s="1"/>
  <c r="H30" i="2"/>
  <c r="H29" i="2" s="1"/>
  <c r="I27" i="16"/>
  <c r="V28" i="16"/>
  <c r="U21" i="3"/>
  <c r="I32" i="16"/>
  <c r="V32" i="16" s="1"/>
  <c r="V33" i="16"/>
  <c r="H35" i="2"/>
  <c r="U28" i="3"/>
  <c r="F28" i="3" s="1"/>
  <c r="R28" i="3" s="1"/>
  <c r="C17" i="26"/>
  <c r="V26" i="16"/>
  <c r="U16" i="3"/>
  <c r="F16" i="3" s="1"/>
  <c r="R16" i="3" s="1"/>
  <c r="H25" i="2"/>
  <c r="H37" i="2"/>
  <c r="V35" i="16"/>
  <c r="U27" i="3"/>
  <c r="U15" i="3"/>
  <c r="F15" i="3" s="1"/>
  <c r="R15" i="3" s="1"/>
  <c r="H24" i="2"/>
  <c r="V25" i="16"/>
  <c r="H23" i="2"/>
  <c r="U13" i="3"/>
  <c r="F13" i="3" s="1"/>
  <c r="R13" i="3" s="1"/>
  <c r="V24" i="16"/>
  <c r="C5" i="26"/>
  <c r="I26" i="25"/>
  <c r="I28" i="25"/>
  <c r="D33" i="26"/>
  <c r="D47" i="26" s="1"/>
  <c r="I30" i="25"/>
  <c r="V40" i="16"/>
  <c r="U35" i="3"/>
  <c r="F35" i="3" s="1"/>
  <c r="R35" i="3" s="1"/>
  <c r="H42" i="2"/>
  <c r="V39" i="16"/>
  <c r="U34" i="3"/>
  <c r="F34" i="3" s="1"/>
  <c r="R34" i="3" s="1"/>
  <c r="H41" i="2"/>
  <c r="D31" i="26"/>
  <c r="C31" i="26" s="1"/>
  <c r="AG4" i="3"/>
  <c r="H45" i="2" l="1"/>
  <c r="H43" i="2" s="1"/>
  <c r="AG11" i="3"/>
  <c r="I41" i="16"/>
  <c r="V41" i="16" s="1"/>
  <c r="U45" i="2"/>
  <c r="AG39" i="3"/>
  <c r="U39" i="3"/>
  <c r="F39" i="3" s="1"/>
  <c r="R39" i="3" s="1"/>
  <c r="V21" i="16"/>
  <c r="C45" i="26"/>
  <c r="C59" i="26" s="1"/>
  <c r="D45" i="26"/>
  <c r="D59" i="26" s="1"/>
  <c r="H20" i="2"/>
  <c r="U40" i="2"/>
  <c r="V27" i="16"/>
  <c r="AG13" i="3"/>
  <c r="U23" i="2"/>
  <c r="U41" i="2"/>
  <c r="AG34" i="3"/>
  <c r="J24" i="12"/>
  <c r="L23" i="12"/>
  <c r="AG51" i="3"/>
  <c r="AG5" i="3"/>
  <c r="AG47" i="3"/>
  <c r="AG35" i="3"/>
  <c r="U42" i="2"/>
  <c r="AG16" i="3"/>
  <c r="U25" i="2"/>
  <c r="U47" i="3"/>
  <c r="U51" i="3"/>
  <c r="F3" i="3"/>
  <c r="U5" i="3"/>
  <c r="I29" i="25"/>
  <c r="V30" i="25"/>
  <c r="U9" i="3"/>
  <c r="AG15" i="3"/>
  <c r="U24" i="2"/>
  <c r="H34" i="2"/>
  <c r="U39" i="2"/>
  <c r="AG32" i="3"/>
  <c r="V28" i="25"/>
  <c r="I27" i="25"/>
  <c r="AG28" i="3"/>
  <c r="U35" i="2"/>
  <c r="H38" i="2"/>
  <c r="U46" i="2"/>
  <c r="AG40" i="3"/>
  <c r="H53" i="2"/>
  <c r="V26" i="25"/>
  <c r="V25" i="25"/>
  <c r="I23" i="25"/>
  <c r="H51" i="2"/>
  <c r="C33" i="26"/>
  <c r="H7" i="2"/>
  <c r="F27" i="3"/>
  <c r="R27" i="3" s="1"/>
  <c r="U25" i="3"/>
  <c r="U19" i="3"/>
  <c r="F21" i="3"/>
  <c r="R21" i="3" s="1"/>
  <c r="F32" i="3"/>
  <c r="R32" i="3" s="1"/>
  <c r="U30" i="3"/>
  <c r="U37" i="2"/>
  <c r="AG27" i="3"/>
  <c r="AG21" i="3"/>
  <c r="AG19" i="3" s="1"/>
  <c r="AG20" i="3" s="1"/>
  <c r="U30" i="2"/>
  <c r="U29" i="2" s="1"/>
  <c r="AG29" i="3"/>
  <c r="U36" i="2"/>
  <c r="I46" i="16" l="1"/>
  <c r="D89" i="26" s="1"/>
  <c r="AG36" i="3"/>
  <c r="AG37" i="3" s="1"/>
  <c r="U43" i="2"/>
  <c r="I20" i="16"/>
  <c r="D61" i="26" s="1"/>
  <c r="U36" i="3"/>
  <c r="U37" i="3" s="1"/>
  <c r="H18" i="2"/>
  <c r="H19" i="2" s="1"/>
  <c r="U34" i="2"/>
  <c r="U20" i="2"/>
  <c r="AG25" i="3"/>
  <c r="AG26" i="3" s="1"/>
  <c r="AG9" i="3"/>
  <c r="AG10" i="3" s="1"/>
  <c r="U7" i="2"/>
  <c r="H9" i="2"/>
  <c r="C47" i="26"/>
  <c r="F9" i="3"/>
  <c r="U10" i="3"/>
  <c r="U51" i="2"/>
  <c r="R49" i="3" s="1"/>
  <c r="R46" i="3" s="1"/>
  <c r="H48" i="2"/>
  <c r="F49" i="3"/>
  <c r="F46" i="3" s="1"/>
  <c r="F47" i="3" s="1"/>
  <c r="V27" i="25"/>
  <c r="M143" i="26" s="1"/>
  <c r="C143" i="26" s="1"/>
  <c r="R53" i="3" s="1"/>
  <c r="M131" i="26"/>
  <c r="C131" i="26" s="1"/>
  <c r="F30" i="3"/>
  <c r="U31" i="3"/>
  <c r="M103" i="26"/>
  <c r="V23" i="25"/>
  <c r="M115" i="26" s="1"/>
  <c r="I33" i="25"/>
  <c r="M145" i="26"/>
  <c r="C145" i="26" s="1"/>
  <c r="V29" i="25"/>
  <c r="M157" i="26" s="1"/>
  <c r="C157" i="26" s="1"/>
  <c r="R54" i="3" s="1"/>
  <c r="AG30" i="3"/>
  <c r="AG31" i="3" s="1"/>
  <c r="U6" i="3"/>
  <c r="AG6" i="3"/>
  <c r="U38" i="2"/>
  <c r="F5" i="3"/>
  <c r="R3" i="3"/>
  <c r="F19" i="3"/>
  <c r="U20" i="3"/>
  <c r="F52" i="3"/>
  <c r="F50" i="3" s="1"/>
  <c r="F51" i="3" s="1"/>
  <c r="U53" i="2"/>
  <c r="R52" i="3" s="1"/>
  <c r="R50" i="3" s="1"/>
  <c r="L22" i="12"/>
  <c r="J22" i="12" s="1"/>
  <c r="J23" i="12"/>
  <c r="F25" i="3"/>
  <c r="U26" i="3"/>
  <c r="V46" i="16" l="1"/>
  <c r="D101" i="26" s="1"/>
  <c r="D185" i="26" s="1"/>
  <c r="AG56" i="3" s="1"/>
  <c r="F36" i="3"/>
  <c r="R36" i="3" s="1"/>
  <c r="R37" i="3" s="1"/>
  <c r="V20" i="16"/>
  <c r="AG7" i="3" s="1"/>
  <c r="U7" i="3"/>
  <c r="F7" i="3" s="1"/>
  <c r="F41" i="3" s="1"/>
  <c r="F42" i="3" s="1"/>
  <c r="U18" i="2"/>
  <c r="U19" i="2" s="1"/>
  <c r="R47" i="3"/>
  <c r="H54" i="2"/>
  <c r="U48" i="2"/>
  <c r="U54" i="2" s="1"/>
  <c r="D75" i="26"/>
  <c r="C61" i="26"/>
  <c r="F6" i="3"/>
  <c r="R5" i="3"/>
  <c r="D215" i="26"/>
  <c r="D173" i="26"/>
  <c r="U56" i="3" s="1"/>
  <c r="D187" i="26"/>
  <c r="U57" i="3" s="1"/>
  <c r="F26" i="3"/>
  <c r="R25" i="3"/>
  <c r="R26" i="3" s="1"/>
  <c r="F54" i="3"/>
  <c r="H58" i="2"/>
  <c r="U58" i="2" s="1"/>
  <c r="M173" i="26"/>
  <c r="M187" i="26" s="1"/>
  <c r="M117" i="26"/>
  <c r="C103" i="26"/>
  <c r="R30" i="3"/>
  <c r="R31" i="3" s="1"/>
  <c r="F31" i="3"/>
  <c r="U9" i="2"/>
  <c r="U10" i="2" s="1"/>
  <c r="H12" i="2"/>
  <c r="H10" i="2"/>
  <c r="H47" i="2"/>
  <c r="I34" i="25"/>
  <c r="V34" i="25" s="1"/>
  <c r="V33" i="25"/>
  <c r="M185" i="26"/>
  <c r="M199" i="26" s="1"/>
  <c r="C115" i="26"/>
  <c r="M129" i="26"/>
  <c r="R9" i="3"/>
  <c r="R10" i="3" s="1"/>
  <c r="F10" i="3"/>
  <c r="R51" i="3"/>
  <c r="F20" i="3"/>
  <c r="R19" i="3"/>
  <c r="R20" i="3" s="1"/>
  <c r="H56" i="2"/>
  <c r="F53" i="3"/>
  <c r="F37" i="3" l="1"/>
  <c r="D199" i="26"/>
  <c r="AG57" i="3" s="1"/>
  <c r="D227" i="26"/>
  <c r="D241" i="26" s="1"/>
  <c r="AG60" i="3" s="1"/>
  <c r="D73" i="26"/>
  <c r="C73" i="26" s="1"/>
  <c r="U8" i="3"/>
  <c r="U41" i="3"/>
  <c r="U42" i="3" s="1"/>
  <c r="C75" i="26"/>
  <c r="C89" i="26"/>
  <c r="C173" i="26" s="1"/>
  <c r="H55" i="2"/>
  <c r="U55" i="2" s="1"/>
  <c r="U56" i="2"/>
  <c r="C129" i="26"/>
  <c r="R45" i="3" s="1"/>
  <c r="R44" i="3"/>
  <c r="AG59" i="3"/>
  <c r="AG8" i="3"/>
  <c r="AG41" i="3"/>
  <c r="U47" i="2"/>
  <c r="U12" i="2"/>
  <c r="U13" i="2" s="1"/>
  <c r="H13" i="2"/>
  <c r="D229" i="26"/>
  <c r="U60" i="3" s="1"/>
  <c r="U59" i="3"/>
  <c r="F44" i="3"/>
  <c r="C117" i="26"/>
  <c r="F45" i="3" s="1"/>
  <c r="R6" i="3"/>
  <c r="R7" i="3"/>
  <c r="R8" i="3" s="1"/>
  <c r="F8" i="3"/>
  <c r="D87" i="26" l="1"/>
  <c r="H60" i="2"/>
  <c r="C187" i="26"/>
  <c r="F56" i="3"/>
  <c r="AG42" i="3"/>
  <c r="U62" i="3"/>
  <c r="R41" i="3"/>
  <c r="R42" i="3" s="1"/>
  <c r="C87" i="26"/>
  <c r="C101" i="26"/>
  <c r="C185" i="26" s="1"/>
  <c r="C199" i="26" l="1"/>
  <c r="R56" i="3"/>
  <c r="F57" i="3"/>
  <c r="C201" i="26"/>
  <c r="U60" i="2"/>
  <c r="H61" i="2"/>
  <c r="H62" i="2" l="1"/>
  <c r="U62" i="2" s="1"/>
  <c r="U61" i="2"/>
  <c r="I35" i="25"/>
  <c r="F58" i="3"/>
  <c r="C215" i="26"/>
  <c r="R57" i="3"/>
  <c r="C213" i="26"/>
  <c r="H63" i="2" l="1"/>
  <c r="R58" i="3"/>
  <c r="V35" i="25"/>
  <c r="C227" i="26"/>
  <c r="F59" i="3"/>
  <c r="I36" i="25"/>
  <c r="C229" i="26"/>
  <c r="U63" i="2"/>
  <c r="U64" i="2" s="1"/>
  <c r="H64" i="2"/>
  <c r="I37" i="25" l="1"/>
  <c r="F60" i="3"/>
  <c r="C241" i="26"/>
  <c r="V36" i="25"/>
  <c r="R59" i="3"/>
  <c r="R60" i="3" l="1"/>
  <c r="F62" i="3" s="1"/>
  <c r="V37" i="2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<sst xmlns="http://schemas.openxmlformats.org/spreadsheetml/2006/main" count="11264" uniqueCount="924">
  <si>
    <t>说明</t>
  </si>
  <si>
    <t>目录及说明</t>
  </si>
  <si>
    <t>目录</t>
  </si>
  <si>
    <t>显示</t>
  </si>
  <si>
    <t>总表</t>
  </si>
  <si>
    <t>备注</t>
  </si>
  <si>
    <t>费用科目</t>
  </si>
  <si>
    <t>假设-财务口径</t>
  </si>
  <si>
    <t>假设-人工成本固定额</t>
  </si>
  <si>
    <t>假设-成本与任务量</t>
  </si>
  <si>
    <t>假设-平台主推机制</t>
  </si>
  <si>
    <t>假设-目标渠道分解</t>
  </si>
  <si>
    <t>假设-销售费用率</t>
  </si>
  <si>
    <t>测算-高个子抖音</t>
  </si>
  <si>
    <t>测算</t>
  </si>
  <si>
    <t>测算-高个子视频号</t>
  </si>
  <si>
    <t>测算-天猫淘宝</t>
  </si>
  <si>
    <t>测算-拼多多</t>
  </si>
  <si>
    <t>测算-京东POP</t>
  </si>
  <si>
    <t>测算-京东自营</t>
  </si>
  <si>
    <t>测算-达播</t>
  </si>
  <si>
    <t>测算-私域</t>
  </si>
  <si>
    <t>测算-外部分销</t>
  </si>
  <si>
    <t>预算-经营费用</t>
  </si>
  <si>
    <t>辅助-汇总损益长表</t>
  </si>
  <si>
    <t>辅助</t>
  </si>
  <si>
    <t>辅助-机制测算</t>
  </si>
  <si>
    <t>参考</t>
  </si>
  <si>
    <t>返回目录</t>
  </si>
  <si>
    <t>公司层面汇总损益（万元）</t>
  </si>
  <si>
    <t>科目明细</t>
  </si>
  <si>
    <t>驱动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</si>
  <si>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</si>
  <si>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</si>
  <si>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</si>
  <si>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</si>
  <si>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</si>
  <si>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</si>
  <si>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</si>
  <si>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</si>
  <si>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</si>
  <si>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</si>
  <si>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</si>
  <si>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</si>
  <si>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全年合计</t>
  </si>
  <si>
    <t>中期合计</t>
  </si>
  <si>
    <t>主营业务收入</t>
  </si>
  <si>
    <t>来自各渠道测算表</t>
  </si>
  <si>
    <t>主营业务成本</t>
  </si>
  <si>
    <t>毛利</t>
  </si>
  <si>
    <t>公式计算</t>
  </si>
  <si>
    <t>毛利率</t>
  </si>
  <si>
    <t>销售费用</t>
  </si>
  <si>
    <t>下列明细汇总</t>
  </si>
  <si>
    <t>渠道投入</t>
  </si>
  <si>
    <t>广告投流费</t>
  </si>
  <si>
    <t>渠道测算费用明细</t>
  </si>
  <si>
    <t>各渠道测算表汇总</t>
  </si>
  <si>
    <t>媒介种草</t>
  </si>
  <si>
    <t>分销返佣</t>
  </si>
  <si>
    <t>平台毛利补贴</t>
  </si>
  <si>
    <t>平台提现手续费</t>
  </si>
  <si>
    <t>自营渠道推广费</t>
  </si>
  <si>
    <t>商务政策费用</t>
  </si>
  <si>
    <t>退货成本</t>
  </si>
  <si>
    <t>达人费用</t>
  </si>
  <si>
    <t>达人视频采买</t>
  </si>
  <si>
    <t>达人视频带货佣金</t>
  </si>
  <si>
    <t>达人直播带货佣金</t>
  </si>
  <si>
    <t>达人直播坑位费</t>
  </si>
  <si>
    <t>行销支持</t>
  </si>
  <si>
    <t>促销物料</t>
  </si>
  <si>
    <t>赠饮样品费</t>
  </si>
  <si>
    <t>赠品成本</t>
  </si>
  <si>
    <t>仓储物流</t>
  </si>
  <si>
    <t>快递费用</t>
  </si>
  <si>
    <t>打包包装</t>
  </si>
  <si>
    <t>干线费用</t>
  </si>
  <si>
    <t>仓储费用</t>
  </si>
  <si>
    <t>人工成本</t>
  </si>
  <si>
    <t>固定薪资</t>
  </si>
  <si>
    <t>奖金</t>
  </si>
  <si>
    <t>日常费用</t>
  </si>
  <si>
    <t>销售费用率</t>
  </si>
  <si>
    <t>渠道贡献利润</t>
  </si>
  <si>
    <t>管理费用</t>
  </si>
  <si>
    <t>公司公共管理费用合计</t>
  </si>
  <si>
    <t>分红奖金</t>
  </si>
  <si>
    <t>行政费用</t>
  </si>
  <si>
    <t>管理费用率</t>
  </si>
  <si>
    <t>财务费用</t>
  </si>
  <si>
    <t>收入费率测算</t>
  </si>
  <si>
    <t>税金及附加</t>
  </si>
  <si>
    <t>折旧摊销</t>
  </si>
  <si>
    <t>固定额预算</t>
  </si>
  <si>
    <t>营业利润</t>
  </si>
  <si>
    <t>利润总额</t>
  </si>
  <si>
    <t>所得税</t>
  </si>
  <si>
    <t>净利润</t>
  </si>
  <si>
    <t>净利率</t>
  </si>
  <si>
    <t>抖音（万元）</t>
  </si>
  <si>
    <t>视频号（万元）</t>
  </si>
  <si>
    <t>天猫淘宝（万元）</t>
  </si>
  <si>
    <t>拼多多（万元）</t>
  </si>
  <si>
    <t>京东自营（万元）</t>
  </si>
  <si>
    <t>达播（万元）</t>
  </si>
  <si>
    <t>私域（万元）</t>
  </si>
  <si>
    <t>外部分销（万元）</t>
  </si>
  <si>
    <t>Margin</t>
  </si>
  <si>
    <t>利润贡献分析</t>
  </si>
  <si>
    <t>一级科目</t>
  </si>
  <si>
    <t>二级科目</t>
  </si>
  <si>
    <t>三级科目</t>
  </si>
  <si>
    <t>包含该项费用科目的渠道</t>
  </si>
  <si>
    <t>简易损益表对照科目</t>
  </si>
  <si>
    <t>伊利京东分析主表对照科目</t>
  </si>
  <si>
    <t>对照数据源</t>
  </si>
  <si>
    <t>全渠道不含京东自营</t>
  </si>
  <si>
    <t>全渠道</t>
  </si>
  <si>
    <t>销售收入</t>
  </si>
  <si>
    <t>主营销售收入</t>
  </si>
  <si>
    <t>其他业务收入</t>
  </si>
  <si>
    <t>达成返利</t>
  </si>
  <si>
    <t>调整项（集团主体收入，不体现在业务单元测算，仅体现在公司整体损益）</t>
  </si>
  <si>
    <t>无</t>
  </si>
  <si>
    <t>平台补贴</t>
  </si>
  <si>
    <t>其他收入</t>
  </si>
  <si>
    <t>产品成本</t>
  </si>
  <si>
    <t>直接产品成本</t>
  </si>
  <si>
    <t>广告费用</t>
  </si>
  <si>
    <t>主营业务成本表：广告成本列</t>
  </si>
  <si>
    <t>新增科目</t>
  </si>
  <si>
    <t>减：退款</t>
  </si>
  <si>
    <t>主营业务成本表：退款金额列</t>
  </si>
  <si>
    <t>平台手续费</t>
  </si>
  <si>
    <t>主营业务成本表：平台扣点、平台费用列，其中达播部和快手平台包含了达人销售佣金及坑位费</t>
  </si>
  <si>
    <t>兴趣电商</t>
  </si>
  <si>
    <t>新增科目，参考主营业务成本表：历史经营分析中，费用合并体现在达播部、快手两个平台的“平台费用”科目</t>
  </si>
  <si>
    <t>运费成本</t>
  </si>
  <si>
    <t>主营业务成本表：运费成本</t>
  </si>
  <si>
    <t>快递打包杂费</t>
  </si>
  <si>
    <t>主营业务成本表：快递打包杂费</t>
  </si>
  <si>
    <t>历史合并计入运费成本</t>
  </si>
  <si>
    <t>公摊成本</t>
  </si>
  <si>
    <t>主营业务成本表：公摊成本</t>
  </si>
  <si>
    <t>销售费用（人力成本）</t>
  </si>
  <si>
    <t>主营业务成本表：工资</t>
  </si>
  <si>
    <t>销售奖金</t>
  </si>
  <si>
    <t>消耗奖金</t>
  </si>
  <si>
    <t>行政性费用（不含人力成本）</t>
  </si>
  <si>
    <t>主营业务成本表：行政费用</t>
  </si>
  <si>
    <t>管理费用（人力成本）</t>
  </si>
  <si>
    <t>信息系统服务费</t>
  </si>
  <si>
    <t>京东自营</t>
  </si>
  <si>
    <t>收入列</t>
  </si>
  <si>
    <t>成本列</t>
  </si>
  <si>
    <t>推广费</t>
  </si>
  <si>
    <t>返点单列</t>
  </si>
  <si>
    <t>推广费、营销费用返点单</t>
  </si>
  <si>
    <t>赠品费用</t>
  </si>
  <si>
    <t>工资</t>
  </si>
  <si>
    <t>行政</t>
  </si>
  <si>
    <t>税费</t>
  </si>
  <si>
    <t>定义或默认规则</t>
  </si>
  <si>
    <t>预算处理</t>
  </si>
  <si>
    <t>SALEOUT</t>
  </si>
  <si>
    <t>作为渠道目标和滚动预测主驱动</t>
  </si>
  <si>
    <t>GMV/GSV</t>
  </si>
  <si>
    <t>不直接进入总表</t>
  </si>
  <si>
    <t>缺来源时标记需补充</t>
  </si>
  <si>
    <t>SALEIN</t>
  </si>
  <si>
    <t>公司向渠道供货或实际入账相关口径</t>
  </si>
  <si>
    <t>渠道滚动目标或外部分销拿货价计算收入</t>
  </si>
  <si>
    <t>进入总表主营收入</t>
  </si>
  <si>
    <t>退货</t>
  </si>
  <si>
    <t>费用端处理</t>
  </si>
  <si>
    <t>不得同时冲减收入</t>
  </si>
  <si>
    <t>平台毛利补贴、商务政策费用、平台提现手续费等在销售费用端处理</t>
  </si>
  <si>
    <t>京东自营已单独校准</t>
  </si>
  <si>
    <t>非渠道费用</t>
  </si>
  <si>
    <t>管理费用、财务费用、折旧摊销、税金及附加等进入公司级损益</t>
  </si>
  <si>
    <t>总表公司公共列</t>
  </si>
  <si>
    <t>默认不摊回渠道贡献</t>
  </si>
  <si>
    <t>项目</t>
  </si>
  <si>
    <t>默认结构，可调整占比</t>
  </si>
  <si>
    <t>如外部分销含盒装，可调整占比</t>
  </si>
  <si>
    <t>外部分销加权值</t>
  </si>
  <si>
    <t>外部分销费用假设</t>
  </si>
  <si>
    <t>默认值</t>
  </si>
  <si>
    <t>处理方式</t>
  </si>
  <si>
    <t>分销返佣率</t>
  </si>
  <si>
    <t>退货成本率</t>
  </si>
  <si>
    <t>打包包装率</t>
  </si>
  <si>
    <t>可按实际物流口径调整</t>
  </si>
  <si>
    <t>干线费用率</t>
  </si>
  <si>
    <t>行政管理费用率</t>
  </si>
  <si>
    <t>待财务补充后可调整</t>
  </si>
  <si>
    <t>财务费用率</t>
  </si>
  <si>
    <t>简化预算</t>
  </si>
  <si>
    <t>税金及附加率</t>
  </si>
  <si>
    <t>折旧摊销月固定额</t>
  </si>
  <si>
    <t>固定额</t>
  </si>
  <si>
    <t>所得税率</t>
  </si>
  <si>
    <t>利润总额为正时计提</t>
  </si>
  <si>
    <t>应收账款</t>
  </si>
  <si>
    <t>天</t>
  </si>
  <si>
    <t>应付账款</t>
  </si>
  <si>
    <t>库存周转天数</t>
  </si>
  <si>
    <t>存货</t>
  </si>
  <si>
    <t>安全库存月数</t>
  </si>
  <si>
    <t>库存提示</t>
  </si>
  <si>
    <t>月</t>
  </si>
  <si>
    <t>管理分红率</t>
  </si>
  <si>
    <t>比例</t>
  </si>
  <si>
    <t>人工成本汇总（按财报口径平台名称）</t>
  </si>
  <si>
    <t>财报口径平台名称</t>
  </si>
  <si>
    <t>固定人工</t>
  </si>
  <si>
    <t>非素材奖金</t>
  </si>
  <si>
    <t>平台收入</t>
  </si>
  <si>
    <t>非素材奖金费率</t>
  </si>
  <si>
    <t>素材制作部奖金</t>
  </si>
  <si>
    <t>素材制作部奖金费率</t>
  </si>
  <si>
    <t>奖金合计</t>
  </si>
  <si>
    <t>抖音</t>
  </si>
  <si>
    <t>视频号</t>
  </si>
  <si>
    <t>京东</t>
  </si>
  <si>
    <t>达播</t>
  </si>
  <si>
    <t>拼多多</t>
  </si>
  <si>
    <t>天猫淘宝</t>
  </si>
  <si>
    <t>种草</t>
  </si>
  <si>
    <t>私域</t>
  </si>
  <si>
    <t>分销</t>
  </si>
  <si>
    <t>管理成本</t>
  </si>
  <si>
    <t>产品</t>
  </si>
  <si>
    <t>规格</t>
  </si>
  <si>
    <t>单位</t>
  </si>
  <si>
    <t>采购成本</t>
  </si>
  <si>
    <t>拿货价</t>
  </si>
  <si>
    <t>外部分销组合</t>
  </si>
  <si>
    <t>结构占比</t>
  </si>
  <si>
    <t>分销拿货价</t>
  </si>
  <si>
    <t>主品</t>
  </si>
  <si>
    <t>伊利高个子蓝金版</t>
  </si>
  <si>
    <t>听</t>
  </si>
  <si>
    <t>Profit Margin</t>
  </si>
  <si>
    <t>袋</t>
  </si>
  <si>
    <t>加权合计</t>
  </si>
  <si>
    <t>盒</t>
  </si>
  <si>
    <t>赠品</t>
  </si>
  <si>
    <t>条</t>
  </si>
  <si>
    <t>/</t>
  </si>
  <si>
    <t>个</t>
  </si>
  <si>
    <t>伊利高个子蓝金版礼盒装</t>
  </si>
  <si>
    <t>提</t>
  </si>
  <si>
    <t>伊利高个子蓝金版试喝条</t>
  </si>
  <si>
    <t>伊利高个子蓝金版听装</t>
  </si>
  <si>
    <t>目标值</t>
  </si>
  <si>
    <t>达成值</t>
  </si>
  <si>
    <t>伊利高个子蓝金版袋装</t>
  </si>
  <si>
    <t>伊利高个子合计</t>
  </si>
  <si>
    <t>合计目标值</t>
  </si>
  <si>
    <t>分销供货价</t>
  </si>
  <si>
    <t>京东自营供货价</t>
  </si>
  <si>
    <t>零售价</t>
  </si>
  <si>
    <t>活动价</t>
  </si>
  <si>
    <t>达人价</t>
  </si>
  <si>
    <t>清仓价</t>
  </si>
  <si>
    <t>伊利骨能铂金装</t>
  </si>
  <si>
    <t>美赞臣启优力跃高</t>
  </si>
  <si>
    <t>预算平台</t>
  </si>
  <si>
    <t>首位主品数量</t>
  </si>
  <si>
    <t>有效成交数量（订单数）</t>
  </si>
  <si>
    <t>平台有效订单数</t>
  </si>
  <si>
    <t>卖家实收合计（元）</t>
  </si>
  <si>
    <t>众数成交订单数</t>
  </si>
  <si>
    <t>众数覆盖率</t>
  </si>
  <si>
    <t>关联完整机制数</t>
  </si>
  <si>
    <t>抖音平台</t>
  </si>
  <si>
    <t>拼多多平台</t>
  </si>
  <si>
    <t>视频号平台</t>
  </si>
  <si>
    <t>天猫淘宝平台</t>
  </si>
  <si>
    <t>小红书（待建渠道）</t>
  </si>
  <si>
    <t>主推机制</t>
  </si>
  <si>
    <t>数量</t>
  </si>
  <si>
    <t>平台零售价</t>
  </si>
  <si>
    <t>折后到手价</t>
  </si>
  <si>
    <t>单品定价</t>
  </si>
  <si>
    <t>单品成本</t>
  </si>
  <si>
    <t>合计成本</t>
  </si>
  <si>
    <t>往期成交占比</t>
  </si>
  <si>
    <t>活动调价区间</t>
  </si>
  <si>
    <t>高个子蓝金版</t>
  </si>
  <si>
    <t>平台劵后实收控价</t>
  </si>
  <si>
    <t>往期成交占比合计</t>
  </si>
  <si>
    <t>-tar</t>
  </si>
  <si>
    <t>-ref</t>
  </si>
  <si>
    <t>渠道占比</t>
  </si>
  <si>
    <t>历史占比</t>
  </si>
  <si>
    <t>达人直播</t>
  </si>
  <si>
    <t>平台电商</t>
  </si>
  <si>
    <t>外部分销</t>
  </si>
  <si>
    <t>武汉一八八</t>
  </si>
  <si>
    <t>乖巧</t>
  </si>
  <si>
    <t>唯品会</t>
  </si>
  <si>
    <t>天猫超市</t>
  </si>
  <si>
    <t>历史费用率分析（按财报口径平台）</t>
  </si>
  <si>
    <t>主体</t>
  </si>
  <si>
    <t>取数口径</t>
  </si>
  <si>
    <t>覆盖说明</t>
  </si>
  <si>
    <t>数据状态</t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</si>
  <si>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古手羽</t>
    </r>
  </si>
  <si>
    <t>主营业务成本表：主营销售收入列</t>
  </si>
  <si>
    <r>
      <rPr>
        <sz val="12"/>
        <color rgb="FF000000"/>
        <rFont val="等线 Light"/>
        <family val="4"/>
        <charset val="134"/>
      </rPr>
      <t>1-6</t>
    </r>
    <r>
      <rPr>
        <sz val="12"/>
        <color rgb="FF000000"/>
        <rFont val="Linux Libertine G"/>
        <family val="2"/>
      </rPr>
      <t>月；按平台主体店铺对照归属</t>
    </r>
  </si>
  <si>
    <t>待导入</t>
  </si>
  <si>
    <t>主营业务成本表：其他收入列</t>
  </si>
  <si>
    <r>
      <rPr>
        <sz val="12"/>
        <color rgb="FF000000"/>
        <rFont val="Linux Libertine G"/>
        <family val="2"/>
      </rPr>
      <t>主营业务成本表：产品成本（</t>
    </r>
    <r>
      <rPr>
        <sz val="12"/>
        <color rgb="FF000000"/>
        <rFont val="Linux Libertine G"/>
        <charset val="1"/>
      </rPr>
      <t>90</t>
    </r>
    <r>
      <rPr>
        <sz val="12"/>
        <color rgb="FF000000"/>
        <rFont val="Linux Libertine G"/>
        <family val="2"/>
      </rPr>
      <t>元</t>
    </r>
    <r>
      <rPr>
        <sz val="12"/>
        <color rgb="FF000000"/>
        <rFont val="Linux Libertine G"/>
        <charset val="1"/>
      </rPr>
      <t>/33</t>
    </r>
    <r>
      <rPr>
        <sz val="12"/>
        <color rgb="FF000000"/>
        <rFont val="Linux Libertine G"/>
        <family val="2"/>
      </rPr>
      <t>元）</t>
    </r>
  </si>
  <si>
    <r>
      <rPr>
        <sz val="12"/>
        <color rgb="FF000000"/>
        <rFont val="Linux Libertine G"/>
        <family val="2"/>
      </rPr>
      <t>对照表标注为无</t>
    </r>
    <r>
      <rPr>
        <sz val="12"/>
        <color rgb="FF000000"/>
        <rFont val="Linux Libertine G"/>
        <charset val="1"/>
      </rPr>
      <t>/</t>
    </r>
    <r>
      <rPr>
        <sz val="12"/>
        <color rgb="FF000000"/>
        <rFont val="Linux Libertine G"/>
        <family val="2"/>
      </rPr>
      <t>新增科目，历史来源无可拆分明细</t>
    </r>
  </si>
  <si>
    <r>
      <rPr>
        <sz val="12"/>
        <color rgb="FF000000"/>
        <rFont val="Linux Libertine G"/>
        <family val="2"/>
      </rPr>
      <t>主营业务成本表：赠品成本（</t>
    </r>
    <r>
      <rPr>
        <sz val="12"/>
        <color rgb="FF000000"/>
        <rFont val="Linux Libertine G"/>
        <charset val="1"/>
      </rPr>
      <t>90</t>
    </r>
    <r>
      <rPr>
        <sz val="12"/>
        <color rgb="FF000000"/>
        <rFont val="Linux Libertine G"/>
        <family val="2"/>
      </rPr>
      <t>元</t>
    </r>
    <r>
      <rPr>
        <sz val="12"/>
        <color rgb="FF000000"/>
        <rFont val="Linux Libertine G"/>
        <charset val="1"/>
      </rPr>
      <t>/33</t>
    </r>
    <r>
      <rPr>
        <sz val="12"/>
        <color rgb="FF000000"/>
        <rFont val="Linux Libertine G"/>
        <family val="2"/>
      </rPr>
      <t>元）列，历史财报中的“赠品成本”，包含异品赠品和本品赠品，后续成本归口需将异品赠品计入促销物料</t>
    </r>
  </si>
  <si>
    <r>
      <rPr>
        <sz val="12"/>
        <color rgb="FF000000"/>
        <rFont val="Linux Libertine G"/>
        <family val="2"/>
      </rPr>
      <t>主营业务成本表：工资列（未拆分奖金；为避免重复，仅列入销售费用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固定薪资）</t>
    </r>
  </si>
  <si>
    <t>主营业务成本表：行政费用列</t>
  </si>
  <si>
    <t>主营业务成本表：公摊成本列</t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</si>
  <si>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乖巧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</si>
  <si>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杭州网创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</si>
  <si>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社群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</si>
  <si>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天猫超市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</si>
  <si>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武汉一八八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</si>
  <si>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引力唯品会</t>
    </r>
  </si>
  <si>
    <r>
      <rPr>
        <sz val="12"/>
        <color rgb="FF000000"/>
        <rFont val="Linux Libertine G"/>
        <family val="2"/>
      </rPr>
      <t>分销</t>
    </r>
    <r>
      <rPr>
        <sz val="12"/>
        <color rgb="FF000000"/>
        <rFont val="Linux Libertine G"/>
        <charset val="1"/>
      </rPr>
      <t>-lisa</t>
    </r>
  </si>
  <si>
    <t>自营</t>
  </si>
  <si>
    <t>科目金额取主营业务成本表：主营销售收入列</t>
  </si>
  <si>
    <r>
      <rPr>
        <sz val="12"/>
        <color rgb="FF000000"/>
        <rFont val="Linux Libertine G"/>
        <family val="2"/>
      </rPr>
      <t>京东自营：</t>
    </r>
    <r>
      <rPr>
        <sz val="12"/>
        <color rgb="FF000000"/>
        <rFont val="Linux Libertine G"/>
        <charset val="1"/>
      </rPr>
      <t>1-5</t>
    </r>
    <r>
      <rPr>
        <sz val="12"/>
        <color rgb="FF000000"/>
        <rFont val="Linux Libertine G"/>
        <family val="2"/>
      </rPr>
      <t>月；</t>
    </r>
    <r>
      <rPr>
        <sz val="12"/>
        <color rgb="FF000000"/>
        <rFont val="Linux Libertine G"/>
        <charset val="1"/>
      </rPr>
      <t>6</t>
    </r>
    <r>
      <rPr>
        <sz val="12"/>
        <color rgb="FF000000"/>
        <rFont val="Linux Libertine G"/>
        <family val="2"/>
      </rPr>
      <t>月报表未出</t>
    </r>
  </si>
  <si>
    <t>伊利京东分析主表：成本列</t>
  </si>
  <si>
    <t>伊利京东分析主表：推广费</t>
  </si>
  <si>
    <t>对照表标注为无或未给出可拆分明细</t>
  </si>
  <si>
    <t>伊利京东分析主表：退款列</t>
  </si>
  <si>
    <t>伊利京东分析主表：返点单列</t>
  </si>
  <si>
    <t>伊利京东分析主表：营销收费返点单</t>
  </si>
  <si>
    <r>
      <rPr>
        <sz val="12"/>
        <color rgb="FF000000"/>
        <rFont val="Linux Libertine G"/>
        <family val="2"/>
      </rPr>
      <t>伊利京东分析主表：综合折让、小额打款、销售折扣、</t>
    </r>
    <r>
      <rPr>
        <sz val="12"/>
        <color rgb="FF000000"/>
        <rFont val="Linux Libertine G"/>
        <charset val="1"/>
      </rPr>
      <t>e</t>
    </r>
    <r>
      <rPr>
        <sz val="12"/>
        <color rgb="FF000000"/>
        <rFont val="Linux Libertine G"/>
        <family val="2"/>
      </rPr>
      <t>卡红包京豆、违规金</t>
    </r>
  </si>
  <si>
    <t>伊利京东分析主表：赠品费用</t>
  </si>
  <si>
    <t>伊利京东分析主表：快递打包杂费</t>
  </si>
  <si>
    <r>
      <rPr>
        <sz val="12"/>
        <color rgb="FF000000"/>
        <rFont val="Linux Libertine G"/>
        <family val="2"/>
      </rPr>
      <t>伊利京东分析主表：</t>
    </r>
    <r>
      <rPr>
        <sz val="12"/>
        <color rgb="FF000000"/>
        <rFont val="Linux Libertine G"/>
        <charset val="1"/>
      </rPr>
      <t>TC</t>
    </r>
    <r>
      <rPr>
        <sz val="12"/>
        <color rgb="FF000000"/>
        <rFont val="Linux Libertine G"/>
        <family val="2"/>
      </rPr>
      <t>运费</t>
    </r>
  </si>
  <si>
    <t>伊利京东分析主表：公摊成本</t>
  </si>
  <si>
    <r>
      <rPr>
        <sz val="12"/>
        <color rgb="FF000000"/>
        <rFont val="Linux Libertine G"/>
        <family val="2"/>
      </rPr>
      <t>伊利京东分析主表：工资（未拆分奖金；为避免重复，仅列入销售费用</t>
    </r>
    <r>
      <rPr>
        <sz val="12"/>
        <color rgb="FF000000"/>
        <rFont val="Linux Libertine G"/>
        <charset val="1"/>
      </rPr>
      <t>-</t>
    </r>
    <r>
      <rPr>
        <sz val="12"/>
        <color rgb="FF000000"/>
        <rFont val="Linux Libertine G"/>
        <family val="2"/>
      </rPr>
      <t>固定薪资）</t>
    </r>
  </si>
  <si>
    <t>伊利京东分析主表：行政</t>
  </si>
  <si>
    <t>伊利京东分析主表：税费</t>
  </si>
  <si>
    <t>公司整体</t>
  </si>
  <si>
    <t>未分摊</t>
  </si>
  <si>
    <t>简易损益表：调整项（伊利返利）；集团主体收入，未分摊至平台</t>
  </si>
  <si>
    <t>公司整体调整项；未分摊平台，不计算费用率</t>
  </si>
  <si>
    <t>费用率运营覆盖与取数说明</t>
  </si>
  <si>
    <t>实际值</t>
  </si>
  <si>
    <t>预算值</t>
  </si>
  <si>
    <t>历史基准备份</t>
  </si>
  <si>
    <t>手动校准部分：运营覆盖值（非空优先）</t>
  </si>
  <si>
    <t>取数说明</t>
  </si>
  <si>
    <t>历史参考费率</t>
  </si>
  <si>
    <t>综合费用</t>
  </si>
  <si>
    <t>原历史参考</t>
  </si>
  <si>
    <t>填写示例</t>
  </si>
  <si>
    <t>无财报口径平台映射：保留原历史基准，待确认后再补充。</t>
  </si>
  <si>
    <t>财务实际费率仅作审计展示；测算驱动以人工成本固定额及奖金规则为准。</t>
  </si>
  <si>
    <t>渠道</t>
  </si>
  <si>
    <t>测算表</t>
  </si>
  <si>
    <t>口径</t>
  </si>
  <si>
    <t>来源</t>
  </si>
  <si>
    <t>假设</t>
  </si>
  <si>
    <t>保本值</t>
  </si>
  <si>
    <t>机制一</t>
  </si>
  <si>
    <t>权重</t>
  </si>
  <si>
    <t>直播业务</t>
  </si>
  <si>
    <t>预算目标</t>
  </si>
  <si>
    <t>权重目标</t>
  </si>
  <si>
    <t>实际达成</t>
  </si>
  <si>
    <t>合计</t>
  </si>
  <si>
    <t>私域业务</t>
  </si>
  <si>
    <t>线索成本</t>
  </si>
  <si>
    <t>物流运输</t>
  </si>
  <si>
    <t>分销业务</t>
  </si>
  <si>
    <t>科目</t>
  </si>
  <si>
    <t>期间</t>
  </si>
  <si>
    <t>总计</t>
  </si>
  <si>
    <t>机制</t>
  </si>
  <si>
    <t>机制表行</t>
  </si>
  <si>
    <t>明细起始行</t>
  </si>
  <si>
    <t>明细结束行</t>
  </si>
  <si>
    <t>主品成本合计</t>
  </si>
  <si>
    <t>赠品成本合计</t>
  </si>
  <si>
    <t>整体经营测算</t>
  </si>
  <si>
    <t>合并口径</t>
  </si>
  <si>
    <t>内部供货剪刀差</t>
  </si>
  <si>
    <t>320g供货剪刀差</t>
  </si>
  <si>
    <t>700g供货剪刀差</t>
  </si>
  <si>
    <t>年度达成返利</t>
  </si>
  <si>
    <t>主营业务收入合计</t>
  </si>
  <si>
    <t>年度合同任务</t>
  </si>
  <si>
    <t>滚动预测</t>
  </si>
  <si>
    <t>任务完成率</t>
  </si>
  <si>
    <t>产品采购成本</t>
  </si>
  <si>
    <t>内部交易已在业务单元计入</t>
  </si>
  <si>
    <t>所得税（合并口径）</t>
  </si>
  <si>
    <t>净利润（合并口径）</t>
  </si>
  <si>
    <t>净利率（合并口径）</t>
  </si>
  <si>
    <t>季度达成返利（回款）</t>
  </si>
  <si>
    <t>推广费支持（回款）</t>
  </si>
  <si>
    <t>整体经营</t>
  </si>
  <si>
    <t>权重</t>
    <phoneticPr fontId="14" type="noConversion"/>
  </si>
  <si>
    <t>内部供货价差调整</t>
  </si>
  <si>
    <t>主体公司内部供货价差（管理口径）</t>
  </si>
  <si>
    <t>测算-整体经营</t>
  </si>
  <si>
    <t>调整后毛利</t>
  </si>
  <si>
    <t>渠道毛利+内部供货价差</t>
  </si>
  <si>
    <t>调整后毛利率</t>
  </si>
  <si>
    <t>调整后毛利/渠道主营业务收入</t>
  </si>
  <si>
    <t>供应商达成返利及推广费支持</t>
  </si>
  <si>
    <t>季度结算、下季度分月到账</t>
  </si>
  <si>
    <t>年度目标达成后确认</t>
  </si>
  <si>
    <t>渠道总贡献（万元）</t>
  </si>
  <si>
    <t>销售费用/收入</t>
  </si>
  <si>
    <t>毛利-销售费用</t>
  </si>
  <si>
    <t>5月职能人员固定薪资</t>
  </si>
  <si>
    <t>MAX(0,渠道贡献利润)*5%</t>
  </si>
  <si>
    <t>总收入*行政管理费用率</t>
  </si>
  <si>
    <t>管理费用/收入</t>
  </si>
  <si>
    <t>渠道贡献-管理费用-财务费用-税金-折旧</t>
  </si>
  <si>
    <t>利润总额为正时*所得税率</t>
  </si>
  <si>
    <t>利润总额-所得税</t>
  </si>
  <si>
    <t>净利润/收入</t>
  </si>
  <si>
    <t>假设/输入</t>
  </si>
  <si>
    <t>京东POP（万元）</t>
  </si>
  <si>
    <t>主营业务成本表/对照科目</t>
  </si>
  <si>
    <r>
      <rPr>
        <sz val="10"/>
        <rFont val="等线"/>
        <family val="4"/>
        <charset val="134"/>
      </rPr>
      <t>羊喜市经营分析1-6月</t>
    </r>
  </si>
  <si>
    <r>
      <rPr>
        <sz val="10"/>
        <rFont val="等线"/>
        <family val="4"/>
        <charset val="134"/>
      </rPr>
      <t>产品成本（90元/33元）</t>
    </r>
  </si>
  <si>
    <t>仅京东自营/天猫超市渠道</t>
  </si>
  <si>
    <t>赠品成本（90元/33元）</t>
    <phoneticPr fontId="14" type="noConversion"/>
  </si>
  <si>
    <r>
      <rPr>
        <sz val="10"/>
        <rFont val="等线"/>
        <family val="4"/>
        <charset val="134"/>
      </rPr>
      <t>主营业务成本表：赠品成本（90元/33元）列，历史财报中的“赠品成本”，包含异品赠品和本品赠品，后续成本归口需将异品赠品计入促销物料</t>
    </r>
  </si>
  <si>
    <r>
      <rPr>
        <sz val="10"/>
        <rFont val="等线"/>
        <family val="4"/>
        <charset val="134"/>
      </rPr>
      <t>/Users/gran/Library/Mobile\ Documents/com\~apple\~CloudDocs/越秀辉山/工作文件WIP/1.进行中/3.历史费用分析/1.reference/伊利京东分析主表.xlsx</t>
    </r>
  </si>
  <si>
    <r>
      <rPr>
        <sz val="10"/>
        <rFont val="等线"/>
        <family val="4"/>
        <charset val="134"/>
      </rPr>
      <t>销售折扣、e卡红包京豆、违规金、综合折让-小额打款</t>
    </r>
  </si>
  <si>
    <r>
      <rPr>
        <sz val="10"/>
        <rFont val="等线"/>
        <family val="4"/>
        <charset val="134"/>
      </rPr>
      <t>TC运费</t>
    </r>
  </si>
  <si>
    <t>金额单位：万元；单价/拿货价/采购成本保持元口径。黄色单元格为可调整假设，其他区域由公式或说明生成。</t>
  </si>
  <si>
    <t>口径/假设</t>
  </si>
  <si>
    <t>面向外部销售或任务目标口径；测算表预算/实际/滚动目标均标注SALEOUT</t>
  </si>
  <si>
    <t>已统一SALEOUT标注</t>
  </si>
  <si>
    <t>如存在平台销售额/总销售额，先桥接到SALEOUT，再进入收入测算</t>
  </si>
  <si>
    <t>仅在需要与SALEOUT桥接时使用</t>
  </si>
  <si>
    <t>当前渠道表以SALEOUT检阅</t>
  </si>
  <si>
    <t>1-5月优先实际，6-12月预测</t>
  </si>
  <si>
    <t>外部分销按退货成本率进入销售费用；电商渠道按现有实际/机制处理</t>
  </si>
  <si>
    <t>折扣/平台扣点</t>
  </si>
  <si>
    <t>外部分销SKU结构与费用假设</t>
  </si>
  <si>
    <t>来源/定义</t>
  </si>
  <si>
    <t>占比/费率</t>
  </si>
  <si>
    <t>采购成本/加权值</t>
  </si>
  <si>
    <t>拿货价/加权值</t>
  </si>
  <si>
    <t>伊利高个子蓝金版700听</t>
  </si>
  <si>
    <t>伊利高个子蓝金版320袋</t>
  </si>
  <si>
    <t>伊利高个子蓝金版60盒</t>
  </si>
  <si>
    <t>占比应等于100%</t>
  </si>
  <si>
    <t>收入*费率</t>
  </si>
  <si>
    <t>用户给定通常为5%</t>
  </si>
  <si>
    <t>GSV为退货后收入，退货成本仅保留参考口径，不进入预算损益。</t>
  </si>
  <si>
    <t>公司级费用/营运资本假设</t>
  </si>
  <si>
    <t>总收入*费率</t>
  </si>
  <si>
    <t>万元/月，待补充</t>
  </si>
  <si>
    <t>回款天数DSO</t>
  </si>
  <si>
    <t>付款天数DPO</t>
  </si>
  <si>
    <t>按各渠道贡献利润为基数；公式使用 MAX(0,渠道贡献利润)*5%</t>
  </si>
  <si>
    <t>整体经营返利与采购假设</t>
  </si>
  <si>
    <t>320g采购价（含税，元/单位）</t>
  </si>
  <si>
    <t>700g采购价（含税，元/单位）</t>
  </si>
  <si>
    <t>返利剔税系数</t>
  </si>
  <si>
    <t>季度返利率</t>
  </si>
  <si>
    <t>年度返利率</t>
  </si>
  <si>
    <t>返利实收系数</t>
  </si>
  <si>
    <t>年度采购SALEIN任务（万元）</t>
  </si>
  <si>
    <t>季度采购SALEIN任务（万元）</t>
  </si>
  <si>
    <t>320g采购SALEIN结构占比</t>
  </si>
  <si>
    <t>700g采购SALEIN结构占比</t>
  </si>
  <si>
    <t>320g采购金额校验（元）</t>
  </si>
  <si>
    <t>700g采购金额校验（元）</t>
  </si>
  <si>
    <t>推广费支持率</t>
  </si>
  <si>
    <t>季度投流达标比例</t>
  </si>
  <si>
    <t>平台仅按“平台主体店铺对照”的财报口径平台名称汇总，分销合并为“分销”；达播单列。固定人工按平台收入权重分摊；非素材制作部奖金费率＝非素材奖金÷平台收入；素材制作部奖金费率＝素材制作部奖金÷平台广告投流费。管理成本取各月“简易损益表－管理人员－人力成本”，原表未拆固定人工与奖金，故统一列入固定人工且不计算费率。7-12月预留为空。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</si>
  <si>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</si>
  <si>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</si>
  <si>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</si>
  <si>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</si>
  <si>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</si>
  <si>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</si>
  <si>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</si>
  <si>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</si>
  <si>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</si>
  <si>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</si>
  <si>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</si>
  <si>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</si>
  <si>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保本ROI（含履约成本及退货）</t>
  </si>
  <si>
    <t>700听</t>
  </si>
  <si>
    <t>320袋</t>
  </si>
  <si>
    <t>60盒</t>
  </si>
  <si>
    <t>赠品-试喝条</t>
  </si>
  <si>
    <t>赠品-试喝盒</t>
  </si>
  <si>
    <t>赠品-伊利牛奶杯</t>
  </si>
  <si>
    <t>赠品-摸高器</t>
  </si>
  <si>
    <t>赠品-麦片</t>
  </si>
  <si>
    <t>赠品-台灯</t>
  </si>
  <si>
    <t>赠品-福利卡</t>
  </si>
  <si>
    <t>赠品-搅拌杯</t>
  </si>
  <si>
    <t>主品-B2B补充</t>
  </si>
  <si>
    <t>合同总任务量/万</t>
  </si>
  <si>
    <t>SALE IN指标</t>
  </si>
  <si>
    <t>平台主推SKU成交占比（筛选后重算）</t>
  </si>
  <si>
    <t>首位主品SKU</t>
  </si>
  <si>
    <t>平台内SKU成交占比</t>
  </si>
  <si>
    <t>折后到手价（众数，元/单）</t>
  </si>
  <si>
    <t>盒装60g</t>
  </si>
  <si>
    <t>罐装700g</t>
  </si>
  <si>
    <t>试喝条20g</t>
  </si>
  <si>
    <t>袋装320g</t>
  </si>
  <si>
    <t>京东POP</t>
  </si>
  <si>
    <t>机制1</t>
  </si>
  <si>
    <t>机制1定价</t>
  </si>
  <si>
    <t>主品-高个子蓝金版袋装</t>
  </si>
  <si>
    <t>机制1成本</t>
  </si>
  <si>
    <t>机制2</t>
  </si>
  <si>
    <t>机制2定价</t>
  </si>
  <si>
    <t>机制2成本</t>
  </si>
  <si>
    <t>机制3</t>
  </si>
  <si>
    <t>机制3定价</t>
  </si>
  <si>
    <t>主品-高个子蓝金版罐装</t>
  </si>
  <si>
    <t>机制3成本</t>
  </si>
  <si>
    <t>机制4</t>
  </si>
  <si>
    <t>机制4定价</t>
  </si>
  <si>
    <t>机制4成本</t>
  </si>
  <si>
    <t>机制5</t>
  </si>
  <si>
    <t>机制5定价</t>
  </si>
  <si>
    <t>机制5成本</t>
  </si>
  <si>
    <t>机制6</t>
  </si>
  <si>
    <t>机制6定价</t>
  </si>
  <si>
    <t>机制6成本</t>
  </si>
  <si>
    <t>机制7</t>
  </si>
  <si>
    <t>机制7定价</t>
  </si>
  <si>
    <t>机制7成本</t>
  </si>
  <si>
    <t>机制8</t>
  </si>
  <si>
    <t>机制8定价</t>
  </si>
  <si>
    <t>机制8成本</t>
  </si>
  <si>
    <t>机制9</t>
  </si>
  <si>
    <t>机制9定价</t>
  </si>
  <si>
    <t>机制9成本</t>
  </si>
  <si>
    <t>机制10</t>
  </si>
  <si>
    <t>机制10定价</t>
  </si>
  <si>
    <t>机制10成本</t>
  </si>
  <si>
    <t>机制11</t>
  </si>
  <si>
    <t>机制11定价</t>
  </si>
  <si>
    <t>机制11成本</t>
  </si>
  <si>
    <t>机制12</t>
  </si>
  <si>
    <t>机制12定价</t>
  </si>
  <si>
    <t>机制12成本</t>
  </si>
  <si>
    <t>机制13</t>
  </si>
  <si>
    <t>机制13定价</t>
  </si>
  <si>
    <t>机制13成本</t>
  </si>
  <si>
    <t>主品-高个子蓝金版盒装</t>
  </si>
  <si>
    <t>主品-高个子蓝金版试喝条</t>
  </si>
  <si>
    <t>机制14</t>
  </si>
  <si>
    <t>机制14定价</t>
  </si>
  <si>
    <t>机制14成本</t>
  </si>
  <si>
    <t>机制15</t>
  </si>
  <si>
    <t>机制15定价</t>
  </si>
  <si>
    <t>机制15成本</t>
  </si>
  <si>
    <t>机制16</t>
  </si>
  <si>
    <t>机制16定价</t>
  </si>
  <si>
    <t>机制16成本</t>
  </si>
  <si>
    <t>机制17</t>
  </si>
  <si>
    <t>机制17定价</t>
  </si>
  <si>
    <t>机制17成本</t>
  </si>
  <si>
    <t>机制18</t>
  </si>
  <si>
    <t>机制18定价</t>
  </si>
  <si>
    <t>机制18成本</t>
  </si>
  <si>
    <t>机制19</t>
  </si>
  <si>
    <t>机制19定价</t>
  </si>
  <si>
    <t>机制19成本</t>
  </si>
  <si>
    <t>机制20</t>
  </si>
  <si>
    <t>机制20定价</t>
  </si>
  <si>
    <t>机制20成本</t>
  </si>
  <si>
    <t>机制21</t>
  </si>
  <si>
    <t>机制21定价</t>
  </si>
  <si>
    <t>机制21成本</t>
  </si>
  <si>
    <t>机制22</t>
  </si>
  <si>
    <t>机制22定价</t>
  </si>
  <si>
    <t>机制22成本</t>
  </si>
  <si>
    <t>机制23</t>
  </si>
  <si>
    <t>机制23定价</t>
  </si>
  <si>
    <t>机制23成本</t>
  </si>
  <si>
    <t>机制24</t>
  </si>
  <si>
    <t>机制24定价</t>
  </si>
  <si>
    <t>机制24成本</t>
  </si>
  <si>
    <t>机制25</t>
  </si>
  <si>
    <t>机制25定价</t>
  </si>
  <si>
    <t>机制25成本</t>
  </si>
  <si>
    <t>机制26</t>
  </si>
  <si>
    <t>机制26定价</t>
  </si>
  <si>
    <t>机制26成本</t>
  </si>
  <si>
    <t>机制27</t>
  </si>
  <si>
    <t>机制27定价</t>
  </si>
  <si>
    <t>机制27成本</t>
  </si>
  <si>
    <t>机制28</t>
  </si>
  <si>
    <t>机制28定价</t>
  </si>
  <si>
    <t>机制28成本</t>
  </si>
  <si>
    <t>机制29</t>
  </si>
  <si>
    <t>机制29定价</t>
  </si>
  <si>
    <t>机制29成本</t>
  </si>
  <si>
    <t>机制30</t>
  </si>
  <si>
    <t>机制30定价</t>
  </si>
  <si>
    <t>机制30成本</t>
  </si>
  <si>
    <t>机制31</t>
  </si>
  <si>
    <t>机制31定价</t>
  </si>
  <si>
    <t>机制31成本</t>
  </si>
  <si>
    <t>机制32</t>
  </si>
  <si>
    <t>机制32定价</t>
  </si>
  <si>
    <t>机制32成本</t>
  </si>
  <si>
    <t>机制33</t>
  </si>
  <si>
    <t>机制33定价</t>
  </si>
  <si>
    <t>机制33成本</t>
  </si>
  <si>
    <t>机制34</t>
  </si>
  <si>
    <t>机制34定价</t>
  </si>
  <si>
    <t>机制34成本</t>
  </si>
  <si>
    <t>机制35</t>
  </si>
  <si>
    <t>机制35定价</t>
  </si>
  <si>
    <t>机制35成本</t>
  </si>
  <si>
    <t>机制36</t>
  </si>
  <si>
    <t>机制36定价</t>
  </si>
  <si>
    <t>机制36成本</t>
  </si>
  <si>
    <t>机制37</t>
  </si>
  <si>
    <t>机制37定价</t>
  </si>
  <si>
    <t>机制37成本</t>
  </si>
  <si>
    <t>机制38</t>
  </si>
  <si>
    <t>机制38定价</t>
  </si>
  <si>
    <t>机制38成本</t>
  </si>
  <si>
    <t>机制39</t>
  </si>
  <si>
    <t>机制39定价</t>
  </si>
  <si>
    <t>机制39成本</t>
  </si>
  <si>
    <t>机制40</t>
  </si>
  <si>
    <t>机制40定价</t>
  </si>
  <si>
    <t>机制40成本</t>
  </si>
  <si>
    <t>机制41</t>
  </si>
  <si>
    <t>机制41定价</t>
  </si>
  <si>
    <t>机制41成本</t>
  </si>
  <si>
    <t>机制42</t>
  </si>
  <si>
    <t>机制42定价</t>
  </si>
  <si>
    <t>机制42成本</t>
  </si>
  <si>
    <t>机制43</t>
  </si>
  <si>
    <t>机制43定价</t>
  </si>
  <si>
    <t>机制43成本</t>
  </si>
  <si>
    <t>机制44</t>
  </si>
  <si>
    <t>机制44定价</t>
  </si>
  <si>
    <t>机制44成本</t>
  </si>
  <si>
    <t>机制45</t>
  </si>
  <si>
    <t>机制45定价</t>
  </si>
  <si>
    <t>机制45成本</t>
  </si>
  <si>
    <t>机制46</t>
  </si>
  <si>
    <t>机制46定价</t>
  </si>
  <si>
    <t>机制46成本</t>
  </si>
  <si>
    <t>机制47</t>
  </si>
  <si>
    <t>机制47定价</t>
  </si>
  <si>
    <t>机制47成本</t>
  </si>
  <si>
    <t>机制48</t>
  </si>
  <si>
    <t>机制48定价</t>
  </si>
  <si>
    <t>机制48成本</t>
  </si>
  <si>
    <t>机制49</t>
  </si>
  <si>
    <t>机制49定价</t>
  </si>
  <si>
    <t>机制49成本</t>
  </si>
  <si>
    <t>机制50</t>
  </si>
  <si>
    <t>机制50定价</t>
  </si>
  <si>
    <t>机制50成本</t>
  </si>
  <si>
    <t>机制51</t>
  </si>
  <si>
    <t>机制51定价</t>
  </si>
  <si>
    <t>机制51成本</t>
  </si>
  <si>
    <t>机制52</t>
  </si>
  <si>
    <t>机制52定价</t>
  </si>
  <si>
    <t>机制52成本</t>
  </si>
  <si>
    <t>机制53</t>
  </si>
  <si>
    <t>机制53定价</t>
  </si>
  <si>
    <t>机制53成本</t>
  </si>
  <si>
    <t>机制54</t>
  </si>
  <si>
    <t>机制54定价</t>
  </si>
  <si>
    <t>机制54成本</t>
  </si>
  <si>
    <t>机制55</t>
  </si>
  <si>
    <t>机制55定价</t>
  </si>
  <si>
    <t>机制55成本</t>
  </si>
  <si>
    <t>机制56</t>
  </si>
  <si>
    <t>机制56定价</t>
  </si>
  <si>
    <t>机制56成本</t>
  </si>
  <si>
    <t>机制57</t>
  </si>
  <si>
    <t>机制57定价</t>
  </si>
  <si>
    <t>机制57成本</t>
  </si>
  <si>
    <t>机制58</t>
  </si>
  <si>
    <t>机制58定价</t>
  </si>
  <si>
    <t>机制58成本</t>
  </si>
  <si>
    <t>机制59</t>
  </si>
  <si>
    <t>机制59定价</t>
  </si>
  <si>
    <t>机制59成本</t>
  </si>
  <si>
    <t>机制60</t>
  </si>
  <si>
    <t>机制60定价</t>
  </si>
  <si>
    <t>机制60成本</t>
  </si>
  <si>
    <t>机制61</t>
  </si>
  <si>
    <t>机制61定价</t>
  </si>
  <si>
    <t>机制61成本</t>
  </si>
  <si>
    <t>机制62</t>
  </si>
  <si>
    <t>机制62定价</t>
  </si>
  <si>
    <t>机制62成本</t>
  </si>
  <si>
    <t>机制63</t>
  </si>
  <si>
    <t>机制63定价</t>
  </si>
  <si>
    <t>机制63成本</t>
  </si>
  <si>
    <t>机制64</t>
  </si>
  <si>
    <t>机制64定价</t>
  </si>
  <si>
    <t>机制64成本</t>
  </si>
  <si>
    <t>机制65</t>
  </si>
  <si>
    <t>机制65定价</t>
  </si>
  <si>
    <t>机制65成本</t>
  </si>
  <si>
    <t>机制66</t>
  </si>
  <si>
    <t>机制66定价</t>
  </si>
  <si>
    <t>机制66成本</t>
  </si>
  <si>
    <t>机制67</t>
  </si>
  <si>
    <t>机制67定价</t>
  </si>
  <si>
    <t>机制67成本</t>
  </si>
  <si>
    <t>机制68</t>
  </si>
  <si>
    <t>机制68定价</t>
  </si>
  <si>
    <t>机制68成本</t>
  </si>
  <si>
    <t>产品/分解渠道</t>
  </si>
  <si>
    <t>RF Target（SALE IN）</t>
  </si>
  <si>
    <t>天猫/淘宝</t>
  </si>
  <si>
    <t>兼容版 V07：1-6月为已导入财务实际；7-12月按“科目金额 / 平台收入 / 费用率或ROI / 数据状态”预留。只有状态为“已导入实际”的未来月份会覆盖费用率假设；“待导入”自动回退历史参考。金额单位按本表原始财报导入单位维护，费率不受金额单位影响。</t>
  </si>
  <si>
    <t>1-6月科目金额</t>
  </si>
  <si>
    <t>1-6月平台收入</t>
  </si>
  <si>
    <t>1-6月费用率</t>
  </si>
  <si>
    <r>
      <rPr>
        <sz val="10"/>
        <color theme="0"/>
        <rFont val="等线"/>
        <family val="4"/>
        <charset val="134"/>
      </rPr>
      <t>7月</t>
    </r>
  </si>
  <si>
    <r>
      <rPr>
        <sz val="10"/>
        <color theme="0"/>
        <rFont val="等线"/>
        <family val="4"/>
        <charset val="134"/>
      </rPr>
      <t>8月</t>
    </r>
  </si>
  <si>
    <r>
      <rPr>
        <sz val="10"/>
        <color theme="0"/>
        <rFont val="等线"/>
        <family val="4"/>
        <charset val="134"/>
      </rPr>
      <t>9月</t>
    </r>
  </si>
  <si>
    <r>
      <rPr>
        <sz val="10"/>
        <color theme="0"/>
        <rFont val="等线"/>
        <family val="4"/>
        <charset val="134"/>
      </rPr>
      <t>10月</t>
    </r>
  </si>
  <si>
    <r>
      <rPr>
        <sz val="10"/>
        <color theme="0"/>
        <rFont val="等线"/>
        <family val="4"/>
        <charset val="134"/>
      </rPr>
      <t>11月</t>
    </r>
  </si>
  <si>
    <r>
      <rPr>
        <sz val="10"/>
        <color theme="0"/>
        <rFont val="等线"/>
        <family val="4"/>
        <charset val="134"/>
      </rPr>
      <t>12月</t>
    </r>
  </si>
  <si>
    <t>1月科目金额</t>
  </si>
  <si>
    <t>1月平台收入</t>
  </si>
  <si>
    <t>1月费用率</t>
  </si>
  <si>
    <t>2月科目金额</t>
  </si>
  <si>
    <t>2月平台收入</t>
  </si>
  <si>
    <t>2月费用率</t>
  </si>
  <si>
    <t>3月科目金额</t>
  </si>
  <si>
    <t>3月平台收入</t>
  </si>
  <si>
    <t>3月费用率</t>
  </si>
  <si>
    <t>4月科目金额</t>
  </si>
  <si>
    <t>4月平台收入</t>
  </si>
  <si>
    <t>4月费用率</t>
  </si>
  <si>
    <t>5月科目金额</t>
  </si>
  <si>
    <t>5月平台收入</t>
  </si>
  <si>
    <t>5月费用率</t>
  </si>
  <si>
    <t>6月科目金额</t>
  </si>
  <si>
    <t>6月平台收入</t>
  </si>
  <si>
    <t>6月费用率</t>
  </si>
  <si>
    <r>
      <rPr>
        <sz val="10"/>
        <rFont val="等线"/>
        <family val="4"/>
        <charset val="134"/>
      </rPr>
      <t>7月科目金额</t>
    </r>
  </si>
  <si>
    <r>
      <rPr>
        <sz val="10"/>
        <rFont val="等线"/>
        <family val="4"/>
        <charset val="134"/>
      </rPr>
      <t>7月平台收入</t>
    </r>
  </si>
  <si>
    <r>
      <rPr>
        <sz val="10"/>
        <rFont val="等线"/>
        <family val="4"/>
        <charset val="134"/>
      </rPr>
      <t>7月费用率</t>
    </r>
  </si>
  <si>
    <r>
      <rPr>
        <sz val="10"/>
        <rFont val="等线"/>
        <family val="4"/>
        <charset val="134"/>
      </rPr>
      <t>8月科目金额</t>
    </r>
  </si>
  <si>
    <r>
      <rPr>
        <sz val="10"/>
        <rFont val="等线"/>
        <family val="4"/>
        <charset val="134"/>
      </rPr>
      <t>8月平台收入</t>
    </r>
  </si>
  <si>
    <r>
      <rPr>
        <sz val="10"/>
        <rFont val="等线"/>
        <family val="4"/>
        <charset val="134"/>
      </rPr>
      <t>8月费用率</t>
    </r>
  </si>
  <si>
    <r>
      <rPr>
        <sz val="10"/>
        <rFont val="等线"/>
        <family val="4"/>
        <charset val="134"/>
      </rPr>
      <t>9月科目金额</t>
    </r>
  </si>
  <si>
    <r>
      <rPr>
        <sz val="10"/>
        <rFont val="等线"/>
        <family val="4"/>
        <charset val="134"/>
      </rPr>
      <t>9月平台收入</t>
    </r>
  </si>
  <si>
    <r>
      <rPr>
        <sz val="10"/>
        <rFont val="等线"/>
        <family val="4"/>
        <charset val="134"/>
      </rPr>
      <t>9月费用率</t>
    </r>
  </si>
  <si>
    <r>
      <rPr>
        <sz val="10"/>
        <rFont val="等线"/>
        <family val="4"/>
        <charset val="134"/>
      </rPr>
      <t>10月科目金额</t>
    </r>
  </si>
  <si>
    <r>
      <rPr>
        <sz val="10"/>
        <rFont val="等线"/>
        <family val="4"/>
        <charset val="134"/>
      </rPr>
      <t>10月平台收入</t>
    </r>
  </si>
  <si>
    <r>
      <rPr>
        <sz val="10"/>
        <rFont val="等线"/>
        <family val="4"/>
        <charset val="134"/>
      </rPr>
      <t>10月费用率</t>
    </r>
  </si>
  <si>
    <r>
      <rPr>
        <sz val="10"/>
        <rFont val="等线"/>
        <family val="4"/>
        <charset val="134"/>
      </rPr>
      <t>11月科目金额</t>
    </r>
  </si>
  <si>
    <r>
      <rPr>
        <sz val="10"/>
        <rFont val="等线"/>
        <family val="4"/>
        <charset val="134"/>
      </rPr>
      <t>11月平台收入</t>
    </r>
  </si>
  <si>
    <r>
      <rPr>
        <sz val="10"/>
        <rFont val="等线"/>
        <family val="4"/>
        <charset val="134"/>
      </rPr>
      <t>11月费用率</t>
    </r>
  </si>
  <si>
    <r>
      <rPr>
        <sz val="10"/>
        <rFont val="等线"/>
        <family val="4"/>
        <charset val="134"/>
      </rPr>
      <t>12月科目金额</t>
    </r>
  </si>
  <si>
    <r>
      <rPr>
        <sz val="10"/>
        <rFont val="等线"/>
        <family val="4"/>
        <charset val="134"/>
      </rPr>
      <t>12月平台收入</t>
    </r>
  </si>
  <si>
    <r>
      <rPr>
        <sz val="10"/>
        <rFont val="等线"/>
        <family val="4"/>
        <charset val="134"/>
      </rPr>
      <t>12月费用率</t>
    </r>
  </si>
  <si>
    <t>1-6月；按平台主体店铺对照归属</t>
  </si>
  <si>
    <t>主营业务成本表：产品成本（90元/33元）</t>
  </si>
  <si>
    <t>对照表标注为无/新增科目，历史来源无可拆分明细</t>
  </si>
  <si>
    <t>主营业务成本表：赠品成本（90元/33元）列，历史财报中的“赠品成本”，包含异品赠品和本品赠品，后续成本归口需将异品赠品计入促销物料</t>
  </si>
  <si>
    <t>主营业务成本表：工资列（未拆分奖金；为避免重复，仅列入销售费用-固定薪资）</t>
  </si>
  <si>
    <t>2026年1月</t>
  </si>
  <si>
    <t>2026年2月</t>
  </si>
  <si>
    <t>2026年3月</t>
  </si>
  <si>
    <t>2026年4月</t>
  </si>
  <si>
    <t>2026年5月</t>
  </si>
  <si>
    <t>2026年6月</t>
  </si>
  <si>
    <t>2026年7月</t>
  </si>
  <si>
    <t>2026年8月</t>
  </si>
  <si>
    <t>2026年9月</t>
  </si>
  <si>
    <t>2026年10月</t>
  </si>
  <si>
    <t>2026年11月</t>
  </si>
  <si>
    <t>2026年12月</t>
  </si>
  <si>
    <t>来源/回退逻辑</t>
  </si>
  <si>
    <t>填写示例参考，本表仅可填写百分比数值，意为该项目占总GSV的百分比，如无本项三级科目预算可不填写</t>
  </si>
  <si>
    <t>取数优先级：运营覆盖值 &gt; 财务实际 &gt; 历史参考费率。</t>
  </si>
  <si>
    <t>ROI投流假设集中控制</t>
  </si>
  <si>
    <t>说明：ROI目标为可调假设；广告投流费率=1/ROI目标。各测算表的ROI目标与广告投流费均改为引用本区，避免在测算页分散维护。京东自营沿用多月经营校准，不纳入本ROI区。</t>
  </si>
  <si>
    <t>参考/平均</t>
  </si>
  <si>
    <t>ROI投流</t>
  </si>
  <si>
    <t>ROI目标</t>
  </si>
  <si>
    <t>收入/广告投流费</t>
  </si>
  <si>
    <t>复制原测算表ROI目标</t>
  </si>
  <si>
    <t>广告投流费率=1/ROI</t>
  </si>
  <si>
    <t>由ROI目标倒推</t>
  </si>
  <si>
    <t>退后ROI倒算</t>
  </si>
  <si>
    <t>KOC视频带货业务</t>
  </si>
  <si>
    <t>KOC直播带货业务</t>
  </si>
  <si>
    <t>滚动目标-实际节奏预测</t>
  </si>
  <si>
    <t>滚动目标-差额分摊</t>
  </si>
  <si>
    <t>羊喜市中期预算模型 V60 目录及说明</t>
  </si>
  <si>
    <t>版本</t>
    <phoneticPr fontId="14" type="noConversion"/>
  </si>
  <si>
    <t>V60 渠道二维汇总、汇总损益费用链路与目录重建</t>
    <phoneticPr fontId="14" type="noConversion"/>
  </si>
  <si>
    <t>输出规则</t>
    <phoneticPr fontId="14" type="noConversion"/>
  </si>
  <si>
    <t>目录、总表、说明、假设、测算、辅助、参考；各工作表均可通过目录跳转。</t>
    <phoneticPr fontId="14" type="noConversion"/>
  </si>
  <si>
    <t>本版重点</t>
    <phoneticPr fontId="14" type="noConversion"/>
  </si>
  <si>
    <t>统一全表字体为等线；渠道费用明细按科目名称映射，渠道总贡献与汇总损益表口径一致。</t>
    <phoneticPr fontId="14" type="noConversion"/>
  </si>
  <si>
    <t>校验单位</t>
    <phoneticPr fontId="14" type="noConversion"/>
  </si>
  <si>
    <t>金额单位均为万元；测算与总表的1-6月列保留分组隐藏规则。</t>
    <phoneticPr fontId="14" type="noConversion"/>
  </si>
  <si>
    <t>序号</t>
    <phoneticPr fontId="14" type="noConversion"/>
  </si>
  <si>
    <t>工作表</t>
    <phoneticPr fontId="14" type="noConversion"/>
  </si>
  <si>
    <t>类型</t>
    <phoneticPr fontId="14" type="noConversion"/>
  </si>
  <si>
    <t>计算角色</t>
    <phoneticPr fontId="14" type="noConversion"/>
  </si>
  <si>
    <t>定义/用途</t>
    <phoneticPr fontId="14" type="noConversion"/>
  </si>
  <si>
    <t>跳转</t>
    <phoneticPr fontId="14" type="noConversion"/>
  </si>
  <si>
    <t>显示状态</t>
    <phoneticPr fontId="14" type="noConversion"/>
  </si>
  <si>
    <t>备注</t>
    <phoneticPr fontId="14" type="noConversion"/>
  </si>
  <si>
    <t>导航</t>
  </si>
  <si>
    <t>模型导航、版本与维护规则</t>
  </si>
  <si>
    <t>当前工作表</t>
  </si>
  <si>
    <t>汇总</t>
  </si>
  <si>
    <t>公司合并损益、其他业务收入与净利润</t>
  </si>
  <si>
    <t>集团口径总览</t>
  </si>
  <si>
    <t>渠道收入、成本、费用及贡献横向对比</t>
  </si>
  <si>
    <t>仅展示渠道及渠道总贡献</t>
  </si>
  <si>
    <t>费用科目说明</t>
  </si>
  <si>
    <t>预算费用科目与财报科目映射说明</t>
  </si>
  <si>
    <t>不参与计算，建议保留审计说明</t>
  </si>
  <si>
    <t>税率、返利及整体经营财务假设</t>
  </si>
  <si>
    <t>直接参与整体经营及所得税计算</t>
  </si>
  <si>
    <t>各渠道固定薪资及奖金规则</t>
  </si>
  <si>
    <t>驱动渠道人工成本</t>
  </si>
  <si>
    <t>集团采购、内部拿货及产品定价假设</t>
  </si>
  <si>
    <t>驱动整体经营剪刀差测算</t>
  </si>
  <si>
    <t>产品采购成本与SALEIN任务分解</t>
  </si>
  <si>
    <t>驱动产品成本与任务目标</t>
  </si>
  <si>
    <t>参考值-平台主推SKU占比</t>
  </si>
  <si>
    <t>引用源</t>
  </si>
  <si>
    <t>平台主推SKU结构及成交占比</t>
  </si>
  <si>
    <t>驱动平台主推机制</t>
  </si>
  <si>
    <t>渠道机制、到手价及主品成本结构</t>
  </si>
  <si>
    <t>驱动渠道收入与产品成本</t>
  </si>
  <si>
    <t>渠道SALEIN任务与月度目标</t>
  </si>
  <si>
    <t>驱动渠道滚动目标</t>
  </si>
  <si>
    <t>参考值-平台费用率分析</t>
  </si>
  <si>
    <t>财务口径平台1-12月实际费用与收入数据</t>
  </si>
  <si>
    <t>销售费用率与实际达成取数源</t>
  </si>
  <si>
    <t>渠道月度费用率、历史参考及运营调整</t>
  </si>
  <si>
    <t>驱动渠道销售费用</t>
  </si>
  <si>
    <t>假设-ROI月度滚动</t>
  </si>
  <si>
    <t>广告投流ROI月度假设</t>
  </si>
  <si>
    <t>驱动ROI相关费用</t>
  </si>
  <si>
    <t>计算</t>
  </si>
  <si>
    <t>抖音渠道收入、成本、费用与贡献利润</t>
  </si>
  <si>
    <t>渠道测算</t>
  </si>
  <si>
    <t>视频号渠道收入、成本、费用与贡献利润</t>
  </si>
  <si>
    <t>天猫淘宝渠道收入、成本、费用与贡献利润</t>
  </si>
  <si>
    <t>拼多多渠道收入、成本、费用与贡献利润</t>
  </si>
  <si>
    <t>京东POP渠道收入、成本、费用与贡献利润</t>
  </si>
  <si>
    <t>京东自营B2B供货、费用与贡献利润</t>
  </si>
  <si>
    <t>达播渠道收入、成本、费用与贡献利润</t>
  </si>
  <si>
    <t>私域渠道独立业务测算</t>
  </si>
  <si>
    <t>业务部门薪资奖金按其测算口径</t>
  </si>
  <si>
    <t>外部分销收入、成本、返佣与物流费用</t>
  </si>
  <si>
    <t>集团内部供货价差、返利及公司公共费用</t>
  </si>
  <si>
    <t>整体经营损益</t>
  </si>
  <si>
    <t>汇总辅助</t>
  </si>
  <si>
    <t>各渠道与整体经营的纵向汇总底表</t>
  </si>
  <si>
    <t>直接参与总表计算，不可删除</t>
  </si>
  <si>
    <t>计算辅助</t>
  </si>
  <si>
    <t>平台机制的收入、主品成本及SKU拆分</t>
  </si>
  <si>
    <t>直接参与渠道测算，不可删除</t>
  </si>
  <si>
    <t>总表-汇总损益表</t>
    <phoneticPr fontId="14" type="noConversion"/>
  </si>
  <si>
    <t>总表-渠道二维汇总</t>
    <phoneticPr fontId="14" type="noConversion"/>
  </si>
  <si>
    <t>假设-产品价值链定价</t>
    <phoneticPr fontId="14" type="noConversion"/>
  </si>
  <si>
    <t>隐藏</t>
    <phoneticPr fontId="14" type="noConversion"/>
  </si>
  <si>
    <t>显示</t>
    <phoneticPr fontId="14" type="noConversion"/>
  </si>
  <si>
    <t>数据口径</t>
    <phoneticPr fontId="14" type="noConversion"/>
  </si>
  <si>
    <t>SALEIN/销货</t>
    <phoneticPr fontId="14" type="noConversion"/>
  </si>
  <si>
    <t>SALEOUT/营收</t>
    <phoneticPr fontId="14" type="noConversion"/>
  </si>
  <si>
    <t>测算-整体经营</t>
    <phoneticPr fontId="14" type="noConversion"/>
  </si>
  <si>
    <t>本行用于对比查看渠道任务分配调整后对应的GSV目标变化</t>
    <phoneticPr fontId="14" type="noConversion"/>
  </si>
  <si>
    <t>达成率</t>
    <phoneticPr fontId="14" type="noConversion"/>
  </si>
  <si>
    <t>结构占比</t>
    <phoneticPr fontId="14" type="noConversion"/>
  </si>
  <si>
    <t>滚动预测-模型1-目标约束</t>
  </si>
  <si>
    <t>分月权重/完成率上限</t>
    <phoneticPr fontId="14" type="noConversion"/>
  </si>
  <si>
    <t>分月权重/完成率目标</t>
    <phoneticPr fontId="14" type="noConversion"/>
  </si>
  <si>
    <t>https://jv8fym591u8.feishu.cn/docx/YzETdWRa3oLB9rxM8i7ccsNAnfg?from=from_copylink</t>
    <phoneticPr fontId="14" type="noConversion"/>
  </si>
  <si>
    <t>表格逻辑</t>
    <phoneticPr fontId="14" type="noConversion"/>
  </si>
  <si>
    <t>自营渠道推广费</t>
    <phoneticPr fontId="14" type="noConversion"/>
  </si>
  <si>
    <t>广告投流费</t>
    <phoneticPr fontId="14" type="noConversion"/>
  </si>
  <si>
    <t>退货成本</t>
    <phoneticPr fontId="14" type="noConversion"/>
  </si>
  <si>
    <t>财务费用</t>
    <phoneticPr fontId="14" type="noConversion"/>
  </si>
  <si>
    <t>京东贷款利息</t>
    <phoneticPr fontId="14" type="noConversion"/>
  </si>
  <si>
    <t>私域</t>
    <phoneticPr fontId="14" type="noConversion"/>
  </si>
  <si>
    <t>KOC</t>
    <phoneticPr fontId="14" type="noConversion"/>
  </si>
  <si>
    <t>特殊渠道</t>
    <phoneticPr fontId="14" type="noConversion"/>
  </si>
  <si>
    <t>分销-古手羽</t>
  </si>
  <si>
    <t>分销-乖巧</t>
  </si>
  <si>
    <t>分销-杭州网创</t>
  </si>
  <si>
    <t>分销-社群</t>
  </si>
  <si>
    <t>分销-天猫超市</t>
  </si>
  <si>
    <t>分销-武汉一八八</t>
  </si>
  <si>
    <t>分销-lisa</t>
  </si>
  <si>
    <t>分销-唯品会</t>
    <phoneticPr fontId="14" type="noConversion"/>
  </si>
  <si>
    <t>目标</t>
    <phoneticPr fontId="14" type="noConversion"/>
  </si>
  <si>
    <t>历史</t>
    <phoneticPr fontId="14" type="noConversion"/>
  </si>
  <si>
    <t>运营指标</t>
  </si>
  <si>
    <t>预测订单单数</t>
  </si>
  <si>
    <t>快手-KOL直播</t>
    <phoneticPr fontId="14" type="noConversion"/>
  </si>
  <si>
    <t>抖音-KOC视频</t>
    <phoneticPr fontId="14" type="noConversion"/>
  </si>
  <si>
    <t>视频号-KOC视频</t>
    <phoneticPr fontId="14" type="noConversion"/>
  </si>
  <si>
    <t>视频号-KOC直播</t>
    <phoneticPr fontId="14" type="noConversion"/>
  </si>
  <si>
    <t>直播ROI</t>
    <phoneticPr fontId="14" type="noConversion"/>
  </si>
  <si>
    <t>短带ROI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</si>
</sst>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76" formatCode="0.0%"/>
    <numFmt numFmtId="177" formatCode="#,##0.00;[Red]\(#,##0.00\);\-"/>
    <numFmt numFmtId="178" formatCode="0.00%;[Red]\(0.00%\);\-"/>
    <numFmt numFmtId="179" formatCode="#&quot; ,&quot;##0.00;[Red]\(#,##0.00\);\-"/>
    <numFmt numFmtId="180" formatCode="0.0%;[Red]\(0.0%\);\-"/>
    <numFmt numFmtId="181" formatCode="_(* #,##0.00_);_(* \(#,##0.00\);_(* \-??_);_(@_)"/>
    <numFmt numFmtId="182" formatCode="0.000"/>
    <numFmt numFmtId="183" formatCode="yyyy&quot;年&quot;m&quot;月&quot;;@"/>
    <numFmt numFmtId="184" formatCode="&quot;-Qr&quot;_(* #,##0.00_);_(* \(#,##0.00\);_(* &quot;-&quot;??_);_(@_)"/>
  </numFmts>
  <fonts count="68">
    <font>
      <sz val="10"/>
      <name val="Linux Libertine G"/>
      <family val="2"/>
    </font>
    <font>
      <sz val="11"/>
      <name val="Calibri"/>
      <family val="2"/>
    </font>
    <font>
      <sz val="10"/>
      <name val="Linux Libertine G"/>
      <charset val="1"/>
    </font>
    <font>
      <sz val="12"/>
      <color rgb="FF000000"/>
      <name val="等线 Light"/>
      <family val="4"/>
      <charset val="134"/>
    </font>
    <font>
      <sz val="12"/>
      <color theme="10"/>
      <name val="等线"/>
      <family val="4"/>
      <charset val="134"/>
    </font>
    <font>
      <sz val="12"/>
      <color rgb="FF000000"/>
      <name val="Linux Libertine G"/>
      <family val="2"/>
    </font>
    <font>
      <sz val="12"/>
      <color rgb="FF000000"/>
      <name val="Linux Libertine G"/>
      <charset val="1"/>
    </font>
    <font>
      <b/>
      <sz val="12"/>
      <name val="Linux Libertine G"/>
      <family val="2"/>
    </font>
    <font>
      <sz val="12"/>
      <color rgb="FFFFFFFF"/>
      <name val="Linux Libertine G"/>
      <family val="2"/>
    </font>
    <font>
      <b/>
      <sz val="12"/>
      <color rgb="FF000000"/>
      <name val="Linux Libertine G"/>
      <family val="2"/>
    </font>
    <font>
      <b/>
      <sz val="12"/>
      <color rgb="FF000000"/>
      <name val="等线 Light"/>
      <family val="4"/>
      <charset val="134"/>
    </font>
    <font>
      <i/>
      <sz val="12"/>
      <color theme="4" tint="-0.249977111117893"/>
      <name val="Linux Libertine G"/>
      <family val="2"/>
    </font>
    <font>
      <sz val="11"/>
      <name val="Linux Libertine G"/>
      <family val="2"/>
    </font>
    <font>
      <sz val="12"/>
      <color rgb="FFFF0000"/>
      <name val="等线 Light"/>
      <family val="4"/>
      <charset val="134"/>
    </font>
    <font>
      <sz val="9"/>
      <name val="Alibaba PuHuiTi 3.0 105 Heavy"/>
      <family val="3"/>
      <charset val="134"/>
    </font>
    <font>
      <sz val="10"/>
      <name val="Linux Libertine G"/>
    </font>
    <font>
      <sz val="10"/>
      <name val="等线"/>
      <family val="4"/>
      <charset val="134"/>
    </font>
    <font>
      <b/>
      <sz val="14"/>
      <color rgb="FFFFFFFF"/>
      <name val="等线"/>
      <family val="4"/>
      <charset val="134"/>
    </font>
    <font>
      <sz val="12"/>
      <color rgb="FF000000"/>
      <name val="等线"/>
      <family val="4"/>
      <charset val="134"/>
    </font>
    <font>
      <b/>
      <sz val="12"/>
      <color rgb="FFFFFFFF"/>
      <name val="等线"/>
      <family val="4"/>
      <charset val="134"/>
    </font>
    <font>
      <b/>
      <sz val="12"/>
      <name val="等线"/>
      <family val="4"/>
      <charset val="134"/>
    </font>
    <font>
      <b/>
      <sz val="12"/>
      <color theme="0"/>
      <name val="等线"/>
      <family val="4"/>
      <charset val="134"/>
    </font>
    <font>
      <b/>
      <i/>
      <sz val="12"/>
      <name val="等线"/>
      <family val="4"/>
      <charset val="134"/>
    </font>
    <font>
      <b/>
      <sz val="12"/>
      <color rgb="FF000000"/>
      <name val="等线"/>
      <family val="4"/>
      <charset val="134"/>
    </font>
    <font>
      <b/>
      <sz val="10"/>
      <name val="等线"/>
      <family val="4"/>
      <charset val="134"/>
    </font>
    <font>
      <sz val="10"/>
      <name val="Linux Libertine G"/>
      <family val="2"/>
    </font>
    <font>
      <b/>
      <sz val="16"/>
      <color rgb="FFFFFFFF"/>
      <name val="等线"/>
      <family val="4"/>
      <charset val="134"/>
    </font>
    <font>
      <sz val="12"/>
      <name val="等线"/>
      <family val="4"/>
      <charset val="134"/>
    </font>
    <font>
      <sz val="12"/>
      <color rgb="FFFFFFFF"/>
      <name val="等线"/>
      <family val="4"/>
      <charset val="134"/>
    </font>
    <font>
      <b/>
      <i/>
      <sz val="12"/>
      <color theme="4" tint="-0.249977111117893"/>
      <name val="等线"/>
      <family val="4"/>
      <charset val="134"/>
    </font>
    <font>
      <i/>
      <sz val="12"/>
      <color theme="4" tint="-0.249977111117893"/>
      <name val="等线"/>
      <family val="4"/>
      <charset val="134"/>
    </font>
    <font>
      <sz val="12"/>
      <color theme="0"/>
      <name val="等线"/>
      <family val="4"/>
      <charset val="134"/>
    </font>
    <font>
      <sz val="12"/>
      <color rgb="FF666666"/>
      <name val="等线"/>
      <family val="4"/>
      <charset val="134"/>
    </font>
    <font>
      <b/>
      <sz val="15"/>
      <color rgb="FFFFFFFF"/>
      <name val="等线"/>
      <family val="4"/>
      <charset val="134"/>
    </font>
    <font>
      <i/>
      <sz val="11"/>
      <name val="等线"/>
      <family val="4"/>
      <charset val="134"/>
    </font>
    <font>
      <sz val="11"/>
      <name val="等线"/>
      <family val="4"/>
      <charset val="134"/>
    </font>
    <font>
      <b/>
      <sz val="11"/>
      <color rgb="FFFFFFFF"/>
      <name val="等线"/>
      <family val="4"/>
      <charset val="134"/>
    </font>
    <font>
      <b/>
      <sz val="11"/>
      <name val="等线"/>
      <family val="4"/>
      <charset val="134"/>
    </font>
    <font>
      <i/>
      <sz val="12"/>
      <color rgb="FF4E95D9"/>
      <name val="等线"/>
      <family val="4"/>
      <charset val="134"/>
    </font>
    <font>
      <sz val="12"/>
      <color rgb="FFFF0000"/>
      <name val="等线"/>
      <family val="4"/>
      <charset val="134"/>
    </font>
    <font>
      <b/>
      <sz val="12"/>
      <color rgb="FFFF0000"/>
      <name val="等线"/>
      <family val="4"/>
      <charset val="134"/>
    </font>
    <font>
      <i/>
      <sz val="11"/>
      <color rgb="FF1F2937"/>
      <name val="等线"/>
      <family val="4"/>
      <charset val="134"/>
    </font>
    <font>
      <sz val="10"/>
      <color theme="0"/>
      <name val="等线"/>
      <family val="4"/>
      <charset val="134"/>
    </font>
    <font>
      <b/>
      <sz val="11"/>
      <color theme="0"/>
      <name val="等线"/>
      <family val="4"/>
      <charset val="134"/>
    </font>
    <font>
      <b/>
      <sz val="11"/>
      <color rgb="FF1F1F1F"/>
      <name val="等线"/>
      <family val="4"/>
      <charset val="134"/>
    </font>
    <font>
      <sz val="12"/>
      <color theme="1"/>
      <name val="等线"/>
      <family val="4"/>
      <charset val="134"/>
    </font>
    <font>
      <i/>
      <sz val="12"/>
      <color theme="6" tint="-0.249977111117893"/>
      <name val="等线"/>
      <family val="4"/>
      <charset val="134"/>
    </font>
    <font>
      <sz val="10"/>
      <color rgb="FFC00000"/>
      <name val="等线"/>
      <family val="4"/>
      <charset val="134"/>
    </font>
    <font>
      <b/>
      <sz val="409"/>
      <color theme="0"/>
      <name val="等线"/>
      <family val="4"/>
      <charset val="134"/>
    </font>
    <font>
      <sz val="10"/>
      <color rgb="FFFF0000"/>
      <name val="等线"/>
      <family val="4"/>
      <charset val="134"/>
    </font>
    <font>
      <b/>
      <sz val="10.5"/>
      <name val="等线"/>
      <family val="4"/>
      <charset val="134"/>
    </font>
    <font>
      <sz val="10.5"/>
      <name val="等线"/>
      <family val="4"/>
      <charset val="134"/>
    </font>
    <font>
      <sz val="10.5"/>
      <color rgb="FF1F1F1F"/>
      <name val="等线"/>
      <family val="4"/>
      <charset val="134"/>
    </font>
    <font>
      <b/>
      <sz val="10.5"/>
      <color rgb="FF1F1F1F"/>
      <name val="等线"/>
      <family val="4"/>
      <charset val="134"/>
    </font>
    <font>
      <u/>
      <sz val="10.5"/>
      <color rgb="FF0563C1"/>
      <name val="等线"/>
      <family val="4"/>
      <charset val="134"/>
    </font>
    <font>
      <b/>
      <u/>
      <sz val="10.5"/>
      <color rgb="FF0563C1"/>
      <name val="等线"/>
      <family val="4"/>
      <charset val="134"/>
    </font>
    <font>
      <i/>
      <sz val="12"/>
      <color theme="4"/>
      <name val="等线"/>
      <family val="4"/>
      <charset val="134"/>
    </font>
    <font>
      <i/>
      <sz val="10"/>
      <color theme="4"/>
      <name val="等线"/>
      <family val="4"/>
      <charset val="134"/>
    </font>
    <font>
      <b/>
      <i/>
      <sz val="12"/>
      <color rgb="FFFF0000"/>
      <name val="等线 Light"/>
      <family val="4"/>
      <charset val="134"/>
    </font>
    <font>
      <b/>
      <i/>
      <sz val="10"/>
      <color rgb="FFFF0000"/>
      <name val="Linux Libertine G"/>
      <family val="2"/>
    </font>
    <font>
      <b/>
      <i/>
      <sz val="12"/>
      <color rgb="FFFF0000"/>
      <name val="Linux Libertine G"/>
      <family val="2"/>
    </font>
    <font>
      <i/>
      <sz val="12"/>
      <color rgb="FFFF0000"/>
      <name val="等线"/>
      <family val="4"/>
      <charset val="134"/>
    </font>
    <font>
      <b/>
      <sz val="12"/>
      <color theme="9" tint="-0.249977111117893"/>
      <name val="等线"/>
      <family val="4"/>
      <charset val="134"/>
    </font>
    <font>
      <b/>
      <sz val="12"/>
      <color rgb="FFC00000"/>
      <name val="等线"/>
      <family val="4"/>
      <charset val="134"/>
    </font>
    <font>
      <sz val="10.5"/>
      <color rgb="FFFF0000"/>
      <name val="等线"/>
      <family val="4"/>
      <charset val="134"/>
    </font>
    <font>
      <u/>
      <sz val="10.5"/>
      <color rgb="FFFF0000"/>
      <name val="等线"/>
      <family val="4"/>
      <charset val="134"/>
    </font>
    <font>
      <b/>
      <sz val="10.5"/>
      <color rgb="FFFF0000"/>
      <name val="等线"/>
      <family val="4"/>
      <charset val="134"/>
    </font>
    <font>
      <sz val="12"/>
      <color theme="2" tint="-0.249977111117893"/>
      <name val="等线"/>
      <family val="4"/>
      <charset val="134"/>
    </font>
  </fonts>
  <fills count="40">
    <fill>
      <patternFill patternType="none"/>
    </fill>
    <fill>
      <patternFill patternType="gray125"/>
    </fill>
    <fill>
      <patternFill patternType="solid">
        <fgColor rgb="FF17365D"/>
        <bgColor rgb="FF173B5C"/>
      </patternFill>
    </fill>
    <fill>
      <patternFill patternType="solid">
        <fgColor rgb="FFDDEEDB"/>
        <bgColor rgb="FFD9EAD3"/>
      </patternFill>
    </fill>
    <fill>
      <patternFill patternType="solid">
        <fgColor rgb="FF156082"/>
        <bgColor rgb="FF0F5D73"/>
      </patternFill>
    </fill>
    <fill>
      <patternFill patternType="solid">
        <fgColor rgb="FFE7E6E6"/>
        <bgColor rgb="FFE8E8E8"/>
      </patternFill>
    </fill>
    <fill>
      <patternFill patternType="solid">
        <fgColor rgb="FFFFF2CC"/>
        <bgColor rgb="FFFFF7E6"/>
      </patternFill>
    </fill>
    <fill>
      <patternFill patternType="solid">
        <fgColor rgb="FFED7D31"/>
        <bgColor rgb="FFA6A6A6"/>
      </patternFill>
    </fill>
    <fill>
      <patternFill patternType="solid">
        <fgColor rgb="FFD9EAD3"/>
        <bgColor rgb="FFDDEEDB"/>
      </patternFill>
    </fill>
    <fill>
      <patternFill patternType="solid">
        <fgColor rgb="FFCFEBD8"/>
        <bgColor rgb="FFD9EAD3"/>
      </patternFill>
    </fill>
    <fill>
      <patternFill patternType="solid">
        <fgColor theme="9" tint="-0.249977111117893"/>
        <bgColor rgb="FF666666"/>
      </patternFill>
    </fill>
    <fill>
      <patternFill patternType="solid">
        <fgColor rgb="FF0F5D73"/>
        <bgColor rgb="FF156082"/>
      </patternFill>
    </fill>
    <fill>
      <patternFill patternType="solid">
        <fgColor theme="3"/>
        <bgColor rgb="FF1F4E78"/>
      </patternFill>
    </fill>
    <fill>
      <patternFill patternType="solid">
        <fgColor rgb="FFD9EAF2"/>
        <bgColor rgb="FFD9EAF7"/>
      </patternFill>
    </fill>
    <fill>
      <patternFill patternType="solid">
        <fgColor rgb="FF0E2841"/>
        <bgColor rgb="FF0B2A44"/>
      </patternFill>
    </fill>
    <fill>
      <patternFill patternType="solid">
        <fgColor rgb="FFD9EAF7"/>
        <bgColor rgb="FFDCEAF7"/>
      </patternFill>
    </fill>
    <fill>
      <patternFill patternType="solid">
        <fgColor rgb="FF1F4E78"/>
        <bgColor rgb="FF1F4E79"/>
      </patternFill>
    </fill>
    <fill>
      <patternFill patternType="solid">
        <fgColor rgb="FFD9E2F3"/>
        <bgColor rgb="FFD6E1E5"/>
      </patternFill>
    </fill>
    <fill>
      <patternFill patternType="solid">
        <fgColor rgb="FF173B5C"/>
        <bgColor rgb="FF17365D"/>
      </patternFill>
    </fill>
    <fill>
      <patternFill patternType="solid">
        <fgColor rgb="FF0F6A70"/>
        <bgColor rgb="FF0F5D73"/>
      </patternFill>
    </fill>
    <fill>
      <patternFill patternType="solid">
        <fgColor rgb="FFFFFF00"/>
        <bgColor rgb="FFFFF2CC"/>
      </patternFill>
    </fill>
    <fill>
      <patternFill patternType="solid">
        <fgColor theme="4" tint="-0.49989318521683401"/>
        <bgColor rgb="FF1F4E78"/>
      </patternFill>
    </fill>
    <fill>
      <patternFill patternType="solid">
        <fgColor rgb="FFF8F9FA"/>
        <bgColor rgb="FFF7F7F7"/>
      </patternFill>
    </fill>
    <fill>
      <patternFill patternType="solid">
        <fgColor rgb="FFDDEBF7"/>
        <bgColor rgb="FFDCEAF7"/>
      </patternFill>
    </fill>
    <fill>
      <patternFill patternType="solid">
        <fgColor rgb="FFDCEAF7"/>
        <bgColor rgb="FFDDEBF7"/>
      </patternFill>
    </fill>
    <fill>
      <patternFill patternType="solid">
        <fgColor rgb="FFE8E8E8"/>
        <bgColor rgb="FFE7E6E6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/>
        <bgColor rgb="FFD9EAD3"/>
      </patternFill>
    </fill>
    <fill>
      <patternFill patternType="solid">
        <fgColor theme="9" tint="-0.499984740745262"/>
        <bgColor rgb="FFD9EAD3"/>
      </patternFill>
    </fill>
    <fill>
      <patternFill patternType="solid">
        <fgColor rgb="FF17365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/>
        <bgColor indexed="64"/>
      </patternFill>
    </fill>
  </fills>
  <borders count="2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 style="thin">
        <color rgb="FFD9E2F3"/>
      </right>
      <top/>
      <bottom style="thin">
        <color rgb="FFD9E2F3"/>
      </bottom>
      <diagonal/>
    </border>
    <border>
      <left style="thin">
        <color rgb="FFD9E2F3"/>
      </left>
      <right/>
      <top/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9E2F3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/>
      <diagonal/>
    </border>
    <border>
      <left style="thin">
        <color rgb="FFD9E2F3"/>
      </left>
      <right/>
      <top style="thin">
        <color rgb="FFD9E2F3"/>
      </top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D6E1E5"/>
      </left>
      <right style="thin">
        <color rgb="FFD6E1E5"/>
      </right>
      <top style="thin">
        <color rgb="FFD6E1E5"/>
      </top>
      <bottom style="thin">
        <color rgb="FFD6E1E5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 style="thin">
        <color rgb="FFD9D9D9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 style="thin">
        <color theme="2"/>
      </right>
      <top/>
      <bottom/>
      <diagonal/>
    </border>
  </borders>
  <cellStyleXfs count="10">
    <xf numFmtId="0" fontId="0" fillId="0" borderId="0"/>
    <xf numFmtId="0" fontId="1" fillId="0" borderId="0"/>
    <xf numFmtId="0" fontId="1" fillId="0" borderId="0"/>
    <xf numFmtId="0" fontId="2" fillId="0" borderId="0"/>
    <xf numFmtId="0" fontId="1" fillId="0" borderId="0">
      <alignment vertical="center"/>
    </xf>
    <xf numFmtId="0" fontId="3" fillId="0" borderId="0"/>
    <xf numFmtId="0" fontId="1" fillId="0" borderId="0"/>
    <xf numFmtId="9" fontId="2" fillId="0" borderId="0"/>
    <xf numFmtId="0" fontId="4" fillId="0" borderId="0"/>
    <xf numFmtId="43" fontId="25" fillId="0" borderId="0" applyFont="0" applyFill="0" applyBorder="0" applyAlignment="0" applyProtection="0">
      <alignment vertical="center"/>
    </xf>
  </cellStyleXfs>
  <cellXfs count="388">
    <xf numFmtId="0" fontId="0" fillId="0" borderId="0" xfId="0"/>
    <xf numFmtId="0" fontId="5" fillId="0" borderId="0" xfId="5" applyFont="1" applyAlignment="1">
      <alignment vertical="center"/>
    </xf>
    <xf numFmtId="0" fontId="5" fillId="0" borderId="0" xfId="5" applyFont="1" applyAlignment="1">
      <alignment horizontal="left"/>
    </xf>
    <xf numFmtId="0" fontId="8" fillId="0" borderId="0" xfId="5" applyFont="1" applyAlignment="1">
      <alignment horizontal="center" vertical="center"/>
    </xf>
    <xf numFmtId="0" fontId="5" fillId="0" borderId="0" xfId="5" applyFont="1" applyAlignment="1">
      <alignment horizontal="center" vertical="center"/>
    </xf>
    <xf numFmtId="0" fontId="9" fillId="0" borderId="0" xfId="5" applyFont="1" applyAlignment="1">
      <alignment horizontal="right" vertical="center"/>
    </xf>
    <xf numFmtId="0" fontId="9" fillId="0" borderId="0" xfId="5" applyFont="1"/>
    <xf numFmtId="176" fontId="11" fillId="0" borderId="0" xfId="5" applyNumberFormat="1" applyFont="1" applyAlignment="1">
      <alignment horizontal="right" vertical="center"/>
    </xf>
    <xf numFmtId="0" fontId="11" fillId="0" borderId="0" xfId="5" applyFont="1"/>
    <xf numFmtId="4" fontId="7" fillId="0" borderId="0" xfId="5" applyNumberFormat="1" applyFont="1" applyAlignment="1">
      <alignment horizontal="right" vertical="center"/>
    </xf>
    <xf numFmtId="4" fontId="3" fillId="0" borderId="0" xfId="5" applyNumberFormat="1" applyAlignment="1">
      <alignment horizontal="right" vertical="center"/>
    </xf>
    <xf numFmtId="0" fontId="5" fillId="0" borderId="0" xfId="5" applyFont="1" applyAlignment="1">
      <alignment horizontal="right" vertical="center"/>
    </xf>
    <xf numFmtId="0" fontId="5" fillId="0" borderId="0" xfId="5" applyFont="1" applyAlignment="1">
      <alignment vertical="top" wrapText="1"/>
    </xf>
    <xf numFmtId="0" fontId="9" fillId="0" borderId="0" xfId="5" applyFont="1" applyAlignment="1">
      <alignment vertical="center"/>
    </xf>
    <xf numFmtId="0" fontId="12" fillId="0" borderId="0" xfId="6" applyFont="1"/>
    <xf numFmtId="181" fontId="5" fillId="0" borderId="0" xfId="5" applyNumberFormat="1" applyFont="1" applyAlignment="1">
      <alignment vertical="center"/>
    </xf>
    <xf numFmtId="0" fontId="3" fillId="0" borderId="0" xfId="5" applyAlignment="1">
      <alignment vertical="center"/>
    </xf>
    <xf numFmtId="9" fontId="5" fillId="0" borderId="0" xfId="5" applyNumberFormat="1" applyFont="1" applyAlignment="1">
      <alignment vertical="center"/>
    </xf>
    <xf numFmtId="3" fontId="5" fillId="0" borderId="0" xfId="5" applyNumberFormat="1" applyFont="1" applyAlignment="1">
      <alignment vertical="center"/>
    </xf>
    <xf numFmtId="4" fontId="5" fillId="0" borderId="0" xfId="5" applyNumberFormat="1" applyFont="1" applyAlignment="1">
      <alignment vertical="center"/>
    </xf>
    <xf numFmtId="176" fontId="5" fillId="0" borderId="0" xfId="5" applyNumberFormat="1" applyFont="1" applyAlignment="1">
      <alignment vertical="center"/>
    </xf>
    <xf numFmtId="3" fontId="5" fillId="0" borderId="0" xfId="5" applyNumberFormat="1" applyFont="1" applyAlignment="1">
      <alignment horizontal="center" vertical="center"/>
    </xf>
    <xf numFmtId="4" fontId="5" fillId="0" borderId="0" xfId="5" applyNumberFormat="1" applyFont="1" applyAlignment="1">
      <alignment horizontal="center" vertical="center"/>
    </xf>
    <xf numFmtId="181" fontId="5" fillId="0" borderId="0" xfId="5" applyNumberFormat="1" applyFont="1" applyAlignment="1">
      <alignment horizontal="center" vertical="center"/>
    </xf>
    <xf numFmtId="4" fontId="9" fillId="0" borderId="0" xfId="5" applyNumberFormat="1" applyFont="1" applyAlignment="1">
      <alignment horizontal="right" vertical="center"/>
    </xf>
    <xf numFmtId="176" fontId="10" fillId="0" borderId="0" xfId="5" applyNumberFormat="1" applyFont="1" applyAlignment="1">
      <alignment horizontal="center" vertical="center"/>
    </xf>
    <xf numFmtId="4" fontId="5" fillId="0" borderId="0" xfId="5" applyNumberFormat="1" applyFont="1" applyAlignment="1">
      <alignment horizontal="right" vertical="center"/>
    </xf>
    <xf numFmtId="176" fontId="5" fillId="0" borderId="0" xfId="5" applyNumberFormat="1" applyFont="1" applyAlignment="1">
      <alignment horizontal="center" vertical="center"/>
    </xf>
    <xf numFmtId="0" fontId="5" fillId="0" borderId="6" xfId="1" applyFont="1" applyBorder="1" applyAlignment="1">
      <alignment vertical="center" wrapText="1"/>
    </xf>
    <xf numFmtId="0" fontId="5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177" fontId="3" fillId="0" borderId="7" xfId="1" applyNumberFormat="1" applyFont="1" applyBorder="1" applyAlignment="1">
      <alignment vertical="center" wrapText="1"/>
    </xf>
    <xf numFmtId="180" fontId="5" fillId="0" borderId="7" xfId="1" applyNumberFormat="1" applyFont="1" applyBorder="1" applyAlignment="1">
      <alignment vertical="center" wrapText="1"/>
    </xf>
    <xf numFmtId="0" fontId="5" fillId="0" borderId="8" xfId="1" applyFont="1" applyBorder="1" applyAlignment="1">
      <alignment vertical="center" wrapText="1"/>
    </xf>
    <xf numFmtId="0" fontId="5" fillId="0" borderId="9" xfId="1" applyFont="1" applyBorder="1" applyAlignment="1">
      <alignment vertical="center" wrapText="1"/>
    </xf>
    <xf numFmtId="0" fontId="5" fillId="0" borderId="10" xfId="1" applyFont="1" applyBorder="1" applyAlignment="1">
      <alignment vertical="center" wrapText="1"/>
    </xf>
    <xf numFmtId="0" fontId="5" fillId="0" borderId="11" xfId="1" applyFont="1" applyBorder="1" applyAlignment="1">
      <alignment vertical="center" wrapText="1"/>
    </xf>
    <xf numFmtId="177" fontId="3" fillId="0" borderId="10" xfId="1" applyNumberFormat="1" applyFont="1" applyBorder="1" applyAlignment="1">
      <alignment vertical="center" wrapText="1"/>
    </xf>
    <xf numFmtId="180" fontId="5" fillId="0" borderId="10" xfId="1" applyNumberFormat="1" applyFont="1" applyBorder="1" applyAlignment="1">
      <alignment vertical="center" wrapText="1"/>
    </xf>
    <xf numFmtId="10" fontId="0" fillId="0" borderId="0" xfId="0" applyNumberFormat="1"/>
    <xf numFmtId="4" fontId="3" fillId="0" borderId="0" xfId="5" applyNumberFormat="1" applyAlignment="1">
      <alignment vertical="center"/>
    </xf>
    <xf numFmtId="0" fontId="15" fillId="0" borderId="0" xfId="0" applyFont="1"/>
    <xf numFmtId="0" fontId="16" fillId="0" borderId="0" xfId="0" applyFont="1"/>
    <xf numFmtId="0" fontId="17" fillId="2" borderId="0" xfId="5" applyFont="1" applyFill="1"/>
    <xf numFmtId="0" fontId="18" fillId="2" borderId="0" xfId="5" applyFont="1" applyFill="1"/>
    <xf numFmtId="0" fontId="19" fillId="0" borderId="0" xfId="5" applyFont="1" applyAlignment="1">
      <alignment horizontal="center"/>
    </xf>
    <xf numFmtId="0" fontId="19" fillId="4" borderId="0" xfId="5" applyFont="1" applyFill="1" applyAlignment="1">
      <alignment horizontal="center"/>
    </xf>
    <xf numFmtId="0" fontId="20" fillId="0" borderId="0" xfId="5" applyFont="1"/>
    <xf numFmtId="0" fontId="20" fillId="5" borderId="0" xfId="5" applyFont="1" applyFill="1"/>
    <xf numFmtId="4" fontId="20" fillId="5" borderId="0" xfId="5" applyNumberFormat="1" applyFont="1" applyFill="1"/>
    <xf numFmtId="0" fontId="20" fillId="3" borderId="0" xfId="5" applyFont="1" applyFill="1"/>
    <xf numFmtId="4" fontId="20" fillId="3" borderId="0" xfId="5" applyNumberFormat="1" applyFont="1" applyFill="1"/>
    <xf numFmtId="0" fontId="20" fillId="6" borderId="0" xfId="5" applyFont="1" applyFill="1"/>
    <xf numFmtId="176" fontId="20" fillId="6" borderId="0" xfId="5" applyNumberFormat="1" applyFont="1" applyFill="1"/>
    <xf numFmtId="0" fontId="20" fillId="26" borderId="0" xfId="5" applyFont="1" applyFill="1"/>
    <xf numFmtId="4" fontId="20" fillId="26" borderId="0" xfId="5" applyNumberFormat="1" applyFont="1" applyFill="1"/>
    <xf numFmtId="0" fontId="21" fillId="27" borderId="0" xfId="5" applyFont="1" applyFill="1"/>
    <xf numFmtId="4" fontId="21" fillId="27" borderId="0" xfId="5" applyNumberFormat="1" applyFont="1" applyFill="1"/>
    <xf numFmtId="176" fontId="22" fillId="6" borderId="0" xfId="5" applyNumberFormat="1" applyFont="1" applyFill="1"/>
    <xf numFmtId="0" fontId="18" fillId="0" borderId="0" xfId="5" applyFont="1"/>
    <xf numFmtId="4" fontId="18" fillId="0" borderId="0" xfId="5" applyNumberFormat="1" applyFont="1"/>
    <xf numFmtId="0" fontId="23" fillId="0" borderId="0" xfId="5" applyFont="1"/>
    <xf numFmtId="4" fontId="20" fillId="0" borderId="0" xfId="5" applyNumberFormat="1" applyFont="1"/>
    <xf numFmtId="0" fontId="24" fillId="0" borderId="0" xfId="0" applyFont="1"/>
    <xf numFmtId="4" fontId="23" fillId="0" borderId="0" xfId="5" applyNumberFormat="1" applyFont="1"/>
    <xf numFmtId="0" fontId="21" fillId="28" borderId="0" xfId="5" applyFont="1" applyFill="1"/>
    <xf numFmtId="4" fontId="21" fillId="28" borderId="0" xfId="5" applyNumberFormat="1" applyFont="1" applyFill="1"/>
    <xf numFmtId="0" fontId="18" fillId="0" borderId="0" xfId="5" applyFont="1" applyAlignment="1">
      <alignment vertical="center"/>
    </xf>
    <xf numFmtId="0" fontId="18" fillId="0" borderId="0" xfId="5" applyFont="1" applyAlignment="1">
      <alignment horizontal="left"/>
    </xf>
    <xf numFmtId="0" fontId="16" fillId="0" borderId="0" xfId="3" applyFont="1"/>
    <xf numFmtId="0" fontId="4" fillId="0" borderId="0" xfId="8"/>
    <xf numFmtId="0" fontId="18" fillId="0" borderId="0" xfId="5" applyFont="1" applyAlignment="1">
      <alignment vertical="center" wrapText="1"/>
    </xf>
    <xf numFmtId="0" fontId="19" fillId="7" borderId="0" xfId="5" applyFont="1" applyFill="1" applyAlignment="1">
      <alignment horizontal="center" vertical="center"/>
    </xf>
    <xf numFmtId="0" fontId="18" fillId="0" borderId="0" xfId="5" applyFont="1" applyAlignment="1">
      <alignment horizontal="center" vertical="center"/>
    </xf>
    <xf numFmtId="0" fontId="19" fillId="2" borderId="0" xfId="5" applyFont="1" applyFill="1" applyAlignment="1">
      <alignment horizontal="center"/>
    </xf>
    <xf numFmtId="0" fontId="19" fillId="2" borderId="0" xfId="5" applyFont="1" applyFill="1" applyAlignment="1">
      <alignment horizontal="left"/>
    </xf>
    <xf numFmtId="0" fontId="20" fillId="5" borderId="0" xfId="5" applyFont="1" applyFill="1" applyAlignment="1">
      <alignment horizontal="left"/>
    </xf>
    <xf numFmtId="4" fontId="23" fillId="5" borderId="0" xfId="5" applyNumberFormat="1" applyFont="1" applyFill="1" applyAlignment="1">
      <alignment horizontal="right" vertical="center"/>
    </xf>
    <xf numFmtId="4" fontId="20" fillId="8" borderId="0" xfId="5" applyNumberFormat="1" applyFont="1" applyFill="1" applyAlignment="1">
      <alignment horizontal="right" vertical="center"/>
    </xf>
    <xf numFmtId="0" fontId="23" fillId="0" borderId="0" xfId="5" applyFont="1" applyAlignment="1">
      <alignment horizontal="right" vertical="center"/>
    </xf>
    <xf numFmtId="0" fontId="29" fillId="6" borderId="0" xfId="5" applyFont="1" applyFill="1" applyAlignment="1">
      <alignment horizontal="left"/>
    </xf>
    <xf numFmtId="0" fontId="29" fillId="6" borderId="0" xfId="5" applyFont="1" applyFill="1"/>
    <xf numFmtId="176" fontId="30" fillId="6" borderId="0" xfId="5" applyNumberFormat="1" applyFont="1" applyFill="1" applyAlignment="1">
      <alignment horizontal="right" vertical="center"/>
    </xf>
    <xf numFmtId="176" fontId="29" fillId="8" borderId="0" xfId="5" applyNumberFormat="1" applyFont="1" applyFill="1" applyAlignment="1">
      <alignment horizontal="right" vertical="center"/>
    </xf>
    <xf numFmtId="176" fontId="30" fillId="0" borderId="0" xfId="5" applyNumberFormat="1" applyFont="1" applyAlignment="1">
      <alignment horizontal="right" vertical="center"/>
    </xf>
    <xf numFmtId="0" fontId="30" fillId="0" borderId="0" xfId="5" applyFont="1"/>
    <xf numFmtId="4" fontId="20" fillId="5" borderId="0" xfId="5" applyNumberFormat="1" applyFont="1" applyFill="1" applyAlignment="1">
      <alignment horizontal="right" vertical="center"/>
    </xf>
    <xf numFmtId="4" fontId="20" fillId="0" borderId="0" xfId="5" applyNumberFormat="1" applyFont="1" applyAlignment="1">
      <alignment horizontal="right" vertical="center"/>
    </xf>
    <xf numFmtId="0" fontId="29" fillId="9" borderId="0" xfId="5" applyFont="1" applyFill="1" applyAlignment="1">
      <alignment horizontal="left"/>
    </xf>
    <xf numFmtId="0" fontId="29" fillId="9" borderId="0" xfId="5" applyFont="1" applyFill="1"/>
    <xf numFmtId="176" fontId="30" fillId="9" borderId="0" xfId="5" applyNumberFormat="1" applyFont="1" applyFill="1" applyAlignment="1">
      <alignment horizontal="right" vertical="center"/>
    </xf>
    <xf numFmtId="4" fontId="18" fillId="0" borderId="0" xfId="5" applyNumberFormat="1" applyFont="1" applyAlignment="1">
      <alignment horizontal="right" vertical="center"/>
    </xf>
    <xf numFmtId="4" fontId="18" fillId="8" borderId="0" xfId="5" applyNumberFormat="1" applyFont="1" applyFill="1" applyAlignment="1">
      <alignment horizontal="right" vertical="center"/>
    </xf>
    <xf numFmtId="0" fontId="21" fillId="7" borderId="0" xfId="5" applyFont="1" applyFill="1" applyAlignment="1">
      <alignment horizontal="left"/>
    </xf>
    <xf numFmtId="0" fontId="21" fillId="7" borderId="0" xfId="5" applyFont="1" applyFill="1"/>
    <xf numFmtId="4" fontId="31" fillId="7" borderId="0" xfId="5" applyNumberFormat="1" applyFont="1" applyFill="1" applyAlignment="1">
      <alignment horizontal="right" vertical="center"/>
    </xf>
    <xf numFmtId="4" fontId="21" fillId="10" borderId="0" xfId="5" applyNumberFormat="1" applyFont="1" applyFill="1" applyAlignment="1">
      <alignment horizontal="right" vertical="center"/>
    </xf>
    <xf numFmtId="0" fontId="18" fillId="0" borderId="0" xfId="5" applyFont="1" applyAlignment="1">
      <alignment horizontal="right" vertical="center"/>
    </xf>
    <xf numFmtId="0" fontId="20" fillId="0" borderId="0" xfId="5" applyFont="1" applyAlignment="1">
      <alignment horizontal="left"/>
    </xf>
    <xf numFmtId="0" fontId="29" fillId="0" borderId="0" xfId="5" applyFont="1"/>
    <xf numFmtId="4" fontId="18" fillId="5" borderId="0" xfId="5" applyNumberFormat="1" applyFont="1" applyFill="1" applyAlignment="1">
      <alignment horizontal="right" vertical="center"/>
    </xf>
    <xf numFmtId="0" fontId="18" fillId="0" borderId="0" xfId="5" applyFont="1" applyAlignment="1">
      <alignment vertical="top" wrapText="1"/>
    </xf>
    <xf numFmtId="0" fontId="23" fillId="0" borderId="0" xfId="5" applyFont="1" applyAlignment="1">
      <alignment vertical="center"/>
    </xf>
    <xf numFmtId="0" fontId="31" fillId="12" borderId="0" xfId="5" applyFont="1" applyFill="1"/>
    <xf numFmtId="0" fontId="16" fillId="0" borderId="0" xfId="5" applyFont="1" applyAlignment="1">
      <alignment vertical="center"/>
    </xf>
    <xf numFmtId="0" fontId="19" fillId="11" borderId="2" xfId="5" applyFont="1" applyFill="1" applyBorder="1" applyAlignment="1">
      <alignment horizontal="center" vertical="center"/>
    </xf>
    <xf numFmtId="0" fontId="18" fillId="0" borderId="2" xfId="5" applyFont="1" applyBorder="1"/>
    <xf numFmtId="10" fontId="18" fillId="6" borderId="2" xfId="5" applyNumberFormat="1" applyFont="1" applyFill="1" applyBorder="1"/>
    <xf numFmtId="4" fontId="18" fillId="0" borderId="2" xfId="5" applyNumberFormat="1" applyFont="1" applyBorder="1"/>
    <xf numFmtId="10" fontId="18" fillId="0" borderId="2" xfId="5" applyNumberFormat="1" applyFont="1" applyBorder="1"/>
    <xf numFmtId="4" fontId="18" fillId="6" borderId="2" xfId="5" applyNumberFormat="1" applyFont="1" applyFill="1" applyBorder="1"/>
    <xf numFmtId="0" fontId="18" fillId="6" borderId="1" xfId="5" applyFont="1" applyFill="1" applyBorder="1"/>
    <xf numFmtId="176" fontId="18" fillId="6" borderId="1" xfId="5" applyNumberFormat="1" applyFont="1" applyFill="1" applyBorder="1"/>
    <xf numFmtId="0" fontId="35" fillId="0" borderId="0" xfId="6" applyFont="1"/>
    <xf numFmtId="0" fontId="36" fillId="16" borderId="0" xfId="3" applyFont="1" applyFill="1" applyAlignment="1">
      <alignment horizontal="center"/>
    </xf>
    <xf numFmtId="0" fontId="37" fillId="17" borderId="3" xfId="3" applyFont="1" applyFill="1" applyBorder="1" applyAlignment="1">
      <alignment horizontal="center" wrapText="1"/>
    </xf>
    <xf numFmtId="0" fontId="37" fillId="17" borderId="4" xfId="3" applyFont="1" applyFill="1" applyBorder="1" applyAlignment="1">
      <alignment horizontal="center" wrapText="1"/>
    </xf>
    <xf numFmtId="0" fontId="37" fillId="17" borderId="5" xfId="3" applyFont="1" applyFill="1" applyBorder="1" applyAlignment="1">
      <alignment horizontal="center" wrapText="1"/>
    </xf>
    <xf numFmtId="0" fontId="16" fillId="0" borderId="6" xfId="3" applyFont="1" applyBorder="1"/>
    <xf numFmtId="177" fontId="16" fillId="0" borderId="7" xfId="3" applyNumberFormat="1" applyFont="1" applyBorder="1"/>
    <xf numFmtId="178" fontId="16" fillId="0" borderId="7" xfId="3" applyNumberFormat="1" applyFont="1" applyBorder="1"/>
    <xf numFmtId="179" fontId="16" fillId="0" borderId="7" xfId="3" applyNumberFormat="1" applyFont="1" applyBorder="1"/>
    <xf numFmtId="180" fontId="16" fillId="0" borderId="7" xfId="3" applyNumberFormat="1" applyFont="1" applyBorder="1"/>
    <xf numFmtId="179" fontId="16" fillId="0" borderId="8" xfId="3" applyNumberFormat="1" applyFont="1" applyBorder="1"/>
    <xf numFmtId="0" fontId="16" fillId="0" borderId="9" xfId="3" applyFont="1" applyBorder="1"/>
    <xf numFmtId="179" fontId="16" fillId="0" borderId="10" xfId="3" applyNumberFormat="1" applyFont="1" applyBorder="1"/>
    <xf numFmtId="180" fontId="16" fillId="0" borderId="10" xfId="3" applyNumberFormat="1" applyFont="1" applyBorder="1"/>
    <xf numFmtId="177" fontId="16" fillId="0" borderId="10" xfId="3" applyNumberFormat="1" applyFont="1" applyBorder="1"/>
    <xf numFmtId="179" fontId="16" fillId="0" borderId="11" xfId="3" applyNumberFormat="1" applyFont="1" applyBorder="1"/>
    <xf numFmtId="0" fontId="19" fillId="14" borderId="0" xfId="5" applyFont="1" applyFill="1" applyAlignment="1">
      <alignment horizontal="center" vertical="center"/>
    </xf>
    <xf numFmtId="0" fontId="19" fillId="14" borderId="12" xfId="5" applyFont="1" applyFill="1" applyBorder="1" applyAlignment="1">
      <alignment horizontal="center" vertical="center"/>
    </xf>
    <xf numFmtId="0" fontId="19" fillId="14" borderId="13" xfId="5" applyFont="1" applyFill="1" applyBorder="1" applyAlignment="1">
      <alignment horizontal="center" vertical="center"/>
    </xf>
    <xf numFmtId="2" fontId="18" fillId="0" borderId="0" xfId="5" applyNumberFormat="1" applyFont="1" applyAlignment="1">
      <alignment horizontal="center" vertical="center"/>
    </xf>
    <xf numFmtId="0" fontId="18" fillId="0" borderId="14" xfId="5" applyFont="1" applyBorder="1" applyAlignment="1">
      <alignment vertical="center"/>
    </xf>
    <xf numFmtId="0" fontId="38" fillId="0" borderId="14" xfId="5" applyFont="1" applyBorder="1" applyAlignment="1">
      <alignment vertical="center"/>
    </xf>
    <xf numFmtId="0" fontId="38" fillId="0" borderId="14" xfId="5" applyFont="1" applyBorder="1" applyAlignment="1">
      <alignment horizontal="center" vertical="center"/>
    </xf>
    <xf numFmtId="10" fontId="38" fillId="0" borderId="14" xfId="5" applyNumberFormat="1" applyFont="1" applyBorder="1" applyAlignment="1">
      <alignment horizontal="center" vertical="center"/>
    </xf>
    <xf numFmtId="0" fontId="38" fillId="0" borderId="0" xfId="5" applyFont="1" applyAlignment="1">
      <alignment vertical="center"/>
    </xf>
    <xf numFmtId="0" fontId="38" fillId="0" borderId="0" xfId="5" applyFont="1" applyAlignment="1">
      <alignment horizontal="center" vertical="center"/>
    </xf>
    <xf numFmtId="10" fontId="38" fillId="0" borderId="0" xfId="5" applyNumberFormat="1" applyFont="1" applyAlignment="1">
      <alignment horizontal="center" vertical="center"/>
    </xf>
    <xf numFmtId="181" fontId="18" fillId="0" borderId="0" xfId="5" applyNumberFormat="1" applyFont="1" applyAlignment="1">
      <alignment vertical="center"/>
    </xf>
    <xf numFmtId="181" fontId="19" fillId="14" borderId="13" xfId="5" applyNumberFormat="1" applyFont="1" applyFill="1" applyBorder="1" applyAlignment="1">
      <alignment horizontal="center" vertical="center"/>
    </xf>
    <xf numFmtId="181" fontId="18" fillId="0" borderId="0" xfId="5" applyNumberFormat="1" applyFont="1" applyAlignment="1">
      <alignment horizontal="center" vertical="center"/>
    </xf>
    <xf numFmtId="181" fontId="18" fillId="0" borderId="0" xfId="5" applyNumberFormat="1" applyFont="1" applyAlignment="1">
      <alignment horizontal="right" vertical="center"/>
    </xf>
    <xf numFmtId="181" fontId="38" fillId="0" borderId="0" xfId="5" applyNumberFormat="1" applyFont="1" applyAlignment="1">
      <alignment horizontal="center" vertical="center"/>
    </xf>
    <xf numFmtId="10" fontId="38" fillId="0" borderId="0" xfId="5" applyNumberFormat="1" applyFont="1" applyAlignment="1">
      <alignment horizontal="right" vertical="center"/>
    </xf>
    <xf numFmtId="9" fontId="18" fillId="0" borderId="0" xfId="7" applyFont="1" applyAlignment="1">
      <alignment vertical="center"/>
    </xf>
    <xf numFmtId="0" fontId="27" fillId="0" borderId="0" xfId="5" applyFont="1" applyAlignment="1">
      <alignment horizontal="center" vertical="center"/>
    </xf>
    <xf numFmtId="181" fontId="27" fillId="0" borderId="0" xfId="5" applyNumberFormat="1" applyFont="1" applyAlignment="1">
      <alignment horizontal="center" vertical="center"/>
    </xf>
    <xf numFmtId="182" fontId="18" fillId="0" borderId="0" xfId="5" applyNumberFormat="1" applyFont="1" applyAlignment="1">
      <alignment horizontal="center" vertical="center"/>
    </xf>
    <xf numFmtId="182" fontId="18" fillId="0" borderId="0" xfId="5" applyNumberFormat="1" applyFont="1" applyAlignment="1">
      <alignment horizontal="right" vertical="center"/>
    </xf>
    <xf numFmtId="0" fontId="19" fillId="14" borderId="0" xfId="5" applyFont="1" applyFill="1" applyAlignment="1">
      <alignment vertical="center"/>
    </xf>
    <xf numFmtId="181" fontId="19" fillId="14" borderId="0" xfId="5" applyNumberFormat="1" applyFont="1" applyFill="1" applyAlignment="1">
      <alignment vertical="center"/>
    </xf>
    <xf numFmtId="183" fontId="19" fillId="4" borderId="0" xfId="5" applyNumberFormat="1" applyFont="1" applyFill="1" applyAlignment="1">
      <alignment vertical="center"/>
    </xf>
    <xf numFmtId="181" fontId="27" fillId="0" borderId="0" xfId="5" applyNumberFormat="1" applyFont="1" applyAlignment="1">
      <alignment vertical="center"/>
    </xf>
    <xf numFmtId="10" fontId="18" fillId="0" borderId="0" xfId="5" applyNumberFormat="1" applyFont="1" applyAlignment="1">
      <alignment vertical="center"/>
    </xf>
    <xf numFmtId="181" fontId="20" fillId="0" borderId="0" xfId="5" applyNumberFormat="1" applyFont="1" applyAlignment="1">
      <alignment vertical="center"/>
    </xf>
    <xf numFmtId="0" fontId="27" fillId="0" borderId="0" xfId="5" applyFont="1" applyAlignment="1">
      <alignment vertical="center"/>
    </xf>
    <xf numFmtId="0" fontId="40" fillId="0" borderId="0" xfId="5" applyFont="1" applyAlignment="1">
      <alignment vertical="center"/>
    </xf>
    <xf numFmtId="0" fontId="36" fillId="19" borderId="15" xfId="2" applyFont="1" applyFill="1" applyBorder="1" applyAlignment="1">
      <alignment horizontal="center" vertical="center" wrapText="1"/>
    </xf>
    <xf numFmtId="0" fontId="16" fillId="0" borderId="0" xfId="2" applyFont="1" applyAlignment="1">
      <alignment vertical="center"/>
    </xf>
    <xf numFmtId="3" fontId="16" fillId="0" borderId="0" xfId="2" applyNumberFormat="1" applyFont="1" applyAlignment="1">
      <alignment vertical="center"/>
    </xf>
    <xf numFmtId="10" fontId="16" fillId="0" borderId="0" xfId="2" applyNumberFormat="1" applyFont="1" applyAlignment="1">
      <alignment vertical="center"/>
    </xf>
    <xf numFmtId="4" fontId="16" fillId="0" borderId="0" xfId="2" applyNumberFormat="1" applyFont="1" applyAlignment="1">
      <alignment vertical="center"/>
    </xf>
    <xf numFmtId="3" fontId="18" fillId="0" borderId="0" xfId="5" applyNumberFormat="1" applyFont="1" applyAlignment="1">
      <alignment vertical="center"/>
    </xf>
    <xf numFmtId="4" fontId="18" fillId="0" borderId="0" xfId="5" applyNumberFormat="1" applyFont="1" applyAlignment="1">
      <alignment vertical="center"/>
    </xf>
    <xf numFmtId="176" fontId="18" fillId="0" borderId="0" xfId="5" applyNumberFormat="1" applyFont="1" applyAlignment="1">
      <alignment vertical="center"/>
    </xf>
    <xf numFmtId="3" fontId="19" fillId="14" borderId="13" xfId="5" applyNumberFormat="1" applyFont="1" applyFill="1" applyBorder="1" applyAlignment="1">
      <alignment horizontal="center" vertical="center"/>
    </xf>
    <xf numFmtId="4" fontId="19" fillId="14" borderId="13" xfId="5" applyNumberFormat="1" applyFont="1" applyFill="1" applyBorder="1" applyAlignment="1">
      <alignment horizontal="center" vertical="center"/>
    </xf>
    <xf numFmtId="176" fontId="19" fillId="14" borderId="13" xfId="5" applyNumberFormat="1" applyFont="1" applyFill="1" applyBorder="1" applyAlignment="1">
      <alignment horizontal="center" vertical="center"/>
    </xf>
    <xf numFmtId="181" fontId="19" fillId="14" borderId="0" xfId="5" applyNumberFormat="1" applyFont="1" applyFill="1" applyAlignment="1">
      <alignment horizontal="center" vertical="center"/>
    </xf>
    <xf numFmtId="4" fontId="19" fillId="4" borderId="0" xfId="5" applyNumberFormat="1" applyFont="1" applyFill="1" applyAlignment="1">
      <alignment vertical="center"/>
    </xf>
    <xf numFmtId="3" fontId="18" fillId="0" borderId="0" xfId="5" applyNumberFormat="1" applyFont="1" applyAlignment="1">
      <alignment horizontal="center" vertical="center"/>
    </xf>
    <xf numFmtId="4" fontId="18" fillId="0" borderId="0" xfId="5" applyNumberFormat="1" applyFont="1" applyAlignment="1">
      <alignment horizontal="center" vertical="center"/>
    </xf>
    <xf numFmtId="4" fontId="18" fillId="0" borderId="0" xfId="5" applyNumberFormat="1" applyFont="1" applyAlignment="1">
      <alignment horizontal="left" vertical="center"/>
    </xf>
    <xf numFmtId="176" fontId="18" fillId="0" borderId="0" xfId="5" applyNumberFormat="1" applyFont="1" applyAlignment="1">
      <alignment horizontal="center" vertical="center"/>
    </xf>
    <xf numFmtId="4" fontId="23" fillId="0" borderId="0" xfId="5" applyNumberFormat="1" applyFont="1" applyAlignment="1">
      <alignment horizontal="right" vertical="center"/>
    </xf>
    <xf numFmtId="176" fontId="23" fillId="0" borderId="0" xfId="5" applyNumberFormat="1" applyFont="1" applyAlignment="1">
      <alignment horizontal="center" vertical="center"/>
    </xf>
    <xf numFmtId="9" fontId="18" fillId="0" borderId="0" xfId="5" applyNumberFormat="1" applyFont="1" applyAlignment="1">
      <alignment vertical="center"/>
    </xf>
    <xf numFmtId="0" fontId="26" fillId="14" borderId="0" xfId="1" applyFont="1" applyFill="1" applyAlignment="1">
      <alignment vertical="center"/>
    </xf>
    <xf numFmtId="0" fontId="41" fillId="15" borderId="0" xfId="1" applyFont="1" applyFill="1" applyAlignment="1">
      <alignment vertical="center"/>
    </xf>
    <xf numFmtId="0" fontId="41" fillId="15" borderId="0" xfId="1" applyFont="1" applyFill="1" applyAlignment="1">
      <alignment vertical="center" wrapText="1"/>
    </xf>
    <xf numFmtId="0" fontId="36" fillId="16" borderId="0" xfId="1" applyFont="1" applyFill="1" applyAlignment="1">
      <alignment horizontal="center" vertical="center"/>
    </xf>
    <xf numFmtId="0" fontId="43" fillId="16" borderId="0" xfId="1" applyFont="1" applyFill="1" applyAlignment="1">
      <alignment horizontal="center" vertical="center"/>
    </xf>
    <xf numFmtId="0" fontId="44" fillId="17" borderId="3" xfId="1" applyFont="1" applyFill="1" applyBorder="1" applyAlignment="1">
      <alignment horizontal="center" vertical="center" wrapText="1"/>
    </xf>
    <xf numFmtId="0" fontId="44" fillId="17" borderId="4" xfId="1" applyFont="1" applyFill="1" applyBorder="1" applyAlignment="1">
      <alignment horizontal="center" vertical="center" wrapText="1"/>
    </xf>
    <xf numFmtId="0" fontId="44" fillId="17" borderId="5" xfId="1" applyFont="1" applyFill="1" applyBorder="1" applyAlignment="1">
      <alignment horizontal="center" vertical="center" wrapText="1"/>
    </xf>
    <xf numFmtId="0" fontId="18" fillId="0" borderId="6" xfId="1" applyFont="1" applyBorder="1" applyAlignment="1">
      <alignment vertical="center" wrapText="1"/>
    </xf>
    <xf numFmtId="0" fontId="18" fillId="0" borderId="7" xfId="1" applyFont="1" applyBorder="1" applyAlignment="1">
      <alignment vertical="center" wrapText="1"/>
    </xf>
    <xf numFmtId="0" fontId="18" fillId="0" borderId="8" xfId="1" applyFont="1" applyBorder="1" applyAlignment="1">
      <alignment vertical="center" wrapText="1"/>
    </xf>
    <xf numFmtId="177" fontId="18" fillId="0" borderId="7" xfId="1" applyNumberFormat="1" applyFont="1" applyBorder="1" applyAlignment="1">
      <alignment vertical="center" wrapText="1"/>
    </xf>
    <xf numFmtId="180" fontId="18" fillId="0" borderId="7" xfId="1" applyNumberFormat="1" applyFont="1" applyBorder="1" applyAlignment="1">
      <alignment vertical="center" wrapText="1"/>
    </xf>
    <xf numFmtId="0" fontId="19" fillId="14" borderId="0" xfId="5" applyFont="1" applyFill="1" applyAlignment="1">
      <alignment horizontal="left" vertical="center"/>
    </xf>
    <xf numFmtId="0" fontId="28" fillId="0" borderId="0" xfId="5" applyFont="1" applyAlignment="1">
      <alignment horizontal="center" vertical="center"/>
    </xf>
    <xf numFmtId="10" fontId="45" fillId="0" borderId="0" xfId="5" applyNumberFormat="1" applyFont="1" applyAlignment="1">
      <alignment horizontal="center" vertical="center"/>
    </xf>
    <xf numFmtId="0" fontId="28" fillId="0" borderId="0" xfId="5" applyFont="1" applyAlignment="1">
      <alignment vertical="center"/>
    </xf>
    <xf numFmtId="10" fontId="19" fillId="4" borderId="0" xfId="5" applyNumberFormat="1" applyFont="1" applyFill="1" applyAlignment="1">
      <alignment vertical="center"/>
    </xf>
    <xf numFmtId="0" fontId="46" fillId="0" borderId="0" xfId="5" applyFont="1" applyAlignment="1">
      <alignment vertical="center"/>
    </xf>
    <xf numFmtId="10" fontId="46" fillId="0" borderId="0" xfId="5" applyNumberFormat="1" applyFont="1" applyAlignment="1">
      <alignment vertical="center"/>
    </xf>
    <xf numFmtId="10" fontId="23" fillId="0" borderId="0" xfId="5" applyNumberFormat="1" applyFont="1" applyAlignment="1">
      <alignment vertical="center"/>
    </xf>
    <xf numFmtId="0" fontId="17" fillId="21" borderId="16" xfId="5" applyFont="1" applyFill="1" applyBorder="1" applyAlignment="1">
      <alignment vertical="center"/>
    </xf>
    <xf numFmtId="0" fontId="18" fillId="21" borderId="17" xfId="5" applyFont="1" applyFill="1" applyBorder="1"/>
    <xf numFmtId="0" fontId="47" fillId="0" borderId="0" xfId="5" applyFont="1" applyAlignment="1">
      <alignment vertical="top"/>
    </xf>
    <xf numFmtId="0" fontId="21" fillId="21" borderId="16" xfId="5" applyFont="1" applyFill="1" applyBorder="1" applyAlignment="1">
      <alignment horizontal="center" vertical="center" wrapText="1"/>
    </xf>
    <xf numFmtId="0" fontId="48" fillId="21" borderId="16" xfId="5" applyFont="1" applyFill="1" applyBorder="1" applyAlignment="1">
      <alignment horizontal="center" vertical="center" wrapText="1"/>
    </xf>
    <xf numFmtId="183" fontId="21" fillId="21" borderId="16" xfId="5" applyNumberFormat="1" applyFont="1" applyFill="1" applyBorder="1" applyAlignment="1">
      <alignment horizontal="center" vertical="center" wrapText="1"/>
    </xf>
    <xf numFmtId="0" fontId="24" fillId="22" borderId="16" xfId="5" applyFont="1" applyFill="1" applyBorder="1" applyAlignment="1">
      <alignment horizontal="left" vertical="center" wrapText="1"/>
    </xf>
    <xf numFmtId="0" fontId="16" fillId="22" borderId="16" xfId="5" applyFont="1" applyFill="1" applyBorder="1" applyAlignment="1">
      <alignment horizontal="left" vertical="center" wrapText="1"/>
    </xf>
    <xf numFmtId="2" fontId="16" fillId="6" borderId="16" xfId="5" applyNumberFormat="1" applyFont="1" applyFill="1" applyBorder="1" applyAlignment="1">
      <alignment horizontal="center" vertical="center" wrapText="1"/>
    </xf>
    <xf numFmtId="2" fontId="49" fillId="6" borderId="16" xfId="5" applyNumberFormat="1" applyFont="1" applyFill="1" applyBorder="1" applyAlignment="1">
      <alignment horizontal="center" vertical="center" wrapText="1"/>
    </xf>
    <xf numFmtId="2" fontId="16" fillId="0" borderId="16" xfId="5" applyNumberFormat="1" applyFont="1" applyBorder="1" applyAlignment="1">
      <alignment horizontal="center" vertical="center" wrapText="1"/>
    </xf>
    <xf numFmtId="10" fontId="16" fillId="23" borderId="16" xfId="5" applyNumberFormat="1" applyFont="1" applyFill="1" applyBorder="1" applyAlignment="1">
      <alignment horizontal="center" vertical="center" wrapText="1"/>
    </xf>
    <xf numFmtId="10" fontId="49" fillId="23" borderId="16" xfId="5" applyNumberFormat="1" applyFont="1" applyFill="1" applyBorder="1" applyAlignment="1">
      <alignment horizontal="center" vertical="center" wrapText="1"/>
    </xf>
    <xf numFmtId="10" fontId="16" fillId="0" borderId="16" xfId="5" applyNumberFormat="1" applyFont="1" applyBorder="1" applyAlignment="1">
      <alignment horizontal="center" vertical="center" wrapText="1"/>
    </xf>
    <xf numFmtId="2" fontId="18" fillId="0" borderId="0" xfId="5" applyNumberFormat="1" applyFont="1" applyAlignment="1">
      <alignment vertical="center"/>
    </xf>
    <xf numFmtId="0" fontId="19" fillId="14" borderId="12" xfId="5" applyFont="1" applyFill="1" applyBorder="1" applyAlignment="1">
      <alignment horizontal="left" vertical="center"/>
    </xf>
    <xf numFmtId="0" fontId="19" fillId="14" borderId="13" xfId="5" applyFont="1" applyFill="1" applyBorder="1" applyAlignment="1">
      <alignment horizontal="left" vertical="center"/>
    </xf>
    <xf numFmtId="0" fontId="23" fillId="24" borderId="0" xfId="5" applyFont="1" applyFill="1" applyAlignment="1">
      <alignment vertical="center"/>
    </xf>
    <xf numFmtId="4" fontId="23" fillId="24" borderId="0" xfId="5" applyNumberFormat="1" applyFont="1" applyFill="1" applyAlignment="1">
      <alignment vertical="center"/>
    </xf>
    <xf numFmtId="4" fontId="23" fillId="0" borderId="0" xfId="5" applyNumberFormat="1" applyFont="1" applyAlignment="1">
      <alignment vertical="center"/>
    </xf>
    <xf numFmtId="10" fontId="38" fillId="0" borderId="0" xfId="5" applyNumberFormat="1" applyFont="1" applyAlignment="1">
      <alignment vertical="center"/>
    </xf>
    <xf numFmtId="4" fontId="40" fillId="0" borderId="0" xfId="5" applyNumberFormat="1" applyFont="1" applyAlignment="1">
      <alignment vertical="center"/>
    </xf>
    <xf numFmtId="0" fontId="23" fillId="25" borderId="0" xfId="5" applyFont="1" applyFill="1" applyAlignment="1">
      <alignment vertical="center"/>
    </xf>
    <xf numFmtId="4" fontId="23" fillId="25" borderId="0" xfId="5" applyNumberFormat="1" applyFont="1" applyFill="1" applyAlignment="1">
      <alignment vertical="center"/>
    </xf>
    <xf numFmtId="0" fontId="23" fillId="14" borderId="0" xfId="5" applyFont="1" applyFill="1" applyAlignment="1">
      <alignment vertical="center"/>
    </xf>
    <xf numFmtId="4" fontId="19" fillId="14" borderId="0" xfId="5" applyNumberFormat="1" applyFont="1" applyFill="1" applyAlignment="1">
      <alignment vertical="center"/>
    </xf>
    <xf numFmtId="0" fontId="19" fillId="0" borderId="0" xfId="5" applyFont="1" applyAlignment="1">
      <alignment horizontal="center" vertical="center"/>
    </xf>
    <xf numFmtId="0" fontId="19" fillId="11" borderId="0" xfId="5" applyFont="1" applyFill="1" applyAlignment="1">
      <alignment horizontal="center" vertical="center"/>
    </xf>
    <xf numFmtId="0" fontId="19" fillId="0" borderId="0" xfId="5" applyFont="1"/>
    <xf numFmtId="0" fontId="19" fillId="0" borderId="0" xfId="5" applyFont="1" applyAlignment="1">
      <alignment horizontal="left" vertical="center"/>
    </xf>
    <xf numFmtId="183" fontId="19" fillId="0" borderId="0" xfId="5" applyNumberFormat="1" applyFont="1" applyAlignment="1">
      <alignment vertical="center"/>
    </xf>
    <xf numFmtId="4" fontId="19" fillId="0" borderId="0" xfId="5" applyNumberFormat="1" applyFont="1" applyAlignment="1">
      <alignment vertical="center"/>
    </xf>
    <xf numFmtId="0" fontId="21" fillId="14" borderId="0" xfId="5" applyFont="1" applyFill="1" applyAlignment="1">
      <alignment vertical="center"/>
    </xf>
    <xf numFmtId="0" fontId="31" fillId="0" borderId="0" xfId="5" applyFont="1" applyAlignment="1">
      <alignment vertical="center"/>
    </xf>
    <xf numFmtId="4" fontId="21" fillId="14" borderId="0" xfId="5" applyNumberFormat="1" applyFont="1" applyFill="1" applyAlignment="1">
      <alignment vertical="center"/>
    </xf>
    <xf numFmtId="4" fontId="31" fillId="0" borderId="0" xfId="5" applyNumberFormat="1" applyFont="1" applyAlignment="1">
      <alignment vertical="center"/>
    </xf>
    <xf numFmtId="0" fontId="19" fillId="2" borderId="1" xfId="5" applyFont="1" applyFill="1" applyBorder="1" applyAlignment="1">
      <alignment horizontal="center"/>
    </xf>
    <xf numFmtId="0" fontId="18" fillId="0" borderId="1" xfId="5" applyFont="1" applyBorder="1"/>
    <xf numFmtId="4" fontId="18" fillId="0" borderId="1" xfId="5" applyNumberFormat="1" applyFont="1" applyBorder="1"/>
    <xf numFmtId="176" fontId="18" fillId="0" borderId="1" xfId="5" applyNumberFormat="1" applyFont="1" applyBorder="1"/>
    <xf numFmtId="0" fontId="50" fillId="30" borderId="0" xfId="5" applyFont="1" applyFill="1" applyAlignment="1">
      <alignment vertical="center"/>
    </xf>
    <xf numFmtId="0" fontId="51" fillId="30" borderId="0" xfId="3" applyFont="1" applyFill="1" applyAlignment="1">
      <alignment vertical="center"/>
    </xf>
    <xf numFmtId="0" fontId="16" fillId="0" borderId="0" xfId="0" applyFont="1" applyAlignment="1">
      <alignment vertical="center"/>
    </xf>
    <xf numFmtId="0" fontId="18" fillId="0" borderId="0" xfId="5" applyFont="1" applyAlignment="1">
      <alignment horizontal="left" vertical="center"/>
    </xf>
    <xf numFmtId="0" fontId="51" fillId="30" borderId="0" xfId="0" applyFont="1" applyFill="1" applyAlignment="1">
      <alignment vertical="center"/>
    </xf>
    <xf numFmtId="0" fontId="36" fillId="29" borderId="19" xfId="5" applyFont="1" applyFill="1" applyBorder="1" applyAlignment="1">
      <alignment horizontal="center" vertical="center"/>
    </xf>
    <xf numFmtId="0" fontId="36" fillId="29" borderId="19" xfId="0" applyFont="1" applyFill="1" applyBorder="1" applyAlignment="1">
      <alignment horizontal="center" vertical="center"/>
    </xf>
    <xf numFmtId="0" fontId="52" fillId="32" borderId="19" xfId="5" applyFont="1" applyFill="1" applyBorder="1" applyAlignment="1">
      <alignment horizontal="center" vertical="center" wrapText="1"/>
    </xf>
    <xf numFmtId="0" fontId="54" fillId="32" borderId="19" xfId="8" applyFont="1" applyFill="1" applyBorder="1" applyAlignment="1">
      <alignment vertical="center"/>
    </xf>
    <xf numFmtId="0" fontId="52" fillId="32" borderId="19" xfId="5" applyFont="1" applyFill="1" applyBorder="1" applyAlignment="1">
      <alignment horizontal="left" vertical="center" wrapText="1"/>
    </xf>
    <xf numFmtId="0" fontId="54" fillId="32" borderId="19" xfId="8" applyFont="1" applyFill="1" applyBorder="1" applyAlignment="1">
      <alignment horizontal="center" vertical="center"/>
    </xf>
    <xf numFmtId="0" fontId="54" fillId="32" borderId="19" xfId="5" applyFont="1" applyFill="1" applyBorder="1" applyAlignment="1">
      <alignment horizontal="center" vertical="center" wrapText="1"/>
    </xf>
    <xf numFmtId="0" fontId="53" fillId="31" borderId="19" xfId="5" applyFont="1" applyFill="1" applyBorder="1" applyAlignment="1">
      <alignment horizontal="center" vertical="center"/>
    </xf>
    <xf numFmtId="0" fontId="55" fillId="31" borderId="19" xfId="8" applyFont="1" applyFill="1" applyBorder="1" applyAlignment="1">
      <alignment vertical="center"/>
    </xf>
    <xf numFmtId="0" fontId="53" fillId="31" borderId="19" xfId="5" applyFont="1" applyFill="1" applyBorder="1" applyAlignment="1">
      <alignment horizontal="left" vertical="center" wrapText="1"/>
    </xf>
    <xf numFmtId="0" fontId="55" fillId="31" borderId="19" xfId="8" applyFont="1" applyFill="1" applyBorder="1" applyAlignment="1">
      <alignment horizontal="center" vertical="center"/>
    </xf>
    <xf numFmtId="0" fontId="53" fillId="31" borderId="19" xfId="5" applyFont="1" applyFill="1" applyBorder="1" applyAlignment="1">
      <alignment horizontal="center" vertical="center" wrapText="1"/>
    </xf>
    <xf numFmtId="0" fontId="52" fillId="33" borderId="19" xfId="5" applyFont="1" applyFill="1" applyBorder="1" applyAlignment="1">
      <alignment horizontal="center" vertical="center" wrapText="1"/>
    </xf>
    <xf numFmtId="0" fontId="54" fillId="33" borderId="19" xfId="8" applyFont="1" applyFill="1" applyBorder="1" applyAlignment="1">
      <alignment vertical="center"/>
    </xf>
    <xf numFmtId="0" fontId="52" fillId="33" borderId="19" xfId="5" applyFont="1" applyFill="1" applyBorder="1" applyAlignment="1">
      <alignment horizontal="left" vertical="center" wrapText="1"/>
    </xf>
    <xf numFmtId="0" fontId="54" fillId="33" borderId="19" xfId="8" applyFont="1" applyFill="1" applyBorder="1" applyAlignment="1">
      <alignment horizontal="center" vertical="center"/>
    </xf>
    <xf numFmtId="0" fontId="54" fillId="33" borderId="19" xfId="5" applyFont="1" applyFill="1" applyBorder="1" applyAlignment="1">
      <alignment horizontal="center" vertical="center" wrapText="1"/>
    </xf>
    <xf numFmtId="0" fontId="52" fillId="34" borderId="19" xfId="5" applyFont="1" applyFill="1" applyBorder="1" applyAlignment="1">
      <alignment horizontal="center" vertical="center" wrapText="1"/>
    </xf>
    <xf numFmtId="0" fontId="54" fillId="34" borderId="19" xfId="8" applyFont="1" applyFill="1" applyBorder="1" applyAlignment="1">
      <alignment vertical="center"/>
    </xf>
    <xf numFmtId="0" fontId="52" fillId="34" borderId="19" xfId="5" applyFont="1" applyFill="1" applyBorder="1" applyAlignment="1">
      <alignment horizontal="left" vertical="center" wrapText="1"/>
    </xf>
    <xf numFmtId="0" fontId="54" fillId="34" borderId="19" xfId="8" applyFont="1" applyFill="1" applyBorder="1" applyAlignment="1">
      <alignment horizontal="center" vertical="center"/>
    </xf>
    <xf numFmtId="0" fontId="54" fillId="34" borderId="19" xfId="5" applyFont="1" applyFill="1" applyBorder="1" applyAlignment="1">
      <alignment horizontal="center" vertical="center" wrapText="1"/>
    </xf>
    <xf numFmtId="0" fontId="52" fillId="35" borderId="19" xfId="5" applyFont="1" applyFill="1" applyBorder="1" applyAlignment="1">
      <alignment horizontal="center" vertical="center" wrapText="1"/>
    </xf>
    <xf numFmtId="0" fontId="54" fillId="35" borderId="19" xfId="8" applyFont="1" applyFill="1" applyBorder="1" applyAlignment="1">
      <alignment vertical="center"/>
    </xf>
    <xf numFmtId="0" fontId="52" fillId="35" borderId="19" xfId="5" applyFont="1" applyFill="1" applyBorder="1" applyAlignment="1">
      <alignment horizontal="left" vertical="center" wrapText="1"/>
    </xf>
    <xf numFmtId="0" fontId="54" fillId="35" borderId="19" xfId="8" applyFont="1" applyFill="1" applyBorder="1" applyAlignment="1">
      <alignment horizontal="center" vertical="center"/>
    </xf>
    <xf numFmtId="0" fontId="54" fillId="35" borderId="19" xfId="5" applyFont="1" applyFill="1" applyBorder="1" applyAlignment="1">
      <alignment horizontal="center" vertical="center" wrapText="1"/>
    </xf>
    <xf numFmtId="0" fontId="54" fillId="31" borderId="19" xfId="5" applyFont="1" applyFill="1" applyBorder="1" applyAlignment="1">
      <alignment horizontal="center" vertical="center"/>
    </xf>
    <xf numFmtId="0" fontId="54" fillId="31" borderId="19" xfId="5" applyFont="1" applyFill="1" applyBorder="1" applyAlignment="1">
      <alignment horizontal="center" vertical="center" wrapText="1"/>
    </xf>
    <xf numFmtId="0" fontId="23" fillId="36" borderId="0" xfId="5" applyFont="1" applyFill="1" applyAlignment="1">
      <alignment vertical="center"/>
    </xf>
    <xf numFmtId="0" fontId="18" fillId="36" borderId="0" xfId="5" applyFont="1" applyFill="1" applyAlignment="1">
      <alignment horizontal="center" vertical="center"/>
    </xf>
    <xf numFmtId="181" fontId="23" fillId="36" borderId="0" xfId="5" applyNumberFormat="1" applyFont="1" applyFill="1" applyAlignment="1">
      <alignment vertical="center"/>
    </xf>
    <xf numFmtId="181" fontId="23" fillId="37" borderId="0" xfId="5" applyNumberFormat="1" applyFont="1" applyFill="1" applyAlignment="1">
      <alignment vertical="center"/>
    </xf>
    <xf numFmtId="10" fontId="57" fillId="0" borderId="0" xfId="7" applyNumberFormat="1" applyFont="1"/>
    <xf numFmtId="0" fontId="4" fillId="0" borderId="0" xfId="8" applyAlignment="1">
      <alignment horizontal="left"/>
    </xf>
    <xf numFmtId="0" fontId="32" fillId="0" borderId="0" xfId="5" applyFont="1" applyAlignment="1">
      <alignment horizontal="left"/>
    </xf>
    <xf numFmtId="0" fontId="16" fillId="0" borderId="0" xfId="0" applyFont="1" applyAlignment="1">
      <alignment horizontal="left"/>
    </xf>
    <xf numFmtId="0" fontId="19" fillId="11" borderId="2" xfId="5" applyFont="1" applyFill="1" applyBorder="1" applyAlignment="1">
      <alignment horizontal="left" vertical="center"/>
    </xf>
    <xf numFmtId="0" fontId="18" fillId="0" borderId="2" xfId="5" applyFont="1" applyBorder="1" applyAlignment="1">
      <alignment horizontal="left"/>
    </xf>
    <xf numFmtId="0" fontId="20" fillId="13" borderId="0" xfId="5" applyFont="1" applyFill="1" applyAlignment="1">
      <alignment horizontal="left"/>
    </xf>
    <xf numFmtId="0" fontId="18" fillId="6" borderId="1" xfId="5" applyFont="1" applyFill="1" applyBorder="1" applyAlignment="1">
      <alignment horizontal="left"/>
    </xf>
    <xf numFmtId="0" fontId="0" fillId="0" borderId="0" xfId="0" applyAlignment="1">
      <alignment horizontal="left"/>
    </xf>
    <xf numFmtId="0" fontId="27" fillId="0" borderId="0" xfId="0" applyFont="1"/>
    <xf numFmtId="10" fontId="27" fillId="0" borderId="0" xfId="0" applyNumberFormat="1" applyFont="1"/>
    <xf numFmtId="4" fontId="13" fillId="0" borderId="0" xfId="5" applyNumberFormat="1" applyFont="1" applyAlignment="1">
      <alignment vertical="center"/>
    </xf>
    <xf numFmtId="181" fontId="23" fillId="0" borderId="0" xfId="5" applyNumberFormat="1" applyFont="1" applyAlignment="1">
      <alignment vertical="center"/>
    </xf>
    <xf numFmtId="181" fontId="23" fillId="38" borderId="0" xfId="5" applyNumberFormat="1" applyFont="1" applyFill="1" applyAlignment="1">
      <alignment vertical="center"/>
    </xf>
    <xf numFmtId="0" fontId="23" fillId="38" borderId="0" xfId="5" applyFont="1" applyFill="1" applyAlignment="1">
      <alignment vertical="center"/>
    </xf>
    <xf numFmtId="0" fontId="24" fillId="38" borderId="0" xfId="0" applyFont="1" applyFill="1"/>
    <xf numFmtId="0" fontId="23" fillId="38" borderId="0" xfId="5" applyFont="1" applyFill="1" applyAlignment="1">
      <alignment horizontal="center" vertical="center"/>
    </xf>
    <xf numFmtId="0" fontId="23" fillId="37" borderId="0" xfId="5" applyFont="1" applyFill="1" applyAlignment="1">
      <alignment vertical="center"/>
    </xf>
    <xf numFmtId="0" fontId="24" fillId="37" borderId="0" xfId="0" applyFont="1" applyFill="1"/>
    <xf numFmtId="0" fontId="23" fillId="37" borderId="0" xfId="5" applyFont="1" applyFill="1" applyAlignment="1">
      <alignment horizontal="center" vertical="center"/>
    </xf>
    <xf numFmtId="10" fontId="56" fillId="0" borderId="0" xfId="5" applyNumberFormat="1" applyFont="1" applyAlignment="1">
      <alignment vertical="center"/>
    </xf>
    <xf numFmtId="0" fontId="58" fillId="0" borderId="0" xfId="5" applyFont="1" applyAlignment="1">
      <alignment vertical="center"/>
    </xf>
    <xf numFmtId="0" fontId="59" fillId="0" borderId="0" xfId="0" applyFont="1"/>
    <xf numFmtId="0" fontId="60" fillId="0" borderId="0" xfId="5" applyFont="1" applyAlignment="1">
      <alignment horizontal="center" vertical="center"/>
    </xf>
    <xf numFmtId="43" fontId="18" fillId="0" borderId="0" xfId="9" applyFont="1" applyAlignment="1">
      <alignment vertical="center"/>
    </xf>
    <xf numFmtId="10" fontId="56" fillId="0" borderId="0" xfId="5" applyNumberFormat="1" applyFont="1" applyAlignment="1">
      <alignment horizontal="right" vertical="center"/>
    </xf>
    <xf numFmtId="181" fontId="62" fillId="0" borderId="0" xfId="5" applyNumberFormat="1" applyFont="1" applyAlignment="1">
      <alignment vertical="center"/>
    </xf>
    <xf numFmtId="181" fontId="63" fillId="0" borderId="0" xfId="5" applyNumberFormat="1" applyFont="1" applyAlignment="1">
      <alignment vertical="center"/>
    </xf>
    <xf numFmtId="181" fontId="21" fillId="39" borderId="0" xfId="5" applyNumberFormat="1" applyFont="1" applyFill="1" applyAlignment="1">
      <alignment vertical="center"/>
    </xf>
    <xf numFmtId="0" fontId="21" fillId="39" borderId="0" xfId="5" applyFont="1" applyFill="1" applyAlignment="1">
      <alignment vertical="center"/>
    </xf>
    <xf numFmtId="184" fontId="61" fillId="0" borderId="0" xfId="9" applyNumberFormat="1" applyFont="1" applyAlignment="1">
      <alignment vertical="center"/>
    </xf>
    <xf numFmtId="0" fontId="23" fillId="0" borderId="20" xfId="5" applyFont="1" applyBorder="1" applyAlignment="1">
      <alignment vertical="center"/>
    </xf>
    <xf numFmtId="181" fontId="18" fillId="0" borderId="20" xfId="5" applyNumberFormat="1" applyFont="1" applyBorder="1" applyAlignment="1">
      <alignment vertical="center"/>
    </xf>
    <xf numFmtId="10" fontId="56" fillId="0" borderId="20" xfId="5" applyNumberFormat="1" applyFont="1" applyBorder="1" applyAlignment="1">
      <alignment vertical="center"/>
    </xf>
    <xf numFmtId="181" fontId="62" fillId="0" borderId="20" xfId="5" applyNumberFormat="1" applyFont="1" applyBorder="1" applyAlignment="1">
      <alignment vertical="center"/>
    </xf>
    <xf numFmtId="181" fontId="63" fillId="0" borderId="20" xfId="5" applyNumberFormat="1" applyFont="1" applyBorder="1" applyAlignment="1">
      <alignment vertical="center"/>
    </xf>
    <xf numFmtId="184" fontId="61" fillId="0" borderId="20" xfId="9" applyNumberFormat="1" applyFont="1" applyBorder="1" applyAlignment="1">
      <alignment vertical="center"/>
    </xf>
    <xf numFmtId="43" fontId="18" fillId="0" borderId="20" xfId="9" applyFont="1" applyBorder="1" applyAlignment="1">
      <alignment vertical="center"/>
    </xf>
    <xf numFmtId="10" fontId="56" fillId="0" borderId="20" xfId="5" applyNumberFormat="1" applyFont="1" applyBorder="1" applyAlignment="1">
      <alignment horizontal="right" vertical="center"/>
    </xf>
    <xf numFmtId="181" fontId="39" fillId="0" borderId="20" xfId="5" applyNumberFormat="1" applyFont="1" applyBorder="1" applyAlignment="1">
      <alignment vertical="center"/>
    </xf>
    <xf numFmtId="183" fontId="19" fillId="4" borderId="20" xfId="5" applyNumberFormat="1" applyFont="1" applyFill="1" applyBorder="1" applyAlignment="1">
      <alignment vertical="center"/>
    </xf>
    <xf numFmtId="181" fontId="21" fillId="39" borderId="20" xfId="5" applyNumberFormat="1" applyFont="1" applyFill="1" applyBorder="1" applyAlignment="1">
      <alignment vertical="center"/>
    </xf>
    <xf numFmtId="0" fontId="56" fillId="0" borderId="0" xfId="5" applyFont="1" applyAlignment="1">
      <alignment vertical="center"/>
    </xf>
    <xf numFmtId="0" fontId="31" fillId="14" borderId="0" xfId="5" applyFont="1" applyFill="1" applyAlignment="1">
      <alignment vertical="center"/>
    </xf>
    <xf numFmtId="2" fontId="27" fillId="0" borderId="0" xfId="3" applyNumberFormat="1" applyFont="1"/>
    <xf numFmtId="10" fontId="27" fillId="0" borderId="0" xfId="3" applyNumberFormat="1" applyFont="1"/>
    <xf numFmtId="0" fontId="64" fillId="33" borderId="19" xfId="5" applyFont="1" applyFill="1" applyBorder="1" applyAlignment="1">
      <alignment horizontal="center" vertical="center" wrapText="1"/>
    </xf>
    <xf numFmtId="0" fontId="65" fillId="33" borderId="19" xfId="8" applyFont="1" applyFill="1" applyBorder="1" applyAlignment="1">
      <alignment vertical="center"/>
    </xf>
    <xf numFmtId="0" fontId="64" fillId="33" borderId="19" xfId="5" applyFont="1" applyFill="1" applyBorder="1" applyAlignment="1">
      <alignment horizontal="left" vertical="center" wrapText="1"/>
    </xf>
    <xf numFmtId="0" fontId="65" fillId="33" borderId="19" xfId="8" applyFont="1" applyFill="1" applyBorder="1" applyAlignment="1">
      <alignment horizontal="center" vertical="center"/>
    </xf>
    <xf numFmtId="0" fontId="65" fillId="33" borderId="19" xfId="5" applyFont="1" applyFill="1" applyBorder="1" applyAlignment="1">
      <alignment horizontal="center" vertical="center" wrapText="1"/>
    </xf>
    <xf numFmtId="176" fontId="20" fillId="0" borderId="0" xfId="5" applyNumberFormat="1" applyFont="1"/>
    <xf numFmtId="4" fontId="21" fillId="0" borderId="0" xfId="5" applyNumberFormat="1" applyFont="1"/>
    <xf numFmtId="176" fontId="22" fillId="0" borderId="0" xfId="5" applyNumberFormat="1" applyFont="1"/>
    <xf numFmtId="0" fontId="21" fillId="0" borderId="0" xfId="5" applyFont="1"/>
    <xf numFmtId="0" fontId="40" fillId="0" borderId="0" xfId="8" applyFont="1"/>
    <xf numFmtId="0" fontId="66" fillId="30" borderId="0" xfId="5" applyFont="1" applyFill="1" applyAlignment="1">
      <alignment vertical="center"/>
    </xf>
    <xf numFmtId="0" fontId="4" fillId="0" borderId="0" xfId="8" applyAlignment="1">
      <alignment vertical="center"/>
    </xf>
    <xf numFmtId="0" fontId="27" fillId="0" borderId="0" xfId="0" applyFont="1" applyAlignment="1">
      <alignment vertical="center"/>
    </xf>
    <xf numFmtId="0" fontId="39" fillId="0" borderId="0" xfId="5" applyFont="1" applyAlignment="1">
      <alignment vertical="center"/>
    </xf>
    <xf numFmtId="0" fontId="27" fillId="0" borderId="0" xfId="3" applyFont="1" applyAlignment="1">
      <alignment vertical="center"/>
    </xf>
    <xf numFmtId="0" fontId="27" fillId="0" borderId="0" xfId="0" applyFont="1" applyAlignment="1">
      <alignment horizontal="right" vertical="center"/>
    </xf>
    <xf numFmtId="10" fontId="45" fillId="0" borderId="0" xfId="5" applyNumberFormat="1" applyFont="1" applyAlignment="1">
      <alignment horizontal="right" vertical="center"/>
    </xf>
    <xf numFmtId="0" fontId="45" fillId="0" borderId="0" xfId="5" applyFont="1" applyAlignment="1">
      <alignment horizontal="right" vertical="center"/>
    </xf>
    <xf numFmtId="10" fontId="19" fillId="4" borderId="0" xfId="5" applyNumberFormat="1" applyFont="1" applyFill="1" applyAlignment="1">
      <alignment horizontal="right" vertical="center"/>
    </xf>
    <xf numFmtId="183" fontId="19" fillId="4" borderId="0" xfId="5" applyNumberFormat="1" applyFont="1" applyFill="1" applyAlignment="1">
      <alignment horizontal="right" vertical="center"/>
    </xf>
    <xf numFmtId="0" fontId="27" fillId="0" borderId="0" xfId="5" applyFont="1" applyAlignment="1">
      <alignment horizontal="right" vertical="center"/>
    </xf>
    <xf numFmtId="0" fontId="46" fillId="0" borderId="0" xfId="5" applyFont="1" applyAlignment="1">
      <alignment horizontal="right" vertical="center"/>
    </xf>
    <xf numFmtId="10" fontId="46" fillId="0" borderId="0" xfId="5" applyNumberFormat="1" applyFont="1" applyAlignment="1">
      <alignment horizontal="right" vertical="center"/>
    </xf>
    <xf numFmtId="10" fontId="27" fillId="0" borderId="0" xfId="5" applyNumberFormat="1" applyFont="1" applyAlignment="1">
      <alignment horizontal="right" vertical="center"/>
    </xf>
    <xf numFmtId="10" fontId="18" fillId="0" borderId="0" xfId="5" applyNumberFormat="1" applyFont="1" applyAlignment="1">
      <alignment horizontal="right" vertical="center"/>
    </xf>
    <xf numFmtId="176" fontId="18" fillId="0" borderId="0" xfId="5" applyNumberFormat="1" applyFont="1" applyAlignment="1">
      <alignment horizontal="right" vertical="center"/>
    </xf>
    <xf numFmtId="10" fontId="39" fillId="20" borderId="0" xfId="5" applyNumberFormat="1" applyFont="1" applyFill="1" applyAlignment="1">
      <alignment horizontal="right" vertical="center"/>
    </xf>
    <xf numFmtId="10" fontId="23" fillId="0" borderId="0" xfId="5" applyNumberFormat="1" applyFont="1" applyAlignment="1">
      <alignment horizontal="right" vertical="center"/>
    </xf>
    <xf numFmtId="176" fontId="23" fillId="0" borderId="0" xfId="5" applyNumberFormat="1" applyFont="1" applyAlignment="1">
      <alignment horizontal="right" vertical="center"/>
    </xf>
    <xf numFmtId="10" fontId="40" fillId="20" borderId="0" xfId="5" applyNumberFormat="1" applyFont="1" applyFill="1" applyAlignment="1">
      <alignment horizontal="right" vertical="center"/>
    </xf>
    <xf numFmtId="10" fontId="27" fillId="0" borderId="0" xfId="7" applyNumberFormat="1" applyFont="1" applyAlignment="1">
      <alignment horizontal="right"/>
    </xf>
    <xf numFmtId="10" fontId="39" fillId="0" borderId="0" xfId="5" applyNumberFormat="1" applyFont="1" applyAlignment="1">
      <alignment horizontal="right" vertical="center"/>
    </xf>
    <xf numFmtId="4" fontId="27" fillId="8" borderId="0" xfId="5" applyNumberFormat="1" applyFont="1" applyFill="1" applyAlignment="1">
      <alignment horizontal="right" vertical="center"/>
    </xf>
    <xf numFmtId="0" fontId="27" fillId="0" borderId="0" xfId="5" applyFont="1"/>
    <xf numFmtId="4" fontId="27" fillId="0" borderId="0" xfId="5" applyNumberFormat="1" applyFont="1"/>
    <xf numFmtId="43" fontId="13" fillId="0" borderId="0" xfId="5" applyNumberFormat="1" applyFont="1" applyAlignment="1">
      <alignment vertical="center"/>
    </xf>
    <xf numFmtId="49" fontId="18" fillId="0" borderId="0" xfId="5" applyNumberFormat="1" applyFont="1" applyAlignment="1">
      <alignment horizontal="right" vertical="center"/>
    </xf>
    <xf numFmtId="9" fontId="19" fillId="14" borderId="13" xfId="5" applyNumberFormat="1" applyFont="1" applyFill="1" applyBorder="1" applyAlignment="1">
      <alignment horizontal="right" vertical="center"/>
    </xf>
    <xf numFmtId="176" fontId="23" fillId="37" borderId="0" xfId="5" applyNumberFormat="1" applyFont="1" applyFill="1" applyAlignment="1">
      <alignment horizontal="right" vertical="center"/>
    </xf>
    <xf numFmtId="9" fontId="23" fillId="37" borderId="0" xfId="5" applyNumberFormat="1" applyFont="1" applyFill="1" applyAlignment="1">
      <alignment horizontal="right" vertical="center"/>
    </xf>
    <xf numFmtId="176" fontId="23" fillId="36" borderId="0" xfId="5" applyNumberFormat="1" applyFont="1" applyFill="1" applyAlignment="1">
      <alignment horizontal="right" vertical="center"/>
    </xf>
    <xf numFmtId="9" fontId="18" fillId="36" borderId="0" xfId="5" applyNumberFormat="1" applyFont="1" applyFill="1" applyAlignment="1">
      <alignment horizontal="right" vertical="center"/>
    </xf>
    <xf numFmtId="9" fontId="18" fillId="0" borderId="0" xfId="5" applyNumberFormat="1" applyFont="1" applyAlignment="1">
      <alignment horizontal="right" vertical="center"/>
    </xf>
    <xf numFmtId="176" fontId="60" fillId="0" borderId="0" xfId="5" applyNumberFormat="1" applyFont="1" applyAlignment="1">
      <alignment horizontal="right" vertical="center"/>
    </xf>
    <xf numFmtId="9" fontId="58" fillId="0" borderId="0" xfId="5" applyNumberFormat="1" applyFont="1" applyAlignment="1">
      <alignment horizontal="right" vertical="center"/>
    </xf>
    <xf numFmtId="176" fontId="23" fillId="38" borderId="0" xfId="5" applyNumberFormat="1" applyFont="1" applyFill="1" applyAlignment="1">
      <alignment horizontal="right" vertical="center"/>
    </xf>
    <xf numFmtId="9" fontId="23" fillId="38" borderId="0" xfId="5" applyNumberFormat="1" applyFont="1" applyFill="1" applyAlignment="1">
      <alignment horizontal="right" vertical="center"/>
    </xf>
    <xf numFmtId="9" fontId="5" fillId="0" borderId="0" xfId="5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18" fillId="36" borderId="0" xfId="5" applyFont="1" applyFill="1" applyAlignment="1">
      <alignment horizontal="right" vertical="center"/>
    </xf>
    <xf numFmtId="3" fontId="18" fillId="0" borderId="0" xfId="5" applyNumberFormat="1" applyFont="1" applyAlignment="1">
      <alignment horizontal="right" vertical="center"/>
    </xf>
    <xf numFmtId="0" fontId="26" fillId="29" borderId="18" xfId="5" applyFont="1" applyFill="1" applyBorder="1" applyAlignment="1">
      <alignment horizontal="left"/>
    </xf>
    <xf numFmtId="0" fontId="26" fillId="29" borderId="0" xfId="5" applyFont="1" applyFill="1" applyAlignment="1">
      <alignment horizontal="left"/>
    </xf>
    <xf numFmtId="4" fontId="18" fillId="5" borderId="0" xfId="5" applyNumberFormat="1" applyFont="1" applyFill="1" applyAlignment="1">
      <alignment vertical="top" wrapText="1"/>
    </xf>
    <xf numFmtId="0" fontId="19" fillId="7" borderId="0" xfId="5" applyFont="1" applyFill="1" applyAlignment="1">
      <alignment horizontal="center" vertical="center"/>
    </xf>
    <xf numFmtId="0" fontId="33" fillId="14" borderId="0" xfId="6" applyFont="1" applyFill="1" applyAlignment="1">
      <alignment horizontal="center"/>
    </xf>
    <xf numFmtId="0" fontId="34" fillId="15" borderId="0" xfId="6" applyFont="1" applyFill="1" applyAlignment="1">
      <alignment wrapText="1"/>
    </xf>
    <xf numFmtId="0" fontId="36" fillId="16" borderId="0" xfId="3" applyFont="1" applyFill="1" applyAlignment="1">
      <alignment horizontal="center"/>
    </xf>
    <xf numFmtId="0" fontId="33" fillId="18" borderId="0" xfId="2" applyFont="1" applyFill="1" applyAlignment="1">
      <alignment horizontal="left" vertical="center"/>
    </xf>
    <xf numFmtId="0" fontId="36" fillId="16" borderId="0" xfId="1" applyFont="1" applyFill="1" applyAlignment="1">
      <alignment horizontal="center" vertical="center"/>
    </xf>
    <xf numFmtId="0" fontId="19" fillId="14" borderId="0" xfId="5" applyFont="1" applyFill="1" applyAlignment="1">
      <alignment horizontal="left" vertical="center"/>
    </xf>
    <xf numFmtId="0" fontId="19" fillId="14" borderId="0" xfId="5" applyFont="1" applyFill="1" applyAlignment="1">
      <alignment horizontal="center" vertical="center"/>
    </xf>
    <xf numFmtId="4" fontId="67" fillId="0" borderId="0" xfId="5" applyNumberFormat="1" applyFont="1" applyAlignment="1">
      <alignment vertical="center"/>
    </xf>
    <xf numFmtId="4" fontId="62" fillId="0" borderId="0" xfId="5" applyNumberFormat="1" applyFont="1" applyAlignment="1">
      <alignment vertical="center"/>
    </xf>
  </cellXfs>
  <cellStyles count="10">
    <cellStyle name="Normal" xfId="1" xr:uid="{00000000-0005-0000-0000-000006000000}"/>
    <cellStyle name="Normal 2" xfId="2" xr:uid="{00000000-0005-0000-0000-000007000000}"/>
    <cellStyle name="百分比" xfId="7" builtinId="5"/>
    <cellStyle name="常规" xfId="0" builtinId="0"/>
    <cellStyle name="常规 2" xfId="4" xr:uid="{00000000-0005-0000-0000-000009000000}"/>
    <cellStyle name="常规 3" xfId="5" xr:uid="{00000000-0005-0000-0000-00000A000000}"/>
    <cellStyle name="常规 4" xfId="6" xr:uid="{00000000-0005-0000-0000-00000B000000}"/>
    <cellStyle name="常规 5" xfId="3" xr:uid="{00000000-0005-0000-0000-000008000000}"/>
    <cellStyle name="超链接" xfId="8" xr:uid="{00000000-0005-0000-0000-00000C000000}"/>
    <cellStyle name="千位分隔" xfId="9" builtinId="3"/>
  </cellStyles>
  <dxfs count="6">
    <dxf>
      <font>
        <b/>
      </font>
      <fill>
        <patternFill>
          <bgColor theme="2"/>
        </patternFill>
      </fill>
    </dxf>
    <dxf>
      <font>
        <color rgb="FF9C0006"/>
      </font>
    </dxf>
    <dxf>
      <font>
        <b/>
      </font>
      <fill>
        <patternFill>
          <bgColor theme="2"/>
        </patternFill>
      </fill>
    </dxf>
    <dxf>
      <font>
        <b/>
      </font>
      <fill>
        <patternFill>
          <bgColor theme="2"/>
        </patternFill>
      </fill>
    </dxf>
    <dxf>
      <fill>
        <patternFill>
          <bgColor rgb="FFE8E8E8"/>
        </patternFill>
      </fill>
    </dxf>
    <dxf>
      <font>
        <b val="0"/>
        <i val="0"/>
        <color theme="6" tint="-0.2499465926084170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F5D73"/>
      <rgbColor rgb="FFFFFF00"/>
      <rgbColor rgb="FFFF00FF"/>
      <rgbColor rgb="FFF8F9FA"/>
      <rgbColor rgb="FF9C0006"/>
      <rgbColor rgb="FF0B5D4A"/>
      <rgbColor rgb="FF0E2841"/>
      <rgbColor rgb="FF548235"/>
      <rgbColor rgb="FF800080"/>
      <rgbColor rgb="FF0F6A70"/>
      <rgbColor rgb="FFB7B7B7"/>
      <rgbColor rgb="FF7C7C7C"/>
      <rgbColor rgb="FFDCEAF7"/>
      <rgbColor rgb="FF44546A"/>
      <rgbColor rgb="FFFFF2CC"/>
      <rgbColor rgb="FFD9EAF7"/>
      <rgbColor rgb="FF660066"/>
      <rgbColor rgb="FFEAF4FF"/>
      <rgbColor rgb="FF0563C1"/>
      <rgbColor rgb="FFD9D9D9"/>
      <rgbColor rgb="FF173B5C"/>
      <rgbColor rgb="FFFF00FF"/>
      <rgbColor rgb="FFD9EAD3"/>
      <rgbColor rgb="FF00FFFF"/>
      <rgbColor rgb="FF800080"/>
      <rgbColor rgb="FFC00000"/>
      <rgbColor rgb="FF156082"/>
      <rgbColor rgb="FF0000FF"/>
      <rgbColor rgb="FF00CCFF"/>
      <rgbColor rgb="FFD9EAF2"/>
      <rgbColor rgb="FFCFEBD8"/>
      <rgbColor rgb="FFFFF7E6"/>
      <rgbColor rgb="FFD6E1E5"/>
      <rgbColor rgb="FFE8E8E8"/>
      <rgbColor rgb="FFD9E2F3"/>
      <rgbColor rgb="FFE7E6E6"/>
      <rgbColor rgb="FF2E75B6"/>
      <rgbColor rgb="FFF4F7FB"/>
      <rgbColor rgb="FFDDEBF7"/>
      <rgbColor rgb="FFDDEEDB"/>
      <rgbColor rgb="FFF7F7F7"/>
      <rgbColor rgb="FFED7D31"/>
      <rgbColor rgb="FF666666"/>
      <rgbColor rgb="FFA6A6A6"/>
      <rgbColor rgb="FF17365D"/>
      <rgbColor rgb="FF4E95D9"/>
      <rgbColor rgb="FF0B2A44"/>
      <rgbColor rgb="FF1F1F1F"/>
      <rgbColor rgb="FF993300"/>
      <rgbColor rgb="FF1F4E78"/>
      <rgbColor rgb="FF1F4E7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0FCC91E-DE31-3E41-BD20-671546225B4B}">
  <we:reference id="wa200010215" version="2.0.0.0" store="zh-CN" storeType="OMEX"/>
  <we:alternateReferences>
    <we:reference id="wa200010215" version="2.0.0.0" store="zh-CN" storeType="OMEX"/>
  </we:alternateReferences>
  <we:properties>
    <we:property name="bps.codex_control.document_id" value="&quot;43d51f39-a90b-4d9e-99eb-2bd3931d98a3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v8fym591u8.feishu.cn/docx/YzETdWRa3oLB9rxM8i7ccsNAnfg?from=from_copy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showGridLines="0" topLeftCell="A11" zoomScale="117" zoomScaleNormal="100" workbookViewId="0">
      <selection activeCell="F32" sqref="F32"/>
    </sheetView>
  </sheetViews>
  <sheetFormatPr baseColWidth="10" defaultColWidth="13.19921875" defaultRowHeight="16"/>
  <cols>
    <col min="1" max="1" width="9.59765625" style="1" customWidth="1"/>
    <col min="2" max="2" width="34" customWidth="1"/>
    <col min="3" max="3" width="18.3984375" style="1" customWidth="1"/>
    <col min="4" max="4" width="21" customWidth="1"/>
    <col min="5" max="5" width="60" customWidth="1"/>
    <col min="6" max="6" width="13.19921875" style="2" customWidth="1"/>
    <col min="7" max="7" width="16.3984375" customWidth="1"/>
    <col min="8" max="8" width="48" customWidth="1"/>
    <col min="9" max="11" width="12" customWidth="1"/>
  </cols>
  <sheetData>
    <row r="1" spans="1:11" ht="28" customHeight="1">
      <c r="A1" s="375" t="s">
        <v>809</v>
      </c>
      <c r="B1" s="376"/>
      <c r="C1" s="376"/>
      <c r="D1" s="376"/>
      <c r="E1" s="376"/>
      <c r="F1" s="376"/>
      <c r="G1" s="376"/>
      <c r="H1" s="376"/>
    </row>
    <row r="2" spans="1:11" ht="8" customHeight="1">
      <c r="A2" s="67"/>
      <c r="B2" s="42"/>
      <c r="C2" s="67"/>
      <c r="D2" s="42"/>
      <c r="E2" s="42"/>
      <c r="F2" s="68"/>
      <c r="G2" s="42"/>
      <c r="H2" s="42"/>
    </row>
    <row r="3" spans="1:11" ht="20" customHeight="1">
      <c r="A3" s="240" t="s">
        <v>810</v>
      </c>
      <c r="B3" s="241" t="s">
        <v>811</v>
      </c>
      <c r="C3" s="67"/>
      <c r="D3" s="242"/>
      <c r="E3" s="242"/>
      <c r="F3" s="243"/>
      <c r="G3" s="242"/>
      <c r="H3" s="242"/>
    </row>
    <row r="4" spans="1:11" ht="20" customHeight="1">
      <c r="A4" s="334" t="s">
        <v>897</v>
      </c>
      <c r="B4" s="333" t="s">
        <v>896</v>
      </c>
      <c r="C4" s="67"/>
      <c r="D4" s="242"/>
      <c r="E4" s="242"/>
      <c r="F4" s="243"/>
      <c r="G4" s="242"/>
      <c r="H4" s="242"/>
    </row>
    <row r="5" spans="1:11" ht="20" customHeight="1">
      <c r="A5" s="240" t="s">
        <v>812</v>
      </c>
      <c r="B5" s="244" t="s">
        <v>813</v>
      </c>
      <c r="C5" s="67"/>
      <c r="D5" s="242"/>
      <c r="E5" s="242"/>
      <c r="F5" s="243"/>
      <c r="G5" s="242"/>
      <c r="H5" s="242"/>
    </row>
    <row r="6" spans="1:11" ht="20" customHeight="1">
      <c r="A6" s="240" t="s">
        <v>814</v>
      </c>
      <c r="B6" s="244" t="s">
        <v>815</v>
      </c>
      <c r="C6" s="67"/>
      <c r="D6" s="242"/>
      <c r="E6" s="242"/>
      <c r="F6" s="243"/>
      <c r="G6" s="242"/>
      <c r="H6" s="242"/>
    </row>
    <row r="7" spans="1:11" ht="20" customHeight="1">
      <c r="A7" s="240" t="s">
        <v>816</v>
      </c>
      <c r="B7" s="244" t="s">
        <v>817</v>
      </c>
      <c r="C7" s="67"/>
      <c r="D7" s="242"/>
      <c r="E7" s="242"/>
      <c r="F7" s="243"/>
      <c r="G7" s="242"/>
      <c r="H7" s="242"/>
    </row>
    <row r="8" spans="1:11" ht="24" customHeight="1">
      <c r="A8" s="245" t="s">
        <v>818</v>
      </c>
      <c r="B8" s="246" t="s">
        <v>819</v>
      </c>
      <c r="C8" s="245" t="s">
        <v>820</v>
      </c>
      <c r="D8" s="246" t="s">
        <v>821</v>
      </c>
      <c r="E8" s="246" t="s">
        <v>822</v>
      </c>
      <c r="F8" s="245" t="s">
        <v>823</v>
      </c>
      <c r="G8" s="246" t="s">
        <v>824</v>
      </c>
      <c r="H8" s="246" t="s">
        <v>825</v>
      </c>
    </row>
    <row r="9" spans="1:11" ht="22" customHeight="1">
      <c r="A9" s="247">
        <v>1</v>
      </c>
      <c r="B9" s="248" t="s">
        <v>1</v>
      </c>
      <c r="C9" s="247" t="s">
        <v>2</v>
      </c>
      <c r="D9" s="247" t="s">
        <v>826</v>
      </c>
      <c r="E9" s="249" t="s">
        <v>827</v>
      </c>
      <c r="F9" s="250" t="str">
        <f>HYPERLINK("#'目录及说明'!A1","当前")</f>
        <v>当前</v>
      </c>
      <c r="G9" s="251" t="s">
        <v>3</v>
      </c>
      <c r="H9" s="249" t="s">
        <v>828</v>
      </c>
    </row>
    <row r="10" spans="1:11" ht="22" customHeight="1">
      <c r="A10" s="252">
        <v>2</v>
      </c>
      <c r="B10" s="253" t="s">
        <v>881</v>
      </c>
      <c r="C10" s="252" t="s">
        <v>4</v>
      </c>
      <c r="D10" s="252" t="s">
        <v>829</v>
      </c>
      <c r="E10" s="254" t="s">
        <v>830</v>
      </c>
      <c r="F10" s="255" t="str">
        <f>HYPERLINK("#'总表-汇总损益表'!A1","打开")</f>
        <v>打开</v>
      </c>
      <c r="G10" s="272" t="s">
        <v>3</v>
      </c>
      <c r="H10" s="254" t="s">
        <v>831</v>
      </c>
    </row>
    <row r="11" spans="1:11" ht="22" customHeight="1">
      <c r="A11" s="256">
        <v>3</v>
      </c>
      <c r="B11" s="253" t="s">
        <v>882</v>
      </c>
      <c r="C11" s="256" t="s">
        <v>4</v>
      </c>
      <c r="D11" s="256" t="s">
        <v>829</v>
      </c>
      <c r="E11" s="254" t="s">
        <v>832</v>
      </c>
      <c r="F11" s="255" t="str">
        <f>HYPERLINK("#'总表-渠道二维汇总'!A1","打开")</f>
        <v>打开</v>
      </c>
      <c r="G11" s="273" t="s">
        <v>3</v>
      </c>
      <c r="H11" s="254" t="s">
        <v>833</v>
      </c>
    </row>
    <row r="12" spans="1:11" ht="22" customHeight="1">
      <c r="A12" s="247">
        <v>4</v>
      </c>
      <c r="B12" s="248" t="s">
        <v>834</v>
      </c>
      <c r="C12" s="247" t="s">
        <v>0</v>
      </c>
      <c r="D12" s="247" t="s">
        <v>0</v>
      </c>
      <c r="E12" s="249" t="s">
        <v>835</v>
      </c>
      <c r="F12" s="250" t="str">
        <f>HYPERLINK("#'费用科目说明'!A1","打开")</f>
        <v>打开</v>
      </c>
      <c r="G12" s="251" t="s">
        <v>3</v>
      </c>
      <c r="H12" s="249" t="s">
        <v>836</v>
      </c>
    </row>
    <row r="13" spans="1:11" ht="22" customHeight="1">
      <c r="A13" s="257">
        <v>5</v>
      </c>
      <c r="B13" s="258" t="s">
        <v>7</v>
      </c>
      <c r="C13" s="257" t="s">
        <v>427</v>
      </c>
      <c r="D13" s="257" t="s">
        <v>31</v>
      </c>
      <c r="E13" s="259" t="s">
        <v>837</v>
      </c>
      <c r="F13" s="260" t="str">
        <f>HYPERLINK("#'假设-财务口径'!A1","打开")</f>
        <v>打开</v>
      </c>
      <c r="G13" s="261" t="s">
        <v>3</v>
      </c>
      <c r="H13" s="259" t="s">
        <v>838</v>
      </c>
      <c r="I13" s="3"/>
      <c r="J13" s="3"/>
      <c r="K13" s="3"/>
    </row>
    <row r="14" spans="1:11" ht="22" customHeight="1">
      <c r="A14" s="257">
        <v>6</v>
      </c>
      <c r="B14" s="258" t="s">
        <v>8</v>
      </c>
      <c r="C14" s="257" t="s">
        <v>427</v>
      </c>
      <c r="D14" s="257" t="s">
        <v>31</v>
      </c>
      <c r="E14" s="259" t="s">
        <v>839</v>
      </c>
      <c r="F14" s="260" t="str">
        <f>HYPERLINK("#'假设-人工成本固定额'!A1","打开")</f>
        <v>打开</v>
      </c>
      <c r="G14" s="261" t="s">
        <v>884</v>
      </c>
      <c r="H14" s="259" t="s">
        <v>840</v>
      </c>
      <c r="I14" s="3"/>
      <c r="J14" s="3"/>
      <c r="K14" s="3"/>
    </row>
    <row r="15" spans="1:11" ht="22" customHeight="1">
      <c r="A15" s="257">
        <v>7</v>
      </c>
      <c r="B15" s="258" t="s">
        <v>883</v>
      </c>
      <c r="C15" s="257" t="s">
        <v>427</v>
      </c>
      <c r="D15" s="257" t="s">
        <v>31</v>
      </c>
      <c r="E15" s="259" t="s">
        <v>841</v>
      </c>
      <c r="F15" s="260" t="str">
        <f>HYPERLINK("#'假设-产品价值链定价'!A1","打开")</f>
        <v>打开</v>
      </c>
      <c r="G15" s="261" t="s">
        <v>884</v>
      </c>
      <c r="H15" s="259" t="s">
        <v>842</v>
      </c>
      <c r="I15" s="3"/>
      <c r="J15" s="3"/>
    </row>
    <row r="16" spans="1:11" ht="22" customHeight="1">
      <c r="A16" s="324">
        <v>8</v>
      </c>
      <c r="B16" s="325" t="s">
        <v>9</v>
      </c>
      <c r="C16" s="324" t="s">
        <v>427</v>
      </c>
      <c r="D16" s="324" t="s">
        <v>31</v>
      </c>
      <c r="E16" s="326" t="s">
        <v>843</v>
      </c>
      <c r="F16" s="327" t="str">
        <f>HYPERLINK("#'假设-成本与任务量'!A1","打开")</f>
        <v>打开</v>
      </c>
      <c r="G16" s="328" t="s">
        <v>3</v>
      </c>
      <c r="H16" s="326" t="s">
        <v>844</v>
      </c>
    </row>
    <row r="17" spans="1:8" ht="22" customHeight="1">
      <c r="A17" s="257">
        <v>9</v>
      </c>
      <c r="B17" s="258" t="s">
        <v>845</v>
      </c>
      <c r="C17" s="257" t="s">
        <v>27</v>
      </c>
      <c r="D17" s="257" t="s">
        <v>846</v>
      </c>
      <c r="E17" s="259" t="s">
        <v>847</v>
      </c>
      <c r="F17" s="260" t="str">
        <f>HYPERLINK("#'参考值-平台主推SKU占比'!A1","打开")</f>
        <v>打开</v>
      </c>
      <c r="G17" s="261" t="s">
        <v>884</v>
      </c>
      <c r="H17" s="259" t="s">
        <v>848</v>
      </c>
    </row>
    <row r="18" spans="1:8" ht="22" customHeight="1">
      <c r="A18" s="257">
        <v>10</v>
      </c>
      <c r="B18" s="258" t="s">
        <v>10</v>
      </c>
      <c r="C18" s="257" t="s">
        <v>427</v>
      </c>
      <c r="D18" s="257" t="s">
        <v>31</v>
      </c>
      <c r="E18" s="259" t="s">
        <v>849</v>
      </c>
      <c r="F18" s="260" t="str">
        <f>HYPERLINK("#'假设-平台主推机制'!A1","打开")</f>
        <v>打开</v>
      </c>
      <c r="G18" s="261" t="s">
        <v>884</v>
      </c>
      <c r="H18" s="259" t="s">
        <v>850</v>
      </c>
    </row>
    <row r="19" spans="1:8" ht="22" customHeight="1">
      <c r="A19" s="324">
        <v>11</v>
      </c>
      <c r="B19" s="325" t="s">
        <v>11</v>
      </c>
      <c r="C19" s="324" t="s">
        <v>427</v>
      </c>
      <c r="D19" s="324" t="s">
        <v>31</v>
      </c>
      <c r="E19" s="326" t="s">
        <v>851</v>
      </c>
      <c r="F19" s="327" t="str">
        <f>HYPERLINK("#'假设-目标渠道分解'!A1","打开")</f>
        <v>打开</v>
      </c>
      <c r="G19" s="328" t="s">
        <v>3</v>
      </c>
      <c r="H19" s="326" t="s">
        <v>852</v>
      </c>
    </row>
    <row r="20" spans="1:8" ht="22" customHeight="1">
      <c r="A20" s="257">
        <v>12</v>
      </c>
      <c r="B20" s="258" t="s">
        <v>853</v>
      </c>
      <c r="C20" s="257" t="s">
        <v>27</v>
      </c>
      <c r="D20" s="257" t="s">
        <v>846</v>
      </c>
      <c r="E20" s="259" t="s">
        <v>854</v>
      </c>
      <c r="F20" s="260" t="str">
        <f>HYPERLINK("#'参考值-平台费用率分析'!A1","打开")</f>
        <v>打开</v>
      </c>
      <c r="G20" s="261" t="s">
        <v>884</v>
      </c>
      <c r="H20" s="259" t="s">
        <v>855</v>
      </c>
    </row>
    <row r="21" spans="1:8" ht="22" customHeight="1">
      <c r="A21" s="257">
        <v>13</v>
      </c>
      <c r="B21" s="258" t="s">
        <v>12</v>
      </c>
      <c r="C21" s="257" t="s">
        <v>427</v>
      </c>
      <c r="D21" s="257" t="s">
        <v>31</v>
      </c>
      <c r="E21" s="259" t="s">
        <v>856</v>
      </c>
      <c r="F21" s="260" t="str">
        <f>HYPERLINK("#'假设-销售费用率'!A1","打开")</f>
        <v>打开</v>
      </c>
      <c r="G21" s="261" t="s">
        <v>885</v>
      </c>
      <c r="H21" s="259" t="s">
        <v>857</v>
      </c>
    </row>
    <row r="22" spans="1:8" ht="22" customHeight="1">
      <c r="A22" s="257">
        <v>14</v>
      </c>
      <c r="B22" s="258" t="s">
        <v>858</v>
      </c>
      <c r="C22" s="257" t="s">
        <v>427</v>
      </c>
      <c r="D22" s="257" t="s">
        <v>31</v>
      </c>
      <c r="E22" s="259" t="s">
        <v>859</v>
      </c>
      <c r="F22" s="260" t="str">
        <f>HYPERLINK("#'假设-ROI月度滚动'!A1","打开")</f>
        <v>打开</v>
      </c>
      <c r="G22" s="261" t="s">
        <v>3</v>
      </c>
      <c r="H22" s="259" t="s">
        <v>860</v>
      </c>
    </row>
    <row r="23" spans="1:8" ht="22" customHeight="1">
      <c r="A23" s="262">
        <v>15</v>
      </c>
      <c r="B23" s="263" t="s">
        <v>13</v>
      </c>
      <c r="C23" s="262" t="s">
        <v>14</v>
      </c>
      <c r="D23" s="262" t="s">
        <v>861</v>
      </c>
      <c r="E23" s="264" t="s">
        <v>862</v>
      </c>
      <c r="F23" s="265" t="str">
        <f>HYPERLINK("#'测算-高个子抖音'!A1","打开")</f>
        <v>打开</v>
      </c>
      <c r="G23" s="266" t="s">
        <v>3</v>
      </c>
      <c r="H23" s="264" t="s">
        <v>863</v>
      </c>
    </row>
    <row r="24" spans="1:8" ht="22" customHeight="1">
      <c r="A24" s="262">
        <v>16</v>
      </c>
      <c r="B24" s="263" t="s">
        <v>15</v>
      </c>
      <c r="C24" s="262" t="s">
        <v>14</v>
      </c>
      <c r="D24" s="262" t="s">
        <v>861</v>
      </c>
      <c r="E24" s="264" t="s">
        <v>864</v>
      </c>
      <c r="F24" s="265" t="str">
        <f>HYPERLINK("#'测算-高个子视频号'!A1","打开")</f>
        <v>打开</v>
      </c>
      <c r="G24" s="266" t="s">
        <v>3</v>
      </c>
      <c r="H24" s="264" t="s">
        <v>863</v>
      </c>
    </row>
    <row r="25" spans="1:8" ht="22" customHeight="1">
      <c r="A25" s="262">
        <v>17</v>
      </c>
      <c r="B25" s="263" t="s">
        <v>16</v>
      </c>
      <c r="C25" s="262" t="s">
        <v>14</v>
      </c>
      <c r="D25" s="262" t="s">
        <v>861</v>
      </c>
      <c r="E25" s="264" t="s">
        <v>865</v>
      </c>
      <c r="F25" s="265" t="str">
        <f>HYPERLINK("#'测算-天猫淘宝'!A1","打开")</f>
        <v>打开</v>
      </c>
      <c r="G25" s="266" t="s">
        <v>3</v>
      </c>
      <c r="H25" s="264" t="s">
        <v>863</v>
      </c>
    </row>
    <row r="26" spans="1:8" ht="22" customHeight="1">
      <c r="A26" s="262">
        <v>18</v>
      </c>
      <c r="B26" s="263" t="s">
        <v>17</v>
      </c>
      <c r="C26" s="262" t="s">
        <v>14</v>
      </c>
      <c r="D26" s="262" t="s">
        <v>861</v>
      </c>
      <c r="E26" s="264" t="s">
        <v>866</v>
      </c>
      <c r="F26" s="265" t="str">
        <f>HYPERLINK("#'测算-拼多多'!A1","打开")</f>
        <v>打开</v>
      </c>
      <c r="G26" s="266" t="s">
        <v>3</v>
      </c>
      <c r="H26" s="264" t="s">
        <v>863</v>
      </c>
    </row>
    <row r="27" spans="1:8" ht="22" customHeight="1">
      <c r="A27" s="262">
        <v>19</v>
      </c>
      <c r="B27" s="263" t="s">
        <v>18</v>
      </c>
      <c r="C27" s="262" t="s">
        <v>14</v>
      </c>
      <c r="D27" s="262" t="s">
        <v>861</v>
      </c>
      <c r="E27" s="264" t="s">
        <v>867</v>
      </c>
      <c r="F27" s="265" t="str">
        <f>HYPERLINK("#'测算-京东POP'!A1","打开")</f>
        <v>打开</v>
      </c>
      <c r="G27" s="266" t="s">
        <v>3</v>
      </c>
      <c r="H27" s="264" t="s">
        <v>863</v>
      </c>
    </row>
    <row r="28" spans="1:8" ht="22" customHeight="1">
      <c r="A28" s="262">
        <v>20</v>
      </c>
      <c r="B28" s="263" t="s">
        <v>19</v>
      </c>
      <c r="C28" s="262" t="s">
        <v>14</v>
      </c>
      <c r="D28" s="262" t="s">
        <v>861</v>
      </c>
      <c r="E28" s="264" t="s">
        <v>868</v>
      </c>
      <c r="F28" s="265" t="str">
        <f>HYPERLINK("#'测算-京东自营'!A1","打开")</f>
        <v>打开</v>
      </c>
      <c r="G28" s="266" t="s">
        <v>3</v>
      </c>
      <c r="H28" s="264" t="s">
        <v>863</v>
      </c>
    </row>
    <row r="29" spans="1:8" ht="22" customHeight="1">
      <c r="A29" s="262">
        <v>21</v>
      </c>
      <c r="B29" s="263" t="s">
        <v>20</v>
      </c>
      <c r="C29" s="262" t="s">
        <v>14</v>
      </c>
      <c r="D29" s="262" t="s">
        <v>861</v>
      </c>
      <c r="E29" s="264" t="s">
        <v>869</v>
      </c>
      <c r="F29" s="265" t="str">
        <f>HYPERLINK("#'测算-达播'!A1","打开")</f>
        <v>打开</v>
      </c>
      <c r="G29" s="266" t="s">
        <v>3</v>
      </c>
      <c r="H29" s="264" t="s">
        <v>863</v>
      </c>
    </row>
    <row r="30" spans="1:8" ht="22" customHeight="1">
      <c r="A30" s="262">
        <v>22</v>
      </c>
      <c r="B30" s="263" t="s">
        <v>21</v>
      </c>
      <c r="C30" s="262" t="s">
        <v>14</v>
      </c>
      <c r="D30" s="262" t="s">
        <v>861</v>
      </c>
      <c r="E30" s="264" t="s">
        <v>870</v>
      </c>
      <c r="F30" s="265" t="str">
        <f>HYPERLINK("#'测算-私域'!A1","打开")</f>
        <v>打开</v>
      </c>
      <c r="G30" s="266" t="s">
        <v>3</v>
      </c>
      <c r="H30" s="264" t="s">
        <v>871</v>
      </c>
    </row>
    <row r="31" spans="1:8" ht="22" customHeight="1">
      <c r="A31" s="262">
        <v>23</v>
      </c>
      <c r="B31" s="263" t="s">
        <v>22</v>
      </c>
      <c r="C31" s="262" t="s">
        <v>14</v>
      </c>
      <c r="D31" s="262" t="s">
        <v>861</v>
      </c>
      <c r="E31" s="264" t="s">
        <v>872</v>
      </c>
      <c r="F31" s="265" t="str">
        <f>HYPERLINK("#'测算-外部分销'!A1","打开")</f>
        <v>打开</v>
      </c>
      <c r="G31" s="266" t="s">
        <v>3</v>
      </c>
      <c r="H31" s="264" t="s">
        <v>863</v>
      </c>
    </row>
    <row r="32" spans="1:8" ht="22" customHeight="1">
      <c r="A32" s="262">
        <v>24</v>
      </c>
      <c r="B32" s="263" t="s">
        <v>889</v>
      </c>
      <c r="C32" s="262" t="s">
        <v>14</v>
      </c>
      <c r="D32" s="262" t="s">
        <v>861</v>
      </c>
      <c r="E32" s="264" t="s">
        <v>873</v>
      </c>
      <c r="F32" s="265" t="str">
        <f>HYPERLINK("#'测算-整体经营'!A1","打开")</f>
        <v>打开</v>
      </c>
      <c r="G32" s="266" t="s">
        <v>3</v>
      </c>
      <c r="H32" s="264" t="s">
        <v>874</v>
      </c>
    </row>
    <row r="33" spans="1:8" ht="22" customHeight="1">
      <c r="A33" s="267">
        <v>25</v>
      </c>
      <c r="B33" s="268" t="s">
        <v>24</v>
      </c>
      <c r="C33" s="267" t="s">
        <v>25</v>
      </c>
      <c r="D33" s="267" t="s">
        <v>875</v>
      </c>
      <c r="E33" s="269" t="s">
        <v>876</v>
      </c>
      <c r="F33" s="270" t="str">
        <f>HYPERLINK("#'辅助-汇总损益长表'!A1","打开")</f>
        <v>打开</v>
      </c>
      <c r="G33" s="271" t="s">
        <v>884</v>
      </c>
      <c r="H33" s="269" t="s">
        <v>877</v>
      </c>
    </row>
    <row r="34" spans="1:8" ht="22" customHeight="1">
      <c r="A34" s="267">
        <v>26</v>
      </c>
      <c r="B34" s="268" t="s">
        <v>26</v>
      </c>
      <c r="C34" s="267" t="s">
        <v>25</v>
      </c>
      <c r="D34" s="267" t="s">
        <v>878</v>
      </c>
      <c r="E34" s="269" t="s">
        <v>879</v>
      </c>
      <c r="F34" s="270" t="str">
        <f>HYPERLINK("#'辅助-机制测算'!A1","打开")</f>
        <v>打开</v>
      </c>
      <c r="G34" s="271" t="s">
        <v>884</v>
      </c>
      <c r="H34" s="269" t="s">
        <v>880</v>
      </c>
    </row>
    <row r="35" spans="1:8" ht="17" customHeight="1">
      <c r="A35" s="71"/>
      <c r="B35" s="71"/>
      <c r="C35" s="71"/>
      <c r="D35" s="71"/>
      <c r="E35" s="71"/>
      <c r="F35" s="70"/>
      <c r="G35" s="71"/>
      <c r="H35" s="71"/>
    </row>
    <row r="36" spans="1:8">
      <c r="A36" s="67"/>
      <c r="B36" s="42"/>
      <c r="C36" s="67"/>
      <c r="D36" s="42"/>
      <c r="E36" s="42"/>
      <c r="F36" s="70"/>
      <c r="G36" s="42"/>
      <c r="H36" s="42"/>
    </row>
  </sheetData>
  <mergeCells count="1">
    <mergeCell ref="A1:H1"/>
  </mergeCells>
  <phoneticPr fontId="14" type="noConversion"/>
  <conditionalFormatting sqref="G9:G34">
    <cfRule type="containsText" dxfId="5" priority="1" operator="containsText" text="隐藏">
      <formula>NOT(ISERROR(SEARCH("隐藏",G9)))</formula>
    </cfRule>
  </conditionalFormatting>
  <hyperlinks>
    <hyperlink ref="B4" r:id="rId1" xr:uid="{11093525-1588-1149-8342-21E42C3AEE4E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64"/>
  <sheetViews>
    <sheetView showGridLines="0" tabSelected="1" zoomScale="85" zoomScaleNormal="100" workbookViewId="0">
      <pane xSplit="7" ySplit="6" topLeftCell="H29" activePane="bottomRight" state="frozen"/>
      <selection pane="topRight" activeCell="H1" sqref="H1"/>
      <selection pane="bottomLeft" activeCell="A7" sqref="A7"/>
      <selection pane="bottomRight" activeCell="M62" sqref="M62"/>
    </sheetView>
  </sheetViews>
  <sheetFormatPr baseColWidth="10" defaultColWidth="10.59765625" defaultRowHeight="13"/>
  <cols>
    <col min="1" max="2" width="3.59765625" style="42" customWidth="1"/>
    <col min="3" max="3" width="4.59765625" style="42" customWidth="1"/>
    <col min="4" max="4" width="21.59765625" style="42" customWidth="1"/>
    <col min="5" max="5" width="52.19921875" style="42" bestFit="1" customWidth="1"/>
    <col min="6" max="6" width="28.796875" style="42" customWidth="1"/>
    <col min="7" max="7" width="4" style="42" customWidth="1"/>
    <col min="8" max="8" width="14.3984375" style="42" customWidth="1"/>
    <col min="9" max="13" width="15.59765625" style="42" customWidth="1"/>
    <col min="14" max="19" width="14.3984375" style="42" customWidth="1"/>
    <col min="20" max="20" width="4" style="42" customWidth="1"/>
    <col min="21" max="22" width="14.3984375" style="42" customWidth="1"/>
    <col min="23" max="16384" width="10.59765625" style="42"/>
  </cols>
  <sheetData>
    <row r="1" spans="1:24" ht="16" customHeight="1">
      <c r="A1" s="70" t="s">
        <v>28</v>
      </c>
    </row>
    <row r="2" spans="1:24" ht="18" customHeight="1">
      <c r="B2" s="43" t="s">
        <v>29</v>
      </c>
      <c r="C2" s="44"/>
      <c r="D2" s="44"/>
      <c r="E2" s="44"/>
      <c r="F2" s="44"/>
      <c r="G2" s="59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59"/>
      <c r="U2" s="44"/>
      <c r="V2" s="44"/>
      <c r="W2" s="44"/>
      <c r="X2" s="44"/>
    </row>
    <row r="6" spans="1:24" ht="16" customHeight="1">
      <c r="A6" s="45"/>
      <c r="B6" s="46"/>
      <c r="C6" s="46"/>
      <c r="D6" s="46" t="s">
        <v>30</v>
      </c>
      <c r="E6" s="46" t="s">
        <v>0</v>
      </c>
      <c r="F6" s="46" t="s">
        <v>31</v>
      </c>
      <c r="G6" s="45"/>
      <c r="H6" s="46" t="s">
        <v>32</v>
      </c>
      <c r="I6" s="46" t="s">
        <v>33</v>
      </c>
      <c r="J6" s="46" t="s">
        <v>34</v>
      </c>
      <c r="K6" s="46" t="s">
        <v>35</v>
      </c>
      <c r="L6" s="46" t="s">
        <v>36</v>
      </c>
      <c r="M6" s="46" t="s">
        <v>37</v>
      </c>
      <c r="N6" s="46" t="s">
        <v>38</v>
      </c>
      <c r="O6" s="46" t="s">
        <v>39</v>
      </c>
      <c r="P6" s="46" t="s">
        <v>40</v>
      </c>
      <c r="Q6" s="46" t="s">
        <v>41</v>
      </c>
      <c r="R6" s="46" t="s">
        <v>42</v>
      </c>
      <c r="S6" s="46" t="s">
        <v>43</v>
      </c>
      <c r="T6" s="45"/>
      <c r="U6" s="46" t="s">
        <v>44</v>
      </c>
      <c r="V6" s="46" t="s">
        <v>45</v>
      </c>
    </row>
    <row r="7" spans="1:24" ht="16" customHeight="1">
      <c r="A7" s="47"/>
      <c r="B7" s="48" t="s">
        <v>46</v>
      </c>
      <c r="C7" s="48"/>
      <c r="D7" s="48"/>
      <c r="E7" s="48"/>
      <c r="F7" s="48" t="s">
        <v>47</v>
      </c>
      <c r="G7" s="47"/>
      <c r="H7" s="49">
        <f>SUMIFS('辅助-汇总损益长表'!$C$2:$C$242,'辅助-汇总损益长表'!$A$2:$A$242,"主营业务收入",'辅助-汇总损益长表'!$B$2:$B$242,H$6)-SUMIFS('辅助-汇总损益长表'!$M$2:$M$242,'辅助-汇总损益长表'!$A$2:$A$242,"主营业务收入",'辅助-汇总损益长表'!$B$2:$B$242,H$6)</f>
        <v>1096.5403279999998</v>
      </c>
      <c r="I7" s="49">
        <f>SUMIFS('辅助-汇总损益长表'!$C$2:$C$242,'辅助-汇总损益长表'!$A$2:$A$242,"主营业务收入",'辅助-汇总损益长表'!$B$2:$B$242,I$6)-SUMIFS('辅助-汇总损益长表'!$M$2:$M$242,'辅助-汇总损益长表'!$A$2:$A$242,"主营业务收入",'辅助-汇总损益长表'!$B$2:$B$242,I$6)</f>
        <v>664.95960999999988</v>
      </c>
      <c r="J7" s="49">
        <f>SUMIFS('辅助-汇总损益长表'!$C$2:$C$242,'辅助-汇总损益长表'!$A$2:$A$242,"主营业务收入",'辅助-汇总损益长表'!$B$2:$B$242,J$6)-SUMIFS('辅助-汇总损益长表'!$M$2:$M$242,'辅助-汇总损益长表'!$A$2:$A$242,"主营业务收入",'辅助-汇总损益长表'!$B$2:$B$242,J$6)</f>
        <v>1012.2947700000002</v>
      </c>
      <c r="K7" s="49">
        <f>SUMIFS('辅助-汇总损益长表'!$C$2:$C$242,'辅助-汇总损益长表'!$A$2:$A$242,"主营业务收入",'辅助-汇总损益长表'!$B$2:$B$242,K$6)-SUMIFS('辅助-汇总损益长表'!$M$2:$M$242,'辅助-汇总损益长表'!$A$2:$A$242,"主营业务收入",'辅助-汇总损益长表'!$B$2:$B$242,K$6)</f>
        <v>977.84975099999997</v>
      </c>
      <c r="L7" s="49">
        <f>SUMIFS('辅助-汇总损益长表'!$C$2:$C$242,'辅助-汇总损益长表'!$A$2:$A$242,"主营业务收入",'辅助-汇总损益长表'!$B$2:$B$242,L$6)-SUMIFS('辅助-汇总损益长表'!$M$2:$M$242,'辅助-汇总损益长表'!$A$2:$A$242,"主营业务收入",'辅助-汇总损益长表'!$B$2:$B$242,L$6)</f>
        <v>1218.1031830000002</v>
      </c>
      <c r="M7" s="49">
        <f>SUMIFS('辅助-汇总损益长表'!$C$2:$C$242,'辅助-汇总损益长表'!$A$2:$A$242,"主营业务收入",'辅助-汇总损益长表'!$B$2:$B$242,M$6)-SUMIFS('辅助-汇总损益长表'!$M$2:$M$242,'辅助-汇总损益长表'!$A$2:$A$242,"主营业务收入",'辅助-汇总损益长表'!$B$2:$B$242,M$6)</f>
        <v>1240.5905712290678</v>
      </c>
      <c r="N7" s="49">
        <f>SUMIFS('辅助-汇总损益长表'!$C$2:$C$242,'辅助-汇总损益长表'!$A$2:$A$242,"主营业务收入",'辅助-汇总损益长表'!$B$2:$B$242,N$6)-SUMIFS('辅助-汇总损益长表'!$M$2:$M$242,'辅助-汇总损益长表'!$A$2:$A$242,"主营业务收入",'辅助-汇总损益长表'!$B$2:$B$242,N$6)</f>
        <v>791.84389242636723</v>
      </c>
      <c r="O7" s="49">
        <f>SUMIFS('辅助-汇总损益长表'!$C$2:$C$242,'辅助-汇总损益长表'!$A$2:$A$242,"主营业务收入",'辅助-汇总损益长表'!$B$2:$B$242,O$6)-SUMIFS('辅助-汇总损益长表'!$M$2:$M$242,'辅助-汇总损益长表'!$A$2:$A$242,"主营业务收入",'辅助-汇总损益长表'!$B$2:$B$242,O$6)</f>
        <v>1045.5994002616023</v>
      </c>
      <c r="P7" s="49">
        <f>SUMIFS('辅助-汇总损益长表'!$C$2:$C$242,'辅助-汇总损益长表'!$A$2:$A$242,"主营业务收入",'辅助-汇总损益长表'!$B$2:$B$242,P$6)-SUMIFS('辅助-汇总损益长表'!$M$2:$M$242,'辅助-汇总损益长表'!$A$2:$A$242,"主营业务收入",'辅助-汇总损益长表'!$B$2:$B$242,P$6)</f>
        <v>1311.1130078692877</v>
      </c>
      <c r="Q7" s="49">
        <f>SUMIFS('辅助-汇总损益长表'!$C$2:$C$242,'辅助-汇总损益长表'!$A$2:$A$242,"主营业务收入",'辅助-汇总损益长表'!$B$2:$B$242,Q$6)-SUMIFS('辅助-汇总损益长表'!$M$2:$M$242,'辅助-汇总损益长表'!$A$2:$A$242,"主营业务收入",'辅助-汇总损益长表'!$B$2:$B$242,Q$6)</f>
        <v>1412.6212340885611</v>
      </c>
      <c r="R7" s="49">
        <f>SUMIFS('辅助-汇总损益长表'!$C$2:$C$242,'辅助-汇总损益长表'!$A$2:$A$242,"主营业务收入",'辅助-汇总损益长表'!$B$2:$B$242,R$6)-SUMIFS('辅助-汇总损益长表'!$M$2:$M$242,'辅助-汇总损益长表'!$A$2:$A$242,"主营业务收入",'辅助-汇总损益长表'!$B$2:$B$242,R$6)</f>
        <v>1714.9618192808164</v>
      </c>
      <c r="S7" s="49">
        <f>SUMIFS('辅助-汇总损益长表'!$C$2:$C$242,'辅助-汇总损益长表'!$A$2:$A$242,"主营业务收入",'辅助-汇总损益长表'!$B$2:$B$242,S$6)-SUMIFS('辅助-汇总损益长表'!$M$2:$M$242,'辅助-汇总损益长表'!$A$2:$A$242,"主营业务收入",'辅助-汇总损益长表'!$B$2:$B$242,S$6)</f>
        <v>1463.106173831806</v>
      </c>
      <c r="T7" s="62"/>
      <c r="U7" s="49">
        <f>SUM(H7:S7)</f>
        <v>13949.583740987509</v>
      </c>
      <c r="V7" s="49">
        <f>SUM(N7:S7)</f>
        <v>7739.2455277584404</v>
      </c>
    </row>
    <row r="8" spans="1:24" ht="16" customHeight="1">
      <c r="A8" s="47"/>
      <c r="B8" s="48" t="s">
        <v>48</v>
      </c>
      <c r="C8" s="48"/>
      <c r="D8" s="48"/>
      <c r="E8" s="48"/>
      <c r="F8" s="48" t="s">
        <v>47</v>
      </c>
      <c r="G8" s="47"/>
      <c r="H8" s="49">
        <f>SUMIFS('辅助-汇总损益长表'!$C$2:$C$242,'辅助-汇总损益长表'!$A$2:$A$242,"主营业务成本",'辅助-汇总损益长表'!$B$2:$B$242,H$6)</f>
        <v>413.97461966256162</v>
      </c>
      <c r="I8" s="49">
        <f>SUMIFS('辅助-汇总损益长表'!$C$2:$C$242,'辅助-汇总损益长表'!$A$2:$A$242,"主营业务成本",'辅助-汇总损益长表'!$B$2:$B$242,I$6)</f>
        <v>245.01228958274865</v>
      </c>
      <c r="J8" s="49">
        <f>SUMIFS('辅助-汇总损益长表'!$C$2:$C$242,'辅助-汇总损益长表'!$A$2:$A$242,"主营业务成本",'辅助-汇总损益长表'!$B$2:$B$242,J$6)</f>
        <v>437.01890892117831</v>
      </c>
      <c r="K8" s="49">
        <f>SUMIFS('辅助-汇总损益长表'!$C$2:$C$242,'辅助-汇总损益长表'!$A$2:$A$242,"主营业务成本",'辅助-汇总损益长表'!$B$2:$B$242,K$6)</f>
        <v>367.2097236258187</v>
      </c>
      <c r="L8" s="49">
        <f>SUMIFS('辅助-汇总损益长表'!$C$2:$C$242,'辅助-汇总损益长表'!$A$2:$A$242,"主营业务成本",'辅助-汇总损益长表'!$B$2:$B$242,L$6)</f>
        <v>463.40024103620783</v>
      </c>
      <c r="M8" s="49">
        <f>SUMIFS('辅助-汇总损益长表'!$C$2:$C$242,'辅助-汇总损益长表'!$A$2:$A$242,"主营业务成本",'辅助-汇总损益长表'!$B$2:$B$242,M$6)</f>
        <v>451.40470292642584</v>
      </c>
      <c r="N8" s="49">
        <f>SUMIFS('辅助-汇总损益长表'!$C$2:$C$242,'辅助-汇总损益长表'!$A$2:$A$242,"主营业务成本",'辅助-汇总损益长表'!$B$2:$B$242,N$6)</f>
        <v>284.77935374135944</v>
      </c>
      <c r="O8" s="49">
        <f>SUMIFS('辅助-汇总损益长表'!$C$2:$C$242,'辅助-汇总损益长表'!$A$2:$A$242,"主营业务成本",'辅助-汇总损益长表'!$B$2:$B$242,O$6)</f>
        <v>375.49932118645387</v>
      </c>
      <c r="P8" s="49">
        <f>SUMIFS('辅助-汇总损益长表'!$C$2:$C$242,'辅助-汇总损益长表'!$A$2:$A$242,"主营业务成本",'辅助-汇总损益长表'!$B$2:$B$242,P$6)</f>
        <v>470.40683731657509</v>
      </c>
      <c r="Q8" s="49">
        <f>SUMIFS('辅助-汇总损益长表'!$C$2:$C$242,'辅助-汇总损益长表'!$A$2:$A$242,"主营业务成本",'辅助-汇总损益长表'!$B$2:$B$242,Q$6)</f>
        <v>506.63822619553599</v>
      </c>
      <c r="R8" s="49">
        <f>SUMIFS('辅助-汇总损益长表'!$C$2:$C$242,'辅助-汇总损益长表'!$A$2:$A$242,"主营业务成本",'辅助-汇总损益长表'!$B$2:$B$242,R$6)</f>
        <v>615.01703965425099</v>
      </c>
      <c r="S8" s="49">
        <f>SUMIFS('辅助-汇总损益长表'!$C$2:$C$242,'辅助-汇总损益长表'!$A$2:$A$242,"主营业务成本",'辅助-汇总损益长表'!$B$2:$B$242,S$6)</f>
        <v>524.78257358729377</v>
      </c>
      <c r="T8" s="62"/>
      <c r="U8" s="49">
        <f>SUM(H8:S8)</f>
        <v>5155.1438374364097</v>
      </c>
      <c r="V8" s="49">
        <f>SUM(N8:S8)</f>
        <v>2777.1233516814691</v>
      </c>
    </row>
    <row r="9" spans="1:24" ht="16" customHeight="1">
      <c r="A9" s="47"/>
      <c r="B9" s="50" t="s">
        <v>49</v>
      </c>
      <c r="C9" s="50"/>
      <c r="D9" s="50"/>
      <c r="E9" s="50"/>
      <c r="F9" s="50" t="s">
        <v>50</v>
      </c>
      <c r="G9" s="47"/>
      <c r="H9" s="51">
        <f t="shared" ref="H9:S9" si="0">H7-H8</f>
        <v>682.5657083374382</v>
      </c>
      <c r="I9" s="51">
        <f t="shared" si="0"/>
        <v>419.94732041725126</v>
      </c>
      <c r="J9" s="51">
        <f t="shared" si="0"/>
        <v>575.27586107882189</v>
      </c>
      <c r="K9" s="51">
        <f t="shared" si="0"/>
        <v>610.64002737418127</v>
      </c>
      <c r="L9" s="51">
        <f t="shared" si="0"/>
        <v>754.70294196379234</v>
      </c>
      <c r="M9" s="51">
        <f t="shared" si="0"/>
        <v>789.18586830264189</v>
      </c>
      <c r="N9" s="51">
        <f t="shared" si="0"/>
        <v>507.06453868500779</v>
      </c>
      <c r="O9" s="51">
        <f t="shared" si="0"/>
        <v>670.10007907514841</v>
      </c>
      <c r="P9" s="51">
        <f t="shared" si="0"/>
        <v>840.70617055271259</v>
      </c>
      <c r="Q9" s="51">
        <f t="shared" si="0"/>
        <v>905.98300789302516</v>
      </c>
      <c r="R9" s="51">
        <f t="shared" si="0"/>
        <v>1099.9447796265654</v>
      </c>
      <c r="S9" s="51">
        <f t="shared" si="0"/>
        <v>938.32360024451225</v>
      </c>
      <c r="T9" s="62"/>
      <c r="U9" s="51">
        <f>SUM(H9:S9)</f>
        <v>8794.4399035510978</v>
      </c>
      <c r="V9" s="51">
        <f>SUM(N9:S9)</f>
        <v>4962.1221760769713</v>
      </c>
    </row>
    <row r="10" spans="1:24" ht="16" customHeight="1">
      <c r="A10" s="47"/>
      <c r="B10" s="52" t="s">
        <v>51</v>
      </c>
      <c r="C10" s="52"/>
      <c r="D10" s="52"/>
      <c r="E10" s="52"/>
      <c r="F10" s="52" t="s">
        <v>50</v>
      </c>
      <c r="G10" s="47"/>
      <c r="H10" s="53">
        <f t="shared" ref="H10:V10" si="1">IFERROR(H9/H7,0)</f>
        <v>0.62247205224306013</v>
      </c>
      <c r="I10" s="53">
        <f t="shared" si="1"/>
        <v>0.63153808757986274</v>
      </c>
      <c r="J10" s="53">
        <f t="shared" si="1"/>
        <v>0.56828888000559541</v>
      </c>
      <c r="K10" s="53">
        <f t="shared" si="1"/>
        <v>0.6244722430513574</v>
      </c>
      <c r="L10" s="53">
        <f t="shared" si="1"/>
        <v>0.61957225996657805</v>
      </c>
      <c r="M10" s="53">
        <f t="shared" si="1"/>
        <v>0.63613724511930325</v>
      </c>
      <c r="N10" s="53">
        <f t="shared" si="1"/>
        <v>0.64035922172899651</v>
      </c>
      <c r="O10" s="53">
        <f t="shared" si="1"/>
        <v>0.64087649524999113</v>
      </c>
      <c r="P10" s="53">
        <f t="shared" si="1"/>
        <v>0.64121564312671919</v>
      </c>
      <c r="Q10" s="53">
        <f t="shared" si="1"/>
        <v>0.64134885277834253</v>
      </c>
      <c r="R10" s="53">
        <f t="shared" si="1"/>
        <v>0.6413814973955726</v>
      </c>
      <c r="S10" s="53">
        <f t="shared" si="1"/>
        <v>0.6413229723356898</v>
      </c>
      <c r="T10" s="329"/>
      <c r="U10" s="53">
        <f t="shared" si="1"/>
        <v>0.6304446115987492</v>
      </c>
      <c r="V10" s="53">
        <f t="shared" si="1"/>
        <v>0.64116355506221778</v>
      </c>
    </row>
    <row r="11" spans="1:24" ht="16" customHeight="1">
      <c r="A11" s="47"/>
      <c r="B11" s="54" t="s">
        <v>406</v>
      </c>
      <c r="C11" s="54"/>
      <c r="D11" s="54"/>
      <c r="E11" s="54" t="s">
        <v>407</v>
      </c>
      <c r="F11" s="54" t="s">
        <v>408</v>
      </c>
      <c r="G11" s="47"/>
      <c r="H11" s="55">
        <f>'测算-整体经营'!I$13</f>
        <v>43.350696247293243</v>
      </c>
      <c r="I11" s="55">
        <f>'测算-整体经营'!J$13</f>
        <v>41.379724210210334</v>
      </c>
      <c r="J11" s="55">
        <f>'测算-整体经营'!K$13</f>
        <v>58.838004505707858</v>
      </c>
      <c r="K11" s="55">
        <f>'测算-整体经营'!L$13</f>
        <v>65.415322036832279</v>
      </c>
      <c r="L11" s="55">
        <f>'测算-整体经营'!M$13</f>
        <v>76.059853665303706</v>
      </c>
      <c r="M11" s="55">
        <f>'测算-整体经营'!N$13</f>
        <v>52.183939076184657</v>
      </c>
      <c r="N11" s="55">
        <f>'测算-整体经营'!O$13</f>
        <v>25.488838583945473</v>
      </c>
      <c r="O11" s="55">
        <f>'测算-整体经营'!P$13</f>
        <v>34.090010451778923</v>
      </c>
      <c r="P11" s="55">
        <f>'测算-整体经营'!Q$13</f>
        <v>43.110751679018882</v>
      </c>
      <c r="Q11" s="55">
        <f>'测算-整体经营'!R$13</f>
        <v>46.624645064048408</v>
      </c>
      <c r="R11" s="55">
        <f>'测算-整体经营'!S$13</f>
        <v>56.641863519878825</v>
      </c>
      <c r="S11" s="55">
        <f>'测算-整体经营'!T$13</f>
        <v>48.250476331748629</v>
      </c>
      <c r="T11" s="62"/>
      <c r="U11" s="55">
        <f>SUM(H11:S11)</f>
        <v>591.43412537195127</v>
      </c>
      <c r="V11" s="55">
        <f>SUM(N11:S11)</f>
        <v>254.20658563041917</v>
      </c>
    </row>
    <row r="12" spans="1:24" ht="16" customHeight="1">
      <c r="A12" s="47"/>
      <c r="B12" s="56" t="s">
        <v>409</v>
      </c>
      <c r="C12" s="56"/>
      <c r="D12" s="56"/>
      <c r="E12" s="56" t="s">
        <v>410</v>
      </c>
      <c r="F12" s="56" t="s">
        <v>50</v>
      </c>
      <c r="G12" s="332"/>
      <c r="H12" s="57">
        <f t="shared" ref="H12:S12" si="2">H9+H11</f>
        <v>725.91640458473148</v>
      </c>
      <c r="I12" s="57">
        <f t="shared" si="2"/>
        <v>461.32704462746159</v>
      </c>
      <c r="J12" s="57">
        <f t="shared" si="2"/>
        <v>634.11386558452978</v>
      </c>
      <c r="K12" s="57">
        <f t="shared" si="2"/>
        <v>676.05534941101359</v>
      </c>
      <c r="L12" s="57">
        <f t="shared" si="2"/>
        <v>830.76279562909599</v>
      </c>
      <c r="M12" s="57">
        <f t="shared" si="2"/>
        <v>841.36980737882652</v>
      </c>
      <c r="N12" s="57">
        <f t="shared" si="2"/>
        <v>532.55337726895323</v>
      </c>
      <c r="O12" s="57">
        <f t="shared" si="2"/>
        <v>704.1900895269273</v>
      </c>
      <c r="P12" s="57">
        <f t="shared" si="2"/>
        <v>883.8169222317315</v>
      </c>
      <c r="Q12" s="57">
        <f t="shared" si="2"/>
        <v>952.60765295707358</v>
      </c>
      <c r="R12" s="57">
        <f t="shared" si="2"/>
        <v>1156.5866431464442</v>
      </c>
      <c r="S12" s="57">
        <f t="shared" si="2"/>
        <v>986.57407657626084</v>
      </c>
      <c r="T12" s="330"/>
      <c r="U12" s="57">
        <f>SUM(H12:S12)</f>
        <v>9385.87402892305</v>
      </c>
      <c r="V12" s="57">
        <f>SUM(N12:S12)</f>
        <v>5216.3287617073911</v>
      </c>
    </row>
    <row r="13" spans="1:24" ht="16" customHeight="1">
      <c r="A13" s="47"/>
      <c r="B13" s="52" t="s">
        <v>411</v>
      </c>
      <c r="C13" s="52"/>
      <c r="D13" s="52"/>
      <c r="E13" s="52" t="s">
        <v>412</v>
      </c>
      <c r="F13" s="52" t="s">
        <v>50</v>
      </c>
      <c r="G13" s="47"/>
      <c r="H13" s="58">
        <f t="shared" ref="H13:V13" si="3">IFERROR(H12/H7,0)</f>
        <v>0.66200611691933287</v>
      </c>
      <c r="I13" s="58">
        <f t="shared" si="3"/>
        <v>0.69376701635677041</v>
      </c>
      <c r="J13" s="58">
        <f t="shared" si="3"/>
        <v>0.62641227078998907</v>
      </c>
      <c r="K13" s="58">
        <f t="shared" si="3"/>
        <v>0.69136935272483757</v>
      </c>
      <c r="L13" s="58">
        <f t="shared" si="3"/>
        <v>0.68201348393414052</v>
      </c>
      <c r="M13" s="58">
        <f t="shared" si="3"/>
        <v>0.6782010333556473</v>
      </c>
      <c r="N13" s="58">
        <f t="shared" si="3"/>
        <v>0.67254844340227682</v>
      </c>
      <c r="O13" s="58">
        <f t="shared" si="3"/>
        <v>0.67347981392371059</v>
      </c>
      <c r="P13" s="58">
        <f t="shared" si="3"/>
        <v>0.67409667734746803</v>
      </c>
      <c r="Q13" s="58">
        <f t="shared" si="3"/>
        <v>0.67435461818730669</v>
      </c>
      <c r="R13" s="58">
        <f t="shared" si="3"/>
        <v>0.67440955836058702</v>
      </c>
      <c r="S13" s="58">
        <f t="shared" si="3"/>
        <v>0.67430108232847508</v>
      </c>
      <c r="T13" s="331"/>
      <c r="U13" s="58">
        <f t="shared" si="3"/>
        <v>0.67284258822325349</v>
      </c>
      <c r="V13" s="58">
        <f t="shared" si="3"/>
        <v>0.67400998495239939</v>
      </c>
    </row>
    <row r="14" spans="1:24" ht="16" customHeight="1">
      <c r="A14" s="47"/>
      <c r="B14" s="48" t="s">
        <v>121</v>
      </c>
      <c r="C14" s="48"/>
      <c r="D14" s="48"/>
      <c r="E14" s="48" t="s">
        <v>413</v>
      </c>
      <c r="F14" s="48" t="s">
        <v>408</v>
      </c>
      <c r="G14" s="47"/>
      <c r="H14" s="49">
        <f t="shared" ref="H14:S14" si="4">SUM(H15:H17)</f>
        <v>0</v>
      </c>
      <c r="I14" s="49">
        <f t="shared" si="4"/>
        <v>38.327309999999997</v>
      </c>
      <c r="J14" s="49">
        <f t="shared" si="4"/>
        <v>36.58473</v>
      </c>
      <c r="K14" s="49">
        <f t="shared" si="4"/>
        <v>57.214245769113163</v>
      </c>
      <c r="L14" s="49">
        <f t="shared" si="4"/>
        <v>63.029397769113153</v>
      </c>
      <c r="M14" s="49">
        <f t="shared" si="4"/>
        <v>72.440463769113165</v>
      </c>
      <c r="N14" s="49">
        <f t="shared" si="4"/>
        <v>53.143505811055327</v>
      </c>
      <c r="O14" s="49">
        <f t="shared" si="4"/>
        <v>29.541776643646909</v>
      </c>
      <c r="P14" s="49">
        <f t="shared" si="4"/>
        <v>37.146263055149824</v>
      </c>
      <c r="Q14" s="49">
        <f t="shared" si="4"/>
        <v>38.115169696679217</v>
      </c>
      <c r="R14" s="49">
        <f t="shared" si="4"/>
        <v>41.221880608695656</v>
      </c>
      <c r="S14" s="49">
        <f t="shared" si="4"/>
        <v>120.37413476583986</v>
      </c>
      <c r="T14" s="62"/>
      <c r="U14" s="49">
        <f>SUM(H14:S14)</f>
        <v>587.13887788840623</v>
      </c>
      <c r="V14" s="49">
        <f>SUM(N14:S14)</f>
        <v>319.54273058106679</v>
      </c>
    </row>
    <row r="15" spans="1:24" ht="16" customHeight="1">
      <c r="A15" s="47"/>
      <c r="B15" s="59"/>
      <c r="C15" s="59" t="s">
        <v>122</v>
      </c>
      <c r="D15" s="59" t="s">
        <v>402</v>
      </c>
      <c r="E15" s="59" t="s">
        <v>414</v>
      </c>
      <c r="F15" s="59" t="s">
        <v>408</v>
      </c>
      <c r="G15" s="59"/>
      <c r="H15" s="60">
        <f>'测算-整体经营'!I$17</f>
        <v>0</v>
      </c>
      <c r="I15" s="60">
        <f>'测算-整体经营'!J$17</f>
        <v>0</v>
      </c>
      <c r="J15" s="60">
        <f>'测算-整体经营'!K$17</f>
        <v>0</v>
      </c>
      <c r="K15" s="60">
        <f>'测算-整体经营'!L$17</f>
        <v>5.1942637691131628</v>
      </c>
      <c r="L15" s="60">
        <f>'测算-整体经营'!M$17</f>
        <v>5.1942637691131628</v>
      </c>
      <c r="M15" s="60">
        <f>'测算-整体经营'!N$17</f>
        <v>5.1942637691131628</v>
      </c>
      <c r="N15" s="60">
        <f>'测算-整体经营'!O$17</f>
        <v>7.0065303266321868</v>
      </c>
      <c r="O15" s="60">
        <f>'测算-整体经营'!P$17</f>
        <v>7.0065303266321868</v>
      </c>
      <c r="P15" s="60">
        <f>'测算-整体经营'!Q$17</f>
        <v>7.0065303266321868</v>
      </c>
      <c r="Q15" s="60">
        <f>'测算-整体经营'!R$17</f>
        <v>0</v>
      </c>
      <c r="R15" s="60">
        <f>'测算-整体经营'!S$17</f>
        <v>0</v>
      </c>
      <c r="S15" s="60">
        <f>'测算-整体经营'!T$17</f>
        <v>0</v>
      </c>
      <c r="T15" s="60"/>
      <c r="U15" s="60">
        <f>SUM(H15:S15)</f>
        <v>36.602382287236047</v>
      </c>
      <c r="V15" s="60">
        <f>SUM(N15:S15)</f>
        <v>21.019590979896559</v>
      </c>
    </row>
    <row r="16" spans="1:24" ht="16" customHeight="1">
      <c r="A16" s="47"/>
      <c r="B16" s="59"/>
      <c r="C16" s="59" t="s">
        <v>122</v>
      </c>
      <c r="D16" s="59" t="s">
        <v>392</v>
      </c>
      <c r="E16" s="59" t="s">
        <v>415</v>
      </c>
      <c r="F16" s="59" t="s">
        <v>408</v>
      </c>
      <c r="G16" s="59"/>
      <c r="H16" s="60">
        <f>'测算-整体经营'!I$18</f>
        <v>0</v>
      </c>
      <c r="I16" s="60">
        <f>'测算-整体经营'!J$18</f>
        <v>0</v>
      </c>
      <c r="J16" s="60">
        <f>'测算-整体经营'!K$18</f>
        <v>0</v>
      </c>
      <c r="K16" s="60">
        <f>'测算-整体经营'!L$18</f>
        <v>0</v>
      </c>
      <c r="L16" s="60">
        <f>'测算-整体经营'!M$18</f>
        <v>0</v>
      </c>
      <c r="M16" s="60">
        <f>'测算-整体经营'!N$18</f>
        <v>0</v>
      </c>
      <c r="N16" s="60">
        <f>'测算-整体经营'!O$18</f>
        <v>0</v>
      </c>
      <c r="O16" s="60">
        <f>'测算-整体经营'!P$18</f>
        <v>0</v>
      </c>
      <c r="P16" s="60">
        <f>'测算-整体经营'!Q$18</f>
        <v>0</v>
      </c>
      <c r="Q16" s="60">
        <f>'测算-整体经营'!R$18</f>
        <v>0</v>
      </c>
      <c r="R16" s="60">
        <f>'测算-整体经营'!S$18</f>
        <v>0</v>
      </c>
      <c r="S16" s="60">
        <f>'测算-整体经营'!T$18</f>
        <v>70.295809616918248</v>
      </c>
      <c r="T16" s="60"/>
      <c r="U16" s="60">
        <f>SUM(H16:S16)</f>
        <v>70.295809616918248</v>
      </c>
      <c r="V16" s="60">
        <f>SUM(N16:S16)</f>
        <v>70.295809616918248</v>
      </c>
    </row>
    <row r="17" spans="1:22" ht="16" customHeight="1">
      <c r="A17" s="47"/>
      <c r="B17" s="59"/>
      <c r="C17" s="59" t="s">
        <v>122</v>
      </c>
      <c r="D17" s="59" t="s">
        <v>403</v>
      </c>
      <c r="E17" s="59" t="s">
        <v>414</v>
      </c>
      <c r="F17" s="59" t="s">
        <v>408</v>
      </c>
      <c r="G17" s="59"/>
      <c r="H17" s="60">
        <f>'测算-整体经营'!I$19</f>
        <v>0</v>
      </c>
      <c r="I17" s="60">
        <f>'测算-整体经营'!J$19</f>
        <v>38.327309999999997</v>
      </c>
      <c r="J17" s="60">
        <f>'测算-整体经营'!K$19</f>
        <v>36.58473</v>
      </c>
      <c r="K17" s="60">
        <f>'测算-整体经营'!L$19</f>
        <v>52.019981999999999</v>
      </c>
      <c r="L17" s="60">
        <f>'测算-整体经营'!M$19</f>
        <v>57.835133999999989</v>
      </c>
      <c r="M17" s="60">
        <f>'测算-整体经营'!N$19</f>
        <v>67.246200000000002</v>
      </c>
      <c r="N17" s="60">
        <f>'测算-整体经营'!O$19</f>
        <v>46.136975484423139</v>
      </c>
      <c r="O17" s="60">
        <f>'测算-整体经营'!P$19</f>
        <v>22.535246317014721</v>
      </c>
      <c r="P17" s="60">
        <f>'测算-整体经营'!Q$19</f>
        <v>30.139732728517636</v>
      </c>
      <c r="Q17" s="60">
        <f>'测算-整体经营'!R$19</f>
        <v>38.115169696679217</v>
      </c>
      <c r="R17" s="60">
        <f>'测算-整体经营'!S$19</f>
        <v>41.221880608695656</v>
      </c>
      <c r="S17" s="60">
        <f>'测算-整体经营'!T$19</f>
        <v>50.078325148921607</v>
      </c>
      <c r="T17" s="60"/>
      <c r="U17" s="60">
        <f>SUM(H17:S17)</f>
        <v>480.24068598425197</v>
      </c>
      <c r="V17" s="60">
        <f>SUM(N17:S17)</f>
        <v>228.22732998425195</v>
      </c>
    </row>
    <row r="18" spans="1:22" ht="16" customHeight="1">
      <c r="A18" s="47"/>
      <c r="B18" s="48" t="s">
        <v>52</v>
      </c>
      <c r="C18" s="48"/>
      <c r="D18" s="48"/>
      <c r="E18" s="48"/>
      <c r="F18" s="48" t="s">
        <v>53</v>
      </c>
      <c r="G18" s="47"/>
      <c r="H18" s="49">
        <f t="shared" ref="H18:V18" si="5">SUM(H20,H29,H34,H38,H43)</f>
        <v>490.21724701148008</v>
      </c>
      <c r="I18" s="49">
        <f t="shared" si="5"/>
        <v>308.16563712736246</v>
      </c>
      <c r="J18" s="49">
        <f t="shared" si="5"/>
        <v>661.62351712611849</v>
      </c>
      <c r="K18" s="49">
        <f t="shared" si="5"/>
        <v>432.60885216039486</v>
      </c>
      <c r="L18" s="49">
        <f t="shared" si="5"/>
        <v>566.72381335035152</v>
      </c>
      <c r="M18" s="49">
        <f t="shared" si="5"/>
        <v>657.77219340075055</v>
      </c>
      <c r="N18" s="49">
        <f t="shared" si="5"/>
        <v>460.36614814838873</v>
      </c>
      <c r="O18" s="49">
        <f t="shared" si="5"/>
        <v>598.93023069953529</v>
      </c>
      <c r="P18" s="49">
        <f t="shared" si="5"/>
        <v>741.56621750135344</v>
      </c>
      <c r="Q18" s="49">
        <f t="shared" si="5"/>
        <v>795.38792056329851</v>
      </c>
      <c r="R18" s="49">
        <f t="shared" si="5"/>
        <v>956.13616379958864</v>
      </c>
      <c r="S18" s="49">
        <f t="shared" si="5"/>
        <v>822.27400075688456</v>
      </c>
      <c r="T18" s="62"/>
      <c r="U18" s="49">
        <f t="shared" si="5"/>
        <v>7519.8614063023942</v>
      </c>
      <c r="V18" s="49">
        <f t="shared" si="5"/>
        <v>4374.6606814690495</v>
      </c>
    </row>
    <row r="19" spans="1:22" ht="16" customHeight="1">
      <c r="A19" s="47"/>
      <c r="B19" s="52" t="s">
        <v>83</v>
      </c>
      <c r="C19" s="52"/>
      <c r="D19" s="52"/>
      <c r="E19" s="52" t="s">
        <v>417</v>
      </c>
      <c r="F19" s="52" t="s">
        <v>50</v>
      </c>
      <c r="G19" s="47"/>
      <c r="H19" s="58">
        <f t="shared" ref="H19:V19" si="6">IFERROR(H18/H7,0)</f>
        <v>0.44705811039854448</v>
      </c>
      <c r="I19" s="58">
        <f t="shared" si="6"/>
        <v>0.46343512070960596</v>
      </c>
      <c r="J19" s="58">
        <f t="shared" si="6"/>
        <v>0.65358780538411587</v>
      </c>
      <c r="K19" s="58">
        <f t="shared" si="6"/>
        <v>0.44240830630471251</v>
      </c>
      <c r="L19" s="58">
        <f t="shared" si="6"/>
        <v>0.4652510733570191</v>
      </c>
      <c r="M19" s="58">
        <f t="shared" si="6"/>
        <v>0.53020892521300389</v>
      </c>
      <c r="N19" s="58">
        <f t="shared" si="6"/>
        <v>0.58138498326701149</v>
      </c>
      <c r="O19" s="58">
        <f t="shared" si="6"/>
        <v>0.57281041912388886</v>
      </c>
      <c r="P19" s="58">
        <f t="shared" si="6"/>
        <v>0.5656005340885798</v>
      </c>
      <c r="Q19" s="58">
        <f t="shared" si="6"/>
        <v>0.56305816546534615</v>
      </c>
      <c r="R19" s="58">
        <f t="shared" si="6"/>
        <v>0.55752621023397031</v>
      </c>
      <c r="S19" s="58">
        <f t="shared" si="6"/>
        <v>0.56200569409353784</v>
      </c>
      <c r="T19" s="331"/>
      <c r="U19" s="58">
        <f t="shared" si="6"/>
        <v>0.53907425095467787</v>
      </c>
      <c r="V19" s="58">
        <f t="shared" si="6"/>
        <v>0.56525673798284393</v>
      </c>
    </row>
    <row r="20" spans="1:22" s="63" customFormat="1" ht="16" customHeight="1">
      <c r="A20" s="47"/>
      <c r="B20" s="47"/>
      <c r="C20" s="61" t="s">
        <v>54</v>
      </c>
      <c r="D20" s="47"/>
      <c r="E20" s="47"/>
      <c r="F20" s="47"/>
      <c r="G20" s="47"/>
      <c r="H20" s="62">
        <f>SUM(H21:H28)</f>
        <v>412.1812373115269</v>
      </c>
      <c r="I20" s="62">
        <f t="shared" ref="I20:V20" si="7">SUM(I21:I28)</f>
        <v>249.59393688522061</v>
      </c>
      <c r="J20" s="62">
        <f t="shared" si="7"/>
        <v>566.78643541573751</v>
      </c>
      <c r="K20" s="62">
        <f t="shared" si="7"/>
        <v>353.13792234778714</v>
      </c>
      <c r="L20" s="62">
        <f t="shared" si="7"/>
        <v>472.97887069183372</v>
      </c>
      <c r="M20" s="62">
        <f t="shared" si="7"/>
        <v>545.45950355316722</v>
      </c>
      <c r="N20" s="62">
        <f t="shared" si="7"/>
        <v>343.93450873351645</v>
      </c>
      <c r="O20" s="62">
        <f t="shared" si="7"/>
        <v>460.44760035735811</v>
      </c>
      <c r="P20" s="62">
        <f t="shared" si="7"/>
        <v>580.34418862685061</v>
      </c>
      <c r="Q20" s="62">
        <f t="shared" si="7"/>
        <v>625.60530862441647</v>
      </c>
      <c r="R20" s="62">
        <f t="shared" si="7"/>
        <v>760.47491936374558</v>
      </c>
      <c r="S20" s="62">
        <f t="shared" si="7"/>
        <v>648.12293130985711</v>
      </c>
      <c r="T20" s="62"/>
      <c r="U20" s="62">
        <f t="shared" si="7"/>
        <v>6019.0673632210164</v>
      </c>
      <c r="V20" s="62">
        <f t="shared" si="7"/>
        <v>3418.9294570157444</v>
      </c>
    </row>
    <row r="21" spans="1:22" ht="16" customHeight="1">
      <c r="B21" s="59"/>
      <c r="C21" s="59"/>
      <c r="D21" s="59" t="s">
        <v>55</v>
      </c>
      <c r="E21" s="59" t="s">
        <v>56</v>
      </c>
      <c r="F21" s="59" t="s">
        <v>57</v>
      </c>
      <c r="G21" s="59"/>
      <c r="H21" s="60">
        <f>SUM('测算-高个子抖音'!I$22)+SUM('测算-高个子视频号'!I$22)+SUM('测算-天猫淘宝'!I$21)+SUM('测算-拼多多'!I$22)+SUM('测算-京东POP'!I$22)+SUM('测算-达播'!I$23)+SUM('测算-私域'!I$22)+SUM('测算-外部分销'!I$22)++SUM('测算-京东自营'!I$21)</f>
        <v>334.99109991072692</v>
      </c>
      <c r="I21" s="60">
        <f>SUM('测算-高个子抖音'!J$22)+SUM('测算-高个子视频号'!J$22)+SUM('测算-天猫淘宝'!J$21)+SUM('测算-拼多多'!J$22)+SUM('测算-京东POP'!J$22)+SUM('测算-达播'!J$23)+SUM('测算-私域'!J$22)+SUM('测算-外部分销'!J$22)++SUM('测算-京东自营'!J$21)</f>
        <v>214.39621712192067</v>
      </c>
      <c r="J21" s="60">
        <f>SUM('测算-高个子抖音'!K$22)+SUM('测算-高个子视频号'!K$22)+SUM('测算-天猫淘宝'!K$21)+SUM('测算-拼多多'!K$22)+SUM('测算-京东POP'!K$22)+SUM('测算-达播'!K$23)+SUM('测算-私域'!K$22)+SUM('测算-外部分销'!K$22)++SUM('测算-京东自营'!K$21)</f>
        <v>437.40128255953755</v>
      </c>
      <c r="K21" s="60">
        <f>SUM('测算-高个子抖音'!L$22)+SUM('测算-高个子视频号'!L$22)+SUM('测算-天猫淘宝'!L$21)+SUM('测算-拼多多'!L$22)+SUM('测算-京东POP'!L$22)+SUM('测算-达播'!L$23)+SUM('测算-私域'!L$22)+SUM('测算-外部分销'!L$22)++SUM('测算-京东自营'!L$21)</f>
        <v>301.87089244028704</v>
      </c>
      <c r="L21" s="60">
        <f>SUM('测算-高个子抖音'!M$22)+SUM('测算-高个子视频号'!M$22)+SUM('测算-天猫淘宝'!M$21)+SUM('测算-拼多多'!M$22)+SUM('测算-京东POP'!M$22)+SUM('测算-达播'!M$23)+SUM('测算-私域'!M$22)+SUM('测算-外部分销'!M$22)++SUM('测算-京东自营'!M$21)</f>
        <v>396.08315618013364</v>
      </c>
      <c r="M21" s="60">
        <f>SUM('测算-高个子抖音'!N$22)+SUM('测算-高个子视频号'!N$22)+SUM('测算-天猫淘宝'!N$21)+SUM('测算-拼多多'!N$22)+SUM('测算-京东POP'!N$22)+SUM('测算-达播'!N$23)+SUM('测算-私域'!N$22)+SUM('测算-外部分销'!N$22)++SUM('测算-京东自营'!N$21)</f>
        <v>440.4202666347287</v>
      </c>
      <c r="N21" s="60">
        <f>SUM('测算-高个子抖音'!O$22)+SUM('测算-高个子视频号'!O$22)+SUM('测算-天猫淘宝'!O$21)+SUM('测算-拼多多'!O$22)+SUM('测算-京东POP'!O$22)+SUM('测算-达播'!O$23)+SUM('测算-私域'!O$22)+SUM('测算-外部分销'!O$22)++SUM('测算-京东自营'!O$21)</f>
        <v>290.95050176269882</v>
      </c>
      <c r="O21" s="60">
        <f>SUM('测算-高个子抖音'!P$22)+SUM('测算-高个子视频号'!P$22)+SUM('测算-天猫淘宝'!P$21)+SUM('测算-拼多多'!P$22)+SUM('测算-京东POP'!P$22)+SUM('测算-达播'!P$23)+SUM('测算-私域'!P$22)+SUM('测算-外部分销'!P$22)++SUM('测算-京东自营'!P$21)</f>
        <v>389.5842165486514</v>
      </c>
      <c r="P21" s="60">
        <f>SUM('测算-高个子抖音'!Q$22)+SUM('测算-高个子视频号'!Q$22)+SUM('测算-天猫淘宝'!Q$21)+SUM('测算-拼多多'!Q$22)+SUM('测算-京东POP'!Q$22)+SUM('测算-达播'!Q$23)+SUM('测算-私域'!Q$22)+SUM('测算-外部分销'!Q$22)++SUM('测算-京东自营'!Q$21)</f>
        <v>490.72926325645528</v>
      </c>
      <c r="Q21" s="60">
        <f>SUM('测算-高个子抖音'!R$22)+SUM('测算-高个子视频号'!R$22)+SUM('测算-天猫淘宝'!R$21)+SUM('测算-拼多多'!R$22)+SUM('测算-京东POP'!R$22)+SUM('测算-达播'!R$23)+SUM('测算-私域'!R$22)+SUM('测算-外部分销'!R$22)++SUM('测算-京东自营'!R$21)</f>
        <v>528.68600369220064</v>
      </c>
      <c r="R21" s="60">
        <f>SUM('测算-高个子抖音'!S$22)+SUM('测算-高个子视频号'!S$22)+SUM('测算-天猫淘宝'!S$21)+SUM('测算-拼多多'!S$22)+SUM('测算-京东POP'!S$22)+SUM('测算-达播'!S$23)+SUM('测算-私域'!S$22)+SUM('测算-外部分销'!S$22)++SUM('测算-京东自营'!S$21)</f>
        <v>642.73268165081731</v>
      </c>
      <c r="S21" s="60">
        <f>SUM('测算-高个子抖音'!T$22)+SUM('测算-高个子视频号'!T$22)+SUM('测算-天猫淘宝'!T$21)+SUM('测算-拼多多'!T$22)+SUM('测算-京东POP'!T$22)+SUM('测算-达播'!T$23)+SUM('测算-私域'!T$22)+SUM('测算-外部分销'!T$22)++SUM('测算-京东自营'!T$21)</f>
        <v>547.82398807291838</v>
      </c>
      <c r="T21" s="60"/>
      <c r="U21" s="60">
        <f>SUM('测算-高个子抖音'!V$22)+SUM('测算-高个子视频号'!V$22)+SUM('测算-天猫淘宝'!V$21)+SUM('测算-拼多多'!V$22)+SUM('测算-京东POP'!V$22)+SUM('测算-达播'!V$23)+SUM('测算-私域'!V$22)+SUM('测算-外部分销'!V$22)++SUM('测算-京东自营'!V$21)</f>
        <v>5015.6695698310759</v>
      </c>
      <c r="V21" s="60">
        <f>SUM('测算-高个子抖音'!W$22)+SUM('测算-高个子视频号'!W$22)+SUM('测算-天猫淘宝'!W$21)+SUM('测算-拼多多'!W$22)+SUM('测算-京东POP'!W$22)+SUM('测算-达播'!W$23)+SUM('测算-私域'!W$22)+SUM('测算-外部分销'!W$22)++SUM('测算-京东自营'!W$21)</f>
        <v>2890.5066549837416</v>
      </c>
    </row>
    <row r="22" spans="1:22" ht="16" customHeight="1">
      <c r="B22" s="59"/>
      <c r="C22" s="59"/>
      <c r="D22" s="59" t="s">
        <v>58</v>
      </c>
      <c r="E22" s="59" t="s">
        <v>56</v>
      </c>
      <c r="F22" s="59" t="s">
        <v>57</v>
      </c>
      <c r="G22" s="59"/>
      <c r="H22" s="60">
        <f>SUM('测算-高个子抖音'!I$23)+SUM('测算-高个子视频号'!I$23)+SUM('测算-天猫淘宝'!I$22)+SUM('测算-拼多多'!I$23)+SUM('测算-京东POP'!I$23)+SUM('测算-达播'!I$24)+SUM('测算-私域'!I$23)+SUM('测算-外部分销'!I$23)</f>
        <v>0</v>
      </c>
      <c r="I22" s="60">
        <f>SUM('测算-高个子抖音'!J$23)+SUM('测算-高个子视频号'!J$23)+SUM('测算-天猫淘宝'!J$22)+SUM('测算-拼多多'!J$23)+SUM('测算-京东POP'!J$23)+SUM('测算-达播'!J$24)+SUM('测算-私域'!J$23)+SUM('测算-外部分销'!J$23)</f>
        <v>0</v>
      </c>
      <c r="J22" s="60">
        <f>SUM('测算-高个子抖音'!K$23)+SUM('测算-高个子视频号'!K$23)+SUM('测算-天猫淘宝'!K$22)+SUM('测算-拼多多'!K$23)+SUM('测算-京东POP'!K$23)+SUM('测算-达播'!K$24)+SUM('测算-私域'!K$23)+SUM('测算-外部分销'!K$23)</f>
        <v>0</v>
      </c>
      <c r="K22" s="60">
        <f>SUM('测算-高个子抖音'!L$23)+SUM('测算-高个子视频号'!L$23)+SUM('测算-天猫淘宝'!L$22)+SUM('测算-拼多多'!L$23)+SUM('测算-京东POP'!L$23)+SUM('测算-达播'!L$24)+SUM('测算-私域'!L$23)+SUM('测算-外部分销'!L$23)</f>
        <v>0</v>
      </c>
      <c r="L22" s="60">
        <f>SUM('测算-高个子抖音'!M$23)+SUM('测算-高个子视频号'!M$23)+SUM('测算-天猫淘宝'!M$22)+SUM('测算-拼多多'!M$23)+SUM('测算-京东POP'!M$23)+SUM('测算-达播'!M$24)+SUM('测算-私域'!M$23)+SUM('测算-外部分销'!M$23)</f>
        <v>0</v>
      </c>
      <c r="M22" s="60">
        <f>SUM('测算-高个子抖音'!N$23)+SUM('测算-高个子视频号'!N$23)+SUM('测算-天猫淘宝'!N$22)+SUM('测算-拼多多'!N$23)+SUM('测算-京东POP'!N$23)+SUM('测算-达播'!N$24)+SUM('测算-私域'!N$23)+SUM('测算-外部分销'!N$23)</f>
        <v>0</v>
      </c>
      <c r="N22" s="60">
        <f>SUM('测算-高个子抖音'!O$23)+SUM('测算-高个子视频号'!O$23)+SUM('测算-天猫淘宝'!O$22)+SUM('测算-拼多多'!O$23)+SUM('测算-京东POP'!O$23)+SUM('测算-达播'!O$24)+SUM('测算-私域'!O$23)+SUM('测算-外部分销'!O$23)</f>
        <v>0</v>
      </c>
      <c r="O22" s="60">
        <f>SUM('测算-高个子抖音'!P$23)+SUM('测算-高个子视频号'!P$23)+SUM('测算-天猫淘宝'!P$22)+SUM('测算-拼多多'!P$23)+SUM('测算-京东POP'!P$23)+SUM('测算-达播'!P$24)+SUM('测算-私域'!P$23)+SUM('测算-外部分销'!P$23)</f>
        <v>0</v>
      </c>
      <c r="P22" s="60">
        <f>SUM('测算-高个子抖音'!Q$23)+SUM('测算-高个子视频号'!Q$23)+SUM('测算-天猫淘宝'!Q$22)+SUM('测算-拼多多'!Q$23)+SUM('测算-京东POP'!Q$23)+SUM('测算-达播'!Q$24)+SUM('测算-私域'!Q$23)+SUM('测算-外部分销'!Q$23)</f>
        <v>0</v>
      </c>
      <c r="Q22" s="60">
        <f>SUM('测算-高个子抖音'!R$23)+SUM('测算-高个子视频号'!R$23)+SUM('测算-天猫淘宝'!R$22)+SUM('测算-拼多多'!R$23)+SUM('测算-京东POP'!R$23)+SUM('测算-达播'!R$24)+SUM('测算-私域'!R$23)+SUM('测算-外部分销'!R$23)</f>
        <v>0</v>
      </c>
      <c r="R22" s="60">
        <f>SUM('测算-高个子抖音'!S$23)+SUM('测算-高个子视频号'!S$23)+SUM('测算-天猫淘宝'!S$22)+SUM('测算-拼多多'!S$23)+SUM('测算-京东POP'!S$23)+SUM('测算-达播'!S$24)+SUM('测算-私域'!S$23)+SUM('测算-外部分销'!S$23)</f>
        <v>0</v>
      </c>
      <c r="S22" s="60">
        <f>SUM('测算-高个子抖音'!T$23)+SUM('测算-高个子视频号'!T$23)+SUM('测算-天猫淘宝'!T$22)+SUM('测算-拼多多'!T$23)+SUM('测算-京东POP'!T$23)+SUM('测算-达播'!T$24)+SUM('测算-私域'!T$23)+SUM('测算-外部分销'!T$23)</f>
        <v>0</v>
      </c>
      <c r="T22" s="60"/>
      <c r="U22" s="60">
        <f>SUM('测算-高个子抖音'!V$23)+SUM('测算-高个子视频号'!V$23)+SUM('测算-天猫淘宝'!V$22)+SUM('测算-拼多多'!V$23)+SUM('测算-京东POP'!V$23)+SUM('测算-达播'!V$24)+SUM('测算-私域'!V$23)+SUM('测算-外部分销'!V$23)</f>
        <v>0</v>
      </c>
      <c r="V22" s="60">
        <f>SUM('测算-高个子抖音'!W$23)+SUM('测算-高个子视频号'!W$23)+SUM('测算-天猫淘宝'!W$22)+SUM('测算-拼多多'!W$23)+SUM('测算-京东POP'!W$23)+SUM('测算-达播'!W$24)+SUM('测算-私域'!W$23)+SUM('测算-外部分销'!W$23)</f>
        <v>0</v>
      </c>
    </row>
    <row r="23" spans="1:22" ht="16" customHeight="1">
      <c r="B23" s="59"/>
      <c r="C23" s="59"/>
      <c r="D23" s="59" t="s">
        <v>59</v>
      </c>
      <c r="E23" s="59" t="s">
        <v>56</v>
      </c>
      <c r="F23" s="59" t="s">
        <v>57</v>
      </c>
      <c r="G23" s="59"/>
      <c r="H23" s="60">
        <f>SUM('测算-高个子抖音'!I$24)+SUM('测算-高个子视频号'!I$24)+SUM('测算-天猫淘宝'!I$23)+SUM('测算-拼多多'!I$24)+SUM('测算-京东POP'!I$24)+SUM('测算-京东自营'!I$24)+SUM('测算-达播'!I$25)+SUM('测算-私域'!I$24)+SUM('测算-外部分销'!I$24)</f>
        <v>0</v>
      </c>
      <c r="I23" s="60">
        <f>SUM('测算-高个子抖音'!J$24)+SUM('测算-高个子视频号'!J$24)+SUM('测算-天猫淘宝'!J$23)+SUM('测算-拼多多'!J$24)+SUM('测算-京东POP'!J$24)+SUM('测算-京东自营'!J$24)+SUM('测算-达播'!J$25)+SUM('测算-私域'!J$24)+SUM('测算-外部分销'!J$24)</f>
        <v>0</v>
      </c>
      <c r="J23" s="60">
        <f>SUM('测算-高个子抖音'!K$24)+SUM('测算-高个子视频号'!K$24)+SUM('测算-天猫淘宝'!K$23)+SUM('测算-拼多多'!K$24)+SUM('测算-京东POP'!K$24)+SUM('测算-京东自营'!K$24)+SUM('测算-达播'!K$25)+SUM('测算-私域'!K$24)+SUM('测算-外部分销'!K$24)</f>
        <v>0</v>
      </c>
      <c r="K23" s="60">
        <f>SUM('测算-高个子抖音'!L$24)+SUM('测算-高个子视频号'!L$24)+SUM('测算-天猫淘宝'!L$23)+SUM('测算-拼多多'!L$24)+SUM('测算-京东POP'!L$24)+SUM('测算-京东自营'!L$24)+SUM('测算-达播'!L$25)+SUM('测算-私域'!L$24)+SUM('测算-外部分销'!L$24)</f>
        <v>0</v>
      </c>
      <c r="L23" s="60">
        <f>SUM('测算-高个子抖音'!M$24)+SUM('测算-高个子视频号'!M$24)+SUM('测算-天猫淘宝'!M$23)+SUM('测算-拼多多'!M$24)+SUM('测算-京东POP'!M$24)+SUM('测算-京东自营'!M$24)+SUM('测算-达播'!M$25)+SUM('测算-私域'!M$24)+SUM('测算-外部分销'!M$24)</f>
        <v>0</v>
      </c>
      <c r="M23" s="60">
        <f>SUM('测算-高个子抖音'!N$24)+SUM('测算-高个子视频号'!N$24)+SUM('测算-天猫淘宝'!N$23)+SUM('测算-拼多多'!N$24)+SUM('测算-京东POP'!N$24)+SUM('测算-京东自营'!N$24)+SUM('测算-达播'!N$25)+SUM('测算-私域'!N$24)+SUM('测算-外部分销'!N$24)</f>
        <v>0</v>
      </c>
      <c r="N23" s="60">
        <f>SUM('测算-高个子抖音'!O$24)+SUM('测算-高个子视频号'!O$24)+SUM('测算-天猫淘宝'!O$23)+SUM('测算-拼多多'!O$24)+SUM('测算-京东POP'!O$24)+SUM('测算-京东自营'!O$24)+SUM('测算-达播'!O$25)+SUM('测算-私域'!O$24)+SUM('测算-外部分销'!O$24)</f>
        <v>0</v>
      </c>
      <c r="O23" s="60">
        <f>SUM('测算-高个子抖音'!P$24)+SUM('测算-高个子视频号'!P$24)+SUM('测算-天猫淘宝'!P$23)+SUM('测算-拼多多'!P$24)+SUM('测算-京东POP'!P$24)+SUM('测算-京东自营'!P$24)+SUM('测算-达播'!P$25)+SUM('测算-私域'!P$24)+SUM('测算-外部分销'!P$24)</f>
        <v>0</v>
      </c>
      <c r="P23" s="60">
        <f>SUM('测算-高个子抖音'!Q$24)+SUM('测算-高个子视频号'!Q$24)+SUM('测算-天猫淘宝'!Q$23)+SUM('测算-拼多多'!Q$24)+SUM('测算-京东POP'!Q$24)+SUM('测算-京东自营'!Q$24)+SUM('测算-达播'!Q$25)+SUM('测算-私域'!Q$24)+SUM('测算-外部分销'!Q$24)</f>
        <v>0</v>
      </c>
      <c r="Q23" s="60">
        <f>SUM('测算-高个子抖音'!R$24)+SUM('测算-高个子视频号'!R$24)+SUM('测算-天猫淘宝'!R$23)+SUM('测算-拼多多'!R$24)+SUM('测算-京东POP'!R$24)+SUM('测算-京东自营'!R$24)+SUM('测算-达播'!R$25)+SUM('测算-私域'!R$24)+SUM('测算-外部分销'!R$24)</f>
        <v>0</v>
      </c>
      <c r="R23" s="60">
        <f>SUM('测算-高个子抖音'!S$24)+SUM('测算-高个子视频号'!S$24)+SUM('测算-天猫淘宝'!S$23)+SUM('测算-拼多多'!S$24)+SUM('测算-京东POP'!S$24)+SUM('测算-京东自营'!S$24)+SUM('测算-达播'!S$25)+SUM('测算-私域'!S$24)+SUM('测算-外部分销'!S$24)</f>
        <v>0</v>
      </c>
      <c r="S23" s="60">
        <f>SUM('测算-高个子抖音'!T$24)+SUM('测算-高个子视频号'!T$24)+SUM('测算-天猫淘宝'!T$23)+SUM('测算-拼多多'!T$24)+SUM('测算-京东POP'!T$24)+SUM('测算-京东自营'!T$24)+SUM('测算-达播'!T$25)+SUM('测算-私域'!T$24)+SUM('测算-外部分销'!T$24)</f>
        <v>0</v>
      </c>
      <c r="T23" s="60"/>
      <c r="U23" s="60">
        <f>SUM('测算-高个子抖音'!V$24)+SUM('测算-高个子视频号'!V$24)+SUM('测算-天猫淘宝'!V$23)+SUM('测算-拼多多'!V$24)+SUM('测算-京东POP'!V$24)+SUM('测算-京东自营'!V$24)+SUM('测算-达播'!V$25)+SUM('测算-私域'!V$24)+SUM('测算-外部分销'!V$24)</f>
        <v>0</v>
      </c>
      <c r="V23" s="60">
        <f>SUM('测算-高个子抖音'!W$24)+SUM('测算-高个子视频号'!W$24)+SUM('测算-天猫淘宝'!W$23)+SUM('测算-拼多多'!W$24)+SUM('测算-京东POP'!W$24)+SUM('测算-京东自营'!W$24)+SUM('测算-达播'!W$25)+SUM('测算-私域'!W$24)+SUM('测算-外部分销'!W$24)</f>
        <v>0</v>
      </c>
    </row>
    <row r="24" spans="1:22" ht="16" customHeight="1">
      <c r="B24" s="59"/>
      <c r="C24" s="59"/>
      <c r="D24" s="59" t="s">
        <v>60</v>
      </c>
      <c r="E24" s="59" t="s">
        <v>56</v>
      </c>
      <c r="F24" s="59" t="s">
        <v>57</v>
      </c>
      <c r="G24" s="59"/>
      <c r="H24" s="60">
        <f>SUM('测算-高个子抖音'!I$25)+SUM('测算-高个子视频号'!I$25)+SUM('测算-天猫淘宝'!I$24)+SUM('测算-拼多多'!I$25)+SUM('测算-京东POP'!I$25)+SUM('测算-京东自营'!I$25)+SUM('测算-达播'!I$26)+SUM('测算-私域'!I$25)+SUM('测算-外部分销'!I$25)</f>
        <v>37.598827</v>
      </c>
      <c r="I24" s="60">
        <f>SUM('测算-高个子抖音'!J$25)+SUM('测算-高个子视频号'!J$25)+SUM('测算-天猫淘宝'!J$24)+SUM('测算-拼多多'!J$25)+SUM('测算-京东POP'!J$25)+SUM('测算-京东自营'!J$25)+SUM('测算-达播'!J$26)+SUM('测算-私域'!J$25)+SUM('测算-外部分销'!J$25)</f>
        <v>19.697302999999998</v>
      </c>
      <c r="J24" s="60">
        <f>SUM('测算-高个子抖音'!K$25)+SUM('测算-高个子视频号'!K$25)+SUM('测算-天猫淘宝'!K$24)+SUM('测算-拼多多'!K$25)+SUM('测算-京东POP'!K$25)+SUM('测算-京东自营'!K$25)+SUM('测算-达播'!K$26)+SUM('测算-私域'!K$25)+SUM('测算-外部分销'!K$25)</f>
        <v>33.311613000000001</v>
      </c>
      <c r="K24" s="60">
        <f>SUM('测算-高个子抖音'!L$25)+SUM('测算-高个子视频号'!L$25)+SUM('测算-天猫淘宝'!L$24)+SUM('测算-拼多多'!L$25)+SUM('测算-京东POP'!L$25)+SUM('测算-京东自营'!L$25)+SUM('测算-达播'!L$26)+SUM('测算-私域'!L$25)+SUM('测算-外部分销'!L$25)</f>
        <v>20.577461</v>
      </c>
      <c r="L24" s="60">
        <f>SUM('测算-高个子抖音'!M$25)+SUM('测算-高个子视频号'!M$25)+SUM('测算-天猫淘宝'!M$24)+SUM('测算-拼多多'!M$25)+SUM('测算-京东POP'!M$25)+SUM('测算-京东自营'!M$25)+SUM('测算-达播'!M$26)+SUM('测算-私域'!M$25)+SUM('测算-外部分销'!M$25)</f>
        <v>16.509449</v>
      </c>
      <c r="M24" s="60">
        <f>SUM('测算-高个子抖音'!N$25)+SUM('测算-高个子视频号'!N$25)+SUM('测算-天猫淘宝'!N$24)+SUM('测算-拼多多'!N$25)+SUM('测算-京东POP'!N$25)+SUM('测算-京东自营'!N$25)+SUM('测算-达播'!N$26)+SUM('测算-私域'!N$25)+SUM('测算-外部分销'!N$25)</f>
        <v>51.805845360994638</v>
      </c>
      <c r="N24" s="60">
        <f>SUM('测算-高个子抖音'!O$25)+SUM('测算-高个子视频号'!O$25)+SUM('测算-天猫淘宝'!O$24)+SUM('测算-拼多多'!O$25)+SUM('测算-京东POP'!O$25)+SUM('测算-京东自营'!O$25)+SUM('测算-达播'!O$26)+SUM('测算-私域'!O$25)+SUM('测算-外部分销'!O$25)</f>
        <v>25.304161653711951</v>
      </c>
      <c r="O24" s="60">
        <f>SUM('测算-高个子抖音'!P$25)+SUM('测算-高个子视频号'!P$25)+SUM('测算-天猫淘宝'!P$24)+SUM('测算-拼多多'!P$25)+SUM('测算-京东POP'!P$25)+SUM('测算-京东自营'!P$25)+SUM('测算-达播'!P$26)+SUM('测算-私域'!P$25)+SUM('测算-外部分销'!P$25)</f>
        <v>33.84301455743369</v>
      </c>
      <c r="P24" s="60">
        <f>SUM('测算-高个子抖音'!Q$25)+SUM('测算-高个子视频号'!Q$25)+SUM('测算-天猫淘宝'!Q$24)+SUM('测算-拼多多'!Q$25)+SUM('测算-京东POP'!Q$25)+SUM('测算-京东自营'!Q$25)+SUM('测算-达播'!Q$26)+SUM('测算-私域'!Q$25)+SUM('测算-外部分销'!Q$25)</f>
        <v>42.798396871093061</v>
      </c>
      <c r="Q24" s="60">
        <f>SUM('测算-高个子抖音'!R$25)+SUM('测算-高个子视频号'!R$25)+SUM('测算-天猫淘宝'!R$24)+SUM('测算-拼多多'!R$25)+SUM('测算-京东POP'!R$25)+SUM('测算-京东自营'!R$25)+SUM('测算-达播'!R$26)+SUM('测算-私域'!R$25)+SUM('测算-外部分销'!R$25)</f>
        <v>46.286830679320857</v>
      </c>
      <c r="R24" s="60">
        <f>SUM('测算-高个子抖音'!S$25)+SUM('测算-高个子视频号'!S$25)+SUM('测算-天猫淘宝'!S$24)+SUM('测算-拼多多'!S$25)+SUM('测算-京东POP'!S$25)+SUM('测算-京东自营'!S$25)+SUM('测算-达播'!S$26)+SUM('测算-私域'!S$25)+SUM('测算-外部分销'!S$25)</f>
        <v>56.231470341582131</v>
      </c>
      <c r="S24" s="60">
        <f>SUM('测算-高个子抖音'!T$25)+SUM('测算-高个子视频号'!T$25)+SUM('测算-天猫淘宝'!T$24)+SUM('测算-拼多多'!T$25)+SUM('测算-京东POP'!T$25)+SUM('测算-京东自营'!T$25)+SUM('测算-达播'!T$26)+SUM('测算-私域'!T$25)+SUM('测算-外部分销'!T$25)</f>
        <v>47.900882142829211</v>
      </c>
      <c r="T24" s="60"/>
      <c r="U24" s="60">
        <f>SUM('测算-高个子抖音'!V$25)+SUM('测算-高个子视频号'!V$25)+SUM('测算-天猫淘宝'!V$24)+SUM('测算-拼多多'!V$25)+SUM('测算-京东POP'!V$25)+SUM('测算-京东自营'!V$25)+SUM('测算-达播'!V$26)+SUM('测算-私域'!V$25)+SUM('测算-外部分销'!V$25)</f>
        <v>431.86525460696555</v>
      </c>
      <c r="V24" s="60">
        <f>SUM('测算-高个子抖音'!W$25)+SUM('测算-高个子视频号'!W$25)+SUM('测算-天猫淘宝'!W$24)+SUM('测算-拼多多'!W$25)+SUM('测算-京东POP'!W$25)+SUM('测算-京东自营'!W$25)+SUM('测算-达播'!W$26)+SUM('测算-私域'!W$25)+SUM('测算-外部分销'!W$25)</f>
        <v>252.36475624597091</v>
      </c>
    </row>
    <row r="25" spans="1:22" ht="16" customHeight="1">
      <c r="B25" s="59"/>
      <c r="C25" s="59"/>
      <c r="D25" s="59" t="s">
        <v>61</v>
      </c>
      <c r="E25" s="59" t="s">
        <v>56</v>
      </c>
      <c r="F25" s="59" t="s">
        <v>57</v>
      </c>
      <c r="G25" s="59"/>
      <c r="H25" s="60">
        <f>SUM('测算-高个子抖音'!I$26)+SUM('测算-高个子视频号'!I$26)+SUM('测算-天猫淘宝'!I$25)+SUM('测算-拼多多'!I$26)+SUM('测算-京东POP'!I$26)+SUM('测算-京东自营'!I$26)+SUM('测算-达播'!I$27)+SUM('测算-私域'!I$26)+SUM('测算-外部分销'!I$26)</f>
        <v>30.256177400799999</v>
      </c>
      <c r="I25" s="60">
        <f>SUM('测算-高个子抖音'!J$26)+SUM('测算-高个子视频号'!J$26)+SUM('测算-天猫淘宝'!J$25)+SUM('测算-拼多多'!J$26)+SUM('测算-京东POP'!J$26)+SUM('测算-京东自营'!J$26)+SUM('测算-达播'!J$27)+SUM('测算-私域'!J$26)+SUM('测算-外部分销'!J$26)</f>
        <v>8.9596447633</v>
      </c>
      <c r="J25" s="60">
        <f>SUM('测算-高个子抖音'!K$26)+SUM('测算-高个子视频号'!K$26)+SUM('测算-天猫淘宝'!K$25)+SUM('测算-拼多多'!K$26)+SUM('测算-京东POP'!K$26)+SUM('测算-京东自营'!K$26)+SUM('测算-达播'!K$27)+SUM('测算-私域'!K$26)+SUM('测算-外部分销'!K$26)</f>
        <v>67.951922856199985</v>
      </c>
      <c r="K25" s="60">
        <f>SUM('测算-高个子抖音'!L$26)+SUM('测算-高个子视频号'!L$26)+SUM('测算-天猫淘宝'!L$25)+SUM('测算-拼多多'!L$26)+SUM('测算-京东POP'!L$26)+SUM('测算-京东自营'!L$26)+SUM('测算-达播'!L$27)+SUM('测算-私域'!L$26)+SUM('测算-外部分销'!L$26)</f>
        <v>20.928624907500001</v>
      </c>
      <c r="L25" s="60">
        <f>SUM('测算-高个子抖音'!M$26)+SUM('测算-高个子视频号'!M$26)+SUM('测算-天猫淘宝'!M$25)+SUM('测算-拼多多'!M$26)+SUM('测算-京东POP'!M$26)+SUM('测算-京东自营'!M$26)+SUM('测算-达播'!M$27)+SUM('测算-私域'!M$26)+SUM('测算-外部分销'!M$26)</f>
        <v>30.2719275117</v>
      </c>
      <c r="M25" s="60">
        <f>SUM('测算-高个子抖音'!N$26)+SUM('测算-高个子视频号'!N$26)+SUM('测算-天猫淘宝'!N$25)+SUM('测算-拼多多'!N$26)+SUM('测算-京东POP'!N$26)+SUM('测算-京东自营'!N$26)+SUM('测算-达播'!N$27)+SUM('测算-私域'!N$26)+SUM('测算-外部分销'!N$26)</f>
        <v>19.206113108932655</v>
      </c>
      <c r="N25" s="60">
        <f>SUM('测算-高个子抖音'!O$26)+SUM('测算-高个子视频号'!O$26)+SUM('测算-天猫淘宝'!O$25)+SUM('测算-拼多多'!O$26)+SUM('测算-京东POP'!O$26)+SUM('测算-京东自营'!O$26)+SUM('测算-达播'!O$27)+SUM('测算-私域'!O$26)+SUM('测算-外部分销'!O$26)</f>
        <v>11.059486195521364</v>
      </c>
      <c r="O25" s="60">
        <f>SUM('测算-高个子抖音'!P$26)+SUM('测算-高个子视频号'!P$26)+SUM('测算-天猫淘宝'!P$25)+SUM('测算-拼多多'!P$26)+SUM('测算-京东POP'!P$26)+SUM('测算-京东自营'!P$26)+SUM('测算-达播'!P$27)+SUM('测算-私域'!P$26)+SUM('测算-外部分销'!P$26)</f>
        <v>14.791493882898946</v>
      </c>
      <c r="P25" s="60">
        <f>SUM('测算-高个子抖音'!Q$26)+SUM('测算-高个子视频号'!Q$26)+SUM('测算-天猫淘宝'!Q$25)+SUM('测算-拼多多'!Q$26)+SUM('测算-京东POP'!Q$26)+SUM('测算-京东自营'!Q$26)+SUM('测算-达播'!Q$27)+SUM('测算-私域'!Q$26)+SUM('测算-外部分销'!Q$26)</f>
        <v>18.705550725758357</v>
      </c>
      <c r="Q25" s="60">
        <f>SUM('测算-高个子抖音'!R$26)+SUM('测算-高个子视频号'!R$26)+SUM('测算-天猫淘宝'!R$25)+SUM('测算-拼多多'!R$26)+SUM('测算-京东POP'!R$26)+SUM('测算-京东自营'!R$26)+SUM('测算-达播'!R$27)+SUM('测算-私域'!R$26)+SUM('测算-外部分销'!R$26)</f>
        <v>20.230212402918713</v>
      </c>
      <c r="R25" s="60">
        <f>SUM('测算-高个子抖音'!S$26)+SUM('测算-高个子视频号'!S$26)+SUM('测算-天猫淘宝'!S$25)+SUM('测算-拼多多'!S$26)+SUM('测算-京东POP'!S$26)+SUM('测算-京东自营'!S$26)+SUM('测算-达播'!S$27)+SUM('测算-私域'!S$26)+SUM('测算-外部分销'!S$26)</f>
        <v>24.576635990047482</v>
      </c>
      <c r="S25" s="60">
        <f>SUM('测算-高个子抖音'!T$26)+SUM('测算-高个子视频号'!T$26)+SUM('测算-天猫淘宝'!T$25)+SUM('测算-拼多多'!T$26)+SUM('测算-京东POP'!T$26)+SUM('测算-京东自营'!T$26)+SUM('测算-达播'!T$27)+SUM('测算-私域'!T$26)+SUM('测算-外部分销'!T$26)</f>
        <v>20.935652880410807</v>
      </c>
      <c r="T25" s="60"/>
      <c r="U25" s="60">
        <f>SUM('测算-高个子抖音'!V$26)+SUM('测算-高个子视频号'!V$26)+SUM('测算-天猫淘宝'!V$25)+SUM('测算-拼多多'!V$26)+SUM('测算-京东POP'!V$26)+SUM('测算-京东自营'!V$26)+SUM('测算-达播'!V$27)+SUM('测算-私域'!V$26)+SUM('测算-外部分销'!V$26)</f>
        <v>287.87344262598833</v>
      </c>
      <c r="V25" s="60">
        <f>SUM('测算-高个子抖音'!W$26)+SUM('测算-高个子视频号'!W$26)+SUM('测算-天猫淘宝'!W$25)+SUM('测算-拼多多'!W$26)+SUM('测算-京东POP'!W$26)+SUM('测算-京东自营'!W$26)+SUM('测算-达播'!W$27)+SUM('测算-私域'!W$26)+SUM('测算-外部分销'!W$26)</f>
        <v>110.29903207755567</v>
      </c>
    </row>
    <row r="26" spans="1:22" ht="16" customHeight="1">
      <c r="B26" s="59"/>
      <c r="C26" s="59"/>
      <c r="D26" s="59" t="s">
        <v>62</v>
      </c>
      <c r="E26" s="59" t="s">
        <v>56</v>
      </c>
      <c r="F26" s="59" t="s">
        <v>57</v>
      </c>
      <c r="G26" s="59"/>
      <c r="H26" s="60">
        <f>SUM('测算-京东自营'!I$22)</f>
        <v>0.16028299999999998</v>
      </c>
      <c r="I26" s="60">
        <f>SUM('测算-京东自营'!J$22)</f>
        <v>0.15701899999999999</v>
      </c>
      <c r="J26" s="60">
        <f>SUM('测算-京东自营'!K$22)</f>
        <v>0.50476700000000008</v>
      </c>
      <c r="K26" s="60">
        <f>SUM('测算-京东自营'!L$22)</f>
        <v>0.36718100000000004</v>
      </c>
      <c r="L26" s="60">
        <f>SUM('测算-京东自营'!M$22)</f>
        <v>4.2320289999999998</v>
      </c>
      <c r="M26" s="60">
        <f>SUM('测算-京东自营'!N$22)</f>
        <v>2.1994181818467187</v>
      </c>
      <c r="N26" s="60">
        <f>SUM('测算-京东自营'!O$22)</f>
        <v>1.0742886797763871</v>
      </c>
      <c r="O26" s="60">
        <f>SUM('测算-京东自营'!P$22)</f>
        <v>1.4368058474375554</v>
      </c>
      <c r="P26" s="60">
        <f>SUM('测算-京东自营'!Q$22)</f>
        <v>1.8170067793748772</v>
      </c>
      <c r="Q26" s="60">
        <f>SUM('测算-京东自营'!R$22)</f>
        <v>1.9651083051876721</v>
      </c>
      <c r="R26" s="60">
        <f>SUM('测算-京东自营'!S$22)</f>
        <v>2.3873081772808611</v>
      </c>
      <c r="S26" s="60">
        <f>SUM('测算-京东自营'!T$22)</f>
        <v>2.0336328917577702</v>
      </c>
      <c r="T26" s="60"/>
      <c r="U26" s="60">
        <f>SUM('测算-京东自营'!V$22)</f>
        <v>18.334847862661839</v>
      </c>
      <c r="V26" s="60">
        <f>SUM('测算-京东自营'!W$22)</f>
        <v>10.714150680815125</v>
      </c>
    </row>
    <row r="27" spans="1:22" ht="16" customHeight="1">
      <c r="B27" s="59"/>
      <c r="C27" s="59"/>
      <c r="D27" s="59" t="s">
        <v>63</v>
      </c>
      <c r="E27" s="59" t="s">
        <v>56</v>
      </c>
      <c r="F27" s="59" t="s">
        <v>57</v>
      </c>
      <c r="G27" s="59"/>
      <c r="H27" s="60">
        <f>SUM('测算-京东自营'!I$23)</f>
        <v>2.7892900000000003</v>
      </c>
      <c r="I27" s="60">
        <f>SUM('测算-京东自营'!J$23)</f>
        <v>2.9230830000000001</v>
      </c>
      <c r="J27" s="60">
        <f>SUM('测算-京东自营'!K$23)</f>
        <v>16.47138</v>
      </c>
      <c r="K27" s="60">
        <f>SUM('测算-京东自营'!L$23)</f>
        <v>3.142293</v>
      </c>
      <c r="L27" s="60">
        <f>SUM('测算-京东自营'!M$23)</f>
        <v>7.2249889999999999</v>
      </c>
      <c r="M27" s="60">
        <f>SUM('测算-京东自营'!N$23)</f>
        <v>13.205986671582279</v>
      </c>
      <c r="N27" s="60">
        <f>SUM('测算-京东自营'!O$23)</f>
        <v>6.4503613290341573</v>
      </c>
      <c r="O27" s="60">
        <f>SUM('测算-京东自营'!P$23)</f>
        <v>8.6270264688728471</v>
      </c>
      <c r="P27" s="60">
        <f>SUM('测算-京东自营'!Q$23)</f>
        <v>10.909870396020736</v>
      </c>
      <c r="Q27" s="60">
        <f>SUM('测算-京东自营'!R$23)</f>
        <v>11.799117739735326</v>
      </c>
      <c r="R27" s="60">
        <f>SUM('测算-京东自营'!S$23)</f>
        <v>14.334136286742575</v>
      </c>
      <c r="S27" s="60">
        <f>SUM('测算-京东自营'!T$23)</f>
        <v>12.210560540558488</v>
      </c>
      <c r="T27" s="60"/>
      <c r="U27" s="60">
        <f>SUM('测算-京东自营'!V$23)</f>
        <v>110.08809443254641</v>
      </c>
      <c r="V27" s="60">
        <f>SUM('测算-京东自营'!W$23)</f>
        <v>64.331072760964133</v>
      </c>
    </row>
    <row r="28" spans="1:22" ht="16" customHeight="1">
      <c r="B28" s="59"/>
      <c r="C28" s="59"/>
      <c r="D28" s="59" t="s">
        <v>64</v>
      </c>
      <c r="E28" s="59" t="s">
        <v>56</v>
      </c>
      <c r="F28" s="59" t="s">
        <v>57</v>
      </c>
      <c r="G28" s="59"/>
      <c r="H28" s="60">
        <f>SUM('测算-京东自营'!I$27)</f>
        <v>6.3855600000000194</v>
      </c>
      <c r="I28" s="60">
        <f>SUM('测算-京东自营'!J$27)</f>
        <v>3.4606699999999697</v>
      </c>
      <c r="J28" s="60">
        <f>SUM('测算-京东自营'!K$27)</f>
        <v>11.145470000000001</v>
      </c>
      <c r="K28" s="60">
        <f>SUM('测算-京东自营'!L$27)</f>
        <v>6.2514700000000305</v>
      </c>
      <c r="L28" s="60">
        <f>SUM('测算-京东自营'!M$27)</f>
        <v>18.657320000000002</v>
      </c>
      <c r="M28" s="60">
        <f>SUM('测算-京东自营'!N$27)</f>
        <v>18.621873595082182</v>
      </c>
      <c r="N28" s="60">
        <f>SUM('测算-京东自营'!O$27)</f>
        <v>9.0957091127738074</v>
      </c>
      <c r="O28" s="60">
        <f>SUM('测算-京东自营'!P$27)</f>
        <v>12.165043052063739</v>
      </c>
      <c r="P28" s="60">
        <f>SUM('测算-京东自营'!Q$27)</f>
        <v>15.384100598148295</v>
      </c>
      <c r="Q28" s="60">
        <f>SUM('测算-京东自营'!R$27)</f>
        <v>16.638035805053335</v>
      </c>
      <c r="R28" s="60">
        <f>SUM('测算-京东自营'!S$27)</f>
        <v>20.212686917275136</v>
      </c>
      <c r="S28" s="60">
        <f>SUM('测算-京东自营'!T$27)</f>
        <v>17.218214781382521</v>
      </c>
      <c r="T28" s="60"/>
      <c r="U28" s="60">
        <f>SUM('测算-京东自营'!V$27)</f>
        <v>155.23615386177903</v>
      </c>
      <c r="V28" s="60">
        <f>SUM('测算-京东自营'!W$27)</f>
        <v>90.713790266696833</v>
      </c>
    </row>
    <row r="29" spans="1:22" s="63" customFormat="1" ht="16" customHeight="1">
      <c r="B29" s="61"/>
      <c r="C29" s="61" t="s">
        <v>65</v>
      </c>
      <c r="D29" s="61"/>
      <c r="E29" s="61"/>
      <c r="F29" s="61"/>
      <c r="G29" s="61"/>
      <c r="H29" s="64">
        <f t="shared" ref="H29:V29" si="8">SUM(H30:H33)</f>
        <v>0</v>
      </c>
      <c r="I29" s="64">
        <f t="shared" si="8"/>
        <v>0</v>
      </c>
      <c r="J29" s="64">
        <f t="shared" si="8"/>
        <v>0</v>
      </c>
      <c r="K29" s="64">
        <f t="shared" si="8"/>
        <v>0</v>
      </c>
      <c r="L29" s="64">
        <f t="shared" si="8"/>
        <v>0</v>
      </c>
      <c r="M29" s="64">
        <f t="shared" si="8"/>
        <v>0</v>
      </c>
      <c r="N29" s="64">
        <f t="shared" si="8"/>
        <v>22.751162547911058</v>
      </c>
      <c r="O29" s="64">
        <f t="shared" si="8"/>
        <v>30.428509580539487</v>
      </c>
      <c r="P29" s="64">
        <f t="shared" si="8"/>
        <v>38.480361346466843</v>
      </c>
      <c r="Q29" s="64">
        <f t="shared" si="8"/>
        <v>41.616838487845548</v>
      </c>
      <c r="R29" s="64">
        <f t="shared" si="8"/>
        <v>50.558138995357915</v>
      </c>
      <c r="S29" s="64">
        <f t="shared" si="8"/>
        <v>43.068044329378957</v>
      </c>
      <c r="T29" s="64"/>
      <c r="U29" s="64">
        <f t="shared" si="8"/>
        <v>226.90305528749985</v>
      </c>
      <c r="V29" s="64">
        <f t="shared" si="8"/>
        <v>226.90305528749985</v>
      </c>
    </row>
    <row r="30" spans="1:22" ht="16" customHeight="1">
      <c r="B30" s="59"/>
      <c r="C30" s="59"/>
      <c r="D30" s="59" t="s">
        <v>66</v>
      </c>
      <c r="E30" s="59" t="s">
        <v>56</v>
      </c>
      <c r="F30" s="59" t="s">
        <v>57</v>
      </c>
      <c r="G30" s="59"/>
      <c r="H30" s="60">
        <f>SUM('测算-高个子抖音'!I$28)+SUM('测算-高个子视频号'!I$28)+SUM('测算-天猫淘宝'!I$27)+SUM('测算-拼多多'!I$28)+SUM('测算-京东POP'!I$28)+SUM('测算-京东自营'!I$29)+SUM('测算-达播'!I$29)+SUM('测算-私域'!I$28)+SUM('测算-外部分销'!I$28)</f>
        <v>0</v>
      </c>
      <c r="I30" s="60">
        <f>SUM('测算-高个子抖音'!J$28)+SUM('测算-高个子视频号'!J$28)+SUM('测算-天猫淘宝'!J$27)+SUM('测算-拼多多'!J$28)+SUM('测算-京东POP'!J$28)+SUM('测算-京东自营'!J$29)+SUM('测算-达播'!J$29)+SUM('测算-私域'!J$28)+SUM('测算-外部分销'!J$28)</f>
        <v>0</v>
      </c>
      <c r="J30" s="60">
        <f>SUM('测算-高个子抖音'!K$28)+SUM('测算-高个子视频号'!K$28)+SUM('测算-天猫淘宝'!K$27)+SUM('测算-拼多多'!K$28)+SUM('测算-京东POP'!K$28)+SUM('测算-京东自营'!K$29)+SUM('测算-达播'!K$29)+SUM('测算-私域'!K$28)+SUM('测算-外部分销'!K$28)</f>
        <v>0</v>
      </c>
      <c r="K30" s="60">
        <f>SUM('测算-高个子抖音'!L$28)+SUM('测算-高个子视频号'!L$28)+SUM('测算-天猫淘宝'!L$27)+SUM('测算-拼多多'!L$28)+SUM('测算-京东POP'!L$28)+SUM('测算-京东自营'!L$29)+SUM('测算-达播'!L$29)+SUM('测算-私域'!L$28)+SUM('测算-外部分销'!L$28)</f>
        <v>0</v>
      </c>
      <c r="L30" s="60">
        <f>SUM('测算-高个子抖音'!M$28)+SUM('测算-高个子视频号'!M$28)+SUM('测算-天猫淘宝'!M$27)+SUM('测算-拼多多'!M$28)+SUM('测算-京东POP'!M$28)+SUM('测算-京东自营'!M$29)+SUM('测算-达播'!M$29)+SUM('测算-私域'!M$28)+SUM('测算-外部分销'!M$28)</f>
        <v>0</v>
      </c>
      <c r="M30" s="60">
        <f>SUM('测算-高个子抖音'!N$28)+SUM('测算-高个子视频号'!N$28)+SUM('测算-天猫淘宝'!N$27)+SUM('测算-拼多多'!N$28)+SUM('测算-京东POP'!N$28)+SUM('测算-京东自营'!N$29)+SUM('测算-达播'!N$29)+SUM('测算-私域'!N$28)+SUM('测算-外部分销'!N$28)</f>
        <v>0</v>
      </c>
      <c r="N30" s="60">
        <f>SUM('测算-高个子抖音'!O$28)+SUM('测算-高个子视频号'!O$28)+SUM('测算-天猫淘宝'!O$27)+SUM('测算-拼多多'!O$28)+SUM('测算-京东POP'!O$28)+SUM('测算-京东自营'!O$29)+SUM('测算-达播'!O$29)+SUM('测算-私域'!O$28)+SUM('测算-外部分销'!O$28)</f>
        <v>3.4668438168245417</v>
      </c>
      <c r="O30" s="60">
        <f>SUM('测算-高个子抖音'!P$28)+SUM('测算-高个子视频号'!P$28)+SUM('测算-天猫淘宝'!P$27)+SUM('测算-拼多多'!P$28)+SUM('测算-京东POP'!P$28)+SUM('测算-京东自营'!P$29)+SUM('测算-达播'!P$29)+SUM('测算-私域'!P$28)+SUM('测算-外部分销'!P$28)</f>
        <v>4.6367252694155408</v>
      </c>
      <c r="P30" s="60">
        <f>SUM('测算-高个子抖音'!Q$28)+SUM('测算-高个子视频号'!Q$28)+SUM('测算-天猫淘宝'!Q$27)+SUM('测算-拼多多'!Q$28)+SUM('测算-京东POP'!Q$28)+SUM('测算-京东自营'!Q$29)+SUM('测算-达播'!Q$29)+SUM('测算-私域'!Q$28)+SUM('测算-外部分销'!Q$28)</f>
        <v>5.8636741099378051</v>
      </c>
      <c r="Q30" s="60">
        <f>SUM('测算-高个子抖音'!R$28)+SUM('测算-高个子视频号'!R$28)+SUM('测算-天猫淘宝'!R$27)+SUM('测算-拼多多'!R$28)+SUM('测算-京东POP'!R$28)+SUM('测算-京东自营'!R$29)+SUM('测算-达播'!R$29)+SUM('测算-私域'!R$28)+SUM('测算-外部分销'!R$28)</f>
        <v>6.3416134838621794</v>
      </c>
      <c r="R30" s="60">
        <f>SUM('测算-高个子抖音'!S$28)+SUM('测算-高个子视频号'!S$28)+SUM('测算-天猫淘宝'!S$27)+SUM('测算-拼多多'!S$28)+SUM('测算-京东POP'!S$28)+SUM('测算-京东自营'!S$29)+SUM('测算-达播'!S$29)+SUM('测算-私域'!S$28)+SUM('测算-外部分销'!S$28)</f>
        <v>7.7040973707212066</v>
      </c>
      <c r="S30" s="60">
        <f>SUM('测算-高个子抖音'!T$28)+SUM('测算-高个子视频号'!T$28)+SUM('测算-天猫淘宝'!T$27)+SUM('测算-拼多多'!T$28)+SUM('测算-京东POP'!T$28)+SUM('测算-京东自营'!T$29)+SUM('测算-达播'!T$29)+SUM('测算-私域'!T$28)+SUM('测算-外部分销'!T$28)</f>
        <v>6.5627496120958417</v>
      </c>
      <c r="T30" s="60"/>
      <c r="U30" s="60">
        <f>SUM('测算-高个子抖音'!V$28)+SUM('测算-高个子视频号'!V$28)+SUM('测算-天猫淘宝'!V$27)+SUM('测算-拼多多'!V$28)+SUM('测算-京东POP'!V$28)+SUM('测算-京东自营'!V$29)+SUM('测算-达播'!V$29)+SUM('测算-私域'!V$28)+SUM('测算-外部分销'!V$28)</f>
        <v>34.575703662857116</v>
      </c>
      <c r="V30" s="60">
        <f>SUM('测算-高个子抖音'!W$28)+SUM('测算-高个子视频号'!W$28)+SUM('测算-天猫淘宝'!W$27)+SUM('测算-拼多多'!W$28)+SUM('测算-京东POP'!W$28)+SUM('测算-京东自营'!W$29)+SUM('测算-达播'!W$29)+SUM('测算-私域'!W$28)+SUM('测算-外部分销'!W$28)</f>
        <v>34.575703662857116</v>
      </c>
    </row>
    <row r="31" spans="1:22" ht="16" customHeight="1">
      <c r="B31" s="59"/>
      <c r="C31" s="59"/>
      <c r="D31" s="59" t="s">
        <v>67</v>
      </c>
      <c r="E31" s="59" t="s">
        <v>56</v>
      </c>
      <c r="F31" s="59" t="s">
        <v>57</v>
      </c>
      <c r="G31" s="59"/>
      <c r="H31" s="60">
        <f>SUM('测算-高个子抖音'!I$29)+SUM('测算-高个子视频号'!I$29)+SUM('测算-天猫淘宝'!I$28)+SUM('测算-拼多多'!I$29)+SUM('测算-京东POP'!I$29)+SUM('测算-京东自营'!I$30)+SUM('测算-达播'!I$30)+SUM('测算-私域'!I$29)+SUM('测算-外部分销'!I$29)</f>
        <v>0</v>
      </c>
      <c r="I31" s="60">
        <f>SUM('测算-高个子抖音'!J$29)+SUM('测算-高个子视频号'!J$29)+SUM('测算-天猫淘宝'!J$28)+SUM('测算-拼多多'!J$29)+SUM('测算-京东POP'!J$29)+SUM('测算-京东自营'!J$30)+SUM('测算-达播'!J$30)+SUM('测算-私域'!J$29)+SUM('测算-外部分销'!J$29)</f>
        <v>0</v>
      </c>
      <c r="J31" s="60">
        <f>SUM('测算-高个子抖音'!K$29)+SUM('测算-高个子视频号'!K$29)+SUM('测算-天猫淘宝'!K$28)+SUM('测算-拼多多'!K$29)+SUM('测算-京东POP'!K$29)+SUM('测算-京东自营'!K$30)+SUM('测算-达播'!K$30)+SUM('测算-私域'!K$29)+SUM('测算-外部分销'!K$29)</f>
        <v>0</v>
      </c>
      <c r="K31" s="60">
        <f>SUM('测算-高个子抖音'!L$29)+SUM('测算-高个子视频号'!L$29)+SUM('测算-天猫淘宝'!L$28)+SUM('测算-拼多多'!L$29)+SUM('测算-京东POP'!L$29)+SUM('测算-京东自营'!L$30)+SUM('测算-达播'!L$30)+SUM('测算-私域'!L$29)+SUM('测算-外部分销'!L$29)</f>
        <v>0</v>
      </c>
      <c r="L31" s="60">
        <f>SUM('测算-高个子抖音'!M$29)+SUM('测算-高个子视频号'!M$29)+SUM('测算-天猫淘宝'!M$28)+SUM('测算-拼多多'!M$29)+SUM('测算-京东POP'!M$29)+SUM('测算-京东自营'!M$30)+SUM('测算-达播'!M$30)+SUM('测算-私域'!M$29)+SUM('测算-外部分销'!M$29)</f>
        <v>0</v>
      </c>
      <c r="M31" s="60">
        <f>SUM('测算-高个子抖音'!N$29)+SUM('测算-高个子视频号'!N$29)+SUM('测算-天猫淘宝'!N$28)+SUM('测算-拼多多'!N$29)+SUM('测算-京东POP'!N$29)+SUM('测算-京东自营'!N$30)+SUM('测算-达播'!N$30)+SUM('测算-私域'!N$29)+SUM('测算-外部分销'!N$29)</f>
        <v>0</v>
      </c>
      <c r="N31" s="60">
        <f>SUM('测算-高个子抖音'!O$29)+SUM('测算-高个子视频号'!O$29)+SUM('测算-天猫淘宝'!O$28)+SUM('测算-拼多多'!O$29)+SUM('测算-京东POP'!O$29)+SUM('测算-京东自营'!O$30)+SUM('测算-达播'!O$30)+SUM('测算-私域'!O$29)+SUM('测算-外部分销'!O$29)</f>
        <v>5.2002657252368119</v>
      </c>
      <c r="O31" s="60">
        <f>SUM('测算-高个子抖音'!P$29)+SUM('测算-高个子视频号'!P$29)+SUM('测算-天猫淘宝'!P$28)+SUM('测算-拼多多'!P$29)+SUM('测算-京东POP'!P$29)+SUM('测算-京东自营'!P$30)+SUM('测算-达播'!P$30)+SUM('测算-私域'!P$29)+SUM('测算-外部分销'!P$29)</f>
        <v>6.9550879041233111</v>
      </c>
      <c r="P31" s="60">
        <f>SUM('测算-高个子抖音'!Q$29)+SUM('测算-高个子视频号'!Q$29)+SUM('测算-天猫淘宝'!Q$28)+SUM('测算-拼多多'!Q$29)+SUM('测算-京东POP'!Q$29)+SUM('测算-京东自营'!Q$30)+SUM('测算-达播'!Q$30)+SUM('测算-私域'!Q$29)+SUM('测算-外部分销'!Q$29)</f>
        <v>8.7955111649067064</v>
      </c>
      <c r="Q31" s="60">
        <f>SUM('测算-高个子抖音'!R$29)+SUM('测算-高个子视频号'!R$29)+SUM('测算-天猫淘宝'!R$28)+SUM('测算-拼多多'!R$29)+SUM('测算-京东POP'!R$29)+SUM('测算-京东自营'!R$30)+SUM('测算-达播'!R$30)+SUM('测算-私域'!R$29)+SUM('测算-外部分销'!R$29)</f>
        <v>9.5124202257932673</v>
      </c>
      <c r="R31" s="60">
        <f>SUM('测算-高个子抖音'!S$29)+SUM('测算-高个子视频号'!S$29)+SUM('测算-天猫淘宝'!S$28)+SUM('测算-拼多多'!S$29)+SUM('测算-京东POP'!S$29)+SUM('测算-京东自营'!S$30)+SUM('测算-达播'!S$30)+SUM('测算-私域'!S$29)+SUM('测算-外部分销'!S$29)</f>
        <v>11.556146056081809</v>
      </c>
      <c r="S31" s="60">
        <f>SUM('测算-高个子抖音'!T$29)+SUM('测算-高个子视频号'!T$29)+SUM('测算-天猫淘宝'!T$28)+SUM('测算-拼多多'!T$29)+SUM('测算-京东POP'!T$29)+SUM('测算-京东自营'!T$30)+SUM('测算-达播'!T$30)+SUM('测算-私域'!T$29)+SUM('测算-外部分销'!T$29)</f>
        <v>9.8441244181437622</v>
      </c>
      <c r="T31" s="60"/>
      <c r="U31" s="60">
        <f>SUM('测算-高个子抖音'!V$29)+SUM('测算-高个子视频号'!V$29)+SUM('测算-天猫淘宝'!V$28)+SUM('测算-拼多多'!V$29)+SUM('测算-京东POP'!V$29)+SUM('测算-京东自营'!V$30)+SUM('测算-达播'!V$30)+SUM('测算-私域'!V$29)+SUM('测算-外部分销'!V$29)</f>
        <v>51.863555494285677</v>
      </c>
      <c r="V31" s="60">
        <f>SUM('测算-高个子抖音'!W$29)+SUM('测算-高个子视频号'!W$29)+SUM('测算-天猫淘宝'!W$28)+SUM('测算-拼多多'!W$29)+SUM('测算-京东POP'!W$29)+SUM('测算-京东自营'!W$30)+SUM('测算-达播'!W$30)+SUM('测算-私域'!W$29)+SUM('测算-外部分销'!W$29)</f>
        <v>51.863555494285677</v>
      </c>
    </row>
    <row r="32" spans="1:22" ht="16" customHeight="1">
      <c r="B32" s="59"/>
      <c r="C32" s="59"/>
      <c r="D32" s="59" t="s">
        <v>68</v>
      </c>
      <c r="E32" s="59" t="s">
        <v>56</v>
      </c>
      <c r="F32" s="59" t="s">
        <v>57</v>
      </c>
      <c r="G32" s="59"/>
      <c r="H32" s="60">
        <f>SUM('测算-高个子抖音'!I$30)+SUM('测算-高个子视频号'!I$30)+SUM('测算-天猫淘宝'!I$29)+SUM('测算-拼多多'!I$30)+SUM('测算-京东POP'!I$30)+SUM('测算-京东自营'!I$31)+SUM('测算-达播'!I$31)+SUM('测算-私域'!I$30)+SUM('测算-外部分销'!I$30)</f>
        <v>0</v>
      </c>
      <c r="I32" s="60">
        <f>SUM('测算-高个子抖音'!J$30)+SUM('测算-高个子视频号'!J$30)+SUM('测算-天猫淘宝'!J$29)+SUM('测算-拼多多'!J$30)+SUM('测算-京东POP'!J$30)+SUM('测算-京东自营'!J$31)+SUM('测算-达播'!J$31)+SUM('测算-私域'!J$30)+SUM('测算-外部分销'!J$30)</f>
        <v>0</v>
      </c>
      <c r="J32" s="60">
        <f>SUM('测算-高个子抖音'!K$30)+SUM('测算-高个子视频号'!K$30)+SUM('测算-天猫淘宝'!K$29)+SUM('测算-拼多多'!K$30)+SUM('测算-京东POP'!K$30)+SUM('测算-京东自营'!K$31)+SUM('测算-达播'!K$31)+SUM('测算-私域'!K$30)+SUM('测算-外部分销'!K$30)</f>
        <v>0</v>
      </c>
      <c r="K32" s="60">
        <f>SUM('测算-高个子抖音'!L$30)+SUM('测算-高个子视频号'!L$30)+SUM('测算-天猫淘宝'!L$29)+SUM('测算-拼多多'!L$30)+SUM('测算-京东POP'!L$30)+SUM('测算-京东自营'!L$31)+SUM('测算-达播'!L$31)+SUM('测算-私域'!L$30)+SUM('测算-外部分销'!L$30)</f>
        <v>0</v>
      </c>
      <c r="L32" s="60">
        <f>SUM('测算-高个子抖音'!M$30)+SUM('测算-高个子视频号'!M$30)+SUM('测算-天猫淘宝'!M$29)+SUM('测算-拼多多'!M$30)+SUM('测算-京东POP'!M$30)+SUM('测算-京东自营'!M$31)+SUM('测算-达播'!M$31)+SUM('测算-私域'!M$30)+SUM('测算-外部分销'!M$30)</f>
        <v>0</v>
      </c>
      <c r="M32" s="60">
        <f>SUM('测算-高个子抖音'!N$30)+SUM('测算-高个子视频号'!N$30)+SUM('测算-天猫淘宝'!N$29)+SUM('测算-拼多多'!N$30)+SUM('测算-京东POP'!N$30)+SUM('测算-京东自营'!N$31)+SUM('测算-达播'!N$31)+SUM('测算-私域'!N$30)+SUM('测算-外部分销'!N$30)</f>
        <v>0</v>
      </c>
      <c r="N32" s="60">
        <f>SUM('测算-高个子抖音'!O$30)+SUM('测算-高个子视频号'!O$30)+SUM('测算-天猫淘宝'!O$29)+SUM('测算-拼多多'!O$30)+SUM('测算-京东POP'!O$30)+SUM('测算-京东自营'!O$31)+SUM('测算-达播'!O$31)+SUM('测算-私域'!O$30)+SUM('测算-外部分销'!O$30)</f>
        <v>6.2836544179944829</v>
      </c>
      <c r="O32" s="60">
        <f>SUM('测算-高个子抖音'!P$30)+SUM('测算-高个子视频号'!P$30)+SUM('测算-天猫淘宝'!P$29)+SUM('测算-拼多多'!P$30)+SUM('测算-京东POP'!P$30)+SUM('测算-京东自营'!P$31)+SUM('测算-达播'!P$31)+SUM('测算-私域'!P$30)+SUM('测算-外部分销'!P$30)</f>
        <v>8.4040645508156668</v>
      </c>
      <c r="P32" s="60">
        <f>SUM('测算-高个子抖音'!Q$30)+SUM('测算-高个子视频号'!Q$30)+SUM('测算-天猫淘宝'!Q$29)+SUM('测算-拼多多'!Q$30)+SUM('测算-京东POP'!Q$30)+SUM('测算-京东自营'!Q$31)+SUM('测算-达播'!Q$31)+SUM('测算-私域'!Q$30)+SUM('测算-外部分销'!Q$30)</f>
        <v>10.627909324262273</v>
      </c>
      <c r="Q32" s="60">
        <f>SUM('测算-高个子抖音'!R$30)+SUM('测算-高个子视频号'!R$30)+SUM('测算-天猫淘宝'!R$29)+SUM('测算-拼多多'!R$30)+SUM('测算-京东POP'!R$30)+SUM('测算-京东自营'!R$31)+SUM('测算-达播'!R$31)+SUM('测算-私域'!R$30)+SUM('测算-外部分销'!R$30)</f>
        <v>11.494174439500199</v>
      </c>
      <c r="R32" s="60">
        <f>SUM('测算-高个子抖音'!S$30)+SUM('测算-高个子视频号'!S$30)+SUM('测算-天猫淘宝'!S$29)+SUM('测算-拼多多'!S$30)+SUM('测算-京东POP'!S$30)+SUM('测算-京东自营'!S$31)+SUM('测算-达播'!S$31)+SUM('测算-私域'!S$30)+SUM('测算-外部分销'!S$30)</f>
        <v>13.963676484432188</v>
      </c>
      <c r="S32" s="60">
        <f>SUM('测算-高个子抖音'!T$30)+SUM('测算-高个子视频号'!T$30)+SUM('测算-天猫淘宝'!T$29)+SUM('测算-拼多多'!T$30)+SUM('测算-京东POP'!T$30)+SUM('测算-京东自营'!T$31)+SUM('测算-达播'!T$31)+SUM('测算-私域'!T$30)+SUM('测算-外部分销'!T$30)</f>
        <v>11.894983671923713</v>
      </c>
      <c r="T32" s="60"/>
      <c r="U32" s="60">
        <f>SUM('测算-高个子抖音'!V$30)+SUM('测算-高个子视频号'!V$30)+SUM('测算-天猫淘宝'!V$29)+SUM('测算-拼多多'!V$30)+SUM('测算-京东POP'!V$30)+SUM('测算-京东自营'!V$31)+SUM('测算-达播'!V$31)+SUM('测算-私域'!V$30)+SUM('测算-外部分销'!V$30)</f>
        <v>62.668462888928524</v>
      </c>
      <c r="V32" s="60">
        <f>SUM('测算-高个子抖音'!W$30)+SUM('测算-高个子视频号'!W$30)+SUM('测算-天猫淘宝'!W$29)+SUM('测算-拼多多'!W$30)+SUM('测算-京东POP'!W$30)+SUM('测算-京东自营'!W$31)+SUM('测算-达播'!W$31)+SUM('测算-私域'!W$30)+SUM('测算-外部分销'!W$30)</f>
        <v>62.668462888928524</v>
      </c>
    </row>
    <row r="33" spans="1:22" ht="16" customHeight="1">
      <c r="B33" s="59"/>
      <c r="C33" s="59"/>
      <c r="D33" s="59" t="s">
        <v>69</v>
      </c>
      <c r="E33" s="59" t="s">
        <v>56</v>
      </c>
      <c r="F33" s="59" t="s">
        <v>57</v>
      </c>
      <c r="G33" s="59"/>
      <c r="H33" s="60">
        <f>SUM('测算-高个子抖音'!I$31)+SUM('测算-高个子视频号'!I$31)+SUM('测算-天猫淘宝'!I$30)+SUM('测算-拼多多'!I$31)+SUM('测算-京东POP'!I$31)+SUM('测算-京东自营'!I$32)+SUM('测算-达播'!I$32)+SUM('测算-私域'!I$31)+SUM('测算-外部分销'!I$31)</f>
        <v>0</v>
      </c>
      <c r="I33" s="60">
        <f>SUM('测算-高个子抖音'!J$31)+SUM('测算-高个子视频号'!J$31)+SUM('测算-天猫淘宝'!J$30)+SUM('测算-拼多多'!J$31)+SUM('测算-京东POP'!J$31)+SUM('测算-京东自营'!J$32)+SUM('测算-达播'!J$32)+SUM('测算-私域'!J$31)+SUM('测算-外部分销'!J$31)</f>
        <v>0</v>
      </c>
      <c r="J33" s="60">
        <f>SUM('测算-高个子抖音'!K$31)+SUM('测算-高个子视频号'!K$31)+SUM('测算-天猫淘宝'!K$30)+SUM('测算-拼多多'!K$31)+SUM('测算-京东POP'!K$31)+SUM('测算-京东自营'!K$32)+SUM('测算-达播'!K$32)+SUM('测算-私域'!K$31)+SUM('测算-外部分销'!K$31)</f>
        <v>0</v>
      </c>
      <c r="K33" s="60">
        <f>SUM('测算-高个子抖音'!L$31)+SUM('测算-高个子视频号'!L$31)+SUM('测算-天猫淘宝'!L$30)+SUM('测算-拼多多'!L$31)+SUM('测算-京东POP'!L$31)+SUM('测算-京东自营'!L$32)+SUM('测算-达播'!L$32)+SUM('测算-私域'!L$31)+SUM('测算-外部分销'!L$31)</f>
        <v>0</v>
      </c>
      <c r="L33" s="60">
        <f>SUM('测算-高个子抖音'!M$31)+SUM('测算-高个子视频号'!M$31)+SUM('测算-天猫淘宝'!M$30)+SUM('测算-拼多多'!M$31)+SUM('测算-京东POP'!M$31)+SUM('测算-京东自营'!M$32)+SUM('测算-达播'!M$32)+SUM('测算-私域'!M$31)+SUM('测算-外部分销'!M$31)</f>
        <v>0</v>
      </c>
      <c r="M33" s="60">
        <f>SUM('测算-高个子抖音'!N$31)+SUM('测算-高个子视频号'!N$31)+SUM('测算-天猫淘宝'!N$30)+SUM('测算-拼多多'!N$31)+SUM('测算-京东POP'!N$31)+SUM('测算-京东自营'!N$32)+SUM('测算-达播'!N$32)+SUM('测算-私域'!N$31)+SUM('测算-外部分销'!N$31)</f>
        <v>0</v>
      </c>
      <c r="N33" s="60">
        <f>SUM('测算-高个子抖音'!O$31)+SUM('测算-高个子视频号'!O$31)+SUM('测算-天猫淘宝'!O$30)+SUM('测算-拼多多'!O$31)+SUM('测算-京东POP'!O$31)+SUM('测算-京东自营'!O$32)+SUM('测算-达播'!O$32)+SUM('测算-私域'!O$31)+SUM('测算-外部分销'!O$31)</f>
        <v>7.8003985878552191</v>
      </c>
      <c r="O33" s="60">
        <f>SUM('测算-高个子抖音'!P$31)+SUM('测算-高个子视频号'!P$31)+SUM('测算-天猫淘宝'!P$30)+SUM('测算-拼多多'!P$31)+SUM('测算-京东POP'!P$31)+SUM('测算-京东自营'!P$32)+SUM('测算-达播'!P$32)+SUM('测算-私域'!P$31)+SUM('测算-外部分销'!P$31)</f>
        <v>10.432631856184965</v>
      </c>
      <c r="P33" s="60">
        <f>SUM('测算-高个子抖音'!Q$31)+SUM('测算-高个子视频号'!Q$31)+SUM('测算-天猫淘宝'!Q$30)+SUM('测算-拼多多'!Q$31)+SUM('测算-京东POP'!Q$31)+SUM('测算-京东自营'!Q$32)+SUM('测算-达播'!Q$32)+SUM('测算-私域'!Q$31)+SUM('测算-外部分销'!Q$31)</f>
        <v>13.193266747360061</v>
      </c>
      <c r="Q33" s="60">
        <f>SUM('测算-高个子抖音'!R$31)+SUM('测算-高个子视频号'!R$31)+SUM('测算-天猫淘宝'!R$30)+SUM('测算-拼多多'!R$31)+SUM('测算-京东POP'!R$31)+SUM('测算-京东自营'!R$32)+SUM('测算-达播'!R$32)+SUM('测算-私域'!R$31)+SUM('测算-外部分销'!R$31)</f>
        <v>14.268630338689901</v>
      </c>
      <c r="R33" s="60">
        <f>SUM('测算-高个子抖音'!S$31)+SUM('测算-高个子视频号'!S$31)+SUM('测算-天猫淘宝'!S$30)+SUM('测算-拼多多'!S$31)+SUM('测算-京东POP'!S$31)+SUM('测算-京东自营'!S$32)+SUM('测算-达播'!S$32)+SUM('测算-私域'!S$31)+SUM('测算-外部分销'!S$31)</f>
        <v>17.334219084122715</v>
      </c>
      <c r="S33" s="60">
        <f>SUM('测算-高个子抖音'!T$31)+SUM('测算-高个子视频号'!T$31)+SUM('测算-天猫淘宝'!T$30)+SUM('测算-拼多多'!T$31)+SUM('测算-京东POP'!T$31)+SUM('测算-京东自营'!T$32)+SUM('测算-达播'!T$32)+SUM('测算-私域'!T$31)+SUM('测算-外部分销'!T$31)</f>
        <v>14.766186627215641</v>
      </c>
      <c r="T33" s="60"/>
      <c r="U33" s="60">
        <f>SUM('测算-高个子抖音'!V$31)+SUM('测算-高个子视频号'!V$31)+SUM('测算-天猫淘宝'!V$30)+SUM('测算-拼多多'!V$31)+SUM('测算-京东POP'!V$31)+SUM('测算-京东自营'!V$32)+SUM('测算-达播'!V$32)+SUM('测算-私域'!V$31)+SUM('测算-外部分销'!V$31)</f>
        <v>77.795333241428509</v>
      </c>
      <c r="V33" s="60">
        <f>SUM('测算-高个子抖音'!W$31)+SUM('测算-高个子视频号'!W$31)+SUM('测算-天猫淘宝'!W$30)+SUM('测算-拼多多'!W$31)+SUM('测算-京东POP'!W$31)+SUM('测算-京东自营'!W$32)+SUM('测算-达播'!W$32)+SUM('测算-私域'!W$31)+SUM('测算-外部分销'!W$31)</f>
        <v>77.795333241428509</v>
      </c>
    </row>
    <row r="34" spans="1:22" s="63" customFormat="1" ht="16" customHeight="1">
      <c r="B34" s="61"/>
      <c r="C34" s="61" t="s">
        <v>70</v>
      </c>
      <c r="D34" s="61"/>
      <c r="E34" s="61"/>
      <c r="F34" s="61"/>
      <c r="G34" s="61"/>
      <c r="H34" s="64">
        <f t="shared" ref="H34:V34" si="9">SUM(H35:H37)</f>
        <v>7.6598420000000011</v>
      </c>
      <c r="I34" s="64">
        <f t="shared" si="9"/>
        <v>3.5393119999999998</v>
      </c>
      <c r="J34" s="64">
        <f t="shared" si="9"/>
        <v>7.6861610000000002</v>
      </c>
      <c r="K34" s="64">
        <f t="shared" si="9"/>
        <v>4.7087069999999995</v>
      </c>
      <c r="L34" s="64">
        <f t="shared" si="9"/>
        <v>8.1075370000000007</v>
      </c>
      <c r="M34" s="64">
        <f t="shared" si="9"/>
        <v>11.194122118474731</v>
      </c>
      <c r="N34" s="64">
        <f t="shared" si="9"/>
        <v>7.5643179319570617</v>
      </c>
      <c r="O34" s="64">
        <f t="shared" si="9"/>
        <v>9.6528240993767298</v>
      </c>
      <c r="P34" s="64">
        <f t="shared" si="9"/>
        <v>11.821811106365647</v>
      </c>
      <c r="Q34" s="64">
        <f t="shared" si="9"/>
        <v>12.600515989320638</v>
      </c>
      <c r="R34" s="64">
        <f t="shared" si="9"/>
        <v>15.267746416849029</v>
      </c>
      <c r="S34" s="64">
        <f t="shared" si="9"/>
        <v>13.082198700463985</v>
      </c>
      <c r="T34" s="64"/>
      <c r="U34" s="64">
        <f t="shared" si="9"/>
        <v>112.88509536280785</v>
      </c>
      <c r="V34" s="64">
        <f t="shared" si="9"/>
        <v>69.989414244333091</v>
      </c>
    </row>
    <row r="35" spans="1:22" ht="16" customHeight="1">
      <c r="B35" s="59"/>
      <c r="C35" s="59"/>
      <c r="D35" s="59" t="s">
        <v>71</v>
      </c>
      <c r="E35" s="59" t="s">
        <v>56</v>
      </c>
      <c r="F35" s="59" t="s">
        <v>57</v>
      </c>
      <c r="G35" s="59"/>
      <c r="H35" s="60">
        <f>SUM('测算-高个子抖音'!I$33)+SUM('测算-高个子视频号'!I$33)+SUM('测算-天猫淘宝'!I$32)+SUM('测算-拼多多'!I$33)+SUM('测算-京东POP'!I$33)+SUM('测算-京东自营'!I$34)+SUM('测算-达播'!I$34)+SUM('测算-私域'!I$33)+SUM('测算-外部分销'!I$33)</f>
        <v>3.8874730000000004</v>
      </c>
      <c r="I35" s="60">
        <f>SUM('测算-高个子抖音'!J$33)+SUM('测算-高个子视频号'!J$33)+SUM('测算-天猫淘宝'!J$32)+SUM('测算-拼多多'!J$33)+SUM('测算-京东POP'!J$33)+SUM('测算-京东自营'!J$34)+SUM('测算-达播'!J$34)+SUM('测算-私域'!J$33)+SUM('测算-外部分销'!J$33)</f>
        <v>0.87030300000000005</v>
      </c>
      <c r="J35" s="60">
        <f>SUM('测算-高个子抖音'!K$33)+SUM('测算-高个子视频号'!K$33)+SUM('测算-天猫淘宝'!K$32)+SUM('测算-拼多多'!K$33)+SUM('测算-京东POP'!K$33)+SUM('测算-京东自营'!K$34)+SUM('测算-达播'!K$34)+SUM('测算-私域'!K$33)+SUM('测算-外部分销'!K$33)</f>
        <v>2.2448550000000003</v>
      </c>
      <c r="K35" s="60">
        <f>SUM('测算-高个子抖音'!L$33)+SUM('测算-高个子视频号'!L$33)+SUM('测算-天猫淘宝'!L$32)+SUM('测算-拼多多'!L$33)+SUM('测算-京东POP'!L$33)+SUM('测算-京东自营'!L$34)+SUM('测算-达播'!L$34)+SUM('测算-私域'!L$33)+SUM('测算-外部分销'!L$33)</f>
        <v>0.38460800000000001</v>
      </c>
      <c r="L35" s="60">
        <f>SUM('测算-高个子抖音'!M$33)+SUM('测算-高个子视频号'!M$33)+SUM('测算-天猫淘宝'!M$32)+SUM('测算-拼多多'!M$33)+SUM('测算-京东POP'!M$33)+SUM('测算-京东自营'!M$34)+SUM('测算-达播'!M$34)+SUM('测算-私域'!M$33)+SUM('测算-外部分销'!M$33)</f>
        <v>3.5358260000000006</v>
      </c>
      <c r="M35" s="60">
        <f>SUM('测算-高个子抖音'!N$33)+SUM('测算-高个子视频号'!N$33)+SUM('测算-天猫淘宝'!N$32)+SUM('测算-拼多多'!N$33)+SUM('测算-京东POP'!N$33)+SUM('测算-京东自营'!N$34)+SUM('测算-达播'!N$34)+SUM('测算-私域'!N$33)+SUM('测算-外部分销'!N$33)</f>
        <v>6.3484551184747318</v>
      </c>
      <c r="N35" s="60">
        <f>SUM('测算-高个子抖音'!O$33)+SUM('测算-高个子视频号'!O$33)+SUM('测算-天猫淘宝'!O$32)+SUM('测算-拼多多'!O$33)+SUM('测算-京东POP'!O$33)+SUM('测算-京东自营'!O$34)+SUM('测算-达播'!O$34)+SUM('测算-私域'!O$33)+SUM('测算-外部分销'!O$33)</f>
        <v>4.7589797450820717</v>
      </c>
      <c r="O35" s="60">
        <f>SUM('测算-高个子抖音'!P$33)+SUM('测算-高个子视频号'!P$33)+SUM('测算-天猫淘宝'!P$32)+SUM('测算-拼多多'!P$33)+SUM('测算-京东POP'!P$33)+SUM('测算-京东自营'!P$34)+SUM('测算-达播'!P$34)+SUM('测算-私域'!P$33)+SUM('测算-外部分销'!P$33)</f>
        <v>6.3648906055624419</v>
      </c>
      <c r="P35" s="60">
        <f>SUM('测算-高个子抖音'!Q$33)+SUM('测算-高个子视频号'!Q$33)+SUM('测算-天猫淘宝'!Q$32)+SUM('测算-拼多多'!Q$33)+SUM('测算-京东POP'!Q$33)+SUM('测算-京东自营'!Q$34)+SUM('测算-达播'!Q$34)+SUM('测算-私域'!Q$33)+SUM('测算-外部分销'!Q$33)</f>
        <v>8.0491385811881955</v>
      </c>
      <c r="Q35" s="60">
        <f>SUM('测算-高个子抖音'!R$33)+SUM('测算-高个子视频号'!R$33)+SUM('测算-天猫淘宝'!R$32)+SUM('测算-拼多多'!R$33)+SUM('测算-京东POP'!R$33)+SUM('测算-京东自营'!R$34)+SUM('测算-达播'!R$34)+SUM('测算-私域'!R$33)+SUM('测算-外部分销'!R$33)</f>
        <v>8.7052119205307879</v>
      </c>
      <c r="R35" s="60">
        <f>SUM('测算-高个子抖音'!S$33)+SUM('测算-高个子视频号'!S$33)+SUM('测算-天猫淘宝'!S$32)+SUM('测算-拼多多'!S$33)+SUM('测算-京东POP'!S$33)+SUM('测算-京东自营'!S$34)+SUM('测算-达播'!S$34)+SUM('测算-私域'!S$33)+SUM('测算-外部分销'!S$33)</f>
        <v>10.575510544626828</v>
      </c>
      <c r="S35" s="60">
        <f>SUM('测算-高个子抖音'!T$33)+SUM('测算-高个子视频号'!T$33)+SUM('测算-天猫淘宝'!T$32)+SUM('测算-拼多多'!T$33)+SUM('测算-京东POP'!T$33)+SUM('测算-京东自营'!T$34)+SUM('测算-达播'!T$34)+SUM('测算-私域'!T$33)+SUM('测算-外部分销'!T$33)</f>
        <v>9.0087682417191477</v>
      </c>
      <c r="T35" s="60"/>
      <c r="U35" s="60">
        <f>SUM('测算-高个子抖音'!V$33)+SUM('测算-高个子视频号'!V$33)+SUM('测算-天猫淘宝'!V$32)+SUM('测算-拼多多'!V$33)+SUM('测算-京东POP'!V$33)+SUM('测算-京东自营'!V$34)+SUM('测算-达播'!V$34)+SUM('测算-私域'!V$33)+SUM('测算-外部分销'!V$33)</f>
        <v>64.734019757184214</v>
      </c>
      <c r="V35" s="60">
        <f>SUM('测算-高个子抖音'!W$33)+SUM('测算-高个子视频号'!W$33)+SUM('测算-天猫淘宝'!W$32)+SUM('测算-拼多多'!W$33)+SUM('测算-京东POP'!W$33)+SUM('测算-京东自营'!W$34)+SUM('测算-达播'!W$34)+SUM('测算-私域'!W$33)+SUM('测算-外部分销'!W$33)</f>
        <v>47.462499638709474</v>
      </c>
    </row>
    <row r="36" spans="1:22" ht="16" customHeight="1">
      <c r="B36" s="59"/>
      <c r="C36" s="59"/>
      <c r="D36" s="59" t="s">
        <v>72</v>
      </c>
      <c r="E36" s="59" t="s">
        <v>56</v>
      </c>
      <c r="F36" s="59" t="s">
        <v>57</v>
      </c>
      <c r="G36" s="59"/>
      <c r="H36" s="60">
        <f>SUM('测算-高个子抖音'!I$34)+SUM('测算-高个子视频号'!I$34)+SUM('测算-天猫淘宝'!I$33)+SUM('测算-拼多多'!I$34)+SUM('测算-京东POP'!I$34)+SUM('测算-京东自营'!I$35)+SUM('测算-达播'!I$35)+SUM('测算-私域'!I$34)+SUM('测算-外部分销'!I$34)</f>
        <v>0</v>
      </c>
      <c r="I36" s="60">
        <f>SUM('测算-高个子抖音'!J$34)+SUM('测算-高个子视频号'!J$34)+SUM('测算-天猫淘宝'!J$33)+SUM('测算-拼多多'!J$34)+SUM('测算-京东POP'!J$34)+SUM('测算-京东自营'!J$35)+SUM('测算-达播'!J$35)+SUM('测算-私域'!J$34)+SUM('测算-外部分销'!J$34)</f>
        <v>0</v>
      </c>
      <c r="J36" s="60">
        <f>SUM('测算-高个子抖音'!K$34)+SUM('测算-高个子视频号'!K$34)+SUM('测算-天猫淘宝'!K$33)+SUM('测算-拼多多'!K$34)+SUM('测算-京东POP'!K$34)+SUM('测算-京东自营'!K$35)+SUM('测算-达播'!K$35)+SUM('测算-私域'!K$34)+SUM('测算-外部分销'!K$34)</f>
        <v>0</v>
      </c>
      <c r="K36" s="60">
        <f>SUM('测算-高个子抖音'!L$34)+SUM('测算-高个子视频号'!L$34)+SUM('测算-天猫淘宝'!L$33)+SUM('测算-拼多多'!L$34)+SUM('测算-京东POP'!L$34)+SUM('测算-京东自营'!L$35)+SUM('测算-达播'!L$35)+SUM('测算-私域'!L$34)+SUM('测算-外部分销'!L$34)</f>
        <v>0</v>
      </c>
      <c r="L36" s="60">
        <f>SUM('测算-高个子抖音'!M$34)+SUM('测算-高个子视频号'!M$34)+SUM('测算-天猫淘宝'!M$33)+SUM('测算-拼多多'!M$34)+SUM('测算-京东POP'!M$34)+SUM('测算-京东自营'!M$35)+SUM('测算-达播'!M$35)+SUM('测算-私域'!M$34)+SUM('测算-外部分销'!M$34)</f>
        <v>0</v>
      </c>
      <c r="M36" s="60">
        <f>SUM('测算-高个子抖音'!N$34)+SUM('测算-高个子视频号'!N$34)+SUM('测算-天猫淘宝'!N$33)+SUM('测算-拼多多'!N$34)+SUM('测算-京东POP'!N$34)+SUM('测算-京东自营'!N$35)+SUM('测算-达播'!N$35)+SUM('测算-私域'!N$34)+SUM('测算-外部分销'!N$34)</f>
        <v>0</v>
      </c>
      <c r="N36" s="60">
        <f>SUM('测算-高个子抖音'!O$34)+SUM('测算-高个子视频号'!O$34)+SUM('测算-天猫淘宝'!O$33)+SUM('测算-拼多多'!O$34)+SUM('测算-京东POP'!O$34)+SUM('测算-京东自营'!O$35)+SUM('测算-达播'!O$35)+SUM('测算-私域'!O$34)+SUM('测算-外部分销'!O$34)</f>
        <v>0</v>
      </c>
      <c r="O36" s="60">
        <f>SUM('测算-高个子抖音'!P$34)+SUM('测算-高个子视频号'!P$34)+SUM('测算-天猫淘宝'!P$33)+SUM('测算-拼多多'!P$34)+SUM('测算-京东POP'!P$34)+SUM('测算-京东自营'!P$35)+SUM('测算-达播'!P$35)+SUM('测算-私域'!P$34)+SUM('测算-外部分销'!P$34)</f>
        <v>0</v>
      </c>
      <c r="P36" s="60">
        <f>SUM('测算-高个子抖音'!Q$34)+SUM('测算-高个子视频号'!Q$34)+SUM('测算-天猫淘宝'!Q$33)+SUM('测算-拼多多'!Q$34)+SUM('测算-京东POP'!Q$34)+SUM('测算-京东自营'!Q$35)+SUM('测算-达播'!Q$35)+SUM('测算-私域'!Q$34)+SUM('测算-外部分销'!Q$34)</f>
        <v>0</v>
      </c>
      <c r="Q36" s="60">
        <f>SUM('测算-高个子抖音'!R$34)+SUM('测算-高个子视频号'!R$34)+SUM('测算-天猫淘宝'!R$33)+SUM('测算-拼多多'!R$34)+SUM('测算-京东POP'!R$34)+SUM('测算-京东自营'!R$35)+SUM('测算-达播'!R$35)+SUM('测算-私域'!R$34)+SUM('测算-外部分销'!R$34)</f>
        <v>0</v>
      </c>
      <c r="R36" s="60">
        <f>SUM('测算-高个子抖音'!S$34)+SUM('测算-高个子视频号'!S$34)+SUM('测算-天猫淘宝'!S$33)+SUM('测算-拼多多'!S$34)+SUM('测算-京东POP'!S$34)+SUM('测算-京东自营'!S$35)+SUM('测算-达播'!S$35)+SUM('测算-私域'!S$34)+SUM('测算-外部分销'!S$34)</f>
        <v>0</v>
      </c>
      <c r="S36" s="60">
        <f>SUM('测算-高个子抖音'!T$34)+SUM('测算-高个子视频号'!T$34)+SUM('测算-天猫淘宝'!T$33)+SUM('测算-拼多多'!T$34)+SUM('测算-京东POP'!T$34)+SUM('测算-京东自营'!T$35)+SUM('测算-达播'!T$35)+SUM('测算-私域'!T$34)+SUM('测算-外部分销'!T$34)</f>
        <v>0</v>
      </c>
      <c r="T36" s="60"/>
      <c r="U36" s="60">
        <f>SUM('测算-高个子抖音'!V$34)+SUM('测算-高个子视频号'!V$34)+SUM('测算-天猫淘宝'!V$33)+SUM('测算-拼多多'!V$34)+SUM('测算-京东POP'!V$34)+SUM('测算-京东自营'!V$35)+SUM('测算-达播'!V$35)+SUM('测算-私域'!V$34)+SUM('测算-外部分销'!V$34)</f>
        <v>0</v>
      </c>
      <c r="V36" s="60">
        <f>SUM('测算-高个子抖音'!W$34)+SUM('测算-高个子视频号'!W$34)+SUM('测算-天猫淘宝'!W$33)+SUM('测算-拼多多'!W$34)+SUM('测算-京东POP'!W$34)+SUM('测算-京东自营'!W$35)+SUM('测算-达播'!W$35)+SUM('测算-私域'!W$34)+SUM('测算-外部分销'!W$34)</f>
        <v>0</v>
      </c>
    </row>
    <row r="37" spans="1:22" ht="16" customHeight="1">
      <c r="B37" s="59"/>
      <c r="C37" s="59"/>
      <c r="D37" s="59" t="s">
        <v>73</v>
      </c>
      <c r="E37" s="59" t="s">
        <v>56</v>
      </c>
      <c r="F37" s="59" t="s">
        <v>57</v>
      </c>
      <c r="G37" s="59"/>
      <c r="H37" s="60">
        <f>SUM('测算-高个子抖音'!I$35)+SUM('测算-高个子视频号'!I$35)+SUM('测算-天猫淘宝'!I$34)+SUM('测算-拼多多'!I$35)+SUM('测算-京东POP'!I$35)+SUM('测算-京东自营'!I$36)+SUM('测算-达播'!I$36)+SUM('测算-私域'!I$35)+SUM('测算-外部分销'!I$35)</f>
        <v>3.7723690000000003</v>
      </c>
      <c r="I37" s="60">
        <f>SUM('测算-高个子抖音'!J$35)+SUM('测算-高个子视频号'!J$35)+SUM('测算-天猫淘宝'!J$34)+SUM('测算-拼多多'!J$35)+SUM('测算-京东POP'!J$35)+SUM('测算-京东自营'!J$36)+SUM('测算-达播'!J$36)+SUM('测算-私域'!J$35)+SUM('测算-外部分销'!J$35)</f>
        <v>2.669009</v>
      </c>
      <c r="J37" s="60">
        <f>SUM('测算-高个子抖音'!K$35)+SUM('测算-高个子视频号'!K$35)+SUM('测算-天猫淘宝'!K$34)+SUM('测算-拼多多'!K$35)+SUM('测算-京东POP'!K$35)+SUM('测算-京东自营'!K$36)+SUM('测算-达播'!K$36)+SUM('测算-私域'!K$35)+SUM('测算-外部分销'!K$35)</f>
        <v>5.441306</v>
      </c>
      <c r="K37" s="60">
        <f>SUM('测算-高个子抖音'!L$35)+SUM('测算-高个子视频号'!L$35)+SUM('测算-天猫淘宝'!L$34)+SUM('测算-拼多多'!L$35)+SUM('测算-京东POP'!L$35)+SUM('测算-京东自营'!L$36)+SUM('测算-达播'!L$36)+SUM('测算-私域'!L$35)+SUM('测算-外部分销'!L$35)</f>
        <v>4.3240989999999995</v>
      </c>
      <c r="L37" s="60">
        <f>SUM('测算-高个子抖音'!M$35)+SUM('测算-高个子视频号'!M$35)+SUM('测算-天猫淘宝'!M$34)+SUM('测算-拼多多'!M$35)+SUM('测算-京东POP'!M$35)+SUM('测算-京东自营'!M$36)+SUM('测算-达播'!M$36)+SUM('测算-私域'!M$35)+SUM('测算-外部分销'!M$35)</f>
        <v>4.5717109999999996</v>
      </c>
      <c r="M37" s="60">
        <f>SUM('测算-高个子抖音'!N$35)+SUM('测算-高个子视频号'!N$35)+SUM('测算-天猫淘宝'!N$34)+SUM('测算-拼多多'!N$35)+SUM('测算-京东POP'!N$35)+SUM('测算-京东自营'!N$36)+SUM('测算-达播'!N$36)+SUM('测算-私域'!N$35)+SUM('测算-外部分销'!N$35)</f>
        <v>4.8456669999999997</v>
      </c>
      <c r="N37" s="60">
        <f>SUM('测算-高个子抖音'!O$35)+SUM('测算-高个子视频号'!O$35)+SUM('测算-天猫淘宝'!O$34)+SUM('测算-拼多多'!O$35)+SUM('测算-京东POP'!O$35)+SUM('测算-京东自营'!O$36)+SUM('测算-达播'!O$36)+SUM('测算-私域'!O$35)+SUM('测算-外部分销'!O$35)</f>
        <v>2.8053381868749905</v>
      </c>
      <c r="O37" s="60">
        <f>SUM('测算-高个子抖音'!P$35)+SUM('测算-高个子视频号'!P$35)+SUM('测算-天猫淘宝'!P$34)+SUM('测算-拼多多'!P$35)+SUM('测算-京东POP'!P$35)+SUM('测算-京东自营'!P$36)+SUM('测算-达播'!P$36)+SUM('测算-私域'!P$35)+SUM('测算-外部分销'!P$35)</f>
        <v>3.2879334938142879</v>
      </c>
      <c r="P37" s="60">
        <f>SUM('测算-高个子抖音'!Q$35)+SUM('测算-高个子视频号'!Q$35)+SUM('测算-天猫淘宝'!Q$34)+SUM('测算-拼多多'!Q$35)+SUM('测算-京东POP'!Q$35)+SUM('测算-京东自营'!Q$36)+SUM('测算-达播'!Q$36)+SUM('测算-私域'!Q$35)+SUM('测算-外部分销'!Q$35)</f>
        <v>3.7726725251774527</v>
      </c>
      <c r="Q37" s="60">
        <f>SUM('测算-高个子抖音'!R$35)+SUM('测算-高个子视频号'!R$35)+SUM('测算-天猫淘宝'!R$34)+SUM('测算-拼多多'!R$35)+SUM('测算-京东POP'!R$35)+SUM('测算-京东自营'!R$36)+SUM('测算-达播'!R$36)+SUM('测算-私域'!R$35)+SUM('测算-外部分销'!R$35)</f>
        <v>3.8953040687898497</v>
      </c>
      <c r="R37" s="60">
        <f>SUM('测算-高个子抖音'!S$35)+SUM('测算-高个子视频号'!S$35)+SUM('测算-天猫淘宝'!S$34)+SUM('测算-拼多多'!S$35)+SUM('测算-京东POP'!S$35)+SUM('测算-京东自营'!S$36)+SUM('测算-达播'!S$36)+SUM('测算-私域'!S$35)+SUM('测算-外部分销'!S$35)</f>
        <v>4.6922358722222013</v>
      </c>
      <c r="S37" s="60">
        <f>SUM('测算-高个子抖音'!T$35)+SUM('测算-高个子视频号'!T$35)+SUM('测算-天猫淘宝'!T$34)+SUM('测算-拼多多'!T$35)+SUM('测算-京东POP'!T$35)+SUM('测算-京东自营'!T$36)+SUM('测算-达播'!T$36)+SUM('测算-私域'!T$35)+SUM('测算-外部分销'!T$35)</f>
        <v>4.0734304587448378</v>
      </c>
      <c r="T37" s="60"/>
      <c r="U37" s="60">
        <f>SUM('测算-高个子抖音'!V$35)+SUM('测算-高个子视频号'!V$35)+SUM('测算-天猫淘宝'!V$34)+SUM('测算-拼多多'!V$35)+SUM('测算-京东POP'!V$35)+SUM('测算-京东自营'!V$36)+SUM('测算-达播'!V$36)+SUM('测算-私域'!V$35)+SUM('测算-外部分销'!V$35)</f>
        <v>48.151075605623625</v>
      </c>
      <c r="V37" s="60">
        <f>SUM('测算-高个子抖音'!W$35)+SUM('测算-高个子视频号'!W$35)+SUM('测算-天猫淘宝'!W$34)+SUM('测算-拼多多'!W$35)+SUM('测算-京东POP'!W$35)+SUM('测算-京东自营'!W$36)+SUM('测算-达播'!W$36)+SUM('测算-私域'!W$35)+SUM('测算-外部分销'!W$35)</f>
        <v>22.52691460562362</v>
      </c>
    </row>
    <row r="38" spans="1:22" s="63" customFormat="1" ht="16" customHeight="1">
      <c r="B38" s="61"/>
      <c r="C38" s="61" t="s">
        <v>74</v>
      </c>
      <c r="D38" s="61"/>
      <c r="E38" s="61"/>
      <c r="F38" s="61"/>
      <c r="G38" s="61"/>
      <c r="H38" s="64">
        <f t="shared" ref="H38:V38" si="10">SUM(H39:H42)</f>
        <v>28.54991641458906</v>
      </c>
      <c r="I38" s="64">
        <f t="shared" si="10"/>
        <v>21.185805233936676</v>
      </c>
      <c r="J38" s="64">
        <f t="shared" si="10"/>
        <v>40.113545292552068</v>
      </c>
      <c r="K38" s="64">
        <f t="shared" si="10"/>
        <v>29.593611565285038</v>
      </c>
      <c r="L38" s="64">
        <f t="shared" si="10"/>
        <v>35.070613126941858</v>
      </c>
      <c r="M38" s="64">
        <f t="shared" si="10"/>
        <v>48.212655978036274</v>
      </c>
      <c r="N38" s="64">
        <f t="shared" si="10"/>
        <v>30.70783622252344</v>
      </c>
      <c r="O38" s="64">
        <f t="shared" si="10"/>
        <v>40.606089302809139</v>
      </c>
      <c r="P38" s="64">
        <f t="shared" si="10"/>
        <v>50.965786486706314</v>
      </c>
      <c r="Q38" s="64">
        <f t="shared" si="10"/>
        <v>54.935058706015113</v>
      </c>
      <c r="R38" s="64">
        <f t="shared" si="10"/>
        <v>66.697787062552109</v>
      </c>
      <c r="S38" s="64">
        <f t="shared" si="10"/>
        <v>56.89297406532215</v>
      </c>
      <c r="T38" s="64"/>
      <c r="U38" s="64">
        <f t="shared" si="10"/>
        <v>531.62114411415666</v>
      </c>
      <c r="V38" s="64">
        <f t="shared" si="10"/>
        <v>300.80553184592821</v>
      </c>
    </row>
    <row r="39" spans="1:22" ht="16" customHeight="1">
      <c r="B39" s="59"/>
      <c r="C39" s="59"/>
      <c r="D39" s="59" t="s">
        <v>75</v>
      </c>
      <c r="E39" s="59" t="s">
        <v>56</v>
      </c>
      <c r="F39" s="59" t="s">
        <v>57</v>
      </c>
      <c r="G39" s="59"/>
      <c r="H39" s="60">
        <f>SUM('测算-高个子抖音'!I$37)+SUM('测算-高个子视频号'!I$37)+SUM('测算-天猫淘宝'!I$36)+SUM('测算-拼多多'!I$37)+SUM('测算-京东POP'!I$37)+SUM('测算-京东自营'!I$38)+SUM('测算-达播'!I$38)+SUM('测算-私域'!I$37)+SUM('测算-外部分销'!I$37)</f>
        <v>12.311970000000001</v>
      </c>
      <c r="I39" s="60">
        <f>SUM('测算-高个子抖音'!J$37)+SUM('测算-高个子视频号'!J$37)+SUM('测算-天猫淘宝'!J$36)+SUM('测算-拼多多'!J$37)+SUM('测算-京东POP'!J$37)+SUM('测算-京东自营'!J$38)+SUM('测算-达播'!J$38)+SUM('测算-私域'!J$37)+SUM('测算-外部分销'!J$37)</f>
        <v>8.7406750000000013</v>
      </c>
      <c r="J39" s="60">
        <f>SUM('测算-高个子抖音'!K$37)+SUM('测算-高个子视频号'!K$37)+SUM('测算-天猫淘宝'!K$36)+SUM('测算-拼多多'!K$37)+SUM('测算-京东POP'!K$37)+SUM('测算-京东自营'!K$38)+SUM('测算-达播'!K$38)+SUM('测算-私域'!K$37)+SUM('测算-外部分销'!K$37)</f>
        <v>19.758020000000002</v>
      </c>
      <c r="K39" s="60">
        <f>SUM('测算-高个子抖音'!L$37)+SUM('测算-高个子视频号'!L$37)+SUM('测算-天猫淘宝'!L$36)+SUM('测算-拼多多'!L$37)+SUM('测算-京东POP'!L$37)+SUM('测算-京东自营'!L$38)+SUM('测算-达播'!L$38)+SUM('测算-私域'!L$37)+SUM('测算-外部分销'!L$37)</f>
        <v>10.679434000000001</v>
      </c>
      <c r="L39" s="60">
        <f>SUM('测算-高个子抖音'!M$37)+SUM('测算-高个子视频号'!M$37)+SUM('测算-天猫淘宝'!M$36)+SUM('测算-拼多多'!M$37)+SUM('测算-京东POP'!M$37)+SUM('测算-京东自营'!M$38)+SUM('测算-达播'!M$38)+SUM('测算-私域'!M$37)+SUM('测算-外部分销'!M$37)</f>
        <v>13.419053</v>
      </c>
      <c r="M39" s="60">
        <f>SUM('测算-高个子抖音'!N$37)+SUM('测算-高个子视频号'!N$37)+SUM('测算-天猫淘宝'!N$36)+SUM('测算-拼多多'!N$37)+SUM('测算-京东POP'!N$37)+SUM('测算-京东自营'!N$38)+SUM('测算-达播'!N$38)+SUM('测算-私域'!N$37)+SUM('测算-外部分销'!N$37)</f>
        <v>12.024451998469576</v>
      </c>
      <c r="N39" s="60">
        <f>SUM('测算-高个子抖音'!O$37)+SUM('测算-高个子视频号'!O$37)+SUM('测算-天猫淘宝'!O$36)+SUM('测算-拼多多'!O$37)+SUM('测算-京东POP'!O$37)+SUM('测算-京东自营'!O$38)+SUM('测算-达播'!O$38)+SUM('测算-私域'!O$37)+SUM('测算-外部分销'!O$37)</f>
        <v>8.9886617165697658</v>
      </c>
      <c r="O39" s="60">
        <f>SUM('测算-高个子抖音'!P$37)+SUM('测算-高个子视频号'!P$37)+SUM('测算-天猫淘宝'!P$36)+SUM('测算-拼多多'!P$37)+SUM('测算-京东POP'!P$37)+SUM('测算-京东自营'!P$38)+SUM('测算-达播'!P$38)+SUM('测算-私域'!P$37)+SUM('测算-外部分销'!P$37)</f>
        <v>12.021872666194135</v>
      </c>
      <c r="P39" s="60">
        <f>SUM('测算-高个子抖音'!Q$37)+SUM('测算-高个子视频号'!Q$37)+SUM('测算-天猫淘宝'!Q$36)+SUM('测算-拼多多'!Q$37)+SUM('测算-京东POP'!Q$37)+SUM('测算-京东自营'!Q$38)+SUM('测算-达播'!Q$38)+SUM('测算-私域'!Q$37)+SUM('测算-外部分销'!Q$37)</f>
        <v>15.203045125556271</v>
      </c>
      <c r="Q39" s="60">
        <f>SUM('测算-高个子抖音'!R$37)+SUM('测算-高个子视频号'!R$37)+SUM('测算-天猫淘宝'!R$36)+SUM('测算-拼多多'!R$37)+SUM('测算-京东POP'!R$37)+SUM('测算-京东自营'!R$38)+SUM('测算-达播'!R$38)+SUM('测算-私域'!R$37)+SUM('测算-外部分销'!R$37)</f>
        <v>16.442222769610133</v>
      </c>
      <c r="R39" s="60">
        <f>SUM('测算-高个子抖音'!S$37)+SUM('测算-高个子视频号'!S$37)+SUM('测算-天猫淘宝'!S$36)+SUM('测算-拼多多'!S$37)+SUM('测算-京东POP'!S$37)+SUM('测算-京东自营'!S$38)+SUM('测算-达播'!S$38)+SUM('测算-私域'!S$37)+SUM('测算-外部分销'!S$37)</f>
        <v>19.974803814599486</v>
      </c>
      <c r="S39" s="60">
        <f>SUM('测算-高个子抖音'!T$37)+SUM('测算-高个子视频号'!T$37)+SUM('测算-天猫淘宝'!T$36)+SUM('测算-拼多多'!T$37)+SUM('测算-京东POP'!T$37)+SUM('测算-京东自营'!T$38)+SUM('测算-达播'!T$38)+SUM('测算-私域'!T$37)+SUM('测算-外部分销'!T$37)</f>
        <v>17.015573619844002</v>
      </c>
      <c r="T39" s="60"/>
      <c r="U39" s="60">
        <f>SUM('测算-高个子抖音'!V$37)+SUM('测算-高个子视频号'!V$37)+SUM('测算-天猫淘宝'!V$36)+SUM('测算-拼多多'!V$37)+SUM('测算-京东POP'!V$37)+SUM('测算-京东自营'!V$38)+SUM('测算-达播'!V$38)+SUM('测算-私域'!V$37)+SUM('测算-外部分销'!V$37)</f>
        <v>166.57978371084334</v>
      </c>
      <c r="V39" s="60">
        <f>SUM('测算-高个子抖音'!W$37)+SUM('测算-高个子视频号'!W$37)+SUM('测算-天猫淘宝'!W$36)+SUM('测算-拼多多'!W$37)+SUM('测算-京东POP'!W$37)+SUM('测算-京东自营'!W$38)+SUM('测算-达播'!W$38)+SUM('测算-私域'!W$37)+SUM('测算-外部分销'!W$37)</f>
        <v>89.646179712373794</v>
      </c>
    </row>
    <row r="40" spans="1:22" ht="16" customHeight="1">
      <c r="B40" s="59"/>
      <c r="C40" s="59"/>
      <c r="D40" s="59" t="s">
        <v>76</v>
      </c>
      <c r="E40" s="59" t="s">
        <v>56</v>
      </c>
      <c r="F40" s="59" t="s">
        <v>57</v>
      </c>
      <c r="G40" s="59"/>
      <c r="H40" s="60">
        <f>SUM('测算-高个子抖音'!I$38)+SUM('测算-高个子视频号'!I$38)+SUM('测算-天猫淘宝'!I$37)+SUM('测算-拼多多'!I$38)+SUM('测算-京东POP'!I$38)+SUM('测算-京东自营'!I$39)+SUM('测算-达播'!I$39)+SUM('测算-私域'!I$38)+SUM('测算-外部分销'!I$38)</f>
        <v>6.7513262425000011</v>
      </c>
      <c r="I40" s="60">
        <f>SUM('测算-高个子抖音'!J$38)+SUM('测算-高个子视频号'!J$38)+SUM('测算-天猫淘宝'!J$37)+SUM('测算-拼多多'!J$38)+SUM('测算-京东POP'!J$38)+SUM('测算-京东自营'!J$39)+SUM('测算-达播'!J$39)+SUM('测算-私域'!J$38)+SUM('测算-外部分销'!J$38)</f>
        <v>3.6282589659367428</v>
      </c>
      <c r="J40" s="60">
        <f>SUM('测算-高个子抖音'!K$38)+SUM('测算-高个子视频号'!K$38)+SUM('测算-天猫淘宝'!K$37)+SUM('测算-拼多多'!K$38)+SUM('测算-京东POP'!K$38)+SUM('测算-京东自营'!K$39)+SUM('测算-达播'!K$39)+SUM('测算-私域'!K$38)+SUM('测算-外部分销'!K$38)</f>
        <v>8.7247389999999996</v>
      </c>
      <c r="K40" s="60">
        <f>SUM('测算-高个子抖音'!L$38)+SUM('测算-高个子视频号'!L$38)+SUM('测算-天猫淘宝'!L$37)+SUM('测算-拼多多'!L$38)+SUM('测算-京东POP'!L$38)+SUM('测算-京东自营'!L$39)+SUM('测算-达播'!L$39)+SUM('测算-私域'!L$38)+SUM('测算-外部分销'!L$38)</f>
        <v>4.8719980000000005</v>
      </c>
      <c r="L40" s="60">
        <f>SUM('测算-高个子抖音'!M$38)+SUM('测算-高个子视频号'!M$38)+SUM('测算-天猫淘宝'!M$37)+SUM('测算-拼多多'!M$38)+SUM('测算-京东POP'!M$38)+SUM('测算-京东自营'!M$39)+SUM('测算-达播'!M$39)+SUM('测算-私域'!M$38)+SUM('测算-外部分销'!M$38)</f>
        <v>6.929850000000001</v>
      </c>
      <c r="M40" s="60">
        <f>SUM('测算-高个子抖音'!N$38)+SUM('测算-高个子视频号'!N$38)+SUM('测算-天猫淘宝'!N$37)+SUM('测算-拼多多'!N$38)+SUM('测算-京东POP'!N$38)+SUM('测算-京东自营'!N$39)+SUM('测算-达播'!N$39)+SUM('测算-私域'!N$38)+SUM('测算-外部分销'!N$38)</f>
        <v>6.707675166766073</v>
      </c>
      <c r="N40" s="60">
        <f>SUM('测算-高个子抖音'!O$38)+SUM('测算-高个子视频号'!O$38)+SUM('测算-天猫淘宝'!O$37)+SUM('测算-拼多多'!O$38)+SUM('测算-京东POP'!O$38)+SUM('测算-京东自营'!O$39)+SUM('测算-达播'!O$39)+SUM('测算-私域'!O$38)+SUM('测算-外部分销'!O$38)</f>
        <v>4.227930773200347</v>
      </c>
      <c r="O40" s="60">
        <f>SUM('测算-高个子抖音'!P$38)+SUM('测算-高个子视频号'!P$38)+SUM('测算-天猫淘宝'!P$37)+SUM('测算-拼多多'!P$38)+SUM('测算-京东POP'!P$38)+SUM('测算-京东自营'!P$39)+SUM('测算-达播'!P$39)+SUM('测算-私域'!P$38)+SUM('测算-外部分销'!P$38)</f>
        <v>5.6546399230045807</v>
      </c>
      <c r="P40" s="60">
        <f>SUM('测算-高个子抖音'!Q$38)+SUM('测算-高个子视频号'!Q$38)+SUM('测算-天猫淘宝'!Q$37)+SUM('测算-拼多多'!Q$38)+SUM('测算-京东POP'!Q$38)+SUM('测算-京东自营'!Q$39)+SUM('测算-达播'!Q$39)+SUM('测算-私域'!Q$38)+SUM('测算-外部分销'!Q$38)</f>
        <v>7.1509446410919457</v>
      </c>
      <c r="Q40" s="60">
        <f>SUM('测算-高个子抖音'!R$38)+SUM('测算-高个子视频号'!R$38)+SUM('测算-天猫淘宝'!R$37)+SUM('测算-拼多多'!R$38)+SUM('测算-京东POP'!R$38)+SUM('测算-京东自营'!R$39)+SUM('测算-达播'!R$39)+SUM('测算-私域'!R$38)+SUM('测算-外部分销'!R$38)</f>
        <v>7.7338075254631891</v>
      </c>
      <c r="R40" s="60">
        <f>SUM('测算-高个子抖音'!S$38)+SUM('测算-高个子视频号'!S$38)+SUM('测算-天猫淘宝'!S$37)+SUM('测算-拼多多'!S$38)+SUM('测算-京东POP'!S$38)+SUM('测算-京东自营'!S$39)+SUM('测算-达播'!S$39)+SUM('测算-私域'!S$38)+SUM('测算-外部分销'!S$38)</f>
        <v>9.3954017182229972</v>
      </c>
      <c r="S40" s="60">
        <f>SUM('测算-高个子抖音'!T$38)+SUM('测算-高个子视频号'!T$38)+SUM('测算-天猫淘宝'!T$37)+SUM('测算-拼多多'!T$38)+SUM('测算-京东POP'!T$38)+SUM('测算-京东自营'!T$39)+SUM('测算-达播'!T$39)+SUM('测算-私域'!T$38)+SUM('测算-外部分销'!T$38)</f>
        <v>8.0034903525603287</v>
      </c>
      <c r="T40" s="60"/>
      <c r="U40" s="60">
        <f>SUM('测算-高个子抖音'!V$38)+SUM('测算-高个子视频号'!V$38)+SUM('测算-天猫淘宝'!V$37)+SUM('测算-拼多多'!V$38)+SUM('测算-京东POP'!V$38)+SUM('测算-京东自营'!V$39)+SUM('测算-达播'!V$39)+SUM('测算-私域'!V$38)+SUM('测算-外部分销'!V$38)</f>
        <v>79.780062308746196</v>
      </c>
      <c r="V40" s="60">
        <f>SUM('测算-高个子抖音'!W$38)+SUM('测算-高个子视频号'!W$38)+SUM('测算-天猫淘宝'!W$37)+SUM('测算-拼多多'!W$38)+SUM('测算-京东POP'!W$38)+SUM('测算-京东自营'!W$39)+SUM('测算-达播'!W$39)+SUM('测算-私域'!W$38)+SUM('测算-外部分销'!W$38)</f>
        <v>42.166214933543394</v>
      </c>
    </row>
    <row r="41" spans="1:22" ht="16" customHeight="1">
      <c r="B41" s="59"/>
      <c r="C41" s="59"/>
      <c r="D41" s="59" t="s">
        <v>77</v>
      </c>
      <c r="E41" s="59" t="s">
        <v>56</v>
      </c>
      <c r="F41" s="59" t="s">
        <v>57</v>
      </c>
      <c r="G41" s="59"/>
      <c r="H41" s="60">
        <f>SUM('测算-高个子抖音'!I$39)+SUM('测算-高个子视频号'!I$39)+SUM('测算-天猫淘宝'!I$38)+SUM('测算-拼多多'!I$39)+SUM('测算-京东POP'!I$39)+SUM('测算-京东自营'!I$40)+SUM('测算-达播'!I$40)+SUM('测算-私域'!I$39)+SUM('测算-外部分销'!I$39)</f>
        <v>2.5295560000000004</v>
      </c>
      <c r="I41" s="60">
        <f>SUM('测算-高个子抖音'!J$39)+SUM('测算-高个子视频号'!J$39)+SUM('测算-天猫淘宝'!J$38)+SUM('测算-拼多多'!J$39)+SUM('测算-京东POP'!J$39)+SUM('测算-京东自营'!J$40)+SUM('测算-达播'!J$40)+SUM('测算-私域'!J$39)+SUM('测算-外部分销'!J$39)</f>
        <v>1.245344</v>
      </c>
      <c r="J41" s="60">
        <f>SUM('测算-高个子抖音'!K$39)+SUM('测算-高个子视频号'!K$39)+SUM('测算-天猫淘宝'!K$38)+SUM('测算-拼多多'!K$39)+SUM('测算-京东POP'!K$39)+SUM('测算-京东自营'!K$40)+SUM('测算-达播'!K$40)+SUM('测算-私域'!K$39)+SUM('测算-外部分销'!K$39)</f>
        <v>3.9131589999999998</v>
      </c>
      <c r="K41" s="60">
        <f>SUM('测算-高个子抖音'!L$39)+SUM('测算-高个子视频号'!L$39)+SUM('测算-天猫淘宝'!L$38)+SUM('测算-拼多多'!L$39)+SUM('测算-京东POP'!L$39)+SUM('测算-京东自营'!L$40)+SUM('测算-达播'!L$40)+SUM('测算-私域'!L$39)+SUM('测算-外部分销'!L$39)</f>
        <v>4.5977100000000002</v>
      </c>
      <c r="L41" s="60">
        <f>SUM('测算-高个子抖音'!M$39)+SUM('测算-高个子视频号'!M$39)+SUM('测算-天猫淘宝'!M$38)+SUM('测算-拼多多'!M$39)+SUM('测算-京东POP'!M$39)+SUM('测算-京东自营'!M$40)+SUM('测算-达播'!M$40)+SUM('测算-私域'!M$39)+SUM('测算-外部分销'!M$39)</f>
        <v>4.8395519999999994</v>
      </c>
      <c r="M41" s="60">
        <f>SUM('测算-高个子抖音'!N$39)+SUM('测算-高个子视频号'!N$39)+SUM('测算-天猫淘宝'!N$38)+SUM('测算-拼多多'!N$39)+SUM('测算-京东POP'!N$39)+SUM('测算-京东自营'!N$40)+SUM('测算-达播'!N$40)+SUM('测算-私域'!N$39)+SUM('测算-外部分销'!N$39)</f>
        <v>6.9477594452086731</v>
      </c>
      <c r="N41" s="60">
        <f>SUM('测算-高个子抖音'!O$39)+SUM('测算-高个子视频号'!O$39)+SUM('测算-天猫淘宝'!O$38)+SUM('测算-拼多多'!O$39)+SUM('测算-京东POP'!O$39)+SUM('测算-京东自营'!O$40)+SUM('测算-达播'!O$40)+SUM('测算-私域'!O$39)+SUM('测算-外部分销'!O$39)</f>
        <v>5.1706364856909852</v>
      </c>
      <c r="O41" s="60">
        <f>SUM('测算-高个子抖音'!P$39)+SUM('测算-高个子视频号'!P$39)+SUM('测算-天猫淘宝'!P$38)+SUM('测算-拼多多'!P$39)+SUM('测算-京东POP'!P$39)+SUM('测算-京东自营'!P$40)+SUM('测算-达播'!P$40)+SUM('测算-私域'!P$39)+SUM('测算-外部分销'!P$39)</f>
        <v>6.4513982967574934</v>
      </c>
      <c r="P41" s="60">
        <f>SUM('测算-高个子抖音'!Q$39)+SUM('测算-高个子视频号'!Q$39)+SUM('测算-天猫淘宝'!Q$38)+SUM('测算-拼多多'!Q$39)+SUM('测算-京东POP'!Q$39)+SUM('测算-京东自营'!Q$40)+SUM('测算-达播'!Q$40)+SUM('测算-私域'!Q$39)+SUM('测算-外部分销'!Q$39)</f>
        <v>7.773238783668706</v>
      </c>
      <c r="Q41" s="60">
        <f>SUM('测算-高个子抖音'!R$39)+SUM('测算-高个子视频号'!R$39)+SUM('测算-天猫淘宝'!R$38)+SUM('测算-拼多多'!R$39)+SUM('测算-京东POP'!R$39)+SUM('测算-京东自营'!R$40)+SUM('测算-达播'!R$40)+SUM('测算-私域'!R$39)+SUM('测算-外部分销'!R$39)</f>
        <v>8.2219505454306354</v>
      </c>
      <c r="R41" s="60">
        <f>SUM('测算-高个子抖音'!S$39)+SUM('测算-高个子视频号'!S$39)+SUM('测算-天猫淘宝'!S$38)+SUM('测算-拼多多'!S$39)+SUM('测算-京东POP'!S$39)+SUM('测算-京东自营'!S$40)+SUM('测算-达播'!S$40)+SUM('测算-私域'!S$39)+SUM('测算-外部分销'!S$39)</f>
        <v>9.9484543140355264</v>
      </c>
      <c r="S41" s="60">
        <f>SUM('测算-高个子抖音'!T$39)+SUM('测算-高个子视频号'!T$39)+SUM('测算-天猫淘宝'!T$38)+SUM('测算-拼多多'!T$39)+SUM('测算-京东POP'!T$39)+SUM('测算-京东自营'!T$40)+SUM('测算-达播'!T$40)+SUM('测算-私域'!T$39)+SUM('测算-外部分销'!T$39)</f>
        <v>8.5509498721413735</v>
      </c>
      <c r="T41" s="60"/>
      <c r="U41" s="60">
        <f>SUM('测算-高个子抖音'!V$39)+SUM('测算-高个子视频号'!V$39)+SUM('测算-天猫淘宝'!V$38)+SUM('测算-拼多多'!V$39)+SUM('测算-京东POP'!V$39)+SUM('测算-京东自营'!V$40)+SUM('测算-达播'!V$40)+SUM('测算-私域'!V$39)+SUM('测算-外部分销'!V$39)</f>
        <v>70.189708742933391</v>
      </c>
      <c r="V41" s="60">
        <f>SUM('测算-高个子抖音'!W$39)+SUM('测算-高个子视频号'!W$39)+SUM('测算-天猫淘宝'!W$38)+SUM('测算-拼多多'!W$39)+SUM('测算-京东POP'!W$39)+SUM('测算-京东自营'!W$40)+SUM('测算-达播'!W$40)+SUM('测算-私域'!W$39)+SUM('测算-外部分销'!W$39)</f>
        <v>46.116628297724716</v>
      </c>
    </row>
    <row r="42" spans="1:22" ht="16" customHeight="1">
      <c r="B42" s="59"/>
      <c r="C42" s="59"/>
      <c r="D42" s="59" t="s">
        <v>78</v>
      </c>
      <c r="E42" s="59" t="s">
        <v>56</v>
      </c>
      <c r="F42" s="59" t="s">
        <v>57</v>
      </c>
      <c r="G42" s="59"/>
      <c r="H42" s="60">
        <f>SUM('测算-高个子抖音'!I$40)+SUM('测算-高个子视频号'!I$40)+SUM('测算-天猫淘宝'!I$39)+SUM('测算-拼多多'!I$40)+SUM('测算-京东POP'!I$40)+SUM('测算-达播'!I$41)+SUM('测算-私域'!I$40)+SUM('测算-外部分销'!I$40)</f>
        <v>6.9570641720890585</v>
      </c>
      <c r="I42" s="60">
        <f>SUM('测算-高个子抖音'!J$40)+SUM('测算-高个子视频号'!J$40)+SUM('测算-天猫淘宝'!J$39)+SUM('测算-拼多多'!J$40)+SUM('测算-京东POP'!J$40)+SUM('测算-达播'!J$41)+SUM('测算-私域'!J$40)+SUM('测算-外部分销'!J$40)</f>
        <v>7.5715272679999348</v>
      </c>
      <c r="J42" s="60">
        <f>SUM('测算-高个子抖音'!K$40)+SUM('测算-高个子视频号'!K$40)+SUM('测算-天猫淘宝'!K$39)+SUM('测算-拼多多'!K$40)+SUM('测算-京东POP'!K$40)+SUM('测算-京东自营'!K$41)+SUM('测算-达播'!K$41)+SUM('测算-私域'!K$40)+SUM('测算-外部分销'!K$40)</f>
        <v>7.7176272925520681</v>
      </c>
      <c r="K42" s="60">
        <f>SUM('测算-高个子抖音'!L$40)+SUM('测算-高个子视频号'!L$40)+SUM('测算-天猫淘宝'!L$39)+SUM('测算-拼多多'!L$40)+SUM('测算-京东POP'!L$40)+SUM('测算-京东自营'!L$41)+SUM('测算-达播'!L$41)+SUM('测算-私域'!L$40)+SUM('测算-外部分销'!L$40)</f>
        <v>9.4444695652850346</v>
      </c>
      <c r="L42" s="60">
        <f>SUM('测算-高个子抖音'!M$40)+SUM('测算-高个子视频号'!M$40)+SUM('测算-天猫淘宝'!M$39)+SUM('测算-拼多多'!M$40)+SUM('测算-京东POP'!M$40)+SUM('测算-京东自营'!M$41)+SUM('测算-达播'!M$41)+SUM('测算-私域'!M$40)+SUM('测算-外部分销'!M$40)</f>
        <v>9.8821581269418584</v>
      </c>
      <c r="M42" s="60">
        <f>SUM('测算-高个子抖音'!N$40)+SUM('测算-高个子视频号'!N$40)+SUM('测算-天猫淘宝'!N$39)+SUM('测算-拼多多'!N$40)+SUM('测算-京东POP'!N$40)+SUM('测算-京东自营'!N$41)+SUM('测算-达播'!N$41)+SUM('测算-私域'!N$40)+SUM('测算-外部分销'!N$40)</f>
        <v>22.532769367591953</v>
      </c>
      <c r="N42" s="60">
        <f>SUM('测算-高个子抖音'!O$40)+SUM('测算-高个子视频号'!O$40)+SUM('测算-天猫淘宝'!O$39)+SUM('测算-拼多多'!O$40)+SUM('测算-京东POP'!O$40)+SUM('测算-京东自营'!O$41)+SUM('测算-达播'!O$41)+SUM('测算-私域'!O$40)+SUM('测算-外部分销'!O$40)</f>
        <v>12.320607247062339</v>
      </c>
      <c r="O42" s="60">
        <f>SUM('测算-高个子抖音'!P$40)+SUM('测算-高个子视频号'!P$40)+SUM('测算-天猫淘宝'!P$39)+SUM('测算-拼多多'!P$40)+SUM('测算-京东POP'!P$40)+SUM('测算-京东自营'!P$41)+SUM('测算-达播'!P$41)+SUM('测算-私域'!P$40)+SUM('测算-外部分销'!P$40)</f>
        <v>16.478178416852927</v>
      </c>
      <c r="P42" s="60">
        <f>SUM('测算-高个子抖音'!Q$40)+SUM('测算-高个子视频号'!Q$40)+SUM('测算-天猫淘宝'!Q$39)+SUM('测算-拼多多'!Q$40)+SUM('测算-京东POP'!Q$40)+SUM('测算-京东自营'!Q$41)+SUM('测算-达播'!Q$41)+SUM('测算-私域'!Q$40)+SUM('测算-外部分销'!Q$40)</f>
        <v>20.838557936389392</v>
      </c>
      <c r="Q42" s="60">
        <f>SUM('测算-高个子抖音'!R$40)+SUM('测算-高个子视频号'!R$40)+SUM('测算-天猫淘宝'!R$39)+SUM('测算-拼多多'!R$40)+SUM('测算-京东POP'!R$40)+SUM('测算-京东自营'!R$41)+SUM('测算-达播'!R$41)+SUM('测算-私域'!R$40)+SUM('测算-外部分销'!R$40)</f>
        <v>22.537077865511158</v>
      </c>
      <c r="R42" s="60">
        <f>SUM('测算-高个子抖音'!S$40)+SUM('测算-高个子视频号'!S$40)+SUM('测算-天猫淘宝'!S$39)+SUM('测算-拼多多'!S$40)+SUM('测算-京东POP'!S$40)+SUM('测算-京东自营'!S$41)+SUM('测算-达播'!S$41)+SUM('测算-私域'!S$40)+SUM('测算-外部分销'!S$40)</f>
        <v>27.379127215694094</v>
      </c>
      <c r="S42" s="60">
        <f>SUM('测算-高个子抖音'!T$40)+SUM('测算-高个子视频号'!T$40)+SUM('测算-天猫淘宝'!T$39)+SUM('测算-拼多多'!T$40)+SUM('测算-京东POP'!T$40)+SUM('测算-京东自营'!T$41)+SUM('测算-达播'!T$41)+SUM('测算-私域'!T$40)+SUM('测算-外部分销'!T$40)</f>
        <v>23.322960220776444</v>
      </c>
      <c r="T42" s="60"/>
      <c r="U42" s="60">
        <f>SUM('测算-高个子抖音'!V$40)+SUM('测算-高个子视频号'!V$40)+SUM('测算-天猫淘宝'!V$39)+SUM('测算-拼多多'!V$40)+SUM('测算-京东POP'!V$40)+SUM('测算-京东自营'!V$41)+SUM('测算-达播'!V$41)+SUM('测算-私域'!V$40)+SUM('测算-外部分销'!V$40)</f>
        <v>215.07158935163372</v>
      </c>
      <c r="V42" s="60">
        <f>SUM('测算-高个子抖音'!W$40)+SUM('测算-高个子视频号'!W$40)+SUM('测算-天猫淘宝'!W$39)+SUM('测算-拼多多'!W$40)+SUM('测算-京东POP'!W$40)+SUM('测算-京东自营'!W$41)+SUM('测算-达播'!W$41)+SUM('测算-私域'!W$40)+SUM('测算-外部分销'!W$40)</f>
        <v>122.87650890228633</v>
      </c>
    </row>
    <row r="43" spans="1:22" s="63" customFormat="1" ht="16" customHeight="1">
      <c r="B43" s="61"/>
      <c r="C43" s="61" t="s">
        <v>79</v>
      </c>
      <c r="D43" s="61"/>
      <c r="E43" s="61"/>
      <c r="F43" s="61"/>
      <c r="G43" s="61"/>
      <c r="H43" s="64">
        <f t="shared" ref="H43:V43" si="11">SUM(H44:H46)</f>
        <v>41.82625128536408</v>
      </c>
      <c r="I43" s="64">
        <f t="shared" si="11"/>
        <v>33.846583008205201</v>
      </c>
      <c r="J43" s="64">
        <f t="shared" si="11"/>
        <v>47.037375417828954</v>
      </c>
      <c r="K43" s="64">
        <f t="shared" si="11"/>
        <v>45.168611247322694</v>
      </c>
      <c r="L43" s="64">
        <f t="shared" si="11"/>
        <v>50.566792531575942</v>
      </c>
      <c r="M43" s="64">
        <f t="shared" si="11"/>
        <v>52.905911751072217</v>
      </c>
      <c r="N43" s="64">
        <f t="shared" si="11"/>
        <v>55.408322712480675</v>
      </c>
      <c r="O43" s="64">
        <f t="shared" si="11"/>
        <v>57.795207359451858</v>
      </c>
      <c r="P43" s="64">
        <f t="shared" si="11"/>
        <v>59.954069934964103</v>
      </c>
      <c r="Q43" s="64">
        <f t="shared" si="11"/>
        <v>60.630198755700654</v>
      </c>
      <c r="R43" s="64">
        <f t="shared" si="11"/>
        <v>63.137571961083907</v>
      </c>
      <c r="S43" s="64">
        <f t="shared" si="11"/>
        <v>61.10785235186232</v>
      </c>
      <c r="T43" s="64"/>
      <c r="U43" s="64">
        <f t="shared" si="11"/>
        <v>629.38474831691269</v>
      </c>
      <c r="V43" s="64">
        <f t="shared" si="11"/>
        <v>358.0332230755435</v>
      </c>
    </row>
    <row r="44" spans="1:22" ht="16" customHeight="1">
      <c r="B44" s="59"/>
      <c r="C44" s="59"/>
      <c r="D44" s="59" t="s">
        <v>80</v>
      </c>
      <c r="E44" s="59" t="s">
        <v>56</v>
      </c>
      <c r="F44" s="59" t="s">
        <v>57</v>
      </c>
      <c r="G44" s="59"/>
      <c r="H44" s="60">
        <f>SUM('测算-高个子抖音'!I$42)+SUM('测算-高个子视频号'!I$42)+SUM('测算-天猫淘宝'!I$41)+SUM('测算-拼多多'!I$42)+SUM('测算-京东POP'!I$42)+SUM('测算-京东自营'!I$43)+SUM('测算-达播'!I$43)+SUM('测算-私域'!I$42)+SUM('测算-外部分销'!I$42)</f>
        <v>32.677612951440473</v>
      </c>
      <c r="I44" s="60">
        <f>SUM('测算-高个子抖音'!J$42)+SUM('测算-高个子视频号'!J$42)+SUM('测算-天猫淘宝'!J$41)+SUM('测算-拼多多'!J$42)+SUM('测算-京东POP'!J$42)+SUM('测算-京东自营'!J$43)+SUM('测算-达播'!J$43)+SUM('测算-私域'!J$42)+SUM('测算-外部分销'!J$42)</f>
        <v>29.43701851606399</v>
      </c>
      <c r="J44" s="60">
        <f>SUM('测算-高个子抖音'!K$42)+SUM('测算-高个子视频号'!K$42)+SUM('测算-天猫淘宝'!K$41)+SUM('测算-拼多多'!K$42)+SUM('测算-京东POP'!K$42)+SUM('测算-京东自营'!K$43)+SUM('测算-达播'!K$43)+SUM('测算-私域'!K$42)+SUM('测算-外部分销'!K$42)</f>
        <v>35.846201721166963</v>
      </c>
      <c r="K44" s="60">
        <f>SUM('测算-高个子抖音'!L$42)+SUM('测算-高个子视频号'!L$42)+SUM('测算-天猫淘宝'!L$41)+SUM('测算-拼多多'!L$42)+SUM('测算-京东POP'!L$42)+SUM('测算-京东自营'!L$43)+SUM('测算-达播'!L$43)+SUM('测算-私域'!L$42)+SUM('测算-外部分销'!L$42)</f>
        <v>38.322002718433694</v>
      </c>
      <c r="L44" s="60">
        <f>SUM('测算-高个子抖音'!M$42)+SUM('测算-高个子视频号'!M$42)+SUM('测算-天猫淘宝'!M$41)+SUM('测算-拼多多'!M$42)+SUM('测算-京东POP'!M$42)+SUM('测算-京东自营'!M$43)+SUM('测算-达播'!M$43)+SUM('测算-私域'!M$42)+SUM('测算-外部分销'!M$42)</f>
        <v>43.272249124118716</v>
      </c>
      <c r="M44" s="60">
        <f>SUM('测算-高个子抖音'!N$42)+SUM('测算-高个子视频号'!N$42)+SUM('测算-天猫淘宝'!N$41)+SUM('测算-拼多多'!N$42)+SUM('测算-京东POP'!N$42)+SUM('测算-京东自营'!N$43)+SUM('测算-达播'!N$43)+SUM('测算-私域'!N$42)+SUM('测算-外部分销'!N$42)</f>
        <v>45.506153973838209</v>
      </c>
      <c r="N44" s="60">
        <f>SUM('测算-高个子抖音'!O$42)+SUM('测算-高个子视频号'!O$42)+SUM('测算-天猫淘宝'!O$41)+SUM('测算-拼多多'!O$42)+SUM('测算-京东POP'!O$42)+SUM('测算-京东自营'!O$43)+SUM('测算-达播'!O$43)+SUM('测算-私域'!O$42)+SUM('测算-外部分销'!O$42)</f>
        <v>48.672820640504874</v>
      </c>
      <c r="O44" s="60">
        <f>SUM('测算-高个子抖音'!P$42)+SUM('测算-高个子视频号'!P$42)+SUM('测算-天猫淘宝'!P$41)+SUM('测算-拼多多'!P$42)+SUM('测算-京东POP'!P$42)+SUM('测算-京东自营'!P$43)+SUM('测算-达播'!P$43)+SUM('测算-私域'!P$42)+SUM('测算-外部分销'!P$42)</f>
        <v>48.906153973838194</v>
      </c>
      <c r="P44" s="60">
        <f>SUM('测算-高个子抖音'!Q$42)+SUM('测算-高个子视频号'!Q$42)+SUM('测算-天猫淘宝'!Q$41)+SUM('测算-拼多多'!Q$42)+SUM('测算-京东POP'!Q$42)+SUM('测算-京东自营'!Q$43)+SUM('测算-达播'!Q$43)+SUM('测算-私域'!Q$42)+SUM('测算-外部分销'!Q$42)</f>
        <v>48.906153973838194</v>
      </c>
      <c r="Q44" s="60">
        <f>SUM('测算-高个子抖音'!R$42)+SUM('测算-高个子视频号'!R$42)+SUM('测算-天猫淘宝'!R$41)+SUM('测算-拼多多'!R$42)+SUM('测算-京东POP'!R$42)+SUM('测算-京东自营'!R$43)+SUM('测算-达播'!R$43)+SUM('测算-私域'!R$42)+SUM('测算-外部分销'!R$42)</f>
        <v>48.906153973838194</v>
      </c>
      <c r="R44" s="60">
        <f>SUM('测算-高个子抖音'!S$42)+SUM('测算-高个子视频号'!S$42)+SUM('测算-天猫淘宝'!S$41)+SUM('测算-拼多多'!S$42)+SUM('测算-京东POP'!S$42)+SUM('测算-京东自营'!S$43)+SUM('测算-达播'!S$43)+SUM('测算-私域'!S$42)+SUM('测算-外部分销'!S$42)</f>
        <v>48.906153973838187</v>
      </c>
      <c r="S44" s="60">
        <f>SUM('测算-高个子抖音'!T$42)+SUM('测算-高个子视频号'!T$42)+SUM('测算-天猫淘宝'!T$41)+SUM('测算-拼多多'!T$42)+SUM('测算-京东POP'!T$42)+SUM('测算-京东自营'!T$43)+SUM('测算-达播'!T$43)+SUM('测算-私域'!T$42)+SUM('测算-外部分销'!T$42)</f>
        <v>48.906153973838187</v>
      </c>
      <c r="T44" s="60"/>
      <c r="U44" s="60">
        <f>SUM('测算-高个子抖音'!V$42)+SUM('测算-高个子视频号'!V$42)+SUM('测算-天猫淘宝'!V$41)+SUM('测算-拼多多'!V$42)+SUM('测算-京东POP'!V$42)+SUM('测算-京东自营'!V$43)+SUM('测算-达播'!V$43)+SUM('测算-私域'!V$42)+SUM('测算-外部分销'!V$42)</f>
        <v>518.26482951475793</v>
      </c>
      <c r="V44" s="60">
        <f>SUM('测算-高个子抖音'!W$42)+SUM('测算-高个子视频号'!W$42)+SUM('测算-天猫淘宝'!W$41)+SUM('测算-拼多多'!W$42)+SUM('测算-京东POP'!W$42)+SUM('测算-京东自营'!W$43)+SUM('测算-达播'!W$43)+SUM('测算-私域'!W$42)+SUM('测算-外部分销'!W$42)</f>
        <v>293.2035905096958</v>
      </c>
    </row>
    <row r="45" spans="1:22" ht="16" customHeight="1">
      <c r="B45" s="59"/>
      <c r="C45" s="59"/>
      <c r="D45" s="59" t="s">
        <v>81</v>
      </c>
      <c r="E45" s="59" t="s">
        <v>56</v>
      </c>
      <c r="F45" s="59" t="s">
        <v>57</v>
      </c>
      <c r="G45" s="59"/>
      <c r="H45" s="60">
        <f>SUM('测算-高个子抖音'!I$43:I$44)+SUM('测算-高个子视频号'!I$43:I$44)+SUM('测算-天猫淘宝'!I$42:I$43)+SUM('测算-拼多多'!I$43:I$44)+SUM('测算-京东POP'!I$43:I$44)+SUM('测算-京东自营'!I$44:I$45)+SUM('测算-达播'!I$44:I$45)+SUM('测算-私域'!I$43:I$44)+SUM('测算-外部分销'!I$43:I$44)</f>
        <v>9.1486383339236035</v>
      </c>
      <c r="I45" s="60">
        <f>SUM('测算-高个子抖音'!J$43:J$44)+SUM('测算-高个子视频号'!J$43:J$44)+SUM('测算-天猫淘宝'!J$42:J$43)+SUM('测算-拼多多'!J$43:J$44)+SUM('测算-京东POP'!J$43:J$44)+SUM('测算-京东自营'!J$44:J$45)+SUM('测算-达播'!J$44:J$45)+SUM('测算-私域'!J$43:J$44)+SUM('测算-外部分销'!J$43:J$44)</f>
        <v>4.4095644921412109</v>
      </c>
      <c r="J45" s="60">
        <f>SUM('测算-高个子抖音'!K$43:K$44)+SUM('测算-高个子视频号'!K$43:K$44)+SUM('测算-天猫淘宝'!K$42:K$43)+SUM('测算-拼多多'!K$43:K$44)+SUM('测算-京东POP'!K$43:K$44)+SUM('测算-京东自营'!K$44:K$45)+SUM('测算-达播'!K$44:K$45)+SUM('测算-私域'!K$43:K$44)+SUM('测算-外部分销'!K$43:K$44)</f>
        <v>11.191173696661988</v>
      </c>
      <c r="K45" s="60">
        <f>SUM('测算-高个子抖音'!L$43:L$44)+SUM('测算-高个子视频号'!L$43:L$44)+SUM('测算-天猫淘宝'!L$42:L$43)+SUM('测算-拼多多'!L$43:L$44)+SUM('测算-京东POP'!L$43:L$44)+SUM('测算-京东自营'!L$44:L$45)+SUM('测算-达播'!L$44:L$45)+SUM('测算-私域'!L$43:L$44)+SUM('测算-外部分销'!L$43:L$44)</f>
        <v>6.8466085288889991</v>
      </c>
      <c r="L45" s="60">
        <f>SUM('测算-高个子抖音'!M$43:M$44)+SUM('测算-高个子视频号'!M$43:M$44)+SUM('测算-天猫淘宝'!M$42:M$43)+SUM('测算-拼多多'!M$43:M$44)+SUM('测算-京东POP'!M$43:M$44)+SUM('测算-京东自营'!M$44:M$45)+SUM('测算-达播'!M$44:M$45)+SUM('测算-私域'!M$43:M$44)+SUM('测算-外部分销'!M$43:M$44)</f>
        <v>7.2945434074572235</v>
      </c>
      <c r="M45" s="60">
        <f>SUM('测算-高个子抖音'!N$43:N$44)+SUM('测算-高个子视频号'!N$43:N$44)+SUM('测算-天猫淘宝'!N$42:N$43)+SUM('测算-拼多多'!N$43:N$44)+SUM('测算-京东POP'!N$43:N$44)+SUM('测算-京东自营'!N$44:N$45)+SUM('测算-达播'!N$44:N$45)+SUM('测算-私域'!N$43:N$44)+SUM('测算-外部分销'!N$43:N$44)</f>
        <v>7.3997577772340071</v>
      </c>
      <c r="N45" s="60">
        <f>SUM('测算-高个子抖音'!O$43:O$44)+SUM('测算-高个子视频号'!O$43:O$44)+SUM('测算-天猫淘宝'!O$42:O$43)+SUM('测算-拼多多'!O$43:O$44)+SUM('测算-京东POP'!O$43:O$44)+SUM('测算-京东自营'!O$44:O$45)+SUM('测算-达播'!O$44:O$45)+SUM('测算-私域'!O$43:O$44)+SUM('测算-外部分销'!O$43:O$44)</f>
        <v>6.0854688563211976</v>
      </c>
      <c r="O45" s="60">
        <f>SUM('测算-高个子抖音'!P$43:P$44)+SUM('测算-高个子视频号'!P$43:P$44)+SUM('测算-天猫淘宝'!P$42:P$43)+SUM('测算-拼多多'!P$43:P$44)+SUM('测算-京东POP'!P$43:P$44)+SUM('测算-京东自营'!P$44:P$45)+SUM('测算-达播'!P$44:P$45)+SUM('测算-私域'!P$43:P$44)+SUM('测算-外部分销'!P$43:P$44)</f>
        <v>8.0196673975982495</v>
      </c>
      <c r="P45" s="60">
        <f>SUM('测算-高个子抖音'!Q$43:Q$44)+SUM('测算-高个子视频号'!Q$43:Q$44)+SUM('测算-天猫淘宝'!Q$42:Q$43)+SUM('测算-拼多多'!Q$43:Q$44)+SUM('测算-京东POP'!Q$43:Q$44)+SUM('测算-京东自营'!Q$44:Q$45)+SUM('测算-达播'!Q$44:Q$45)+SUM('测算-私域'!Q$43:Q$44)+SUM('测算-外部分销'!Q$43:Q$44)</f>
        <v>9.9484770655125718</v>
      </c>
      <c r="Q45" s="60">
        <f>SUM('测算-高个子抖音'!R$43:R$44)+SUM('测算-高个子视频号'!R$43:R$44)+SUM('测算-天猫淘宝'!R$42:R$43)+SUM('测算-拼多多'!R$43:R$44)+SUM('测算-京东POP'!R$43:R$44)+SUM('测算-京东自营'!R$44:R$45)+SUM('测算-达播'!R$44:R$45)+SUM('测算-私域'!R$43:R$44)+SUM('测算-外部分销'!R$43:R$44)</f>
        <v>10.534992253638299</v>
      </c>
      <c r="R45" s="60">
        <f>SUM('测算-高个子抖音'!S$43:S$44)+SUM('测算-高个子视频号'!S$43:S$44)+SUM('测算-天猫淘宝'!S$42:S$43)+SUM('测算-拼多多'!S$43:S$44)+SUM('测算-京东POP'!S$43:S$44)+SUM('测算-京东自营'!S$44:S$45)+SUM('测算-达播'!S$44:S$45)+SUM('测算-私域'!S$43:S$44)+SUM('测算-外部分销'!S$43:S$44)</f>
        <v>12.786899730235499</v>
      </c>
      <c r="S45" s="60">
        <f>SUM('测算-高个子抖音'!T$43:T$44)+SUM('测算-高个子视频号'!T$43:T$44)+SUM('测算-天猫淘宝'!T$42:T$43)+SUM('测算-拼多多'!T$43:T$44)+SUM('测算-京东POP'!T$43:T$44)+SUM('测算-京东自营'!T$44:T$45)+SUM('测算-达播'!T$44:T$45)+SUM('测算-私域'!T$43:T$44)+SUM('测算-外部分销'!T$43:T$44)</f>
        <v>10.971182825756165</v>
      </c>
      <c r="T45" s="60"/>
      <c r="U45" s="60">
        <f>SUM('测算-高个子抖音'!V$43:V$44)+SUM('测算-高个子视频号'!V$43:V$44)+SUM('测算-天猫淘宝'!V$42:V$43)+SUM('测算-拼多多'!V$43:V$44)+SUM('测算-京东POP'!V$43:V$44)+SUM('测算-京东自营'!V$44:V$45)+SUM('测算-达播'!V$44:V$45)+SUM('测算-私域'!V$43:V$44)+SUM('测算-外部分销'!V$43:V$44)</f>
        <v>104.63697436536901</v>
      </c>
      <c r="V45" s="60">
        <f>SUM('测算-高个子抖音'!W$43:W$44)+SUM('测算-高个子视频号'!W$43:W$44)+SUM('测算-天猫淘宝'!W$42:W$43)+SUM('测算-拼多多'!W$43:W$44)+SUM('测算-京东POP'!W$43:W$44)+SUM('测算-京东自营'!W$44:W$45)+SUM('测算-达播'!W$44:W$45)+SUM('测算-私域'!W$43:W$44)+SUM('测算-外部分销'!W$43:W$44)</f>
        <v>58.346688129061981</v>
      </c>
    </row>
    <row r="46" spans="1:22" ht="16" customHeight="1">
      <c r="B46" s="59"/>
      <c r="C46" s="59"/>
      <c r="D46" s="59" t="s">
        <v>82</v>
      </c>
      <c r="E46" s="59" t="s">
        <v>56</v>
      </c>
      <c r="F46" s="59" t="s">
        <v>57</v>
      </c>
      <c r="G46" s="59"/>
      <c r="H46" s="60">
        <f>SUM('测算-高个子抖音'!I$45)+SUM('测算-高个子视频号'!I$45)+SUM('测算-天猫淘宝'!I$44)+SUM('测算-拼多多'!I$45)+SUM('测算-京东POP'!I$45)+SUM('测算-京东自营'!I$46)+SUM('测算-达播'!I$46)+SUM('测算-私域'!I$45)+SUM('测算-外部分销'!I$45)</f>
        <v>0</v>
      </c>
      <c r="I46" s="60">
        <f>SUM('测算-高个子抖音'!J$45)+SUM('测算-高个子视频号'!J$45)+SUM('测算-天猫淘宝'!J$44)+SUM('测算-拼多多'!J$45)+SUM('测算-京东POP'!J$45)+SUM('测算-京东自营'!J$46)+SUM('测算-达播'!J$46)+SUM('测算-私域'!J$45)+SUM('测算-外部分销'!J$45)</f>
        <v>0</v>
      </c>
      <c r="J46" s="60">
        <f>SUM('测算-高个子抖音'!K$45)+SUM('测算-高个子视频号'!K$45)+SUM('测算-天猫淘宝'!K$44)+SUM('测算-拼多多'!K$45)+SUM('测算-京东POP'!K$45)+SUM('测算-京东自营'!K$46)+SUM('测算-达播'!K$46)+SUM('测算-私域'!K$45)+SUM('测算-外部分销'!K$45)</f>
        <v>0</v>
      </c>
      <c r="K46" s="60">
        <f>SUM('测算-高个子抖音'!L$45)+SUM('测算-高个子视频号'!L$45)+SUM('测算-天猫淘宝'!L$44)+SUM('测算-拼多多'!L$45)+SUM('测算-京东POP'!L$45)+SUM('测算-京东自营'!L$46)+SUM('测算-达播'!L$46)+SUM('测算-私域'!L$45)+SUM('测算-外部分销'!L$45)</f>
        <v>0</v>
      </c>
      <c r="L46" s="60">
        <f>SUM('测算-高个子抖音'!M$45)+SUM('测算-高个子视频号'!M$45)+SUM('测算-天猫淘宝'!M$44)+SUM('测算-拼多多'!M$45)+SUM('测算-京东POP'!M$45)+SUM('测算-京东自营'!M$46)+SUM('测算-达播'!M$46)+SUM('测算-私域'!M$45)+SUM('测算-外部分销'!M$45)</f>
        <v>0</v>
      </c>
      <c r="M46" s="60">
        <f>SUM('测算-高个子抖音'!N$45)+SUM('测算-高个子视频号'!N$45)+SUM('测算-天猫淘宝'!N$44)+SUM('测算-拼多多'!N$45)+SUM('测算-京东POP'!N$45)+SUM('测算-京东自营'!N$46)+SUM('测算-达播'!N$46)+SUM('测算-私域'!N$45)+SUM('测算-外部分销'!N$45)</f>
        <v>0</v>
      </c>
      <c r="N46" s="60">
        <f>SUM('测算-高个子抖音'!O$45)+SUM('测算-高个子视频号'!O$45)+SUM('测算-天猫淘宝'!O$44)+SUM('测算-拼多多'!O$45)+SUM('测算-京东POP'!O$45)+SUM('测算-京东自营'!O$46)+SUM('测算-达播'!O$46)+SUM('测算-私域'!O$45)+SUM('测算-外部分销'!O$45)</f>
        <v>0.65003321565460148</v>
      </c>
      <c r="O46" s="60">
        <f>SUM('测算-高个子抖音'!P$45)+SUM('测算-高个子视频号'!P$45)+SUM('测算-天猫淘宝'!P$44)+SUM('测算-拼多多'!P$45)+SUM('测算-京东POP'!P$45)+SUM('测算-京东自营'!P$46)+SUM('测算-达播'!P$46)+SUM('测算-私域'!P$45)+SUM('测算-外部分销'!P$45)</f>
        <v>0.86938598801541367</v>
      </c>
      <c r="P46" s="60">
        <f>SUM('测算-高个子抖音'!Q$45)+SUM('测算-高个子视频号'!Q$45)+SUM('测算-天猫淘宝'!Q$44)+SUM('测算-拼多多'!Q$45)+SUM('测算-京东POP'!Q$45)+SUM('测算-京东自营'!Q$46)+SUM('测算-达播'!Q$46)+SUM('测算-私域'!Q$45)+SUM('测算-外部分销'!Q$45)</f>
        <v>1.0994388956133383</v>
      </c>
      <c r="Q46" s="60">
        <f>SUM('测算-高个子抖音'!R$45)+SUM('测算-高个子视频号'!R$45)+SUM('测算-天猫淘宝'!R$44)+SUM('测算-拼多多'!R$45)+SUM('测算-京东POP'!R$45)+SUM('测算-京东自营'!R$46)+SUM('测算-达播'!R$46)+SUM('测算-私域'!R$45)+SUM('测算-外部分销'!R$45)</f>
        <v>1.1890525282241584</v>
      </c>
      <c r="R46" s="60">
        <f>SUM('测算-高个子抖音'!S$45)+SUM('测算-高个子视频号'!S$45)+SUM('测算-天猫淘宝'!S$44)+SUM('测算-拼多多'!S$45)+SUM('测算-京东POP'!S$45)+SUM('测算-京东自营'!S$46)+SUM('测算-达播'!S$46)+SUM('测算-私域'!S$45)+SUM('测算-外部分销'!S$45)</f>
        <v>1.4445182570102262</v>
      </c>
      <c r="S46" s="60">
        <f>SUM('测算-高个子抖音'!T$45)+SUM('测算-高个子视频号'!T$45)+SUM('测算-天猫淘宝'!T$44)+SUM('测算-拼多多'!T$45)+SUM('测算-京东POP'!T$45)+SUM('测算-京东自营'!T$46)+SUM('测算-达播'!T$46)+SUM('测算-私域'!T$45)+SUM('测算-外部分销'!T$45)</f>
        <v>1.23051555226797</v>
      </c>
      <c r="T46" s="60"/>
      <c r="U46" s="60">
        <f>SUM('测算-高个子抖音'!V$45)+SUM('测算-高个子视频号'!V$45)+SUM('测算-天猫淘宝'!V$44)+SUM('测算-拼多多'!V$45)+SUM('测算-京东POP'!V$45)+SUM('测算-京东自营'!V$46)+SUM('测算-达播'!V$46)+SUM('测算-私域'!V$45)+SUM('测算-外部分销'!V$45)</f>
        <v>6.4829444367857079</v>
      </c>
      <c r="V46" s="60">
        <f>SUM('测算-高个子抖音'!W$45)+SUM('测算-高个子视频号'!W$45)+SUM('测算-天猫淘宝'!W$44)+SUM('测算-拼多多'!W$45)+SUM('测算-京东POP'!W$45)+SUM('测算-京东自营'!W$46)+SUM('测算-达播'!W$46)+SUM('测算-私域'!W$45)+SUM('测算-外部分销'!W$45)</f>
        <v>6.4829444367857079</v>
      </c>
    </row>
    <row r="47" spans="1:22" ht="16" customHeight="1">
      <c r="A47" s="47"/>
      <c r="B47" s="56" t="s">
        <v>84</v>
      </c>
      <c r="C47" s="56"/>
      <c r="D47" s="56"/>
      <c r="E47" s="56" t="s">
        <v>418</v>
      </c>
      <c r="F47" s="56" t="s">
        <v>50</v>
      </c>
      <c r="G47" s="332"/>
      <c r="H47" s="57">
        <f t="shared" ref="H47:S47" si="12">H9-H18</f>
        <v>192.34846132595811</v>
      </c>
      <c r="I47" s="57">
        <f t="shared" si="12"/>
        <v>111.7816832898888</v>
      </c>
      <c r="J47" s="57">
        <f t="shared" si="12"/>
        <v>-86.347656047296596</v>
      </c>
      <c r="K47" s="57">
        <f t="shared" si="12"/>
        <v>178.03117521378641</v>
      </c>
      <c r="L47" s="57">
        <f t="shared" si="12"/>
        <v>187.97912861344082</v>
      </c>
      <c r="M47" s="57">
        <f t="shared" si="12"/>
        <v>131.41367490189134</v>
      </c>
      <c r="N47" s="57">
        <f t="shared" si="12"/>
        <v>46.698390536619058</v>
      </c>
      <c r="O47" s="57">
        <f t="shared" si="12"/>
        <v>71.169848375613128</v>
      </c>
      <c r="P47" s="57">
        <f t="shared" si="12"/>
        <v>99.139953051359157</v>
      </c>
      <c r="Q47" s="57">
        <f t="shared" si="12"/>
        <v>110.59508732972665</v>
      </c>
      <c r="R47" s="57">
        <f t="shared" si="12"/>
        <v>143.80861582697673</v>
      </c>
      <c r="S47" s="57">
        <f t="shared" si="12"/>
        <v>116.04959948762769</v>
      </c>
      <c r="T47" s="330"/>
      <c r="U47" s="57">
        <f>SUM(H47:S47)</f>
        <v>1302.6679619055913</v>
      </c>
      <c r="V47" s="57">
        <f>SUM(N47:S47)</f>
        <v>587.46149460792242</v>
      </c>
    </row>
    <row r="48" spans="1:22" ht="16" customHeight="1">
      <c r="A48" s="47"/>
      <c r="B48" s="48" t="s">
        <v>85</v>
      </c>
      <c r="C48" s="48"/>
      <c r="D48" s="48"/>
      <c r="E48" s="48" t="s">
        <v>86</v>
      </c>
      <c r="F48" s="48" t="s">
        <v>53</v>
      </c>
      <c r="G48" s="47"/>
      <c r="H48" s="49">
        <f t="shared" ref="H48:S48" si="13">SUM(H50:H53)</f>
        <v>34.597010095459758</v>
      </c>
      <c r="I48" s="49">
        <f t="shared" si="13"/>
        <v>29.895113461900383</v>
      </c>
      <c r="J48" s="49">
        <f t="shared" si="13"/>
        <v>32.620715705373705</v>
      </c>
      <c r="K48" s="49">
        <f t="shared" si="13"/>
        <v>37.711028838462177</v>
      </c>
      <c r="L48" s="49">
        <f t="shared" si="13"/>
        <v>40.027496246035497</v>
      </c>
      <c r="M48" s="49">
        <f t="shared" si="13"/>
        <v>37.205519660616893</v>
      </c>
      <c r="N48" s="49">
        <f t="shared" si="13"/>
        <v>31.889738578672684</v>
      </c>
      <c r="O48" s="49">
        <f t="shared" si="13"/>
        <v>34.784908132545979</v>
      </c>
      <c r="P48" s="49">
        <f t="shared" si="13"/>
        <v>37.815103292705778</v>
      </c>
      <c r="Q48" s="49">
        <f t="shared" si="13"/>
        <v>38.976284151605242</v>
      </c>
      <c r="R48" s="49">
        <f t="shared" si="13"/>
        <v>42.416180032945476</v>
      </c>
      <c r="S48" s="49">
        <f t="shared" si="13"/>
        <v>39.548731407215428</v>
      </c>
      <c r="T48" s="62"/>
      <c r="U48" s="49">
        <f>SUM(H48:S48)</f>
        <v>437.48782960353896</v>
      </c>
      <c r="V48" s="49">
        <f>SUM(N48:S48)</f>
        <v>225.43094559569056</v>
      </c>
    </row>
    <row r="49" spans="1:22" ht="16" customHeight="1">
      <c r="A49" s="47"/>
      <c r="B49" s="47"/>
      <c r="C49" s="61" t="s">
        <v>79</v>
      </c>
      <c r="D49" s="47"/>
      <c r="E49" s="47"/>
      <c r="F49" s="47"/>
      <c r="G49" s="47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</row>
    <row r="50" spans="1:22" ht="16" customHeight="1">
      <c r="B50" s="59"/>
      <c r="C50" s="59"/>
      <c r="D50" s="59" t="s">
        <v>80</v>
      </c>
      <c r="E50" s="59" t="s">
        <v>419</v>
      </c>
      <c r="F50" s="59" t="s">
        <v>23</v>
      </c>
      <c r="G50" s="59"/>
      <c r="H50" s="60">
        <f>'测算-整体经营'!I$24</f>
        <v>21.070903996495101</v>
      </c>
      <c r="I50" s="60">
        <f>'测算-整体经营'!J$24</f>
        <v>21.3107790612139</v>
      </c>
      <c r="J50" s="60">
        <f>'测算-整体经营'!K$24</f>
        <v>22.4977680053737</v>
      </c>
      <c r="K50" s="60">
        <f>'测算-整体经营'!L$24</f>
        <v>24.4276477788374</v>
      </c>
      <c r="L50" s="60">
        <f>'测算-整体经营'!M$24</f>
        <v>24.677211704044201</v>
      </c>
      <c r="M50" s="60">
        <f>'测算-整体经营'!N$24</f>
        <v>23.144494704925499</v>
      </c>
      <c r="N50" s="60">
        <f>'测算-整体经营'!O$24</f>
        <v>23.144494704925499</v>
      </c>
      <c r="O50" s="60">
        <f>'测算-整体经营'!P$24</f>
        <v>23.144494704925499</v>
      </c>
      <c r="P50" s="60">
        <f>'测算-整体经营'!Q$24</f>
        <v>23.144494704925499</v>
      </c>
      <c r="Q50" s="60">
        <f>'测算-整体经营'!R$24</f>
        <v>23.144494704925499</v>
      </c>
      <c r="R50" s="60">
        <f>'测算-整体经营'!S$24</f>
        <v>23.144494704925499</v>
      </c>
      <c r="S50" s="60">
        <f>'测算-整体经营'!T$24</f>
        <v>23.144494704925499</v>
      </c>
      <c r="T50" s="60"/>
      <c r="U50" s="60">
        <f>SUM(H50:S50)</f>
        <v>275.99577348044284</v>
      </c>
      <c r="V50" s="60">
        <f>SUM(N50:S50)</f>
        <v>138.86696822955301</v>
      </c>
    </row>
    <row r="51" spans="1:22" ht="16" customHeight="1">
      <c r="B51" s="59"/>
      <c r="C51" s="59"/>
      <c r="D51" s="59" t="s">
        <v>87</v>
      </c>
      <c r="E51" s="59" t="s">
        <v>420</v>
      </c>
      <c r="F51" s="59" t="s">
        <v>23</v>
      </c>
      <c r="G51" s="59"/>
      <c r="H51" s="60">
        <f>'测算-整体经营'!I$25</f>
        <v>2.5607028189646566</v>
      </c>
      <c r="I51" s="60">
        <f>'测算-整体经营'!J$25</f>
        <v>1.9347383006864827</v>
      </c>
      <c r="J51" s="60">
        <f>'测算-整体经营'!K$25</f>
        <v>0</v>
      </c>
      <c r="K51" s="60">
        <f>'测算-整体经营'!L$25</f>
        <v>3.5048835496247746</v>
      </c>
      <c r="L51" s="60">
        <f>'测算-整体经营'!M$25</f>
        <v>3.169252711991299</v>
      </c>
      <c r="M51" s="60">
        <f>'测算-整体经营'!N$25</f>
        <v>1.6551192434007169</v>
      </c>
      <c r="N51" s="60">
        <f>'测算-整体经营'!O$25</f>
        <v>0.82680494948351402</v>
      </c>
      <c r="O51" s="60">
        <f>'测算-整体经营'!P$25</f>
        <v>1.18441942500446</v>
      </c>
      <c r="P51" s="60">
        <f>'测算-整体经营'!Q$25</f>
        <v>1.5594785090874024</v>
      </c>
      <c r="Q51" s="60">
        <f>'测算-整体经营'!R$25</f>
        <v>1.705577105794132</v>
      </c>
      <c r="R51" s="60">
        <f>'测算-整体经营'!S$25</f>
        <v>2.1220671352118154</v>
      </c>
      <c r="S51" s="60">
        <f>'测算-整体经营'!T$25</f>
        <v>1.773174963971869</v>
      </c>
      <c r="T51" s="60"/>
      <c r="U51" s="60">
        <f>SUM(H51:S51)</f>
        <v>21.996218713221122</v>
      </c>
      <c r="V51" s="60">
        <f>SUM(N51:S51)</f>
        <v>9.1715220885531927</v>
      </c>
    </row>
    <row r="52" spans="1:22" ht="16" customHeight="1">
      <c r="B52" s="59"/>
      <c r="C52" s="61" t="s">
        <v>88</v>
      </c>
      <c r="D52" s="59"/>
      <c r="E52" s="59"/>
      <c r="F52" s="59"/>
      <c r="G52" s="59"/>
    </row>
    <row r="53" spans="1:22" ht="16" customHeight="1">
      <c r="B53" s="59"/>
      <c r="C53" s="59"/>
      <c r="D53" s="59" t="s">
        <v>82</v>
      </c>
      <c r="E53" s="59" t="s">
        <v>421</v>
      </c>
      <c r="F53" s="59" t="s">
        <v>23</v>
      </c>
      <c r="G53" s="59"/>
      <c r="H53" s="60">
        <f>'测算-整体经营'!I$26</f>
        <v>10.965403279999999</v>
      </c>
      <c r="I53" s="60">
        <f>'测算-整体经营'!J$26</f>
        <v>6.6495961000000001</v>
      </c>
      <c r="J53" s="60">
        <f>'测算-整体经营'!K$26</f>
        <v>10.122947700000003</v>
      </c>
      <c r="K53" s="60">
        <f>'测算-整体经营'!L$26</f>
        <v>9.7784975099999993</v>
      </c>
      <c r="L53" s="60">
        <f>'测算-整体经营'!M$26</f>
        <v>12.181031830000002</v>
      </c>
      <c r="M53" s="60">
        <f>'测算-整体经营'!N$26</f>
        <v>12.40590571229068</v>
      </c>
      <c r="N53" s="60">
        <f>'测算-整体经营'!O$26</f>
        <v>7.9184389242636728</v>
      </c>
      <c r="O53" s="60">
        <f>'测算-整体经营'!P$26</f>
        <v>10.455994002616023</v>
      </c>
      <c r="P53" s="60">
        <f>'测算-整体经营'!Q$26</f>
        <v>13.111130078692877</v>
      </c>
      <c r="Q53" s="60">
        <f>'测算-整体经营'!R$26</f>
        <v>14.126212340885612</v>
      </c>
      <c r="R53" s="60">
        <f>'测算-整体经营'!S$26</f>
        <v>17.149618192808163</v>
      </c>
      <c r="S53" s="60">
        <f>'测算-整体经营'!T$26</f>
        <v>14.63106173831806</v>
      </c>
      <c r="T53" s="60"/>
      <c r="U53" s="60">
        <f>SUM(H53:S53)</f>
        <v>139.49583740987509</v>
      </c>
      <c r="V53" s="60">
        <f>SUM(N53:S53)</f>
        <v>77.392455277584418</v>
      </c>
    </row>
    <row r="54" spans="1:22" ht="16" customHeight="1">
      <c r="A54" s="47"/>
      <c r="B54" s="52" t="s">
        <v>89</v>
      </c>
      <c r="C54" s="52"/>
      <c r="D54" s="52"/>
      <c r="E54" s="52" t="s">
        <v>422</v>
      </c>
      <c r="F54" s="52" t="s">
        <v>50</v>
      </c>
      <c r="G54" s="47"/>
      <c r="H54" s="58">
        <f t="shared" ref="H54:S54" si="14">IFERROR(H48/H7,0)</f>
        <v>3.1551060377835699E-2</v>
      </c>
      <c r="I54" s="58">
        <f t="shared" si="14"/>
        <v>4.4957788431541558E-2</v>
      </c>
      <c r="J54" s="58">
        <f t="shared" si="14"/>
        <v>3.2224522611505442E-2</v>
      </c>
      <c r="K54" s="58">
        <f t="shared" si="14"/>
        <v>3.8565258926432124E-2</v>
      </c>
      <c r="L54" s="58">
        <f t="shared" si="14"/>
        <v>3.2860513628618845E-2</v>
      </c>
      <c r="M54" s="58">
        <f t="shared" si="14"/>
        <v>2.9990168008255089E-2</v>
      </c>
      <c r="N54" s="58">
        <f t="shared" si="14"/>
        <v>4.0272759420996708E-2</v>
      </c>
      <c r="O54" s="58">
        <f t="shared" si="14"/>
        <v>3.3267911328031571E-2</v>
      </c>
      <c r="P54" s="58">
        <f t="shared" si="14"/>
        <v>2.8841986209990969E-2</v>
      </c>
      <c r="Q54" s="58">
        <f t="shared" si="14"/>
        <v>2.7591461328098449E-2</v>
      </c>
      <c r="R54" s="58">
        <f t="shared" si="14"/>
        <v>2.4733017117974706E-2</v>
      </c>
      <c r="S54" s="58">
        <f t="shared" si="14"/>
        <v>2.7030664017799313E-2</v>
      </c>
      <c r="T54" s="331"/>
      <c r="U54" s="58">
        <f>IFERROR(U48/U7,0)</f>
        <v>3.1362070562585019E-2</v>
      </c>
      <c r="V54" s="58">
        <f>IFERROR(V48/V7,0)</f>
        <v>2.912828450617503E-2</v>
      </c>
    </row>
    <row r="55" spans="1:22" ht="16" customHeight="1">
      <c r="A55" s="47"/>
      <c r="B55" s="48" t="s">
        <v>90</v>
      </c>
      <c r="C55" s="48"/>
      <c r="D55" s="48"/>
      <c r="E55" s="48" t="s">
        <v>91</v>
      </c>
      <c r="F55" s="48" t="s">
        <v>23</v>
      </c>
      <c r="G55" s="47"/>
      <c r="H55" s="49">
        <f>SUM(H56:H57)</f>
        <v>10.86240383084184</v>
      </c>
      <c r="I55" s="49">
        <f t="shared" ref="I55:S55" si="15">SUM(I56:I57)</f>
        <v>20.750060702045602</v>
      </c>
      <c r="J55" s="49">
        <f t="shared" si="15"/>
        <v>7.1096058098099721</v>
      </c>
      <c r="K55" s="49">
        <f t="shared" si="15"/>
        <v>7.1197430777347899</v>
      </c>
      <c r="L55" s="49">
        <f t="shared" si="15"/>
        <v>9.4384265455247895</v>
      </c>
      <c r="M55" s="49">
        <f t="shared" si="15"/>
        <v>20.875965515659761</v>
      </c>
      <c r="N55" s="49">
        <f t="shared" si="15"/>
        <v>10.568476935984382</v>
      </c>
      <c r="O55" s="49">
        <f t="shared" si="15"/>
        <v>14.107892109649896</v>
      </c>
      <c r="P55" s="49">
        <f t="shared" si="15"/>
        <v>17.818721246664943</v>
      </c>
      <c r="Q55" s="49">
        <f t="shared" si="15"/>
        <v>19.260381470967324</v>
      </c>
      <c r="R55" s="49">
        <f t="shared" si="15"/>
        <v>23.396121752187522</v>
      </c>
      <c r="S55" s="49">
        <f t="shared" si="15"/>
        <v>19.934455185196772</v>
      </c>
      <c r="T55" s="62"/>
      <c r="U55" s="49">
        <f t="shared" ref="U55:U63" si="16">SUM(H55:S55)</f>
        <v>181.2422541822676</v>
      </c>
      <c r="V55" s="49">
        <f t="shared" ref="V55:V63" si="17">SUM(N55:S55)</f>
        <v>105.08604870065084</v>
      </c>
    </row>
    <row r="56" spans="1:22" ht="16" customHeight="1">
      <c r="A56" s="357"/>
      <c r="B56" s="357"/>
      <c r="C56" s="357"/>
      <c r="D56" s="357" t="s">
        <v>901</v>
      </c>
      <c r="E56" s="357"/>
      <c r="F56" s="357"/>
      <c r="G56" s="357"/>
      <c r="H56" s="358">
        <f>SUMIFS('辅助-汇总损益长表'!$C$2:$C$242,'辅助-汇总损益长表'!$A$2:$A$242,"财务费用",'辅助-汇总损益长表'!$B$2:$B$242,H$6)</f>
        <v>2.1930806559999998</v>
      </c>
      <c r="I56" s="358">
        <f>SUMIFS('辅助-汇总损益长表'!$C$2:$C$242,'辅助-汇总损益长表'!$A$2:$A$242,"财务费用",'辅助-汇总损益长表'!$B$2:$B$242,I$6)</f>
        <v>1.3299192200000001</v>
      </c>
      <c r="J56" s="358">
        <f>SUMIFS('辅助-汇总损益长表'!$C$2:$C$242,'辅助-汇总损益长表'!$A$2:$A$242,"财务费用",'辅助-汇总损益长表'!$B$2:$B$242,J$6)</f>
        <v>2.0245895400000005</v>
      </c>
      <c r="K56" s="358">
        <f>SUMIFS('辅助-汇总损益长表'!$C$2:$C$242,'辅助-汇总损益长表'!$A$2:$A$242,"财务费用",'辅助-汇总损益长表'!$B$2:$B$242,K$6)</f>
        <v>1.9556995020000001</v>
      </c>
      <c r="L56" s="358">
        <f>SUMIFS('辅助-汇总损益长表'!$C$2:$C$242,'辅助-汇总损益长表'!$A$2:$A$242,"财务费用",'辅助-汇总损益长表'!$B$2:$B$242,L$6)</f>
        <v>2.4362063660000004</v>
      </c>
      <c r="M56" s="358">
        <f>SUMIFS('辅助-汇总损益长表'!$C$2:$C$242,'辅助-汇总损益长表'!$A$2:$A$242,"财务费用",'辅助-汇总损益长表'!$B$2:$B$242,M$6)</f>
        <v>2.4811811424581363</v>
      </c>
      <c r="N56" s="358">
        <f>SUMIFS('辅助-汇总损益长表'!$C$2:$C$242,'辅助-汇总损益长表'!$A$2:$A$242,"财务费用",'辅助-汇总损益长表'!$B$2:$B$242,N$6)</f>
        <v>1.5836877848527344</v>
      </c>
      <c r="O56" s="358">
        <f>SUMIFS('辅助-汇总损益长表'!$C$2:$C$242,'辅助-汇总损益长表'!$A$2:$A$242,"财务费用",'辅助-汇总损益长表'!$B$2:$B$242,O$6)</f>
        <v>2.0911988005232045</v>
      </c>
      <c r="P56" s="358">
        <f>SUMIFS('辅助-汇总损益长表'!$C$2:$C$242,'辅助-汇总损益长表'!$A$2:$A$242,"财务费用",'辅助-汇总损益长表'!$B$2:$B$242,P$6)</f>
        <v>2.6222260157385753</v>
      </c>
      <c r="Q56" s="358">
        <f>SUMIFS('辅助-汇总损益长表'!$C$2:$C$242,'辅助-汇总损益长表'!$A$2:$A$242,"财务费用",'辅助-汇总损益长表'!$B$2:$B$242,Q$6)</f>
        <v>2.8252424681771222</v>
      </c>
      <c r="R56" s="358">
        <f>SUMIFS('辅助-汇总损益长表'!$C$2:$C$242,'辅助-汇总损益长表'!$A$2:$A$242,"财务费用",'辅助-汇总损益长表'!$B$2:$B$242,R$6)</f>
        <v>3.429923638561633</v>
      </c>
      <c r="S56" s="358">
        <f>SUMIFS('辅助-汇总损益长表'!$C$2:$C$242,'辅助-汇总损益长表'!$A$2:$A$242,"财务费用",'辅助-汇总损益长表'!$B$2:$B$242,S$6)</f>
        <v>2.9262123476636122</v>
      </c>
      <c r="T56" s="358"/>
      <c r="U56" s="358">
        <f t="shared" ref="U56:U57" si="18">SUM(H56:S56)</f>
        <v>27.89916748197502</v>
      </c>
      <c r="V56" s="358">
        <f t="shared" ref="V56:V57" si="19">SUM(N56:S56)</f>
        <v>15.47849105551688</v>
      </c>
    </row>
    <row r="57" spans="1:22" ht="16" customHeight="1">
      <c r="A57" s="357"/>
      <c r="B57" s="357"/>
      <c r="C57" s="357"/>
      <c r="D57" s="357" t="s">
        <v>902</v>
      </c>
      <c r="E57" s="357"/>
      <c r="F57" s="357"/>
      <c r="G57" s="357"/>
      <c r="H57" s="60">
        <f>SUM('测算-京东自营'!I$41)</f>
        <v>8.6693231748418409</v>
      </c>
      <c r="I57" s="60">
        <f>SUM('测算-京东自营'!J$41)</f>
        <v>19.420141482045601</v>
      </c>
      <c r="J57" s="60">
        <f>SUM('测算-京东自营'!K$41)</f>
        <v>5.0850162698099712</v>
      </c>
      <c r="K57" s="60">
        <f>SUM('测算-京东自营'!L$41)</f>
        <v>5.16404357573479</v>
      </c>
      <c r="L57" s="60">
        <f>SUM('测算-京东自营'!M$41)</f>
        <v>7.0022201795247891</v>
      </c>
      <c r="M57" s="60">
        <f>SUM('测算-京东自营'!N$41)</f>
        <v>18.394784373201624</v>
      </c>
      <c r="N57" s="60">
        <f>SUM('测算-京东自营'!O$41)</f>
        <v>8.9847891511316469</v>
      </c>
      <c r="O57" s="60">
        <f>SUM('测算-京东自营'!P$41)</f>
        <v>12.016693309126692</v>
      </c>
      <c r="P57" s="60">
        <f>SUM('测算-京东自营'!Q$41)</f>
        <v>15.196495230926368</v>
      </c>
      <c r="Q57" s="60">
        <f>SUM('测算-京东自营'!R$41)</f>
        <v>16.435139002790201</v>
      </c>
      <c r="R57" s="60">
        <f>SUM('测算-京东自营'!S$41)</f>
        <v>19.966198113625889</v>
      </c>
      <c r="S57" s="60">
        <f>SUM('测算-京东自营'!T$41)</f>
        <v>17.00824283753316</v>
      </c>
      <c r="T57" s="60"/>
      <c r="U57" s="358">
        <f t="shared" si="18"/>
        <v>153.34308670029259</v>
      </c>
      <c r="V57" s="358">
        <f t="shared" si="19"/>
        <v>89.607557645133951</v>
      </c>
    </row>
    <row r="58" spans="1:22" ht="16" customHeight="1">
      <c r="A58" s="47"/>
      <c r="B58" s="48" t="s">
        <v>92</v>
      </c>
      <c r="C58" s="48"/>
      <c r="D58" s="48"/>
      <c r="E58" s="48" t="s">
        <v>91</v>
      </c>
      <c r="F58" s="48" t="s">
        <v>23</v>
      </c>
      <c r="G58" s="47"/>
      <c r="H58" s="49">
        <f>SUMIFS('辅助-汇总损益长表'!$C$2:$C$242,'辅助-汇总损益长表'!$A$2:$A$242,"税金及附加",'辅助-汇总损益长表'!$B$2:$B$242,H$6)</f>
        <v>3.2896209839999995</v>
      </c>
      <c r="I58" s="49">
        <f>SUMIFS('辅助-汇总损益长表'!$C$2:$C$242,'辅助-汇总损益长表'!$A$2:$A$242,"税金及附加",'辅助-汇总损益长表'!$B$2:$B$242,I$6)</f>
        <v>1.99487883</v>
      </c>
      <c r="J58" s="49">
        <f>SUMIFS('辅助-汇总损益长表'!$C$2:$C$242,'辅助-汇总损益长表'!$A$2:$A$242,"税金及附加",'辅助-汇总损益长表'!$B$2:$B$242,J$6)</f>
        <v>3.0368843100000005</v>
      </c>
      <c r="K58" s="49">
        <f>SUMIFS('辅助-汇总损益长表'!$C$2:$C$242,'辅助-汇总损益长表'!$A$2:$A$242,"税金及附加",'辅助-汇总损益长表'!$B$2:$B$242,K$6)</f>
        <v>2.9335492529999998</v>
      </c>
      <c r="L58" s="49">
        <f>SUMIFS('辅助-汇总损益长表'!$C$2:$C$242,'辅助-汇总损益长表'!$A$2:$A$242,"税金及附加",'辅助-汇总损益长表'!$B$2:$B$242,L$6)</f>
        <v>3.6543095490000006</v>
      </c>
      <c r="M58" s="49">
        <f>SUMIFS('辅助-汇总损益长表'!$C$2:$C$242,'辅助-汇总损益长表'!$A$2:$A$242,"税金及附加",'辅助-汇总损益长表'!$B$2:$B$242,M$6)</f>
        <v>3.7217717136872039</v>
      </c>
      <c r="N58" s="49">
        <f>SUMIFS('辅助-汇总损益长表'!$C$2:$C$242,'辅助-汇总损益长表'!$A$2:$A$242,"税金及附加",'辅助-汇总损益长表'!$B$2:$B$242,N$6)</f>
        <v>2.3755316772791017</v>
      </c>
      <c r="O58" s="49">
        <f>SUMIFS('辅助-汇总损益长表'!$C$2:$C$242,'辅助-汇总损益长表'!$A$2:$A$242,"税金及附加",'辅助-汇总损益长表'!$B$2:$B$242,O$6)</f>
        <v>3.1367982007848072</v>
      </c>
      <c r="P58" s="49">
        <f>SUMIFS('辅助-汇总损益长表'!$C$2:$C$242,'辅助-汇总损益长表'!$A$2:$A$242,"税金及附加",'辅助-汇总损益长表'!$B$2:$B$242,P$6)</f>
        <v>3.9333390236078629</v>
      </c>
      <c r="Q58" s="49">
        <f>SUMIFS('辅助-汇总损益长表'!$C$2:$C$242,'辅助-汇总损益长表'!$A$2:$A$242,"税金及附加",'辅助-汇总损益长表'!$B$2:$B$242,Q$6)</f>
        <v>4.2378637022656838</v>
      </c>
      <c r="R58" s="49">
        <f>SUMIFS('辅助-汇总损益长表'!$C$2:$C$242,'辅助-汇总损益长表'!$A$2:$A$242,"税金及附加",'辅助-汇总损益长表'!$B$2:$B$242,R$6)</f>
        <v>5.1448854578424497</v>
      </c>
      <c r="S58" s="49">
        <f>SUMIFS('辅助-汇总损益长表'!$C$2:$C$242,'辅助-汇总损益长表'!$A$2:$A$242,"税金及附加",'辅助-汇总损益长表'!$B$2:$B$242,S$6)</f>
        <v>4.3893185214954178</v>
      </c>
      <c r="T58" s="62"/>
      <c r="U58" s="49">
        <f t="shared" si="16"/>
        <v>41.848751222962527</v>
      </c>
      <c r="V58" s="49">
        <f t="shared" si="17"/>
        <v>23.217736583275322</v>
      </c>
    </row>
    <row r="59" spans="1:22" ht="16" customHeight="1">
      <c r="A59" s="47"/>
      <c r="B59" s="48" t="s">
        <v>93</v>
      </c>
      <c r="C59" s="48"/>
      <c r="D59" s="48"/>
      <c r="E59" s="48" t="s">
        <v>94</v>
      </c>
      <c r="F59" s="48" t="s">
        <v>23</v>
      </c>
      <c r="G59" s="47"/>
      <c r="H59" s="49">
        <f>SUMIFS('辅助-汇总损益长表'!$C$2:$C$242,'辅助-汇总损益长表'!$A$2:$A$242,"折旧摊销",'辅助-汇总损益长表'!$B$2:$B$242,H$6)</f>
        <v>0</v>
      </c>
      <c r="I59" s="49">
        <f>SUMIFS('辅助-汇总损益长表'!$C$2:$C$242,'辅助-汇总损益长表'!$A$2:$A$242,"折旧摊销",'辅助-汇总损益长表'!$B$2:$B$242,I$6)</f>
        <v>0</v>
      </c>
      <c r="J59" s="49">
        <f>SUMIFS('辅助-汇总损益长表'!$C$2:$C$242,'辅助-汇总损益长表'!$A$2:$A$242,"折旧摊销",'辅助-汇总损益长表'!$B$2:$B$242,J$6)</f>
        <v>0</v>
      </c>
      <c r="K59" s="49">
        <f>SUMIFS('辅助-汇总损益长表'!$C$2:$C$242,'辅助-汇总损益长表'!$A$2:$A$242,"折旧摊销",'辅助-汇总损益长表'!$B$2:$B$242,K$6)</f>
        <v>0</v>
      </c>
      <c r="L59" s="49">
        <f>SUMIFS('辅助-汇总损益长表'!$C$2:$C$242,'辅助-汇总损益长表'!$A$2:$A$242,"折旧摊销",'辅助-汇总损益长表'!$B$2:$B$242,L$6)</f>
        <v>0</v>
      </c>
      <c r="M59" s="49">
        <f>SUMIFS('辅助-汇总损益长表'!$C$2:$C$242,'辅助-汇总损益长表'!$A$2:$A$242,"折旧摊销",'辅助-汇总损益长表'!$B$2:$B$242,M$6)</f>
        <v>0</v>
      </c>
      <c r="N59" s="49">
        <f>SUMIFS('辅助-汇总损益长表'!$C$2:$C$242,'辅助-汇总损益长表'!$A$2:$A$242,"折旧摊销",'辅助-汇总损益长表'!$B$2:$B$242,N$6)</f>
        <v>0</v>
      </c>
      <c r="O59" s="49">
        <f>SUMIFS('辅助-汇总损益长表'!$C$2:$C$242,'辅助-汇总损益长表'!$A$2:$A$242,"折旧摊销",'辅助-汇总损益长表'!$B$2:$B$242,O$6)</f>
        <v>0</v>
      </c>
      <c r="P59" s="49">
        <f>SUMIFS('辅助-汇总损益长表'!$C$2:$C$242,'辅助-汇总损益长表'!$A$2:$A$242,"折旧摊销",'辅助-汇总损益长表'!$B$2:$B$242,P$6)</f>
        <v>0</v>
      </c>
      <c r="Q59" s="49">
        <f>SUMIFS('辅助-汇总损益长表'!$C$2:$C$242,'辅助-汇总损益长表'!$A$2:$A$242,"折旧摊销",'辅助-汇总损益长表'!$B$2:$B$242,Q$6)</f>
        <v>0</v>
      </c>
      <c r="R59" s="49">
        <f>SUMIFS('辅助-汇总损益长表'!$C$2:$C$242,'辅助-汇总损益长表'!$A$2:$A$242,"折旧摊销",'辅助-汇总损益长表'!$B$2:$B$242,R$6)</f>
        <v>0</v>
      </c>
      <c r="S59" s="49">
        <f>SUMIFS('辅助-汇总损益长表'!$C$2:$C$242,'辅助-汇总损益长表'!$A$2:$A$242,"折旧摊销",'辅助-汇总损益长表'!$B$2:$B$242,S$6)</f>
        <v>0</v>
      </c>
      <c r="T59" s="62"/>
      <c r="U59" s="49">
        <f t="shared" si="16"/>
        <v>0</v>
      </c>
      <c r="V59" s="49">
        <f t="shared" si="17"/>
        <v>0</v>
      </c>
    </row>
    <row r="60" spans="1:22" ht="16" customHeight="1">
      <c r="A60" s="47"/>
      <c r="B60" s="56" t="s">
        <v>95</v>
      </c>
      <c r="C60" s="56"/>
      <c r="D60" s="56"/>
      <c r="E60" s="56" t="s">
        <v>423</v>
      </c>
      <c r="F60" s="56" t="s">
        <v>50</v>
      </c>
      <c r="G60" s="332"/>
      <c r="H60" s="57">
        <f t="shared" ref="H60:S60" si="20">H47+H11+H14-H48-H55-H58-H59</f>
        <v>186.95012266294975</v>
      </c>
      <c r="I60" s="57">
        <f t="shared" si="20"/>
        <v>138.84866450615314</v>
      </c>
      <c r="J60" s="57">
        <f t="shared" si="20"/>
        <v>-33.692127366772411</v>
      </c>
      <c r="K60" s="57">
        <f t="shared" si="20"/>
        <v>252.89642185053486</v>
      </c>
      <c r="L60" s="57">
        <f t="shared" si="20"/>
        <v>273.94814770729732</v>
      </c>
      <c r="M60" s="57">
        <f t="shared" si="20"/>
        <v>194.23482085722532</v>
      </c>
      <c r="N60" s="57">
        <f t="shared" si="20"/>
        <v>80.496987739683689</v>
      </c>
      <c r="O60" s="57">
        <f t="shared" si="20"/>
        <v>82.772037028058278</v>
      </c>
      <c r="P60" s="57">
        <f t="shared" si="20"/>
        <v>119.82980422254928</v>
      </c>
      <c r="Q60" s="57">
        <f t="shared" si="20"/>
        <v>132.86037276561606</v>
      </c>
      <c r="R60" s="57">
        <f t="shared" si="20"/>
        <v>170.71517271257574</v>
      </c>
      <c r="S60" s="57">
        <f t="shared" si="20"/>
        <v>220.80170547130857</v>
      </c>
      <c r="T60" s="330"/>
      <c r="U60" s="57">
        <f t="shared" si="16"/>
        <v>1820.6621301571795</v>
      </c>
      <c r="V60" s="57">
        <f t="shared" si="17"/>
        <v>807.47607993979159</v>
      </c>
    </row>
    <row r="61" spans="1:22" ht="16" customHeight="1">
      <c r="A61" s="47"/>
      <c r="B61" s="56" t="s">
        <v>96</v>
      </c>
      <c r="C61" s="56"/>
      <c r="D61" s="56"/>
      <c r="E61" s="56" t="s">
        <v>95</v>
      </c>
      <c r="F61" s="56" t="s">
        <v>50</v>
      </c>
      <c r="G61" s="332"/>
      <c r="H61" s="57">
        <f t="shared" ref="H61:S61" si="21">H60</f>
        <v>186.95012266294975</v>
      </c>
      <c r="I61" s="57">
        <f t="shared" si="21"/>
        <v>138.84866450615314</v>
      </c>
      <c r="J61" s="57">
        <f t="shared" si="21"/>
        <v>-33.692127366772411</v>
      </c>
      <c r="K61" s="57">
        <f t="shared" si="21"/>
        <v>252.89642185053486</v>
      </c>
      <c r="L61" s="57">
        <f t="shared" si="21"/>
        <v>273.94814770729732</v>
      </c>
      <c r="M61" s="57">
        <f t="shared" si="21"/>
        <v>194.23482085722532</v>
      </c>
      <c r="N61" s="57">
        <f t="shared" si="21"/>
        <v>80.496987739683689</v>
      </c>
      <c r="O61" s="57">
        <f t="shared" si="21"/>
        <v>82.772037028058278</v>
      </c>
      <c r="P61" s="57">
        <f t="shared" si="21"/>
        <v>119.82980422254928</v>
      </c>
      <c r="Q61" s="57">
        <f t="shared" si="21"/>
        <v>132.86037276561606</v>
      </c>
      <c r="R61" s="57">
        <f t="shared" si="21"/>
        <v>170.71517271257574</v>
      </c>
      <c r="S61" s="57">
        <f t="shared" si="21"/>
        <v>220.80170547130857</v>
      </c>
      <c r="T61" s="330"/>
      <c r="U61" s="57">
        <f t="shared" si="16"/>
        <v>1820.6621301571795</v>
      </c>
      <c r="V61" s="57">
        <f t="shared" si="17"/>
        <v>807.47607993979159</v>
      </c>
    </row>
    <row r="62" spans="1:22" ht="16" customHeight="1">
      <c r="A62" s="47"/>
      <c r="B62" s="48" t="s">
        <v>97</v>
      </c>
      <c r="C62" s="48"/>
      <c r="D62" s="48"/>
      <c r="E62" s="48" t="s">
        <v>424</v>
      </c>
      <c r="F62" s="48" t="s">
        <v>50</v>
      </c>
      <c r="G62" s="47"/>
      <c r="H62" s="49">
        <f>MAX(0,H61)*'假设-财务口径'!$B$35</f>
        <v>46.737530665737438</v>
      </c>
      <c r="I62" s="49">
        <f>MAX(0,I61)*'假设-财务口径'!$B$35</f>
        <v>34.712166126538285</v>
      </c>
      <c r="J62" s="49">
        <f>MAX(0,J61)*'假设-财务口径'!$B$35</f>
        <v>0</v>
      </c>
      <c r="K62" s="49">
        <f>MAX(0,K61)*'假设-财务口径'!$B$35</f>
        <v>63.224105462633716</v>
      </c>
      <c r="L62" s="49">
        <f>MAX(0,L61)*'假设-财务口径'!$B$35</f>
        <v>68.487036926824331</v>
      </c>
      <c r="M62" s="49">
        <f>MAX(0,M61)*'假设-财务口径'!$B$35</f>
        <v>48.558705214306329</v>
      </c>
      <c r="N62" s="49">
        <f>MAX(0,N61)*'假设-财务口径'!$B$35</f>
        <v>20.124246934920922</v>
      </c>
      <c r="O62" s="49">
        <f>MAX(0,O61)*'假设-财务口径'!$B$35</f>
        <v>20.69300925701457</v>
      </c>
      <c r="P62" s="49">
        <f>MAX(0,P61)*'假设-财务口径'!$B$35</f>
        <v>29.957451055637321</v>
      </c>
      <c r="Q62" s="49">
        <f>MAX(0,Q61)*'假设-财务口径'!$B$35</f>
        <v>33.215093191404016</v>
      </c>
      <c r="R62" s="49">
        <f>MAX(0,R61)*'假设-财务口径'!$B$35</f>
        <v>42.678793178143934</v>
      </c>
      <c r="S62" s="49">
        <f>MAX(0,S61)*'假设-财务口径'!$B$35</f>
        <v>55.200426367827141</v>
      </c>
      <c r="T62" s="62"/>
      <c r="U62" s="49">
        <f t="shared" si="16"/>
        <v>463.58856438098803</v>
      </c>
      <c r="V62" s="49">
        <f t="shared" si="17"/>
        <v>201.8690199849479</v>
      </c>
    </row>
    <row r="63" spans="1:22" ht="16" customHeight="1">
      <c r="A63" s="47"/>
      <c r="B63" s="65" t="s">
        <v>98</v>
      </c>
      <c r="C63" s="65"/>
      <c r="D63" s="65"/>
      <c r="E63" s="65" t="s">
        <v>425</v>
      </c>
      <c r="F63" s="65" t="s">
        <v>50</v>
      </c>
      <c r="G63" s="332"/>
      <c r="H63" s="66">
        <f t="shared" ref="H63:S63" si="22">H61-H62</f>
        <v>140.21259199721231</v>
      </c>
      <c r="I63" s="66">
        <f t="shared" si="22"/>
        <v>104.13649837961486</v>
      </c>
      <c r="J63" s="66">
        <f t="shared" si="22"/>
        <v>-33.692127366772411</v>
      </c>
      <c r="K63" s="66">
        <f t="shared" si="22"/>
        <v>189.67231638790116</v>
      </c>
      <c r="L63" s="66">
        <f t="shared" si="22"/>
        <v>205.46111078047301</v>
      </c>
      <c r="M63" s="66">
        <f t="shared" si="22"/>
        <v>145.676115642919</v>
      </c>
      <c r="N63" s="66">
        <f t="shared" si="22"/>
        <v>60.37274080476277</v>
      </c>
      <c r="O63" s="66">
        <f t="shared" si="22"/>
        <v>62.079027771043712</v>
      </c>
      <c r="P63" s="66">
        <f t="shared" si="22"/>
        <v>89.872353166911964</v>
      </c>
      <c r="Q63" s="66">
        <f t="shared" si="22"/>
        <v>99.645279574212054</v>
      </c>
      <c r="R63" s="66">
        <f t="shared" si="22"/>
        <v>128.0363795344318</v>
      </c>
      <c r="S63" s="66">
        <f t="shared" si="22"/>
        <v>165.60127910348143</v>
      </c>
      <c r="T63" s="330"/>
      <c r="U63" s="66">
        <f t="shared" si="16"/>
        <v>1357.0735657761913</v>
      </c>
      <c r="V63" s="66">
        <f t="shared" si="17"/>
        <v>605.60705995484363</v>
      </c>
    </row>
    <row r="64" spans="1:22" ht="16" customHeight="1">
      <c r="A64" s="47"/>
      <c r="B64" s="52" t="s">
        <v>99</v>
      </c>
      <c r="C64" s="52"/>
      <c r="D64" s="52"/>
      <c r="E64" s="52" t="s">
        <v>426</v>
      </c>
      <c r="F64" s="52" t="s">
        <v>50</v>
      </c>
      <c r="G64" s="47"/>
      <c r="H64" s="58">
        <f t="shared" ref="H64:S64" si="23">IFERROR(H63/H7,0)</f>
        <v>0.12786815807581711</v>
      </c>
      <c r="I64" s="58">
        <f t="shared" si="23"/>
        <v>0.15660574990353907</v>
      </c>
      <c r="J64" s="58">
        <f t="shared" si="23"/>
        <v>-3.3282921501977536E-2</v>
      </c>
      <c r="K64" s="58">
        <f t="shared" si="23"/>
        <v>0.19396877300825857</v>
      </c>
      <c r="L64" s="58">
        <f t="shared" si="23"/>
        <v>0.16867299392031304</v>
      </c>
      <c r="M64" s="58">
        <f t="shared" si="23"/>
        <v>0.11742481284425364</v>
      </c>
      <c r="N64" s="58">
        <f t="shared" si="23"/>
        <v>7.624323604968232E-2</v>
      </c>
      <c r="O64" s="58">
        <f t="shared" si="23"/>
        <v>5.9371713254150617E-2</v>
      </c>
      <c r="P64" s="58">
        <f t="shared" si="23"/>
        <v>6.8546610877551331E-2</v>
      </c>
      <c r="Q64" s="58">
        <f t="shared" si="23"/>
        <v>7.0539276325195757E-2</v>
      </c>
      <c r="R64" s="58">
        <f t="shared" si="23"/>
        <v>7.4658443176376335E-2</v>
      </c>
      <c r="S64" s="58">
        <f t="shared" si="23"/>
        <v>0.11318473126921438</v>
      </c>
      <c r="T64" s="331"/>
      <c r="U64" s="58">
        <f>IFERROR(U63/U7,0)</f>
        <v>9.7284162092145868E-2</v>
      </c>
      <c r="V64" s="58">
        <f>IFERROR(V63/V7,0)</f>
        <v>7.8251433913384169E-2</v>
      </c>
    </row>
  </sheetData>
  <phoneticPr fontId="14" type="noConversion"/>
  <hyperlinks>
    <hyperlink ref="A1" location="'目录及说明'!A1" display="返回目录" xr:uid="{00000000-0004-0000-0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Y65"/>
  <sheetViews>
    <sheetView showGridLines="0" zoomScale="82" zoomScaleNormal="70" workbookViewId="0">
      <pane xSplit="5" ySplit="2" topLeftCell="CJ3" activePane="bottomRight" state="frozen"/>
      <selection pane="topRight" activeCell="F1" sqref="F1"/>
      <selection pane="bottomLeft" activeCell="A3" sqref="A3"/>
      <selection pane="bottomRight" activeCell="CW16" sqref="CW16"/>
    </sheetView>
  </sheetViews>
  <sheetFormatPr baseColWidth="10" defaultColWidth="10.59765625" defaultRowHeight="13"/>
  <cols>
    <col min="1" max="3" width="4.59765625" customWidth="1"/>
    <col min="4" max="4" width="11.3984375" customWidth="1"/>
    <col min="5" max="5" width="24.3984375" customWidth="1"/>
    <col min="6" max="6" width="14.3984375" customWidth="1"/>
    <col min="7" max="11" width="15.59765625" customWidth="1"/>
    <col min="12" max="19" width="14.3984375" customWidth="1"/>
    <col min="20" max="20" width="3" customWidth="1"/>
    <col min="21" max="21" width="14.3984375" customWidth="1"/>
    <col min="22" max="26" width="15.59765625" customWidth="1"/>
    <col min="27" max="34" width="14.3984375" customWidth="1"/>
    <col min="35" max="35" width="3" customWidth="1"/>
    <col min="36" max="36" width="14.3984375" customWidth="1"/>
    <col min="37" max="41" width="15.59765625" customWidth="1"/>
    <col min="42" max="49" width="14.3984375" customWidth="1"/>
    <col min="50" max="50" width="3" customWidth="1"/>
    <col min="51" max="51" width="14.3984375" customWidth="1"/>
    <col min="52" max="56" width="15.59765625" customWidth="1"/>
    <col min="57" max="64" width="14.3984375" customWidth="1"/>
    <col min="65" max="65" width="3" customWidth="1"/>
    <col min="66" max="66" width="14.3984375" customWidth="1"/>
    <col min="67" max="71" width="15.59765625" customWidth="1"/>
    <col min="72" max="79" width="14.3984375" customWidth="1"/>
    <col min="80" max="80" width="3" customWidth="1"/>
    <col min="81" max="81" width="14.3984375" customWidth="1"/>
    <col min="82" max="86" width="15.59765625" customWidth="1"/>
    <col min="87" max="94" width="14.3984375" customWidth="1"/>
    <col min="95" max="95" width="3" customWidth="1"/>
    <col min="96" max="96" width="14.3984375" customWidth="1"/>
    <col min="97" max="101" width="15.59765625" customWidth="1"/>
    <col min="102" max="109" width="14.3984375" customWidth="1"/>
    <col min="110" max="110" width="3" customWidth="1"/>
    <col min="111" max="111" width="14.3984375" customWidth="1"/>
    <col min="112" max="122" width="15.59765625" customWidth="1"/>
    <col min="123" max="123" width="14.3984375" customWidth="1"/>
    <col min="124" max="124" width="15.59765625" customWidth="1"/>
    <col min="125" max="125" width="3" customWidth="1"/>
    <col min="126" max="126" width="14.3984375" customWidth="1"/>
    <col min="127" max="137" width="15.59765625" customWidth="1"/>
    <col min="138" max="138" width="14.3984375" customWidth="1"/>
    <col min="139" max="139" width="15.59765625" customWidth="1"/>
    <col min="140" max="140" width="2.3984375" customWidth="1"/>
    <col min="141" max="141" width="14.3984375" customWidth="1"/>
    <col min="142" max="146" width="15.59765625" customWidth="1"/>
    <col min="147" max="154" width="14.3984375" customWidth="1"/>
    <col min="155" max="155" width="3" customWidth="1"/>
  </cols>
  <sheetData>
    <row r="1" spans="1:155" ht="16" customHeight="1">
      <c r="A1" s="70" t="s">
        <v>28</v>
      </c>
      <c r="B1" s="68"/>
      <c r="C1" s="68"/>
      <c r="D1" s="68"/>
      <c r="E1" s="68"/>
      <c r="F1" s="378" t="s">
        <v>416</v>
      </c>
      <c r="G1" s="378"/>
      <c r="H1" s="378"/>
      <c r="I1" s="378"/>
      <c r="J1" s="378"/>
      <c r="K1" s="378"/>
      <c r="L1" s="378"/>
      <c r="M1" s="378"/>
      <c r="N1" s="378"/>
      <c r="O1" s="378"/>
      <c r="P1" s="378"/>
      <c r="Q1" s="378"/>
      <c r="R1" s="378"/>
      <c r="S1" s="378"/>
      <c r="T1" s="73"/>
      <c r="U1" s="378" t="s">
        <v>100</v>
      </c>
      <c r="V1" s="378"/>
      <c r="W1" s="378"/>
      <c r="X1" s="378"/>
      <c r="Y1" s="378"/>
      <c r="Z1" s="378"/>
      <c r="AA1" s="378"/>
      <c r="AB1" s="378"/>
      <c r="AC1" s="378"/>
      <c r="AD1" s="378"/>
      <c r="AE1" s="378"/>
      <c r="AF1" s="378"/>
      <c r="AG1" s="378"/>
      <c r="AH1" s="378"/>
      <c r="AI1" s="73"/>
      <c r="AJ1" s="378" t="s">
        <v>101</v>
      </c>
      <c r="AK1" s="378"/>
      <c r="AL1" s="378"/>
      <c r="AM1" s="378"/>
      <c r="AN1" s="378"/>
      <c r="AO1" s="378"/>
      <c r="AP1" s="378"/>
      <c r="AQ1" s="378"/>
      <c r="AR1" s="378"/>
      <c r="AS1" s="378"/>
      <c r="AT1" s="378"/>
      <c r="AU1" s="378"/>
      <c r="AV1" s="378"/>
      <c r="AW1" s="378"/>
      <c r="AX1" s="73"/>
      <c r="AY1" s="378" t="s">
        <v>102</v>
      </c>
      <c r="AZ1" s="378"/>
      <c r="BA1" s="378"/>
      <c r="BB1" s="378"/>
      <c r="BC1" s="378"/>
      <c r="BD1" s="378"/>
      <c r="BE1" s="378"/>
      <c r="BF1" s="378"/>
      <c r="BG1" s="378"/>
      <c r="BH1" s="378"/>
      <c r="BI1" s="378"/>
      <c r="BJ1" s="378"/>
      <c r="BK1" s="378"/>
      <c r="BL1" s="378"/>
      <c r="BM1" s="73"/>
      <c r="BN1" s="378" t="s">
        <v>103</v>
      </c>
      <c r="BO1" s="378"/>
      <c r="BP1" s="378"/>
      <c r="BQ1" s="378"/>
      <c r="BR1" s="378"/>
      <c r="BS1" s="378"/>
      <c r="BT1" s="378"/>
      <c r="BU1" s="378"/>
      <c r="BV1" s="378"/>
      <c r="BW1" s="378"/>
      <c r="BX1" s="378"/>
      <c r="BY1" s="378"/>
      <c r="BZ1" s="378"/>
      <c r="CA1" s="378"/>
      <c r="CB1" s="73"/>
      <c r="CC1" s="378" t="s">
        <v>428</v>
      </c>
      <c r="CD1" s="378"/>
      <c r="CE1" s="378"/>
      <c r="CF1" s="378"/>
      <c r="CG1" s="378"/>
      <c r="CH1" s="378"/>
      <c r="CI1" s="378"/>
      <c r="CJ1" s="378"/>
      <c r="CK1" s="378"/>
      <c r="CL1" s="378"/>
      <c r="CM1" s="378"/>
      <c r="CN1" s="378"/>
      <c r="CO1" s="378"/>
      <c r="CP1" s="378"/>
      <c r="CQ1" s="73"/>
      <c r="CR1" s="378" t="s">
        <v>104</v>
      </c>
      <c r="CS1" s="378"/>
      <c r="CT1" s="378"/>
      <c r="CU1" s="378"/>
      <c r="CV1" s="378"/>
      <c r="CW1" s="378"/>
      <c r="CX1" s="378"/>
      <c r="CY1" s="378"/>
      <c r="CZ1" s="378"/>
      <c r="DA1" s="378"/>
      <c r="DB1" s="378"/>
      <c r="DC1" s="378"/>
      <c r="DD1" s="378"/>
      <c r="DE1" s="378"/>
      <c r="DF1" s="73"/>
      <c r="DG1" s="378" t="s">
        <v>105</v>
      </c>
      <c r="DH1" s="378"/>
      <c r="DI1" s="378"/>
      <c r="DJ1" s="378"/>
      <c r="DK1" s="378"/>
      <c r="DL1" s="378"/>
      <c r="DM1" s="378"/>
      <c r="DN1" s="378"/>
      <c r="DO1" s="378"/>
      <c r="DP1" s="378"/>
      <c r="DQ1" s="378"/>
      <c r="DR1" s="378"/>
      <c r="DS1" s="378"/>
      <c r="DT1" s="378"/>
      <c r="DU1" s="73"/>
      <c r="DV1" s="378" t="s">
        <v>106</v>
      </c>
      <c r="DW1" s="378"/>
      <c r="DX1" s="378"/>
      <c r="DY1" s="378"/>
      <c r="DZ1" s="378"/>
      <c r="EA1" s="378"/>
      <c r="EB1" s="378"/>
      <c r="EC1" s="378"/>
      <c r="ED1" s="378"/>
      <c r="EE1" s="378"/>
      <c r="EF1" s="378"/>
      <c r="EG1" s="378"/>
      <c r="EH1" s="378"/>
      <c r="EI1" s="378"/>
      <c r="EJ1" s="42"/>
      <c r="EK1" s="378" t="s">
        <v>107</v>
      </c>
      <c r="EL1" s="378"/>
      <c r="EM1" s="378"/>
      <c r="EN1" s="378"/>
      <c r="EO1" s="378"/>
      <c r="EP1" s="378"/>
      <c r="EQ1" s="378"/>
      <c r="ER1" s="378"/>
      <c r="ES1" s="378"/>
      <c r="ET1" s="378"/>
      <c r="EU1" s="378"/>
      <c r="EV1" s="378"/>
      <c r="EW1" s="378"/>
      <c r="EX1" s="378"/>
      <c r="EY1" s="4"/>
    </row>
    <row r="2" spans="1:155" ht="16" customHeight="1">
      <c r="A2" s="68"/>
      <c r="B2" s="74"/>
      <c r="C2" s="74"/>
      <c r="D2" s="74"/>
      <c r="E2" s="75" t="s">
        <v>6</v>
      </c>
      <c r="F2" s="72" t="s">
        <v>32</v>
      </c>
      <c r="G2" s="72" t="s">
        <v>33</v>
      </c>
      <c r="H2" s="72" t="s">
        <v>34</v>
      </c>
      <c r="I2" s="72" t="s">
        <v>35</v>
      </c>
      <c r="J2" s="72" t="s">
        <v>36</v>
      </c>
      <c r="K2" s="72" t="s">
        <v>37</v>
      </c>
      <c r="L2" s="72" t="s">
        <v>38</v>
      </c>
      <c r="M2" s="72" t="s">
        <v>39</v>
      </c>
      <c r="N2" s="72" t="s">
        <v>40</v>
      </c>
      <c r="O2" s="72" t="s">
        <v>41</v>
      </c>
      <c r="P2" s="72" t="s">
        <v>42</v>
      </c>
      <c r="Q2" s="72" t="s">
        <v>43</v>
      </c>
      <c r="R2" s="72" t="s">
        <v>44</v>
      </c>
      <c r="S2" s="72" t="s">
        <v>45</v>
      </c>
      <c r="T2" s="73"/>
      <c r="U2" s="72" t="s">
        <v>32</v>
      </c>
      <c r="V2" s="72" t="s">
        <v>33</v>
      </c>
      <c r="W2" s="72" t="s">
        <v>34</v>
      </c>
      <c r="X2" s="72" t="s">
        <v>35</v>
      </c>
      <c r="Y2" s="72" t="s">
        <v>36</v>
      </c>
      <c r="Z2" s="72" t="s">
        <v>37</v>
      </c>
      <c r="AA2" s="72" t="s">
        <v>38</v>
      </c>
      <c r="AB2" s="72" t="s">
        <v>39</v>
      </c>
      <c r="AC2" s="72" t="s">
        <v>40</v>
      </c>
      <c r="AD2" s="72" t="s">
        <v>41</v>
      </c>
      <c r="AE2" s="72" t="s">
        <v>42</v>
      </c>
      <c r="AF2" s="72" t="s">
        <v>43</v>
      </c>
      <c r="AG2" s="72" t="s">
        <v>44</v>
      </c>
      <c r="AH2" s="72" t="s">
        <v>45</v>
      </c>
      <c r="AI2" s="73"/>
      <c r="AJ2" s="72" t="s">
        <v>32</v>
      </c>
      <c r="AK2" s="72" t="s">
        <v>33</v>
      </c>
      <c r="AL2" s="72" t="s">
        <v>34</v>
      </c>
      <c r="AM2" s="72" t="s">
        <v>35</v>
      </c>
      <c r="AN2" s="72" t="s">
        <v>36</v>
      </c>
      <c r="AO2" s="72" t="s">
        <v>37</v>
      </c>
      <c r="AP2" s="72" t="s">
        <v>38</v>
      </c>
      <c r="AQ2" s="72" t="s">
        <v>39</v>
      </c>
      <c r="AR2" s="72" t="s">
        <v>40</v>
      </c>
      <c r="AS2" s="72" t="s">
        <v>41</v>
      </c>
      <c r="AT2" s="72" t="s">
        <v>42</v>
      </c>
      <c r="AU2" s="72" t="s">
        <v>43</v>
      </c>
      <c r="AV2" s="72" t="s">
        <v>44</v>
      </c>
      <c r="AW2" s="72" t="s">
        <v>45</v>
      </c>
      <c r="AX2" s="73"/>
      <c r="AY2" s="72" t="s">
        <v>32</v>
      </c>
      <c r="AZ2" s="72" t="s">
        <v>33</v>
      </c>
      <c r="BA2" s="72" t="s">
        <v>34</v>
      </c>
      <c r="BB2" s="72" t="s">
        <v>35</v>
      </c>
      <c r="BC2" s="72" t="s">
        <v>36</v>
      </c>
      <c r="BD2" s="72" t="s">
        <v>37</v>
      </c>
      <c r="BE2" s="72" t="s">
        <v>38</v>
      </c>
      <c r="BF2" s="72" t="s">
        <v>39</v>
      </c>
      <c r="BG2" s="72" t="s">
        <v>40</v>
      </c>
      <c r="BH2" s="72" t="s">
        <v>41</v>
      </c>
      <c r="BI2" s="72" t="s">
        <v>42</v>
      </c>
      <c r="BJ2" s="72" t="s">
        <v>43</v>
      </c>
      <c r="BK2" s="72" t="s">
        <v>44</v>
      </c>
      <c r="BL2" s="72" t="s">
        <v>45</v>
      </c>
      <c r="BM2" s="73"/>
      <c r="BN2" s="72" t="s">
        <v>32</v>
      </c>
      <c r="BO2" s="72" t="s">
        <v>33</v>
      </c>
      <c r="BP2" s="72" t="s">
        <v>34</v>
      </c>
      <c r="BQ2" s="72" t="s">
        <v>35</v>
      </c>
      <c r="BR2" s="72" t="s">
        <v>36</v>
      </c>
      <c r="BS2" s="72" t="s">
        <v>37</v>
      </c>
      <c r="BT2" s="72" t="s">
        <v>38</v>
      </c>
      <c r="BU2" s="72" t="s">
        <v>39</v>
      </c>
      <c r="BV2" s="72" t="s">
        <v>40</v>
      </c>
      <c r="BW2" s="72" t="s">
        <v>41</v>
      </c>
      <c r="BX2" s="72" t="s">
        <v>42</v>
      </c>
      <c r="BY2" s="72" t="s">
        <v>43</v>
      </c>
      <c r="BZ2" s="72" t="s">
        <v>44</v>
      </c>
      <c r="CA2" s="72" t="s">
        <v>45</v>
      </c>
      <c r="CB2" s="73"/>
      <c r="CC2" s="72" t="s">
        <v>32</v>
      </c>
      <c r="CD2" s="72" t="s">
        <v>33</v>
      </c>
      <c r="CE2" s="72" t="s">
        <v>34</v>
      </c>
      <c r="CF2" s="72" t="s">
        <v>35</v>
      </c>
      <c r="CG2" s="72" t="s">
        <v>36</v>
      </c>
      <c r="CH2" s="72" t="s">
        <v>37</v>
      </c>
      <c r="CI2" s="72" t="s">
        <v>38</v>
      </c>
      <c r="CJ2" s="72" t="s">
        <v>39</v>
      </c>
      <c r="CK2" s="72" t="s">
        <v>40</v>
      </c>
      <c r="CL2" s="72" t="s">
        <v>41</v>
      </c>
      <c r="CM2" s="72" t="s">
        <v>42</v>
      </c>
      <c r="CN2" s="72" t="s">
        <v>43</v>
      </c>
      <c r="CO2" s="72" t="s">
        <v>44</v>
      </c>
      <c r="CP2" s="72" t="s">
        <v>45</v>
      </c>
      <c r="CQ2" s="73"/>
      <c r="CR2" s="72" t="s">
        <v>32</v>
      </c>
      <c r="CS2" s="72" t="s">
        <v>33</v>
      </c>
      <c r="CT2" s="72" t="s">
        <v>34</v>
      </c>
      <c r="CU2" s="72" t="s">
        <v>35</v>
      </c>
      <c r="CV2" s="72" t="s">
        <v>36</v>
      </c>
      <c r="CW2" s="72" t="s">
        <v>37</v>
      </c>
      <c r="CX2" s="72" t="s">
        <v>38</v>
      </c>
      <c r="CY2" s="72" t="s">
        <v>39</v>
      </c>
      <c r="CZ2" s="72" t="s">
        <v>40</v>
      </c>
      <c r="DA2" s="72" t="s">
        <v>41</v>
      </c>
      <c r="DB2" s="72" t="s">
        <v>42</v>
      </c>
      <c r="DC2" s="72" t="s">
        <v>43</v>
      </c>
      <c r="DD2" s="72" t="s">
        <v>44</v>
      </c>
      <c r="DE2" s="72" t="s">
        <v>45</v>
      </c>
      <c r="DF2" s="73"/>
      <c r="DG2" s="72" t="s">
        <v>32</v>
      </c>
      <c r="DH2" s="72" t="s">
        <v>33</v>
      </c>
      <c r="DI2" s="72" t="s">
        <v>34</v>
      </c>
      <c r="DJ2" s="72" t="s">
        <v>35</v>
      </c>
      <c r="DK2" s="72" t="s">
        <v>36</v>
      </c>
      <c r="DL2" s="72" t="s">
        <v>37</v>
      </c>
      <c r="DM2" s="72" t="s">
        <v>38</v>
      </c>
      <c r="DN2" s="72" t="s">
        <v>39</v>
      </c>
      <c r="DO2" s="72" t="s">
        <v>40</v>
      </c>
      <c r="DP2" s="72" t="s">
        <v>41</v>
      </c>
      <c r="DQ2" s="72" t="s">
        <v>42</v>
      </c>
      <c r="DR2" s="72" t="s">
        <v>43</v>
      </c>
      <c r="DS2" s="72" t="s">
        <v>44</v>
      </c>
      <c r="DT2" s="72" t="s">
        <v>45</v>
      </c>
      <c r="DU2" s="73"/>
      <c r="DV2" s="72" t="s">
        <v>32</v>
      </c>
      <c r="DW2" s="72" t="s">
        <v>33</v>
      </c>
      <c r="DX2" s="72" t="s">
        <v>34</v>
      </c>
      <c r="DY2" s="72" t="s">
        <v>35</v>
      </c>
      <c r="DZ2" s="72" t="s">
        <v>36</v>
      </c>
      <c r="EA2" s="72" t="s">
        <v>37</v>
      </c>
      <c r="EB2" s="72" t="s">
        <v>38</v>
      </c>
      <c r="EC2" s="72" t="s">
        <v>39</v>
      </c>
      <c r="ED2" s="72" t="s">
        <v>40</v>
      </c>
      <c r="EE2" s="72" t="s">
        <v>41</v>
      </c>
      <c r="EF2" s="72" t="s">
        <v>42</v>
      </c>
      <c r="EG2" s="72" t="s">
        <v>43</v>
      </c>
      <c r="EH2" s="72" t="s">
        <v>44</v>
      </c>
      <c r="EI2" s="72" t="s">
        <v>45</v>
      </c>
      <c r="EJ2" s="42"/>
      <c r="EK2" s="72" t="s">
        <v>32</v>
      </c>
      <c r="EL2" s="72" t="s">
        <v>33</v>
      </c>
      <c r="EM2" s="72" t="s">
        <v>34</v>
      </c>
      <c r="EN2" s="72" t="s">
        <v>35</v>
      </c>
      <c r="EO2" s="72" t="s">
        <v>36</v>
      </c>
      <c r="EP2" s="72" t="s">
        <v>37</v>
      </c>
      <c r="EQ2" s="72" t="s">
        <v>38</v>
      </c>
      <c r="ER2" s="72" t="s">
        <v>39</v>
      </c>
      <c r="ES2" s="72" t="s">
        <v>40</v>
      </c>
      <c r="ET2" s="72" t="s">
        <v>41</v>
      </c>
      <c r="EU2" s="72" t="s">
        <v>42</v>
      </c>
      <c r="EV2" s="72" t="s">
        <v>43</v>
      </c>
      <c r="EW2" s="72" t="s">
        <v>44</v>
      </c>
      <c r="EX2" s="72" t="s">
        <v>45</v>
      </c>
      <c r="EY2" s="4"/>
    </row>
    <row r="3" spans="1:155" s="6" customFormat="1" ht="16" customHeight="1">
      <c r="A3" s="76"/>
      <c r="B3" s="48" t="s">
        <v>46</v>
      </c>
      <c r="C3" s="76"/>
      <c r="D3" s="76"/>
      <c r="E3" s="76"/>
      <c r="F3" s="77">
        <f t="shared" ref="F3:Q4" si="0">SUM(U3,AJ3,AY3,BN3,CC3,CR3,DG3,DV3,EK3)</f>
        <v>1096.5403279999998</v>
      </c>
      <c r="G3" s="77">
        <f t="shared" si="0"/>
        <v>664.95961</v>
      </c>
      <c r="H3" s="77">
        <f t="shared" si="0"/>
        <v>1012.2947700000002</v>
      </c>
      <c r="I3" s="77">
        <f t="shared" si="0"/>
        <v>977.84975099999997</v>
      </c>
      <c r="J3" s="77">
        <f t="shared" si="0"/>
        <v>1218.1031830000002</v>
      </c>
      <c r="K3" s="77">
        <f t="shared" si="0"/>
        <v>1240.590571229068</v>
      </c>
      <c r="L3" s="77">
        <f t="shared" si="0"/>
        <v>791.84389242636723</v>
      </c>
      <c r="M3" s="77">
        <f t="shared" si="0"/>
        <v>1045.5994002616023</v>
      </c>
      <c r="N3" s="77">
        <f t="shared" si="0"/>
        <v>1311.1130078692877</v>
      </c>
      <c r="O3" s="77">
        <f t="shared" si="0"/>
        <v>1412.6212340885611</v>
      </c>
      <c r="P3" s="77">
        <f t="shared" si="0"/>
        <v>1714.9618192808164</v>
      </c>
      <c r="Q3" s="77">
        <f t="shared" si="0"/>
        <v>1463.106173831806</v>
      </c>
      <c r="R3" s="78">
        <f>SUM(F3:Q3)</f>
        <v>13949.583740987509</v>
      </c>
      <c r="S3" s="78">
        <f>SUM(L3:Q3)</f>
        <v>7739.2455277584404</v>
      </c>
      <c r="T3" s="79"/>
      <c r="U3" s="77">
        <f>'测算-高个子抖音'!I$8</f>
        <v>412.736088</v>
      </c>
      <c r="V3" s="77">
        <f>'测算-高个子抖音'!J$8</f>
        <v>236.30884399999999</v>
      </c>
      <c r="W3" s="77">
        <f>'测算-高个子抖音'!K$8</f>
        <v>480.96784500000001</v>
      </c>
      <c r="X3" s="77">
        <f>'测算-高个子抖音'!L$8</f>
        <v>290.197382</v>
      </c>
      <c r="Y3" s="77">
        <f>'测算-高个子抖音'!M$8</f>
        <v>383.28089</v>
      </c>
      <c r="Z3" s="77">
        <f>'测算-高个子抖音'!N$8</f>
        <v>271.526498</v>
      </c>
      <c r="AA3" s="77">
        <f>'测算-高个子抖音'!O$8</f>
        <v>187.83605584574326</v>
      </c>
      <c r="AB3" s="77">
        <f>'测算-高个子抖音'!P$8</f>
        <v>251.22106234512992</v>
      </c>
      <c r="AC3" s="77">
        <f>'测算-高个子抖音'!Q$8</f>
        <v>317.6980203810719</v>
      </c>
      <c r="AD3" s="77">
        <f>'测算-高个子抖音'!R$8</f>
        <v>343.59311449972392</v>
      </c>
      <c r="AE3" s="77">
        <f>'测算-高个子抖音'!S$8</f>
        <v>417.41345743498516</v>
      </c>
      <c r="AF3" s="77">
        <f>'测算-高个子抖音'!T$8</f>
        <v>355.5744267038761</v>
      </c>
      <c r="AG3" s="78">
        <f>'测算-高个子抖音'!V$8</f>
        <v>3948.3536842105304</v>
      </c>
      <c r="AH3" s="78">
        <f>'测算-高个子抖音'!W$8</f>
        <v>1873.3361372105303</v>
      </c>
      <c r="AI3" s="79"/>
      <c r="AJ3" s="77">
        <f>'测算-高个子视频号'!I$8</f>
        <v>15.6332</v>
      </c>
      <c r="AK3" s="77">
        <f>'测算-高个子视频号'!J$8</f>
        <v>5.3376999999999999</v>
      </c>
      <c r="AL3" s="77">
        <f>'测算-高个子视频号'!K$8</f>
        <v>11.328250000000001</v>
      </c>
      <c r="AM3" s="77">
        <f>'测算-高个子视频号'!L$8</f>
        <v>7.4995000000000003</v>
      </c>
      <c r="AN3" s="77">
        <f>'测算-高个子视频号'!M$8</f>
        <v>67.386525000000006</v>
      </c>
      <c r="AO3" s="77">
        <f>'测算-高个子视频号'!N$8</f>
        <v>70.535852000000006</v>
      </c>
      <c r="AP3" s="77">
        <f>'测算-高个子视频号'!O$8</f>
        <v>52.875650013377793</v>
      </c>
      <c r="AQ3" s="77">
        <f>'测算-高个子视频号'!P$8</f>
        <v>70.718461952048486</v>
      </c>
      <c r="AR3" s="77">
        <f>'测算-高个子视频号'!Q$8</f>
        <v>89.431654960898243</v>
      </c>
      <c r="AS3" s="77">
        <f>'测算-高个子视频号'!R$8</f>
        <v>96.721096423647879</v>
      </c>
      <c r="AT3" s="77">
        <f>'测算-高个子视频号'!S$8</f>
        <v>117.5014444741729</v>
      </c>
      <c r="AU3" s="77">
        <f>'测算-高个子视频号'!T$8</f>
        <v>100.0938230705917</v>
      </c>
      <c r="AV3" s="78">
        <f>'测算-高个子视频号'!V$8</f>
        <v>705.06315789473706</v>
      </c>
      <c r="AW3" s="78">
        <f>'测算-高个子视频号'!W$8</f>
        <v>527.34213089473701</v>
      </c>
      <c r="AX3" s="79"/>
      <c r="AY3" s="77">
        <f>'测算-天猫淘宝'!I$7</f>
        <v>27.701167999999999</v>
      </c>
      <c r="AZ3" s="77">
        <f>'测算-天猫淘宝'!J$7</f>
        <v>14.251385999999998</v>
      </c>
      <c r="BA3" s="77">
        <f>'测算-天猫淘宝'!K$7</f>
        <v>32.562117000000001</v>
      </c>
      <c r="BB3" s="77">
        <f>'测算-天猫淘宝'!L$7</f>
        <v>34.249648999999998</v>
      </c>
      <c r="BC3" s="77">
        <f>'测算-天猫淘宝'!M$7</f>
        <v>32.596449999999997</v>
      </c>
      <c r="BD3" s="77">
        <f>'测算-天猫淘宝'!N$7</f>
        <v>26.272108000000003</v>
      </c>
      <c r="BE3" s="77">
        <f>'测算-天猫淘宝'!O$7</f>
        <v>24.189838582172356</v>
      </c>
      <c r="BF3" s="77">
        <f>'测算-天猫淘宝'!P$7</f>
        <v>32.35266477039513</v>
      </c>
      <c r="BG3" s="77">
        <f>'测算-天猫淘宝'!Q$7</f>
        <v>40.913677601945835</v>
      </c>
      <c r="BH3" s="77">
        <f>'测算-天猫淘宝'!R$7</f>
        <v>44.248490739817342</v>
      </c>
      <c r="BI3" s="77">
        <f>'测算-天猫淘宝'!S$7</f>
        <v>53.755196849271904</v>
      </c>
      <c r="BJ3" s="77">
        <f>'测算-天猫淘宝'!T$7</f>
        <v>45.791463982713104</v>
      </c>
      <c r="BK3" s="78">
        <f>'测算-天猫淘宝'!V$7</f>
        <v>408.88421052631566</v>
      </c>
      <c r="BL3" s="78">
        <f>'测算-天猫淘宝'!W$7</f>
        <v>241.25133252631568</v>
      </c>
      <c r="BM3" s="79"/>
      <c r="BN3" s="77">
        <f>'测算-拼多多'!I$8</f>
        <v>0.15453599999999998</v>
      </c>
      <c r="BO3" s="77">
        <f>'测算-拼多多'!J$8</f>
        <v>0.27626899999999999</v>
      </c>
      <c r="BP3" s="77">
        <f>'测算-拼多多'!K$8</f>
        <v>0.366398</v>
      </c>
      <c r="BQ3" s="77">
        <f>'测算-拼多多'!L$8</f>
        <v>0.117881</v>
      </c>
      <c r="BR3" s="77">
        <f>'测算-拼多多'!M$8</f>
        <v>0.45122099999999998</v>
      </c>
      <c r="BS3" s="77">
        <f>'测算-拼多多'!N$8</f>
        <v>4.9102750000000004</v>
      </c>
      <c r="BT3" s="77">
        <f>'测算-拼多多'!O$8</f>
        <v>2.9054295145125022</v>
      </c>
      <c r="BU3" s="77">
        <f>'测算-拼多多'!P$8</f>
        <v>3.8858625194097254</v>
      </c>
      <c r="BV3" s="77">
        <f>'测算-拼多多'!Q$8</f>
        <v>4.9141215245458358</v>
      </c>
      <c r="BW3" s="77">
        <f>'测算-拼多多'!R$8</f>
        <v>5.3146642765465328</v>
      </c>
      <c r="BX3" s="77">
        <f>'测算-拼多多'!S$8</f>
        <v>6.4565100322500051</v>
      </c>
      <c r="BY3" s="77">
        <f>'测算-拼多多'!T$8</f>
        <v>5.4999900274722275</v>
      </c>
      <c r="BZ3" s="78">
        <f>'测算-拼多多'!V$8</f>
        <v>35.25315789473683</v>
      </c>
      <c r="CA3" s="78">
        <f>'测算-拼多多'!W$8</f>
        <v>28.976577894736828</v>
      </c>
      <c r="CB3" s="79"/>
      <c r="CC3" s="77">
        <f>'测算-京东POP'!I$8</f>
        <v>13.6692</v>
      </c>
      <c r="CD3" s="77">
        <f>'测算-京东POP'!J$8</f>
        <v>8.5720729999999996</v>
      </c>
      <c r="CE3" s="77">
        <f>'测算-京东POP'!K$8</f>
        <v>23.263656000000001</v>
      </c>
      <c r="CF3" s="77">
        <f>'测算-京东POP'!L$8</f>
        <v>19.4663</v>
      </c>
      <c r="CG3" s="77">
        <f>'测算-京东POP'!M$8</f>
        <v>19.221454999999999</v>
      </c>
      <c r="CH3" s="77">
        <f>'测算-京东POP'!N$8</f>
        <v>16.670736999999999</v>
      </c>
      <c r="CI3" s="77">
        <f>'测算-京东POP'!O$8</f>
        <v>25.234314991215399</v>
      </c>
      <c r="CJ3" s="77">
        <f>'测算-京东POP'!P$8</f>
        <v>33.749598239279855</v>
      </c>
      <c r="CK3" s="77">
        <f>'测算-京东POP'!Q$8</f>
        <v>42.680261157981604</v>
      </c>
      <c r="CL3" s="77">
        <f>'测算-京东POP'!R$8</f>
        <v>46.159065899568915</v>
      </c>
      <c r="CM3" s="77">
        <f>'测算-京东POP'!S$8</f>
        <v>56.076255536034225</v>
      </c>
      <c r="CN3" s="77">
        <f>'测算-京东POP'!T$8</f>
        <v>47.768662123288401</v>
      </c>
      <c r="CO3" s="78">
        <f>'测算-京东POP'!V$8</f>
        <v>352.53157894736842</v>
      </c>
      <c r="CP3" s="78">
        <f>'测算-京东POP'!W$8</f>
        <v>251.66815794736843</v>
      </c>
      <c r="CQ3" s="79"/>
      <c r="CR3" s="77">
        <f>'测算-京东自营'!I$7</f>
        <v>400.66293999999999</v>
      </c>
      <c r="CS3" s="77">
        <f>'测算-京东自营'!J$7</f>
        <v>301.16879999999998</v>
      </c>
      <c r="CT3" s="77">
        <f>'测算-京东自营'!K$7</f>
        <v>40.522410000000001</v>
      </c>
      <c r="CU3" s="77">
        <f>'测算-京东自营'!L$7</f>
        <v>438.91120999999998</v>
      </c>
      <c r="CV3" s="77">
        <f>'测算-京东自营'!M$7</f>
        <v>446.22897</v>
      </c>
      <c r="CW3" s="77">
        <f>'测算-京东自营'!N$7</f>
        <v>660.27603822906804</v>
      </c>
      <c r="CX3" s="77">
        <f>'测算-京东自营'!O$7</f>
        <v>322.50668801942413</v>
      </c>
      <c r="CY3" s="77">
        <f>'测算-京东自营'!P$7</f>
        <v>431.33610537577317</v>
      </c>
      <c r="CZ3" s="77">
        <f>'测算-京东自营'!Q$7</f>
        <v>545.47427479828536</v>
      </c>
      <c r="DA3" s="77">
        <f>'测算-京东自营'!R$7</f>
        <v>589.93507335240372</v>
      </c>
      <c r="DB3" s="77">
        <f>'测算-京东自营'!S$7</f>
        <v>716.68152893205388</v>
      </c>
      <c r="DC3" s="77">
        <f>'测算-京东自营'!T$7</f>
        <v>610.50648760878653</v>
      </c>
      <c r="DD3" s="78">
        <f>'测算-京东自营'!V$7</f>
        <v>5504.2105263157946</v>
      </c>
      <c r="DE3" s="78">
        <f>'测算-京东自营'!W$7</f>
        <v>3216.440158086727</v>
      </c>
      <c r="DF3" s="79"/>
      <c r="DG3" s="77">
        <f>'测算-达播'!I$8</f>
        <v>51.673563999999999</v>
      </c>
      <c r="DH3" s="77">
        <f>'测算-达播'!J$8</f>
        <v>4.2375999999999996</v>
      </c>
      <c r="DI3" s="77">
        <f>'测算-达播'!K$8</f>
        <v>190.03227799999999</v>
      </c>
      <c r="DJ3" s="77">
        <f>'测算-达播'!L$8</f>
        <v>37.810496999999998</v>
      </c>
      <c r="DK3" s="77">
        <f>'测算-达播'!M$8</f>
        <v>81.138963000000004</v>
      </c>
      <c r="DL3" s="77">
        <f>'测算-达播'!N$8</f>
        <v>27.381934999999999</v>
      </c>
      <c r="DM3" s="77">
        <f>'测算-达播'!O$8</f>
        <v>86.67109542061354</v>
      </c>
      <c r="DN3" s="77">
        <f>'测算-达播'!P$8</f>
        <v>115.9181317353885</v>
      </c>
      <c r="DO3" s="77">
        <f>'测算-达播'!Q$8</f>
        <v>146.59185274844512</v>
      </c>
      <c r="DP3" s="77">
        <f>'测算-达播'!R$8</f>
        <v>158.54033709655445</v>
      </c>
      <c r="DQ3" s="77">
        <f>'测算-达播'!S$8</f>
        <v>192.60243426803015</v>
      </c>
      <c r="DR3" s="77">
        <f>'测算-达播'!T$8</f>
        <v>164.06874030239601</v>
      </c>
      <c r="DS3" s="78">
        <f>'测算-达播'!V$8</f>
        <v>1256.6674285714278</v>
      </c>
      <c r="DT3" s="78">
        <f>'测算-达播'!W$8</f>
        <v>864.39259157142783</v>
      </c>
      <c r="DU3" s="79"/>
      <c r="DV3" s="77">
        <f>'测算-私域'!I$8</f>
        <v>24.7803</v>
      </c>
      <c r="DW3" s="77">
        <f>'测算-私域'!J$8</f>
        <v>7.8601000000000001</v>
      </c>
      <c r="DX3" s="77">
        <f>'测算-私域'!K$8</f>
        <v>26.021881</v>
      </c>
      <c r="DY3" s="77">
        <f>'测算-私域'!L$8</f>
        <v>17.22148</v>
      </c>
      <c r="DZ3" s="77">
        <f>'测算-私域'!M$8</f>
        <v>18.578579999999999</v>
      </c>
      <c r="EA3" s="77">
        <f>'测算-私域'!N$8</f>
        <v>20.101900000000001</v>
      </c>
      <c r="EB3" s="77">
        <f>'测算-私域'!O$8</f>
        <v>35.9514</v>
      </c>
      <c r="EC3" s="77">
        <f>'测算-私域'!P$8</f>
        <v>34.632075</v>
      </c>
      <c r="ED3" s="77">
        <f>'测算-私域'!Q$8</f>
        <v>32.628174999999999</v>
      </c>
      <c r="EE3" s="77">
        <f>'测算-私域'!R$8</f>
        <v>29.928999999999998</v>
      </c>
      <c r="EF3" s="77">
        <f>'测算-私域'!S$8</f>
        <v>35.200724999999998</v>
      </c>
      <c r="EG3" s="77">
        <f>'测算-私域'!T$8</f>
        <v>32.198574999999998</v>
      </c>
      <c r="EH3" s="78">
        <f>'测算-私域'!V$8</f>
        <v>315.10419100000001</v>
      </c>
      <c r="EI3" s="78">
        <f>'测算-私域'!W$8</f>
        <v>200.53995</v>
      </c>
      <c r="EJ3" s="61"/>
      <c r="EK3" s="77">
        <f>'测算-外部分销'!I$8</f>
        <v>149.52933200000001</v>
      </c>
      <c r="EL3" s="77">
        <f>'测算-外部分销'!J$8</f>
        <v>86.946837999999985</v>
      </c>
      <c r="EM3" s="77">
        <f>'测算-外部分销'!K$8</f>
        <v>207.22993500000001</v>
      </c>
      <c r="EN3" s="77">
        <f>'测算-外部分销'!L$8</f>
        <v>132.37585200000001</v>
      </c>
      <c r="EO3" s="77">
        <f>'测算-外部分销'!M$8</f>
        <v>169.22012900000001</v>
      </c>
      <c r="EP3" s="77">
        <f>'测算-外部分销'!N$8</f>
        <v>142.91522800000001</v>
      </c>
      <c r="EQ3" s="77">
        <f>'测算-外部分销'!O$8</f>
        <v>53.673420039308191</v>
      </c>
      <c r="ER3" s="77">
        <f>'测算-外部分销'!P$8</f>
        <v>71.785438324177633</v>
      </c>
      <c r="ES3" s="77">
        <f>'测算-外部分销'!Q$8</f>
        <v>90.780969696113843</v>
      </c>
      <c r="ET3" s="77">
        <f>'测算-外部分销'!R$8</f>
        <v>98.180391800298352</v>
      </c>
      <c r="EU3" s="77">
        <f>'测算-外部分销'!S$8</f>
        <v>119.27426675401821</v>
      </c>
      <c r="EV3" s="77">
        <f>'测算-外部分销'!T$8</f>
        <v>101.60400501268217</v>
      </c>
      <c r="EW3" s="78">
        <f>'测算-外部分销'!V$8</f>
        <v>1423.5158056265984</v>
      </c>
      <c r="EX3" s="78">
        <f>'测算-外部分销'!W$8</f>
        <v>535.29849162659843</v>
      </c>
      <c r="EY3" s="5"/>
    </row>
    <row r="4" spans="1:155" s="6" customFormat="1" ht="16" customHeight="1">
      <c r="A4" s="76"/>
      <c r="B4" s="48" t="s">
        <v>48</v>
      </c>
      <c r="C4" s="76"/>
      <c r="D4" s="76"/>
      <c r="E4" s="76"/>
      <c r="F4" s="77">
        <f t="shared" si="0"/>
        <v>413.97461966256162</v>
      </c>
      <c r="G4" s="77">
        <f t="shared" si="0"/>
        <v>245.01228958274865</v>
      </c>
      <c r="H4" s="77">
        <f t="shared" si="0"/>
        <v>437.01890892117831</v>
      </c>
      <c r="I4" s="77">
        <f t="shared" si="0"/>
        <v>367.2097236258187</v>
      </c>
      <c r="J4" s="77">
        <f t="shared" si="0"/>
        <v>463.40024103620783</v>
      </c>
      <c r="K4" s="77">
        <f t="shared" si="0"/>
        <v>451.40470292642584</v>
      </c>
      <c r="L4" s="77">
        <f t="shared" si="0"/>
        <v>284.77935374135944</v>
      </c>
      <c r="M4" s="77">
        <f t="shared" si="0"/>
        <v>375.49932118645387</v>
      </c>
      <c r="N4" s="77">
        <f t="shared" si="0"/>
        <v>470.40683731657509</v>
      </c>
      <c r="O4" s="77">
        <f t="shared" si="0"/>
        <v>506.63822619553599</v>
      </c>
      <c r="P4" s="77">
        <f t="shared" si="0"/>
        <v>615.01703965425099</v>
      </c>
      <c r="Q4" s="77">
        <f t="shared" si="0"/>
        <v>524.78257358729377</v>
      </c>
      <c r="R4" s="78">
        <f>SUM(F4:Q4)</f>
        <v>5155.1438374364097</v>
      </c>
      <c r="S4" s="78">
        <f>SUM(L4:Q4)</f>
        <v>2777.1233516814691</v>
      </c>
      <c r="T4" s="79"/>
      <c r="U4" s="77">
        <f>'测算-高个子抖音'!I$19</f>
        <v>127.68844210697725</v>
      </c>
      <c r="V4" s="77">
        <f>'测算-高个子抖音'!J$19</f>
        <v>73.10702655703011</v>
      </c>
      <c r="W4" s="77">
        <f>'测算-高个子抖音'!K$19</f>
        <v>148.79734682080939</v>
      </c>
      <c r="X4" s="77">
        <f>'测算-高个子抖音'!L$19</f>
        <v>89.778559928356344</v>
      </c>
      <c r="Y4" s="77">
        <f>'测算-高个子抖音'!M$19</f>
        <v>118.57586762191659</v>
      </c>
      <c r="Z4" s="77">
        <f>'测算-高个子抖音'!N$19</f>
        <v>84.002335943987703</v>
      </c>
      <c r="AA4" s="77">
        <f>'测算-高个子抖音'!O$19</f>
        <v>58.110967370660674</v>
      </c>
      <c r="AB4" s="77">
        <f>'测算-高个子抖音'!P$19</f>
        <v>77.720429610965937</v>
      </c>
      <c r="AC4" s="77">
        <f>'测算-高个子抖音'!Q$19</f>
        <v>98.286450984944594</v>
      </c>
      <c r="AD4" s="77">
        <f>'测算-高个子抖音'!R$19</f>
        <v>106.29763372945959</v>
      </c>
      <c r="AE4" s="77">
        <f>'测算-高个子抖音'!S$19</f>
        <v>129.13548304591265</v>
      </c>
      <c r="AF4" s="77">
        <f>'测算-高个子抖音'!T$19</f>
        <v>110.00430037244406</v>
      </c>
      <c r="AG4" s="78">
        <f>'测算-高个子抖音'!V$19</f>
        <v>1221.5048440934647</v>
      </c>
      <c r="AH4" s="78">
        <f>'测算-高个子抖音'!W$19</f>
        <v>579.55526511438745</v>
      </c>
      <c r="AI4" s="79"/>
      <c r="AJ4" s="77">
        <f>'测算-高个子视频号'!I$19</f>
        <v>4.836453635105431</v>
      </c>
      <c r="AK4" s="77">
        <f>'测算-高个子视频号'!J$19</f>
        <v>1.6513278515020762</v>
      </c>
      <c r="AL4" s="77">
        <f>'测算-高个子视频号'!K$19</f>
        <v>3.5046283481234228</v>
      </c>
      <c r="AM4" s="77">
        <f>'测算-高个子视频号'!L$19</f>
        <v>2.3201253765366769</v>
      </c>
      <c r="AN4" s="77">
        <f>'测算-高个子视频号'!M$19</f>
        <v>20.847414719531063</v>
      </c>
      <c r="AO4" s="77">
        <f>'测算-高个子视频号'!N$19</f>
        <v>21.82172413905398</v>
      </c>
      <c r="AP4" s="77">
        <f>'测算-高个子视频号'!O$19</f>
        <v>16.358175531290044</v>
      </c>
      <c r="AQ4" s="77">
        <f>'测算-高个子视频号'!P$19</f>
        <v>21.878218303165696</v>
      </c>
      <c r="AR4" s="77">
        <f>'测算-高个子视频号'!Q$19</f>
        <v>27.667531454157238</v>
      </c>
      <c r="AS4" s="77">
        <f>'测算-高个子视频号'!R$19</f>
        <v>29.922670879252784</v>
      </c>
      <c r="AT4" s="77">
        <f>'测算-高个子视频号'!S$19</f>
        <v>36.351501180644554</v>
      </c>
      <c r="AU4" s="77">
        <f>'测算-高个子视频号'!T$19</f>
        <v>30.966093598326832</v>
      </c>
      <c r="AV4" s="78">
        <f>'测算-高个子视频号'!V$19</f>
        <v>218.1258650166898</v>
      </c>
      <c r="AW4" s="78">
        <f>'测算-高个子视频号'!W$19</f>
        <v>163.14419094683717</v>
      </c>
      <c r="AX4" s="79"/>
      <c r="AY4" s="77">
        <f>'测算-天猫淘宝'!I$18</f>
        <v>8.5813400869565193</v>
      </c>
      <c r="AZ4" s="77">
        <f>'测算-天猫淘宝'!J$18</f>
        <v>4.4148315326086944</v>
      </c>
      <c r="BA4" s="77">
        <f>'测算-天猫淘宝'!K$18</f>
        <v>10.087177548913042</v>
      </c>
      <c r="BB4" s="77">
        <f>'测算-天猫淘宝'!L$18</f>
        <v>10.609945614130432</v>
      </c>
      <c r="BC4" s="77">
        <f>'测算-天猫淘宝'!M$18</f>
        <v>10.097813315217389</v>
      </c>
      <c r="BD4" s="77">
        <f>'测算-天猫淘宝'!N$18</f>
        <v>8.1386421521739116</v>
      </c>
      <c r="BE4" s="77">
        <f>'测算-天猫淘宝'!O$18</f>
        <v>7.4935912999120875</v>
      </c>
      <c r="BF4" s="77">
        <f>'测算-天猫淘宝'!P$18</f>
        <v>10.022292890828924</v>
      </c>
      <c r="BG4" s="77">
        <f>'测算-天猫淘宝'!Q$18</f>
        <v>12.674345778863653</v>
      </c>
      <c r="BH4" s="77">
        <f>'测算-天猫淘宝'!R$18</f>
        <v>13.707412892226021</v>
      </c>
      <c r="BI4" s="77">
        <f>'测算-天猫淘宝'!S$18</f>
        <v>16.65242511091575</v>
      </c>
      <c r="BJ4" s="77">
        <f>'测算-天猫淘宝'!T$18</f>
        <v>14.185399168557861</v>
      </c>
      <c r="BK4" s="78">
        <f>'测算-天猫淘宝'!V$18</f>
        <v>126.66521739130428</v>
      </c>
      <c r="BL4" s="78">
        <f>'测算-天猫淘宝'!W$18</f>
        <v>74.735467141304298</v>
      </c>
      <c r="BM4" s="79"/>
      <c r="BN4" s="77">
        <f>'测算-拼多多'!I$19</f>
        <v>4.7808906618904162E-2</v>
      </c>
      <c r="BO4" s="77">
        <f>'测算-拼多多'!J$19</f>
        <v>8.54695269885207E-2</v>
      </c>
      <c r="BP4" s="77">
        <f>'测算-拼多多'!K$19</f>
        <v>0.11335279654807456</v>
      </c>
      <c r="BQ4" s="77">
        <f>'测算-拼多多'!L$19</f>
        <v>3.6468924529837986E-2</v>
      </c>
      <c r="BR4" s="77">
        <f>'测算-拼多多'!M$19</f>
        <v>0.13959454530652118</v>
      </c>
      <c r="BS4" s="77">
        <f>'测算-拼多多'!N$19</f>
        <v>1.5190950907758689</v>
      </c>
      <c r="BT4" s="77">
        <f>'测算-拼多多'!O$19</f>
        <v>0.89885468982720074</v>
      </c>
      <c r="BU4" s="77">
        <f>'测算-拼多多'!P$19</f>
        <v>1.2021719102627171</v>
      </c>
      <c r="BV4" s="77">
        <f>'测算-拼多多'!Q$19</f>
        <v>1.5202850926706972</v>
      </c>
      <c r="BW4" s="77">
        <f>'测算-拼多多'!R$19</f>
        <v>1.6442012741900858</v>
      </c>
      <c r="BX4" s="77">
        <f>'测算-拼多多'!S$19</f>
        <v>1.9974548662826683</v>
      </c>
      <c r="BY4" s="77">
        <f>'测算-拼多多'!T$19</f>
        <v>1.7015356268333846</v>
      </c>
      <c r="BZ4" s="78">
        <f>'测算-拼多多'!V$19</f>
        <v>10.906293250834482</v>
      </c>
      <c r="CA4" s="78">
        <f>'测算-拼多多'!W$19</f>
        <v>8.9645034600667532</v>
      </c>
      <c r="CB4" s="79"/>
      <c r="CC4" s="77">
        <f>'测算-京东POP'!I$19</f>
        <v>4.2288496295693232</v>
      </c>
      <c r="CD4" s="77">
        <f>'测算-京东POP'!J$19</f>
        <v>2.6519480094439465</v>
      </c>
      <c r="CE4" s="77">
        <f>'测算-京东POP'!K$19</f>
        <v>7.1970929577464782</v>
      </c>
      <c r="CF4" s="77">
        <f>'测算-京东POP'!L$19</f>
        <v>6.0223023691280622</v>
      </c>
      <c r="CG4" s="77">
        <f>'测算-京东POP'!M$19</f>
        <v>5.9465545062281189</v>
      </c>
      <c r="CH4" s="77">
        <f>'测算-京东POP'!N$19</f>
        <v>5.1574371570463233</v>
      </c>
      <c r="CI4" s="77">
        <f>'测算-京东POP'!O$19</f>
        <v>7.806757059889156</v>
      </c>
      <c r="CJ4" s="77">
        <f>'测算-京东POP'!P$19</f>
        <v>10.44113598544846</v>
      </c>
      <c r="CK4" s="77">
        <f>'测算-京东POP'!Q$19</f>
        <v>13.204021200059438</v>
      </c>
      <c r="CL4" s="77">
        <f>'测算-京东POP'!R$19</f>
        <v>14.280261370867203</v>
      </c>
      <c r="CM4" s="77">
        <f>'测算-京东POP'!S$19</f>
        <v>17.348349021975903</v>
      </c>
      <c r="CN4" s="77">
        <f>'测算-京东POP'!T$19</f>
        <v>14.778223240942433</v>
      </c>
      <c r="CO4" s="78">
        <f>'测算-京东POP'!V$19</f>
        <v>109.06293250834486</v>
      </c>
      <c r="CP4" s="78">
        <f>'测算-京东POP'!W$19</f>
        <v>77.858747879182602</v>
      </c>
      <c r="CQ4" s="79"/>
      <c r="CR4" s="77">
        <f>'测算-京东自营'!I$18</f>
        <v>124.11841076086942</v>
      </c>
      <c r="CS4" s="77">
        <f>'测算-京东自营'!J$18</f>
        <v>93.296856521739016</v>
      </c>
      <c r="CT4" s="77">
        <f>'测算-京东自营'!K$18</f>
        <v>12.553137880434768</v>
      </c>
      <c r="CU4" s="77">
        <f>'测算-京东自营'!L$18</f>
        <v>135.96705961956505</v>
      </c>
      <c r="CV4" s="77">
        <f>'测算-京东自营'!M$18</f>
        <v>138.23397440217377</v>
      </c>
      <c r="CW4" s="77">
        <f>'测算-京东自营'!N$18</f>
        <v>204.54203358183062</v>
      </c>
      <c r="CX4" s="77">
        <f>'测算-京东自营'!O$18</f>
        <v>99.906963136451935</v>
      </c>
      <c r="CY4" s="77">
        <f>'测算-京东自营'!P$18</f>
        <v>133.62042394792959</v>
      </c>
      <c r="CZ4" s="77">
        <f>'测算-京东自营'!Q$18</f>
        <v>168.9784438233817</v>
      </c>
      <c r="DA4" s="77">
        <f>'测算-京东自营'!R$18</f>
        <v>182.75162598416833</v>
      </c>
      <c r="DB4" s="77">
        <f>'测算-京东自营'!S$18</f>
        <v>222.01547363655993</v>
      </c>
      <c r="DC4" s="77">
        <f>'测算-京东自营'!T$18</f>
        <v>189.12429235706952</v>
      </c>
      <c r="DD4" s="78">
        <f>'测算-京东自营'!V$18</f>
        <v>1705.1086956521735</v>
      </c>
      <c r="DE4" s="78">
        <f>'测算-京东自营'!W$18</f>
        <v>996.39722288556095</v>
      </c>
      <c r="DF4" s="79"/>
      <c r="DG4" s="77">
        <f>'测算-达播'!I$20</f>
        <v>20.120114536464758</v>
      </c>
      <c r="DH4" s="77">
        <f>'测算-达播'!J$20</f>
        <v>1.64999258343634</v>
      </c>
      <c r="DI4" s="77">
        <f>'测算-达播'!K$20</f>
        <v>73.992790568603169</v>
      </c>
      <c r="DJ4" s="77">
        <f>'测算-达播'!L$20</f>
        <v>14.722257793572302</v>
      </c>
      <c r="DK4" s="77">
        <f>'测算-达播'!M$20</f>
        <v>31.593044925834345</v>
      </c>
      <c r="DL4" s="77">
        <f>'测算-达播'!N$20</f>
        <v>10.661692861557471</v>
      </c>
      <c r="DM4" s="77">
        <f>'测算-达播'!O$20</f>
        <v>33.747089069830963</v>
      </c>
      <c r="DN4" s="77">
        <f>'测算-达播'!P$20</f>
        <v>45.134995669527015</v>
      </c>
      <c r="DO4" s="77">
        <f>'测算-达播'!Q$20</f>
        <v>57.078409908232615</v>
      </c>
      <c r="DP4" s="77">
        <f>'测算-达播'!R$20</f>
        <v>61.73078638493773</v>
      </c>
      <c r="DQ4" s="77">
        <f>'测算-达播'!S$20</f>
        <v>74.993531266291043</v>
      </c>
      <c r="DR4" s="77">
        <f>'测算-达播'!T$20</f>
        <v>63.883378486099765</v>
      </c>
      <c r="DS4" s="78">
        <f>'测算-达播'!V$20</f>
        <v>489.30808405438756</v>
      </c>
      <c r="DT4" s="78">
        <f>'测算-达播'!W$20</f>
        <v>336.56819078491912</v>
      </c>
      <c r="DU4" s="79"/>
      <c r="DV4" s="77">
        <f>'测算-私域'!I$19</f>
        <v>0</v>
      </c>
      <c r="DW4" s="77">
        <f>'测算-私域'!J$19</f>
        <v>0</v>
      </c>
      <c r="DX4" s="77">
        <f>'测算-私域'!K$19</f>
        <v>0</v>
      </c>
      <c r="DY4" s="77">
        <f>'测算-私域'!L$19</f>
        <v>0</v>
      </c>
      <c r="DZ4" s="77">
        <f>'测算-私域'!M$19</f>
        <v>0</v>
      </c>
      <c r="EA4" s="77">
        <f>'测算-私域'!N$19</f>
        <v>0</v>
      </c>
      <c r="EB4" s="77">
        <f>'测算-私域'!O$19</f>
        <v>14.265523664122099</v>
      </c>
      <c r="EC4" s="77">
        <f>'测算-私域'!P$19</f>
        <v>13.700988778626</v>
      </c>
      <c r="ED4" s="77">
        <f>'测算-私域'!Q$19</f>
        <v>12.871100025445299</v>
      </c>
      <c r="EE4" s="77">
        <f>'测算-私域'!R$19</f>
        <v>11.8094300254453</v>
      </c>
      <c r="EF4" s="77">
        <f>'测算-私域'!S$19</f>
        <v>13.875195038167901</v>
      </c>
      <c r="EG4" s="77">
        <f>'测算-私域'!T$19</f>
        <v>12.6987800254453</v>
      </c>
      <c r="EH4" s="78">
        <f>'测算-私域'!V$19</f>
        <v>79.221017557251898</v>
      </c>
      <c r="EI4" s="78">
        <f>'测算-私域'!W$19</f>
        <v>79.221017557251898</v>
      </c>
      <c r="EJ4" s="61"/>
      <c r="EK4" s="77">
        <f>'测算-外部分销'!I$19</f>
        <v>124.3532</v>
      </c>
      <c r="EL4" s="77">
        <f>'测算-外部分销'!J$19</f>
        <v>68.154836999999986</v>
      </c>
      <c r="EM4" s="77">
        <f>'测算-外部分销'!K$19</f>
        <v>180.773382</v>
      </c>
      <c r="EN4" s="77">
        <f>'测算-外部分销'!L$19</f>
        <v>107.753004</v>
      </c>
      <c r="EO4" s="77">
        <f>'测算-外部分销'!M$19</f>
        <v>137.96597700000001</v>
      </c>
      <c r="EP4" s="77">
        <f>'测算-外部分销'!N$19</f>
        <v>115.561742</v>
      </c>
      <c r="EQ4" s="77">
        <f>'测算-外部分销'!O$19</f>
        <v>46.191431919375283</v>
      </c>
      <c r="ER4" s="77">
        <f>'测算-外部分销'!P$19</f>
        <v>61.778664089699461</v>
      </c>
      <c r="ES4" s="77">
        <f>'测算-外部分销'!Q$19</f>
        <v>78.126249048819915</v>
      </c>
      <c r="ET4" s="77">
        <f>'测算-外部分销'!R$19</f>
        <v>84.494203654988965</v>
      </c>
      <c r="EU4" s="77">
        <f>'测算-外部分销'!S$19</f>
        <v>102.64762648750063</v>
      </c>
      <c r="EV4" s="77">
        <f>'测算-外部分销'!T$19</f>
        <v>87.440570711574594</v>
      </c>
      <c r="EW4" s="78">
        <f>'测算-外部分销'!V$19</f>
        <v>1195.2408879119589</v>
      </c>
      <c r="EX4" s="78">
        <f>'测算-外部分销'!W$19</f>
        <v>460.67874591195886</v>
      </c>
      <c r="EY4" s="5"/>
    </row>
    <row r="5" spans="1:155" s="6" customFormat="1" ht="16" customHeight="1">
      <c r="A5" s="76"/>
      <c r="B5" s="48" t="s">
        <v>49</v>
      </c>
      <c r="C5" s="76"/>
      <c r="D5" s="76"/>
      <c r="E5" s="76"/>
      <c r="F5" s="77">
        <f t="shared" ref="F5:Q5" si="1">F3-F4</f>
        <v>682.5657083374382</v>
      </c>
      <c r="G5" s="77">
        <f t="shared" si="1"/>
        <v>419.94732041725138</v>
      </c>
      <c r="H5" s="77">
        <f t="shared" si="1"/>
        <v>575.27586107882189</v>
      </c>
      <c r="I5" s="77">
        <f t="shared" si="1"/>
        <v>610.64002737418127</v>
      </c>
      <c r="J5" s="77">
        <f t="shared" si="1"/>
        <v>754.70294196379234</v>
      </c>
      <c r="K5" s="77">
        <f t="shared" si="1"/>
        <v>789.18586830264212</v>
      </c>
      <c r="L5" s="77">
        <f t="shared" si="1"/>
        <v>507.06453868500779</v>
      </c>
      <c r="M5" s="77">
        <f t="shared" si="1"/>
        <v>670.10007907514841</v>
      </c>
      <c r="N5" s="77">
        <f t="shared" si="1"/>
        <v>840.70617055271259</v>
      </c>
      <c r="O5" s="77">
        <f t="shared" si="1"/>
        <v>905.98300789302516</v>
      </c>
      <c r="P5" s="77">
        <f t="shared" si="1"/>
        <v>1099.9447796265654</v>
      </c>
      <c r="Q5" s="77">
        <f t="shared" si="1"/>
        <v>938.32360024451225</v>
      </c>
      <c r="R5" s="78">
        <f>SUM(F5:Q5)</f>
        <v>8794.4399035510996</v>
      </c>
      <c r="S5" s="78">
        <f>SUM(L5:Q5)</f>
        <v>4962.1221760769713</v>
      </c>
      <c r="T5" s="79"/>
      <c r="U5" s="77">
        <f t="shared" ref="U5:AH5" si="2">U3-U4</f>
        <v>285.04764589302272</v>
      </c>
      <c r="V5" s="77">
        <f t="shared" si="2"/>
        <v>163.20181744296988</v>
      </c>
      <c r="W5" s="77">
        <f t="shared" si="2"/>
        <v>332.17049817919064</v>
      </c>
      <c r="X5" s="77">
        <f t="shared" si="2"/>
        <v>200.41882207164366</v>
      </c>
      <c r="Y5" s="77">
        <f t="shared" si="2"/>
        <v>264.70502237808341</v>
      </c>
      <c r="Z5" s="77">
        <f t="shared" si="2"/>
        <v>187.5241620560123</v>
      </c>
      <c r="AA5" s="77">
        <f t="shared" si="2"/>
        <v>129.7250884750826</v>
      </c>
      <c r="AB5" s="77">
        <f t="shared" si="2"/>
        <v>173.50063273416399</v>
      </c>
      <c r="AC5" s="77">
        <f t="shared" si="2"/>
        <v>219.41156939612731</v>
      </c>
      <c r="AD5" s="77">
        <f t="shared" si="2"/>
        <v>237.29548077026433</v>
      </c>
      <c r="AE5" s="77">
        <f t="shared" si="2"/>
        <v>288.27797438907248</v>
      </c>
      <c r="AF5" s="77">
        <f t="shared" si="2"/>
        <v>245.57012633143205</v>
      </c>
      <c r="AG5" s="78">
        <f t="shared" si="2"/>
        <v>2726.8488401170657</v>
      </c>
      <c r="AH5" s="78">
        <f t="shared" si="2"/>
        <v>1293.780872096143</v>
      </c>
      <c r="AI5" s="79"/>
      <c r="AJ5" s="77">
        <f t="shared" ref="AJ5:AW5" si="3">AJ3-AJ4</f>
        <v>10.79674636489457</v>
      </c>
      <c r="AK5" s="77">
        <f t="shared" si="3"/>
        <v>3.6863721484979237</v>
      </c>
      <c r="AL5" s="77">
        <f t="shared" si="3"/>
        <v>7.8236216518765778</v>
      </c>
      <c r="AM5" s="77">
        <f t="shared" si="3"/>
        <v>5.1793746234633229</v>
      </c>
      <c r="AN5" s="77">
        <f t="shared" si="3"/>
        <v>46.539110280468947</v>
      </c>
      <c r="AO5" s="77">
        <f t="shared" si="3"/>
        <v>48.714127860946022</v>
      </c>
      <c r="AP5" s="77">
        <f t="shared" si="3"/>
        <v>36.517474482087749</v>
      </c>
      <c r="AQ5" s="77">
        <f t="shared" si="3"/>
        <v>48.84024364888279</v>
      </c>
      <c r="AR5" s="77">
        <f t="shared" si="3"/>
        <v>61.764123506741001</v>
      </c>
      <c r="AS5" s="77">
        <f t="shared" si="3"/>
        <v>66.798425544395087</v>
      </c>
      <c r="AT5" s="77">
        <f t="shared" si="3"/>
        <v>81.149943293528338</v>
      </c>
      <c r="AU5" s="77">
        <f t="shared" si="3"/>
        <v>69.127729472264861</v>
      </c>
      <c r="AV5" s="78">
        <f t="shared" si="3"/>
        <v>486.93729287804729</v>
      </c>
      <c r="AW5" s="78">
        <f t="shared" si="3"/>
        <v>364.19793994789984</v>
      </c>
      <c r="AX5" s="79"/>
      <c r="AY5" s="77">
        <f t="shared" ref="AY5:BL5" si="4">AY3-AY4</f>
        <v>19.11982791304348</v>
      </c>
      <c r="AZ5" s="77">
        <f t="shared" si="4"/>
        <v>9.8365544673913039</v>
      </c>
      <c r="BA5" s="77">
        <f t="shared" si="4"/>
        <v>22.474939451086961</v>
      </c>
      <c r="BB5" s="77">
        <f t="shared" si="4"/>
        <v>23.639703385869566</v>
      </c>
      <c r="BC5" s="77">
        <f t="shared" si="4"/>
        <v>22.49863668478261</v>
      </c>
      <c r="BD5" s="77">
        <f t="shared" si="4"/>
        <v>18.133465847826091</v>
      </c>
      <c r="BE5" s="77">
        <f t="shared" si="4"/>
        <v>16.69624728226027</v>
      </c>
      <c r="BF5" s="77">
        <f t="shared" si="4"/>
        <v>22.330371879566208</v>
      </c>
      <c r="BG5" s="77">
        <f t="shared" si="4"/>
        <v>28.239331823082182</v>
      </c>
      <c r="BH5" s="77">
        <f t="shared" si="4"/>
        <v>30.541077847591321</v>
      </c>
      <c r="BI5" s="77">
        <f t="shared" si="4"/>
        <v>37.102771738356154</v>
      </c>
      <c r="BJ5" s="77">
        <f t="shared" si="4"/>
        <v>31.606064814155243</v>
      </c>
      <c r="BK5" s="78">
        <f t="shared" si="4"/>
        <v>282.21899313501137</v>
      </c>
      <c r="BL5" s="78">
        <f t="shared" si="4"/>
        <v>166.51586538501138</v>
      </c>
      <c r="BM5" s="79"/>
      <c r="BN5" s="77">
        <f t="shared" ref="BN5:CA5" si="5">BN3-BN4</f>
        <v>0.10672709338109582</v>
      </c>
      <c r="BO5" s="77">
        <f t="shared" si="5"/>
        <v>0.19079947301147929</v>
      </c>
      <c r="BP5" s="77">
        <f t="shared" si="5"/>
        <v>0.25304520345192544</v>
      </c>
      <c r="BQ5" s="77">
        <f t="shared" si="5"/>
        <v>8.1412075470162021E-2</v>
      </c>
      <c r="BR5" s="77">
        <f t="shared" si="5"/>
        <v>0.31162645469347883</v>
      </c>
      <c r="BS5" s="77">
        <f t="shared" si="5"/>
        <v>3.3911799092241317</v>
      </c>
      <c r="BT5" s="77">
        <f t="shared" si="5"/>
        <v>2.0065748246853015</v>
      </c>
      <c r="BU5" s="77">
        <f t="shared" si="5"/>
        <v>2.6836906091470083</v>
      </c>
      <c r="BV5" s="77">
        <f t="shared" si="5"/>
        <v>3.3938364318751386</v>
      </c>
      <c r="BW5" s="77">
        <f t="shared" si="5"/>
        <v>3.6704630023564473</v>
      </c>
      <c r="BX5" s="77">
        <f t="shared" si="5"/>
        <v>4.459055165967337</v>
      </c>
      <c r="BY5" s="77">
        <f t="shared" si="5"/>
        <v>3.798454400638843</v>
      </c>
      <c r="BZ5" s="78">
        <f t="shared" si="5"/>
        <v>24.34686464390235</v>
      </c>
      <c r="CA5" s="78">
        <f t="shared" si="5"/>
        <v>20.012074434670076</v>
      </c>
      <c r="CB5" s="79"/>
      <c r="CC5" s="77">
        <f t="shared" ref="CC5:CP5" si="6">CC3-CC4</f>
        <v>9.4403503704306768</v>
      </c>
      <c r="CD5" s="77">
        <f t="shared" si="6"/>
        <v>5.9201249905560527</v>
      </c>
      <c r="CE5" s="77">
        <f t="shared" si="6"/>
        <v>16.066563042253524</v>
      </c>
      <c r="CF5" s="77">
        <f t="shared" si="6"/>
        <v>13.443997630871937</v>
      </c>
      <c r="CG5" s="77">
        <f t="shared" si="6"/>
        <v>13.274900493771881</v>
      </c>
      <c r="CH5" s="77">
        <f t="shared" si="6"/>
        <v>11.513299842953675</v>
      </c>
      <c r="CI5" s="77">
        <f t="shared" si="6"/>
        <v>17.427557931326241</v>
      </c>
      <c r="CJ5" s="77">
        <f t="shared" si="6"/>
        <v>23.308462253831394</v>
      </c>
      <c r="CK5" s="77">
        <f t="shared" si="6"/>
        <v>29.476239957922168</v>
      </c>
      <c r="CL5" s="77">
        <f t="shared" si="6"/>
        <v>31.878804528701714</v>
      </c>
      <c r="CM5" s="77">
        <f t="shared" si="6"/>
        <v>38.727906514058319</v>
      </c>
      <c r="CN5" s="77">
        <f t="shared" si="6"/>
        <v>32.99043888234597</v>
      </c>
      <c r="CO5" s="78">
        <f t="shared" si="6"/>
        <v>243.46864643902356</v>
      </c>
      <c r="CP5" s="78">
        <f t="shared" si="6"/>
        <v>173.80941006818583</v>
      </c>
      <c r="CQ5" s="79"/>
      <c r="CR5" s="77">
        <f t="shared" ref="CR5:DE5" si="7">CR3-CR4</f>
        <v>276.54452923913055</v>
      </c>
      <c r="CS5" s="77">
        <f t="shared" si="7"/>
        <v>207.87194347826096</v>
      </c>
      <c r="CT5" s="77">
        <f t="shared" si="7"/>
        <v>27.969272119565233</v>
      </c>
      <c r="CU5" s="77">
        <f t="shared" si="7"/>
        <v>302.94415038043496</v>
      </c>
      <c r="CV5" s="77">
        <f t="shared" si="7"/>
        <v>307.99499559782623</v>
      </c>
      <c r="CW5" s="77">
        <f t="shared" si="7"/>
        <v>455.73400464723738</v>
      </c>
      <c r="CX5" s="77">
        <f t="shared" si="7"/>
        <v>222.5997248829722</v>
      </c>
      <c r="CY5" s="77">
        <f t="shared" si="7"/>
        <v>297.71568142784361</v>
      </c>
      <c r="CZ5" s="77">
        <f t="shared" si="7"/>
        <v>376.4958309749037</v>
      </c>
      <c r="DA5" s="77">
        <f t="shared" si="7"/>
        <v>407.18344736823542</v>
      </c>
      <c r="DB5" s="77">
        <f t="shared" si="7"/>
        <v>494.66605529549395</v>
      </c>
      <c r="DC5" s="77">
        <f t="shared" si="7"/>
        <v>421.38219525171701</v>
      </c>
      <c r="DD5" s="78">
        <f t="shared" si="7"/>
        <v>3799.1018306636211</v>
      </c>
      <c r="DE5" s="78">
        <f t="shared" si="7"/>
        <v>2220.0429352011661</v>
      </c>
      <c r="DF5" s="79"/>
      <c r="DG5" s="77">
        <f t="shared" ref="DG5:DT5" si="8">DG3-DG4</f>
        <v>31.553449463535241</v>
      </c>
      <c r="DH5" s="77">
        <f t="shared" si="8"/>
        <v>2.5876074165636593</v>
      </c>
      <c r="DI5" s="77">
        <f t="shared" si="8"/>
        <v>116.03948743139682</v>
      </c>
      <c r="DJ5" s="77">
        <f t="shared" si="8"/>
        <v>23.088239206427694</v>
      </c>
      <c r="DK5" s="77">
        <f t="shared" si="8"/>
        <v>49.545918074165655</v>
      </c>
      <c r="DL5" s="77">
        <f t="shared" si="8"/>
        <v>16.720242138442529</v>
      </c>
      <c r="DM5" s="77">
        <f t="shared" si="8"/>
        <v>52.924006350782577</v>
      </c>
      <c r="DN5" s="77">
        <f t="shared" si="8"/>
        <v>70.783136065861484</v>
      </c>
      <c r="DO5" s="77">
        <f t="shared" si="8"/>
        <v>89.513442840212505</v>
      </c>
      <c r="DP5" s="77">
        <f t="shared" si="8"/>
        <v>96.809550711616723</v>
      </c>
      <c r="DQ5" s="77">
        <f t="shared" si="8"/>
        <v>117.60890300173911</v>
      </c>
      <c r="DR5" s="77">
        <f t="shared" si="8"/>
        <v>100.18536181629625</v>
      </c>
      <c r="DS5" s="78">
        <f t="shared" si="8"/>
        <v>767.3593445170402</v>
      </c>
      <c r="DT5" s="78">
        <f t="shared" si="8"/>
        <v>527.8244007865087</v>
      </c>
      <c r="DU5" s="79"/>
      <c r="DV5" s="77">
        <f t="shared" ref="DV5:EI5" si="9">DV3-DV4</f>
        <v>24.7803</v>
      </c>
      <c r="DW5" s="77">
        <f t="shared" si="9"/>
        <v>7.8601000000000001</v>
      </c>
      <c r="DX5" s="77">
        <f t="shared" si="9"/>
        <v>26.021881</v>
      </c>
      <c r="DY5" s="77">
        <f t="shared" si="9"/>
        <v>17.22148</v>
      </c>
      <c r="DZ5" s="77">
        <f t="shared" si="9"/>
        <v>18.578579999999999</v>
      </c>
      <c r="EA5" s="77">
        <f t="shared" si="9"/>
        <v>20.101900000000001</v>
      </c>
      <c r="EB5" s="77">
        <f t="shared" si="9"/>
        <v>21.6858763358779</v>
      </c>
      <c r="EC5" s="77">
        <f t="shared" si="9"/>
        <v>20.931086221374002</v>
      </c>
      <c r="ED5" s="77">
        <f t="shared" si="9"/>
        <v>19.757074974554698</v>
      </c>
      <c r="EE5" s="77">
        <f t="shared" si="9"/>
        <v>18.1195699745547</v>
      </c>
      <c r="EF5" s="77">
        <f t="shared" si="9"/>
        <v>21.325529961832096</v>
      </c>
      <c r="EG5" s="77">
        <f t="shared" si="9"/>
        <v>19.499794974554696</v>
      </c>
      <c r="EH5" s="78">
        <f t="shared" si="9"/>
        <v>235.8831734427481</v>
      </c>
      <c r="EI5" s="78">
        <f t="shared" si="9"/>
        <v>121.31893244274811</v>
      </c>
      <c r="EJ5" s="61"/>
      <c r="EK5" s="77">
        <f t="shared" ref="EK5:EX5" si="10">EK3-EK4</f>
        <v>25.17613200000001</v>
      </c>
      <c r="EL5" s="77">
        <f t="shared" si="10"/>
        <v>18.792000999999999</v>
      </c>
      <c r="EM5" s="77">
        <f t="shared" si="10"/>
        <v>26.456553000000014</v>
      </c>
      <c r="EN5" s="77">
        <f t="shared" si="10"/>
        <v>24.622848000000005</v>
      </c>
      <c r="EO5" s="77">
        <f t="shared" si="10"/>
        <v>31.254152000000005</v>
      </c>
      <c r="EP5" s="77">
        <f t="shared" si="10"/>
        <v>27.353486000000018</v>
      </c>
      <c r="EQ5" s="77">
        <f t="shared" si="10"/>
        <v>7.4819881199329075</v>
      </c>
      <c r="ER5" s="77">
        <f t="shared" si="10"/>
        <v>10.006774234478172</v>
      </c>
      <c r="ES5" s="77">
        <f t="shared" si="10"/>
        <v>12.654720647293928</v>
      </c>
      <c r="ET5" s="77">
        <f t="shared" si="10"/>
        <v>13.686188145309387</v>
      </c>
      <c r="EU5" s="77">
        <f t="shared" si="10"/>
        <v>16.626640266517583</v>
      </c>
      <c r="EV5" s="77">
        <f t="shared" si="10"/>
        <v>14.163434301107571</v>
      </c>
      <c r="EW5" s="78">
        <f t="shared" si="10"/>
        <v>228.27491771463951</v>
      </c>
      <c r="EX5" s="78">
        <f t="shared" si="10"/>
        <v>74.619745714639578</v>
      </c>
      <c r="EY5" s="5"/>
    </row>
    <row r="6" spans="1:155" s="8" customFormat="1" ht="16" customHeight="1">
      <c r="A6" s="80"/>
      <c r="B6" s="81" t="s">
        <v>51</v>
      </c>
      <c r="C6" s="80"/>
      <c r="D6" s="80"/>
      <c r="E6" s="80"/>
      <c r="F6" s="82">
        <f t="shared" ref="F6:S6" si="11">IFERROR(F5/F3,0)</f>
        <v>0.62247205224306013</v>
      </c>
      <c r="G6" s="82">
        <f t="shared" si="11"/>
        <v>0.63153808757986274</v>
      </c>
      <c r="H6" s="82">
        <f t="shared" si="11"/>
        <v>0.56828888000559541</v>
      </c>
      <c r="I6" s="82">
        <f t="shared" si="11"/>
        <v>0.6244722430513574</v>
      </c>
      <c r="J6" s="82">
        <f t="shared" si="11"/>
        <v>0.61957225996657805</v>
      </c>
      <c r="K6" s="82">
        <f t="shared" si="11"/>
        <v>0.63613724511930325</v>
      </c>
      <c r="L6" s="82">
        <f t="shared" si="11"/>
        <v>0.64035922172899651</v>
      </c>
      <c r="M6" s="82">
        <f t="shared" si="11"/>
        <v>0.64087649524999113</v>
      </c>
      <c r="N6" s="82">
        <f t="shared" si="11"/>
        <v>0.64121564312671919</v>
      </c>
      <c r="O6" s="82">
        <f t="shared" si="11"/>
        <v>0.64134885277834253</v>
      </c>
      <c r="P6" s="82">
        <f t="shared" si="11"/>
        <v>0.6413814973955726</v>
      </c>
      <c r="Q6" s="82">
        <f t="shared" si="11"/>
        <v>0.6413229723356898</v>
      </c>
      <c r="R6" s="83">
        <f t="shared" si="11"/>
        <v>0.63044461159874943</v>
      </c>
      <c r="S6" s="83">
        <f t="shared" si="11"/>
        <v>0.64116355506221778</v>
      </c>
      <c r="T6" s="84"/>
      <c r="U6" s="82">
        <f t="shared" ref="U6:AH6" si="12">IFERROR(U5/U3,0)</f>
        <v>0.69062932508344832</v>
      </c>
      <c r="V6" s="82">
        <f t="shared" si="12"/>
        <v>0.69062932508344832</v>
      </c>
      <c r="W6" s="82">
        <f t="shared" si="12"/>
        <v>0.69062932508344843</v>
      </c>
      <c r="X6" s="82">
        <f t="shared" si="12"/>
        <v>0.69062932508344843</v>
      </c>
      <c r="Y6" s="82">
        <f t="shared" si="12"/>
        <v>0.69062932508344832</v>
      </c>
      <c r="Z6" s="82">
        <f t="shared" si="12"/>
        <v>0.69062932508344843</v>
      </c>
      <c r="AA6" s="82">
        <f t="shared" si="12"/>
        <v>0.69062932508344843</v>
      </c>
      <c r="AB6" s="82">
        <f t="shared" si="12"/>
        <v>0.69062932508344843</v>
      </c>
      <c r="AC6" s="82">
        <f t="shared" si="12"/>
        <v>0.69062932508344832</v>
      </c>
      <c r="AD6" s="82">
        <f t="shared" si="12"/>
        <v>0.69062932508344832</v>
      </c>
      <c r="AE6" s="82">
        <f t="shared" si="12"/>
        <v>0.69062932508344832</v>
      </c>
      <c r="AF6" s="82">
        <f t="shared" si="12"/>
        <v>0.69062932508344843</v>
      </c>
      <c r="AG6" s="83">
        <f t="shared" si="12"/>
        <v>0.69062932508344843</v>
      </c>
      <c r="AH6" s="83">
        <f t="shared" si="12"/>
        <v>0.69062932508344843</v>
      </c>
      <c r="AI6" s="84"/>
      <c r="AJ6" s="82">
        <f t="shared" ref="AJ6:AW6" si="13">IFERROR(AJ5/AJ3,0)</f>
        <v>0.69062932508344865</v>
      </c>
      <c r="AK6" s="82">
        <f t="shared" si="13"/>
        <v>0.69062932508344865</v>
      </c>
      <c r="AL6" s="82">
        <f t="shared" si="13"/>
        <v>0.69062932508344865</v>
      </c>
      <c r="AM6" s="82">
        <f t="shared" si="13"/>
        <v>0.69062932508344854</v>
      </c>
      <c r="AN6" s="82">
        <f t="shared" si="13"/>
        <v>0.69062932508344865</v>
      </c>
      <c r="AO6" s="82">
        <f t="shared" si="13"/>
        <v>0.69062932508344854</v>
      </c>
      <c r="AP6" s="82">
        <f t="shared" si="13"/>
        <v>0.69062932508344865</v>
      </c>
      <c r="AQ6" s="82">
        <f t="shared" si="13"/>
        <v>0.69062932508344865</v>
      </c>
      <c r="AR6" s="82">
        <f t="shared" si="13"/>
        <v>0.69062932508344854</v>
      </c>
      <c r="AS6" s="82">
        <f t="shared" si="13"/>
        <v>0.69062932508344854</v>
      </c>
      <c r="AT6" s="82">
        <f t="shared" si="13"/>
        <v>0.69062932508344854</v>
      </c>
      <c r="AU6" s="82">
        <f t="shared" si="13"/>
        <v>0.69062932508344865</v>
      </c>
      <c r="AV6" s="83">
        <f t="shared" si="13"/>
        <v>0.69062932508344876</v>
      </c>
      <c r="AW6" s="83">
        <f t="shared" si="13"/>
        <v>0.69062932508344865</v>
      </c>
      <c r="AX6" s="84"/>
      <c r="AY6" s="82">
        <f t="shared" ref="AY6:BL6" si="14">IFERROR(AY5/AY3,0)</f>
        <v>0.69021739130434789</v>
      </c>
      <c r="AZ6" s="82">
        <f t="shared" si="14"/>
        <v>0.69021739130434789</v>
      </c>
      <c r="BA6" s="82">
        <f t="shared" si="14"/>
        <v>0.69021739130434789</v>
      </c>
      <c r="BB6" s="82">
        <f t="shared" si="14"/>
        <v>0.69021739130434789</v>
      </c>
      <c r="BC6" s="82">
        <f t="shared" si="14"/>
        <v>0.69021739130434789</v>
      </c>
      <c r="BD6" s="82">
        <f t="shared" si="14"/>
        <v>0.69021739130434789</v>
      </c>
      <c r="BE6" s="82">
        <f t="shared" si="14"/>
        <v>0.69021739130434789</v>
      </c>
      <c r="BF6" s="82">
        <f t="shared" si="14"/>
        <v>0.690217391304348</v>
      </c>
      <c r="BG6" s="82">
        <f t="shared" si="14"/>
        <v>0.69021739130434789</v>
      </c>
      <c r="BH6" s="82">
        <f t="shared" si="14"/>
        <v>0.69021739130434789</v>
      </c>
      <c r="BI6" s="82">
        <f t="shared" si="14"/>
        <v>0.69021739130434789</v>
      </c>
      <c r="BJ6" s="82">
        <f t="shared" si="14"/>
        <v>0.69021739130434789</v>
      </c>
      <c r="BK6" s="83">
        <f t="shared" si="14"/>
        <v>0.69021739130434789</v>
      </c>
      <c r="BL6" s="83">
        <f t="shared" si="14"/>
        <v>0.69021739130434789</v>
      </c>
      <c r="BM6" s="84"/>
      <c r="BN6" s="82">
        <f t="shared" ref="BN6:CA6" si="15">IFERROR(BN5/BN3,0)</f>
        <v>0.69062932508344876</v>
      </c>
      <c r="BO6" s="82">
        <f t="shared" si="15"/>
        <v>0.69062932508344876</v>
      </c>
      <c r="BP6" s="82">
        <f t="shared" si="15"/>
        <v>0.69062932508344865</v>
      </c>
      <c r="BQ6" s="82">
        <f t="shared" si="15"/>
        <v>0.69062932508344876</v>
      </c>
      <c r="BR6" s="82">
        <f t="shared" si="15"/>
        <v>0.69062932508344876</v>
      </c>
      <c r="BS6" s="82">
        <f t="shared" si="15"/>
        <v>0.69062932508344876</v>
      </c>
      <c r="BT6" s="82">
        <f t="shared" si="15"/>
        <v>0.69062932508344876</v>
      </c>
      <c r="BU6" s="82">
        <f t="shared" si="15"/>
        <v>0.69062932508344876</v>
      </c>
      <c r="BV6" s="82">
        <f t="shared" si="15"/>
        <v>0.69062932508344865</v>
      </c>
      <c r="BW6" s="82">
        <f t="shared" si="15"/>
        <v>0.69062932508344876</v>
      </c>
      <c r="BX6" s="82">
        <f t="shared" si="15"/>
        <v>0.69062932508344876</v>
      </c>
      <c r="BY6" s="82">
        <f t="shared" si="15"/>
        <v>0.69062932508344865</v>
      </c>
      <c r="BZ6" s="83">
        <f t="shared" si="15"/>
        <v>0.69062932508344876</v>
      </c>
      <c r="CA6" s="83">
        <f t="shared" si="15"/>
        <v>0.69062932508344876</v>
      </c>
      <c r="CB6" s="84"/>
      <c r="CC6" s="82">
        <f t="shared" ref="CC6:CP6" si="16">IFERROR(CC5/CC3,0)</f>
        <v>0.69062932508344865</v>
      </c>
      <c r="CD6" s="82">
        <f t="shared" si="16"/>
        <v>0.69062932508344865</v>
      </c>
      <c r="CE6" s="82">
        <f t="shared" si="16"/>
        <v>0.69062932508344876</v>
      </c>
      <c r="CF6" s="82">
        <f t="shared" si="16"/>
        <v>0.69062932508344865</v>
      </c>
      <c r="CG6" s="82">
        <f t="shared" si="16"/>
        <v>0.69062932508344876</v>
      </c>
      <c r="CH6" s="82">
        <f t="shared" si="16"/>
        <v>0.69062932508344865</v>
      </c>
      <c r="CI6" s="82">
        <f t="shared" si="16"/>
        <v>0.69062932508344865</v>
      </c>
      <c r="CJ6" s="82">
        <f t="shared" si="16"/>
        <v>0.69062932508344865</v>
      </c>
      <c r="CK6" s="82">
        <f t="shared" si="16"/>
        <v>0.69062932508344876</v>
      </c>
      <c r="CL6" s="82">
        <f t="shared" si="16"/>
        <v>0.69062932508344876</v>
      </c>
      <c r="CM6" s="82">
        <f t="shared" si="16"/>
        <v>0.69062932508344865</v>
      </c>
      <c r="CN6" s="82">
        <f t="shared" si="16"/>
        <v>0.69062932508344876</v>
      </c>
      <c r="CO6" s="83">
        <f t="shared" si="16"/>
        <v>0.69062932508344865</v>
      </c>
      <c r="CP6" s="83">
        <f t="shared" si="16"/>
        <v>0.69062932508344876</v>
      </c>
      <c r="CQ6" s="84"/>
      <c r="CR6" s="82">
        <f t="shared" ref="CR6:DE6" si="17">IFERROR(CR5/CR3,0)</f>
        <v>0.69021739130434812</v>
      </c>
      <c r="CS6" s="82">
        <f t="shared" si="17"/>
        <v>0.69021739130434823</v>
      </c>
      <c r="CT6" s="82">
        <f t="shared" si="17"/>
        <v>0.69021739130434823</v>
      </c>
      <c r="CU6" s="82">
        <f t="shared" si="17"/>
        <v>0.69021739130434823</v>
      </c>
      <c r="CV6" s="82">
        <f t="shared" si="17"/>
        <v>0.69021739130434812</v>
      </c>
      <c r="CW6" s="82">
        <f t="shared" si="17"/>
        <v>0.69021739130434812</v>
      </c>
      <c r="CX6" s="82">
        <f t="shared" si="17"/>
        <v>0.69021739130434812</v>
      </c>
      <c r="CY6" s="82">
        <f t="shared" si="17"/>
        <v>0.69021739130434823</v>
      </c>
      <c r="CZ6" s="82">
        <f t="shared" si="17"/>
        <v>0.69021739130434823</v>
      </c>
      <c r="DA6" s="82">
        <f t="shared" si="17"/>
        <v>0.69021739130434823</v>
      </c>
      <c r="DB6" s="82">
        <f t="shared" si="17"/>
        <v>0.69021739130434812</v>
      </c>
      <c r="DC6" s="82">
        <f t="shared" si="17"/>
        <v>0.69021739130434823</v>
      </c>
      <c r="DD6" s="83">
        <f t="shared" si="17"/>
        <v>0.69021739130434823</v>
      </c>
      <c r="DE6" s="83">
        <f t="shared" si="17"/>
        <v>0.69021739130434823</v>
      </c>
      <c r="DF6" s="84"/>
      <c r="DG6" s="82">
        <f t="shared" ref="DG6:DT6" si="18">IFERROR(DG5/DG3,0)</f>
        <v>0.61063040791100154</v>
      </c>
      <c r="DH6" s="82">
        <f t="shared" si="18"/>
        <v>0.61063040791100143</v>
      </c>
      <c r="DI6" s="82">
        <f t="shared" si="18"/>
        <v>0.61063040791100143</v>
      </c>
      <c r="DJ6" s="82">
        <f t="shared" si="18"/>
        <v>0.61063040791100143</v>
      </c>
      <c r="DK6" s="82">
        <f t="shared" si="18"/>
        <v>0.61063040791100143</v>
      </c>
      <c r="DL6" s="82">
        <f t="shared" si="18"/>
        <v>0.61063040791100154</v>
      </c>
      <c r="DM6" s="82">
        <f t="shared" si="18"/>
        <v>0.61063040791100143</v>
      </c>
      <c r="DN6" s="82">
        <f t="shared" si="18"/>
        <v>0.61063040791100143</v>
      </c>
      <c r="DO6" s="82">
        <f t="shared" si="18"/>
        <v>0.61063040791100143</v>
      </c>
      <c r="DP6" s="82">
        <f t="shared" si="18"/>
        <v>0.61063040791100143</v>
      </c>
      <c r="DQ6" s="82">
        <f t="shared" si="18"/>
        <v>0.61063040791100154</v>
      </c>
      <c r="DR6" s="82">
        <f t="shared" si="18"/>
        <v>0.61063040791100154</v>
      </c>
      <c r="DS6" s="83">
        <f t="shared" si="18"/>
        <v>0.61063040791100143</v>
      </c>
      <c r="DT6" s="83">
        <f t="shared" si="18"/>
        <v>0.61063040791100154</v>
      </c>
      <c r="DU6" s="84"/>
      <c r="DV6" s="82">
        <f t="shared" ref="DV6:EI6" si="19">IFERROR(DV5/DV3,0)</f>
        <v>1</v>
      </c>
      <c r="DW6" s="82">
        <f t="shared" si="19"/>
        <v>1</v>
      </c>
      <c r="DX6" s="82">
        <f t="shared" si="19"/>
        <v>1</v>
      </c>
      <c r="DY6" s="82">
        <f t="shared" si="19"/>
        <v>1</v>
      </c>
      <c r="DZ6" s="82">
        <f t="shared" si="19"/>
        <v>1</v>
      </c>
      <c r="EA6" s="82">
        <f t="shared" si="19"/>
        <v>1</v>
      </c>
      <c r="EB6" s="82">
        <f t="shared" si="19"/>
        <v>0.60319977346856868</v>
      </c>
      <c r="EC6" s="82">
        <f t="shared" si="19"/>
        <v>0.60438441015659627</v>
      </c>
      <c r="ED6" s="82">
        <f t="shared" si="19"/>
        <v>0.60552191394568344</v>
      </c>
      <c r="EE6" s="82">
        <f t="shared" si="19"/>
        <v>0.60541848957715594</v>
      </c>
      <c r="EF6" s="82">
        <f t="shared" si="19"/>
        <v>0.6058264414108544</v>
      </c>
      <c r="EG6" s="82">
        <f t="shared" si="19"/>
        <v>0.60561049594755967</v>
      </c>
      <c r="EH6" s="83">
        <f t="shared" si="19"/>
        <v>0.74858786452239889</v>
      </c>
      <c r="EI6" s="83">
        <f t="shared" si="19"/>
        <v>0.60496141762650335</v>
      </c>
      <c r="EJ6" s="85"/>
      <c r="EK6" s="82">
        <f t="shared" ref="EK6:EX6" si="20">IFERROR(EK5/EK3,0)</f>
        <v>0.16836918658875577</v>
      </c>
      <c r="EL6" s="82">
        <f t="shared" si="20"/>
        <v>0.21613208061689376</v>
      </c>
      <c r="EM6" s="82">
        <f t="shared" si="20"/>
        <v>0.12766762195818868</v>
      </c>
      <c r="EN6" s="82">
        <f t="shared" si="20"/>
        <v>0.18600709742740695</v>
      </c>
      <c r="EO6" s="82">
        <f t="shared" si="20"/>
        <v>0.18469523799972995</v>
      </c>
      <c r="EP6" s="82">
        <f t="shared" si="20"/>
        <v>0.19139658091578607</v>
      </c>
      <c r="EQ6" s="82">
        <f t="shared" si="20"/>
        <v>0.13939838591342621</v>
      </c>
      <c r="ER6" s="82">
        <f t="shared" si="20"/>
        <v>0.13939838591342624</v>
      </c>
      <c r="ES6" s="82">
        <f t="shared" si="20"/>
        <v>0.13939838591342621</v>
      </c>
      <c r="ET6" s="82">
        <f t="shared" si="20"/>
        <v>0.13939838591342632</v>
      </c>
      <c r="EU6" s="82">
        <f t="shared" si="20"/>
        <v>0.13939838591342629</v>
      </c>
      <c r="EV6" s="82">
        <f t="shared" si="20"/>
        <v>0.13939838591342632</v>
      </c>
      <c r="EW6" s="83">
        <f t="shared" si="20"/>
        <v>0.16035994599593378</v>
      </c>
      <c r="EX6" s="83">
        <f t="shared" si="20"/>
        <v>0.13939838591342632</v>
      </c>
      <c r="EY6" s="7"/>
    </row>
    <row r="7" spans="1:155" s="6" customFormat="1" ht="16" customHeight="1">
      <c r="A7" s="76"/>
      <c r="B7" s="48" t="s">
        <v>52</v>
      </c>
      <c r="C7" s="76"/>
      <c r="D7" s="76"/>
      <c r="E7" s="76"/>
      <c r="F7" s="77">
        <f t="shared" ref="F7:Q7" si="21">SUM(U7,AJ7,AY7,BN7,CC7,CR7,DG7,DV7,EK7)</f>
        <v>498.88657018632188</v>
      </c>
      <c r="G7" s="77">
        <f t="shared" si="21"/>
        <v>327.58577860940818</v>
      </c>
      <c r="H7" s="77">
        <f t="shared" si="21"/>
        <v>661.62351712611849</v>
      </c>
      <c r="I7" s="77">
        <f t="shared" si="21"/>
        <v>432.6088521603948</v>
      </c>
      <c r="J7" s="77">
        <f t="shared" si="21"/>
        <v>566.72381335035129</v>
      </c>
      <c r="K7" s="77">
        <f t="shared" si="21"/>
        <v>657.77219340075033</v>
      </c>
      <c r="L7" s="77">
        <f t="shared" si="21"/>
        <v>456.89930433156417</v>
      </c>
      <c r="M7" s="77">
        <f t="shared" si="21"/>
        <v>594.29350543011992</v>
      </c>
      <c r="N7" s="77">
        <f t="shared" si="21"/>
        <v>735.7025433914157</v>
      </c>
      <c r="O7" s="77">
        <f t="shared" si="21"/>
        <v>789.04630707943636</v>
      </c>
      <c r="P7" s="77">
        <f t="shared" si="21"/>
        <v>948.4320664288673</v>
      </c>
      <c r="Q7" s="77">
        <f t="shared" si="21"/>
        <v>815.71125114478878</v>
      </c>
      <c r="R7" s="78">
        <f>SUM(F7:Q7)</f>
        <v>7485.2857026395368</v>
      </c>
      <c r="S7" s="78">
        <f>SUM(L7:Q7)</f>
        <v>4340.084977806192</v>
      </c>
      <c r="T7" s="79"/>
      <c r="U7" s="77">
        <f>'测算-高个子抖音'!I$20</f>
        <v>237.86509018029867</v>
      </c>
      <c r="V7" s="77">
        <f>'测算-高个子抖音'!J$20</f>
        <v>151.88622127014935</v>
      </c>
      <c r="W7" s="77">
        <f>'测算-高个子抖音'!K$20</f>
        <v>287.15879890724932</v>
      </c>
      <c r="X7" s="77">
        <f>'测算-高个子抖音'!L$20</f>
        <v>177.94863778050384</v>
      </c>
      <c r="Y7" s="77">
        <f>'测算-高个子抖音'!M$20</f>
        <v>225.70136504297102</v>
      </c>
      <c r="Z7" s="77">
        <f>'测算-高个子抖音'!N$20</f>
        <v>143.39233187417415</v>
      </c>
      <c r="AA7" s="77">
        <f>'测算-高个子抖音'!O$20</f>
        <v>105.85769750411708</v>
      </c>
      <c r="AB7" s="77">
        <f>'测算-高个子抖音'!P$20</f>
        <v>137.08181726634137</v>
      </c>
      <c r="AC7" s="77">
        <f>'测算-高个子抖音'!Q$20</f>
        <v>166.83739701394813</v>
      </c>
      <c r="AD7" s="77">
        <f>'测算-高个子抖音'!R$20</f>
        <v>178.42823331098111</v>
      </c>
      <c r="AE7" s="77">
        <f>'测算-高个子抖音'!S$20</f>
        <v>211.47076663535842</v>
      </c>
      <c r="AF7" s="77">
        <f>'测算-高个子抖音'!T$20</f>
        <v>183.79115756781715</v>
      </c>
      <c r="AG7" s="78">
        <f>'测算-高个子抖音'!V$20</f>
        <v>2207.4195143539096</v>
      </c>
      <c r="AH7" s="78">
        <f>'测算-高个子抖音'!W$20</f>
        <v>983.46706929856327</v>
      </c>
      <c r="AI7" s="79"/>
      <c r="AJ7" s="77">
        <f>'测算-高个子视频号'!I$20</f>
        <v>17.620675958508134</v>
      </c>
      <c r="AK7" s="77">
        <f>'测算-高个子视频号'!J$20</f>
        <v>6.2417176127377481</v>
      </c>
      <c r="AL7" s="77">
        <f>'测算-高个子视频号'!K$20</f>
        <v>11.311505680665437</v>
      </c>
      <c r="AM7" s="77">
        <f>'测算-高个子视频号'!L$20</f>
        <v>10.545045412170508</v>
      </c>
      <c r="AN7" s="77">
        <f>'测算-高个子视频号'!M$20</f>
        <v>72.342122219670031</v>
      </c>
      <c r="AO7" s="77">
        <f>'测算-高个子视频号'!N$20</f>
        <v>63.93707438899024</v>
      </c>
      <c r="AP7" s="77">
        <f>'测算-高个子视频号'!O$20</f>
        <v>51.385124903281536</v>
      </c>
      <c r="AQ7" s="77">
        <f>'测算-高个子视频号'!P$20</f>
        <v>64.861735344095706</v>
      </c>
      <c r="AR7" s="77">
        <f>'测算-高个子视频号'!Q$20</f>
        <v>79.064562506591969</v>
      </c>
      <c r="AS7" s="77">
        <f>'测算-高个子视频号'!R$20</f>
        <v>84.857044192754316</v>
      </c>
      <c r="AT7" s="77">
        <f>'测算-高个子视频号'!S$20</f>
        <v>101.36993974584388</v>
      </c>
      <c r="AU7" s="77">
        <f>'测算-高个子视频号'!T$20</f>
        <v>87.537147659486095</v>
      </c>
      <c r="AV7" s="78">
        <f>'测算-高个子视频号'!V$20</f>
        <v>651.07369562479562</v>
      </c>
      <c r="AW7" s="78">
        <f>'测算-高个子视频号'!W$20</f>
        <v>469.07555435205347</v>
      </c>
      <c r="AX7" s="79"/>
      <c r="AY7" s="77">
        <f>'测算-天猫淘宝'!I$19</f>
        <v>10.185267872481338</v>
      </c>
      <c r="AZ7" s="77">
        <f>'测算-天猫淘宝'!J$19</f>
        <v>6.7460172967693834</v>
      </c>
      <c r="BA7" s="77">
        <f>'测算-天猫淘宝'!K$19</f>
        <v>12.697781231328117</v>
      </c>
      <c r="BB7" s="77">
        <f>'测算-天猫淘宝'!L$19</f>
        <v>16.690068120893486</v>
      </c>
      <c r="BC7" s="77">
        <f>'测算-天猫淘宝'!M$19</f>
        <v>13.350269686663552</v>
      </c>
      <c r="BD7" s="77">
        <f>'测算-天猫淘宝'!N$19</f>
        <v>12.591745031406308</v>
      </c>
      <c r="BE7" s="77">
        <f>'测算-天猫淘宝'!O$19</f>
        <v>10.745798548335342</v>
      </c>
      <c r="BF7" s="77">
        <f>'测算-天猫淘宝'!P$19</f>
        <v>13.916033019338443</v>
      </c>
      <c r="BG7" s="77">
        <f>'测算-天猫淘宝'!Q$19</f>
        <v>17.240913074292912</v>
      </c>
      <c r="BH7" s="77">
        <f>'测算-天猫淘宝'!R$19</f>
        <v>18.536069839885645</v>
      </c>
      <c r="BI7" s="77">
        <f>'测算-天猫淘宝'!S$19</f>
        <v>22.22823315672462</v>
      </c>
      <c r="BJ7" s="77">
        <f>'测算-天猫淘宝'!T$19</f>
        <v>19.135321477697204</v>
      </c>
      <c r="BK7" s="78">
        <f>'测算-天猫淘宝'!V$19</f>
        <v>174.06351835581634</v>
      </c>
      <c r="BL7" s="78">
        <f>'测算-天猫淘宝'!W$19</f>
        <v>101.80236911627418</v>
      </c>
      <c r="BM7" s="79"/>
      <c r="BN7" s="77">
        <f>'测算-拼多多'!I$20</f>
        <v>6.2721334670190698E-2</v>
      </c>
      <c r="BO7" s="77">
        <f>'测算-拼多多'!J$20</f>
        <v>0.15901469937628604</v>
      </c>
      <c r="BP7" s="77">
        <f>'测算-拼多多'!K$20</f>
        <v>0.15759851604096498</v>
      </c>
      <c r="BQ7" s="77">
        <f>'测算-拼多多'!L$20</f>
        <v>3.2302403822592161E-2</v>
      </c>
      <c r="BR7" s="77">
        <f>'测算-拼多多'!M$20</f>
        <v>0.29194483954896067</v>
      </c>
      <c r="BS7" s="77">
        <f>'测算-拼多多'!N$20</f>
        <v>1.9239376744824341</v>
      </c>
      <c r="BT7" s="77">
        <f>'测算-拼多多'!O$20</f>
        <v>1.1379731226266603</v>
      </c>
      <c r="BU7" s="77">
        <f>'测算-拼多多'!P$20</f>
        <v>1.5219805138010887</v>
      </c>
      <c r="BV7" s="77">
        <f>'测算-拼多多'!Q$20</f>
        <v>1.9247199728376838</v>
      </c>
      <c r="BW7" s="77">
        <f>'测算-拼多多'!R$20</f>
        <v>2.0816010411833354</v>
      </c>
      <c r="BX7" s="77">
        <f>'测算-拼多多'!S$20</f>
        <v>2.5288291613925784</v>
      </c>
      <c r="BY7" s="77">
        <f>'测算-拼多多'!T$20</f>
        <v>2.1541878041492337</v>
      </c>
      <c r="BZ7" s="78">
        <f>'测算-拼多多'!V$20</f>
        <v>13.976811083932009</v>
      </c>
      <c r="CA7" s="78">
        <f>'测算-拼多多'!W$20</f>
        <v>11.34929161599058</v>
      </c>
      <c r="CB7" s="79"/>
      <c r="CC7" s="77">
        <f>'测算-京东POP'!I$20</f>
        <v>5.6659252761763073</v>
      </c>
      <c r="CD7" s="77">
        <f>'测算-京东POP'!J$20</f>
        <v>4.2449910957102226</v>
      </c>
      <c r="CE7" s="77">
        <f>'测算-京东POP'!K$20</f>
        <v>8.3678421756994474</v>
      </c>
      <c r="CF7" s="77">
        <f>'测算-京东POP'!L$20</f>
        <v>7.0236871959602469</v>
      </c>
      <c r="CG7" s="77">
        <f>'测算-京东POP'!M$20</f>
        <v>7.4856342692035494</v>
      </c>
      <c r="CH7" s="77">
        <f>'测算-京东POP'!N$20</f>
        <v>7.4944360798153724</v>
      </c>
      <c r="CI7" s="77">
        <f>'测算-京东POP'!O$20</f>
        <v>10.868216331219426</v>
      </c>
      <c r="CJ7" s="77">
        <f>'测算-京东POP'!P$20</f>
        <v>14.184122805113361</v>
      </c>
      <c r="CK7" s="77">
        <f>'测算-京东POP'!Q$20</f>
        <v>17.661780814319197</v>
      </c>
      <c r="CL7" s="77">
        <f>'测算-京东POP'!R$20</f>
        <v>19.016449922556355</v>
      </c>
      <c r="CM7" s="77">
        <f>'测算-京东POP'!S$20</f>
        <v>22.878267828127953</v>
      </c>
      <c r="CN7" s="77">
        <f>'测算-京东POP'!T$20</f>
        <v>19.64323712188996</v>
      </c>
      <c r="CO7" s="78">
        <f>'测算-京东POP'!V$20</f>
        <v>144.5345909157914</v>
      </c>
      <c r="CP7" s="78">
        <f>'测算-京东POP'!W$20</f>
        <v>104.25207482322625</v>
      </c>
      <c r="CQ7" s="79"/>
      <c r="CR7" s="77">
        <f>'测算-京东自营'!I$19</f>
        <v>200.12232864753747</v>
      </c>
      <c r="CS7" s="77">
        <f>'测算-京东自营'!J$19</f>
        <v>146.47120395933345</v>
      </c>
      <c r="CT7" s="77">
        <f>'测算-京东自营'!K$19</f>
        <v>267.27736185604613</v>
      </c>
      <c r="CU7" s="77">
        <f>'测算-京东自营'!L$19</f>
        <v>193.06433399125189</v>
      </c>
      <c r="CV7" s="77">
        <f>'测算-京东自营'!M$19</f>
        <v>211.50160552956865</v>
      </c>
      <c r="CW7" s="77">
        <f>'测算-京东自营'!N$19</f>
        <v>406.1050840169666</v>
      </c>
      <c r="CX7" s="77">
        <f>'测算-京东自营'!O$19</f>
        <v>201.64004184976793</v>
      </c>
      <c r="CY7" s="77">
        <f>'测算-京东自营'!P$19</f>
        <v>267.51875877593812</v>
      </c>
      <c r="CZ7" s="77">
        <f>'测算-京东自营'!Q$19</f>
        <v>336.61107164972623</v>
      </c>
      <c r="DA7" s="77">
        <f>'测算-京东自营'!R$19</f>
        <v>363.52493771102752</v>
      </c>
      <c r="DB7" s="77">
        <f>'测算-京东自营'!S$19</f>
        <v>440.24954096040852</v>
      </c>
      <c r="DC7" s="77">
        <f>'测算-京东自营'!T$19</f>
        <v>375.97762200804738</v>
      </c>
      <c r="DD7" s="78">
        <f>'测算-京东自营'!V$19</f>
        <v>3410.0638909556201</v>
      </c>
      <c r="DE7" s="78">
        <f>'测算-京东自营'!W$19</f>
        <v>1985.5219729549156</v>
      </c>
      <c r="DF7" s="79"/>
      <c r="DG7" s="77">
        <f>'测算-达播'!I$21</f>
        <v>19.243950441649815</v>
      </c>
      <c r="DH7" s="77">
        <f>'测算-达播'!J$21</f>
        <v>5.5882433161573619</v>
      </c>
      <c r="DI7" s="77">
        <f>'测算-达播'!K$21</f>
        <v>62.7869347590891</v>
      </c>
      <c r="DJ7" s="77">
        <f>'测算-达播'!L$21</f>
        <v>17.792034255792245</v>
      </c>
      <c r="DK7" s="77">
        <f>'测算-达播'!M$21</f>
        <v>26.062858762725622</v>
      </c>
      <c r="DL7" s="77">
        <f>'测算-达播'!N$21</f>
        <v>12.19409333491528</v>
      </c>
      <c r="DM7" s="77">
        <f>'测算-达播'!O$21</f>
        <v>58.070817585800782</v>
      </c>
      <c r="DN7" s="77">
        <f>'测算-达播'!P$21</f>
        <v>76.294268161486301</v>
      </c>
      <c r="DO7" s="77">
        <f>'测算-达播'!Q$21</f>
        <v>95.406667545741826</v>
      </c>
      <c r="DP7" s="77">
        <f>'测算-达播'!R$21</f>
        <v>102.85161381751583</v>
      </c>
      <c r="DQ7" s="77">
        <f>'测算-达播'!S$21</f>
        <v>124.07526662212517</v>
      </c>
      <c r="DR7" s="77">
        <f>'测算-达播'!T$21</f>
        <v>106.29629045072464</v>
      </c>
      <c r="DS7" s="78">
        <f>'测算-达播'!V$21</f>
        <v>706.66303905372399</v>
      </c>
      <c r="DT7" s="78">
        <f>'测算-达播'!W$21</f>
        <v>562.99492418339457</v>
      </c>
      <c r="DU7" s="79"/>
      <c r="DV7" s="77">
        <f>'测算-私域'!I$20</f>
        <v>0</v>
      </c>
      <c r="DW7" s="77">
        <f>'测算-私域'!J$20</f>
        <v>0</v>
      </c>
      <c r="DX7" s="77">
        <f>'测算-私域'!K$20</f>
        <v>0</v>
      </c>
      <c r="DY7" s="77">
        <f>'测算-私域'!L$20</f>
        <v>0</v>
      </c>
      <c r="DZ7" s="77">
        <f>'测算-私域'!M$20</f>
        <v>0</v>
      </c>
      <c r="EA7" s="77">
        <f>'测算-私域'!N$20</f>
        <v>0</v>
      </c>
      <c r="EB7" s="77">
        <f>'测算-私域'!O$20</f>
        <v>13.65288326666667</v>
      </c>
      <c r="EC7" s="77">
        <f>'测算-私域'!P$20</f>
        <v>14.179216925</v>
      </c>
      <c r="ED7" s="77">
        <f>'测算-私域'!Q$20</f>
        <v>14.966752825</v>
      </c>
      <c r="EE7" s="77">
        <f>'测算-私域'!R$20</f>
        <v>13.273550999999999</v>
      </c>
      <c r="EF7" s="77">
        <f>'测算-私域'!S$20</f>
        <v>15.762886275</v>
      </c>
      <c r="EG7" s="77">
        <f>'测算-私域'!T$20</f>
        <v>14.473630425</v>
      </c>
      <c r="EH7" s="78">
        <f>'测算-私域'!V$20</f>
        <v>86.308920716666663</v>
      </c>
      <c r="EI7" s="78">
        <f>'测算-私域'!W$20</f>
        <v>86.308920716666663</v>
      </c>
      <c r="EJ7" s="61"/>
      <c r="EK7" s="77">
        <f>'测算-外部分销'!I$20</f>
        <v>8.1206104749999479</v>
      </c>
      <c r="EL7" s="77">
        <f>'测算-外部分销'!J$20</f>
        <v>6.2483693591743226</v>
      </c>
      <c r="EM7" s="77">
        <f>'测算-外部分销'!K$20</f>
        <v>11.865694000000001</v>
      </c>
      <c r="EN7" s="77">
        <f>'测算-外部分销'!L$20</f>
        <v>9.5127430000000004</v>
      </c>
      <c r="EO7" s="77">
        <f>'测算-外部分销'!M$20</f>
        <v>9.9880129999999987</v>
      </c>
      <c r="EP7" s="77">
        <f>'测算-外部分销'!N$20</f>
        <v>10.133490999999999</v>
      </c>
      <c r="EQ7" s="77">
        <f>'测算-外部分销'!O$20</f>
        <v>3.5407512197487687</v>
      </c>
      <c r="ER7" s="77">
        <f>'测算-外部分销'!P$20</f>
        <v>4.7355726190055556</v>
      </c>
      <c r="ES7" s="77">
        <f>'测算-外部分销'!Q$20</f>
        <v>5.9886779889577939</v>
      </c>
      <c r="ET7" s="77">
        <f>'测算-外部分销'!R$20</f>
        <v>6.4768062435322147</v>
      </c>
      <c r="EU7" s="77">
        <f>'测算-外部分销'!S$20</f>
        <v>7.8683360438861545</v>
      </c>
      <c r="EV7" s="77">
        <f>'测算-外部分销'!T$20</f>
        <v>6.7026566299770929</v>
      </c>
      <c r="EW7" s="78">
        <f>'测算-外部分销'!V$20</f>
        <v>91.181721579281856</v>
      </c>
      <c r="EX7" s="78">
        <f>'测算-外部分销'!W$20</f>
        <v>35.31280074510758</v>
      </c>
      <c r="EY7" s="5"/>
    </row>
    <row r="8" spans="1:155" s="8" customFormat="1" ht="16" customHeight="1">
      <c r="A8" s="80"/>
      <c r="B8" s="81" t="s">
        <v>83</v>
      </c>
      <c r="C8" s="80"/>
      <c r="D8" s="80"/>
      <c r="E8" s="80"/>
      <c r="F8" s="82">
        <f t="shared" ref="F8:S8" si="22">IFERROR(F7/F3,0)</f>
        <v>0.45496417910707426</v>
      </c>
      <c r="G8" s="82">
        <f t="shared" si="22"/>
        <v>0.49264011480247377</v>
      </c>
      <c r="H8" s="82">
        <f t="shared" si="22"/>
        <v>0.65358780538411587</v>
      </c>
      <c r="I8" s="82">
        <f t="shared" si="22"/>
        <v>0.44240830630471245</v>
      </c>
      <c r="J8" s="82">
        <f t="shared" si="22"/>
        <v>0.46525107335701887</v>
      </c>
      <c r="K8" s="82">
        <f t="shared" si="22"/>
        <v>0.53020892521300356</v>
      </c>
      <c r="L8" s="82">
        <f t="shared" si="22"/>
        <v>0.57700679224983831</v>
      </c>
      <c r="M8" s="82">
        <f t="shared" si="22"/>
        <v>0.56837590503727475</v>
      </c>
      <c r="N8" s="82">
        <f t="shared" si="22"/>
        <v>0.56112824674588391</v>
      </c>
      <c r="O8" s="82">
        <f t="shared" si="22"/>
        <v>0.55856891291071231</v>
      </c>
      <c r="P8" s="82">
        <f t="shared" si="22"/>
        <v>0.55303392516726713</v>
      </c>
      <c r="Q8" s="82">
        <f t="shared" si="22"/>
        <v>0.55752020306802441</v>
      </c>
      <c r="R8" s="83">
        <f t="shared" si="22"/>
        <v>0.53659563192884518</v>
      </c>
      <c r="S8" s="83">
        <f t="shared" si="22"/>
        <v>0.56078915732025292</v>
      </c>
      <c r="T8" s="84"/>
      <c r="U8" s="82">
        <f t="shared" ref="U8:AH8" si="23">IFERROR(U7/U3,0)</f>
        <v>0.57631279913739619</v>
      </c>
      <c r="V8" s="82">
        <f t="shared" si="23"/>
        <v>0.64274454861346342</v>
      </c>
      <c r="W8" s="82">
        <f t="shared" si="23"/>
        <v>0.59704365248626823</v>
      </c>
      <c r="X8" s="82">
        <f t="shared" si="23"/>
        <v>0.61319863244150097</v>
      </c>
      <c r="Y8" s="82">
        <f t="shared" si="23"/>
        <v>0.58886673176680171</v>
      </c>
      <c r="Z8" s="82">
        <f t="shared" si="23"/>
        <v>0.52809701053255631</v>
      </c>
      <c r="AA8" s="82">
        <f t="shared" si="23"/>
        <v>0.56356431158803011</v>
      </c>
      <c r="AB8" s="82">
        <f t="shared" si="23"/>
        <v>0.54566211919770102</v>
      </c>
      <c r="AC8" s="82">
        <f t="shared" si="23"/>
        <v>0.52514459112408152</v>
      </c>
      <c r="AD8" s="82">
        <f t="shared" si="23"/>
        <v>0.5193009573861076</v>
      </c>
      <c r="AE8" s="82">
        <f t="shared" si="23"/>
        <v>0.50662182272428613</v>
      </c>
      <c r="AF8" s="82">
        <f t="shared" si="23"/>
        <v>0.51688519692356616</v>
      </c>
      <c r="AG8" s="83">
        <f t="shared" si="23"/>
        <v>0.55907339891595376</v>
      </c>
      <c r="AH8" s="83">
        <f t="shared" si="23"/>
        <v>0.52498163557714939</v>
      </c>
      <c r="AI8" s="84"/>
      <c r="AJ8" s="82">
        <f t="shared" ref="AJ8:AW8" si="24">IFERROR(AJ7/AJ3,0)</f>
        <v>1.1271317426060008</v>
      </c>
      <c r="AK8" s="82">
        <f t="shared" si="24"/>
        <v>1.1693646350933451</v>
      </c>
      <c r="AL8" s="82">
        <f t="shared" si="24"/>
        <v>0.99852189708608452</v>
      </c>
      <c r="AM8" s="82">
        <f t="shared" si="24"/>
        <v>1.406099794942397</v>
      </c>
      <c r="AN8" s="82">
        <f t="shared" si="24"/>
        <v>1.0735398838220256</v>
      </c>
      <c r="AO8" s="82">
        <f t="shared" si="24"/>
        <v>0.90644789247020419</v>
      </c>
      <c r="AP8" s="82">
        <f t="shared" si="24"/>
        <v>0.9718107463507466</v>
      </c>
      <c r="AQ8" s="82">
        <f t="shared" si="24"/>
        <v>0.91718249455249745</v>
      </c>
      <c r="AR8" s="82">
        <f t="shared" si="24"/>
        <v>0.88407804307279092</v>
      </c>
      <c r="AS8" s="82">
        <f t="shared" si="24"/>
        <v>0.87733749234057634</v>
      </c>
      <c r="AT8" s="82">
        <f t="shared" si="24"/>
        <v>0.86271228578917802</v>
      </c>
      <c r="AU8" s="82">
        <f t="shared" si="24"/>
        <v>0.87455094604339434</v>
      </c>
      <c r="AV8" s="83">
        <f t="shared" si="24"/>
        <v>0.92342606238120606</v>
      </c>
      <c r="AW8" s="83">
        <f t="shared" si="24"/>
        <v>0.88950896746326125</v>
      </c>
      <c r="AX8" s="84"/>
      <c r="AY8" s="82">
        <f t="shared" ref="AY8:BL8" si="25">IFERROR(AY7/AY3,0)</f>
        <v>0.36768369739793422</v>
      </c>
      <c r="AZ8" s="82">
        <f t="shared" si="25"/>
        <v>0.47335868222005806</v>
      </c>
      <c r="BA8" s="82">
        <f t="shared" si="25"/>
        <v>0.3899556417455326</v>
      </c>
      <c r="BB8" s="82">
        <f t="shared" si="25"/>
        <v>0.48730625300403768</v>
      </c>
      <c r="BC8" s="82">
        <f t="shared" si="25"/>
        <v>0.40956207460209787</v>
      </c>
      <c r="BD8" s="82">
        <f t="shared" si="25"/>
        <v>0.47928186925108207</v>
      </c>
      <c r="BE8" s="82">
        <f t="shared" si="25"/>
        <v>0.44422779060025958</v>
      </c>
      <c r="BF8" s="82">
        <f t="shared" si="25"/>
        <v>0.43013560453519584</v>
      </c>
      <c r="BG8" s="82">
        <f t="shared" si="25"/>
        <v>0.42139729510585339</v>
      </c>
      <c r="BH8" s="82">
        <f t="shared" si="25"/>
        <v>0.41890852162344649</v>
      </c>
      <c r="BI8" s="82">
        <f t="shared" si="25"/>
        <v>0.41350854353769695</v>
      </c>
      <c r="BJ8" s="82">
        <f t="shared" si="25"/>
        <v>0.41787966169679674</v>
      </c>
      <c r="BK8" s="83">
        <f t="shared" si="25"/>
        <v>0.42570369281748938</v>
      </c>
      <c r="BL8" s="83">
        <f t="shared" si="25"/>
        <v>0.42197640133311837</v>
      </c>
      <c r="BM8" s="84"/>
      <c r="BN8" s="82">
        <f t="shared" ref="BN8:CA8" si="26">IFERROR(BN7/BN3,0)</f>
        <v>0.40586875983712989</v>
      </c>
      <c r="BO8" s="82">
        <f t="shared" si="26"/>
        <v>0.57557923392159838</v>
      </c>
      <c r="BP8" s="82">
        <f t="shared" si="26"/>
        <v>0.43012930212764527</v>
      </c>
      <c r="BQ8" s="82">
        <f t="shared" si="26"/>
        <v>0.27402553272021923</v>
      </c>
      <c r="BR8" s="82">
        <f t="shared" si="26"/>
        <v>0.64701075426223664</v>
      </c>
      <c r="BS8" s="82">
        <f t="shared" si="26"/>
        <v>0.39181872186026934</v>
      </c>
      <c r="BT8" s="82">
        <f t="shared" si="26"/>
        <v>0.39167122001842786</v>
      </c>
      <c r="BU8" s="82">
        <f t="shared" si="26"/>
        <v>0.3916712200184278</v>
      </c>
      <c r="BV8" s="82">
        <f t="shared" si="26"/>
        <v>0.3916712200184278</v>
      </c>
      <c r="BW8" s="82">
        <f t="shared" si="26"/>
        <v>0.3916712200184278</v>
      </c>
      <c r="BX8" s="82">
        <f t="shared" si="26"/>
        <v>0.39167122001842786</v>
      </c>
      <c r="BY8" s="82">
        <f t="shared" si="26"/>
        <v>0.3916712200184278</v>
      </c>
      <c r="BZ8" s="83">
        <f t="shared" si="26"/>
        <v>0.39646976096909314</v>
      </c>
      <c r="CA8" s="83">
        <f t="shared" si="26"/>
        <v>0.39167122001842786</v>
      </c>
      <c r="CB8" s="84"/>
      <c r="CC8" s="82">
        <f t="shared" ref="CC8:CP8" si="27">IFERROR(CC7/CC3,0)</f>
        <v>0.41450306354258531</v>
      </c>
      <c r="CD8" s="82">
        <f t="shared" si="27"/>
        <v>0.49521172949766323</v>
      </c>
      <c r="CE8" s="82">
        <f t="shared" si="27"/>
        <v>0.35969592121287586</v>
      </c>
      <c r="CF8" s="82">
        <f t="shared" si="27"/>
        <v>0.36081264523613871</v>
      </c>
      <c r="CG8" s="82">
        <f t="shared" si="27"/>
        <v>0.38944160414513623</v>
      </c>
      <c r="CH8" s="82">
        <f t="shared" si="27"/>
        <v>0.44955637413123206</v>
      </c>
      <c r="CI8" s="82">
        <f t="shared" si="27"/>
        <v>0.43069195002927096</v>
      </c>
      <c r="CJ8" s="82">
        <f t="shared" si="27"/>
        <v>0.42027530830292992</v>
      </c>
      <c r="CK8" s="82">
        <f t="shared" si="27"/>
        <v>0.41381613736954093</v>
      </c>
      <c r="CL8" s="82">
        <f t="shared" si="27"/>
        <v>0.41197648938415693</v>
      </c>
      <c r="CM8" s="82">
        <f t="shared" si="27"/>
        <v>0.40798494138800928</v>
      </c>
      <c r="CN8" s="82">
        <f t="shared" si="27"/>
        <v>0.41121597819071842</v>
      </c>
      <c r="CO8" s="83">
        <f t="shared" si="27"/>
        <v>0.40999047900151336</v>
      </c>
      <c r="CP8" s="83">
        <f t="shared" si="27"/>
        <v>0.41424420027355457</v>
      </c>
      <c r="CQ8" s="84"/>
      <c r="CR8" s="82">
        <f t="shared" ref="CR8:DE8" si="28">IFERROR(CR7/CR3,0)</f>
        <v>0.49947801173609285</v>
      </c>
      <c r="CS8" s="82">
        <f t="shared" si="28"/>
        <v>0.48634255593319581</v>
      </c>
      <c r="CT8" s="82">
        <f t="shared" si="28"/>
        <v>6.5957913622621689</v>
      </c>
      <c r="CU8" s="82">
        <f t="shared" si="28"/>
        <v>0.43987104815858291</v>
      </c>
      <c r="CV8" s="82">
        <f t="shared" si="28"/>
        <v>0.47397551425127921</v>
      </c>
      <c r="CW8" s="82">
        <f t="shared" si="28"/>
        <v>0.61505349354519134</v>
      </c>
      <c r="CX8" s="82">
        <f t="shared" si="28"/>
        <v>0.62522747384892507</v>
      </c>
      <c r="CY8" s="82">
        <f t="shared" si="28"/>
        <v>0.62020951977317096</v>
      </c>
      <c r="CZ8" s="82">
        <f t="shared" si="28"/>
        <v>0.61709797730461979</v>
      </c>
      <c r="DA8" s="82">
        <f t="shared" si="28"/>
        <v>0.61621177334861088</v>
      </c>
      <c r="DB8" s="82">
        <f t="shared" si="28"/>
        <v>0.61428894590939997</v>
      </c>
      <c r="DC8" s="82">
        <f t="shared" si="28"/>
        <v>0.6158454162881466</v>
      </c>
      <c r="DD8" s="83">
        <f t="shared" si="28"/>
        <v>0.61953732958650531</v>
      </c>
      <c r="DE8" s="83">
        <f t="shared" si="28"/>
        <v>0.6173041857977507</v>
      </c>
      <c r="DF8" s="84"/>
      <c r="DG8" s="82">
        <f t="shared" ref="DG8:DT8" si="29">IFERROR(DG7/DG3,0)</f>
        <v>0.37241384088873403</v>
      </c>
      <c r="DH8" s="82">
        <f t="shared" si="29"/>
        <v>1.3187283642055321</v>
      </c>
      <c r="DI8" s="82">
        <f t="shared" si="29"/>
        <v>0.33040142137899914</v>
      </c>
      <c r="DJ8" s="82">
        <f t="shared" si="29"/>
        <v>0.47055806369834935</v>
      </c>
      <c r="DK8" s="82">
        <f t="shared" si="29"/>
        <v>0.32121261843986865</v>
      </c>
      <c r="DL8" s="82">
        <f t="shared" si="29"/>
        <v>0.44533351404549315</v>
      </c>
      <c r="DM8" s="82">
        <f t="shared" si="29"/>
        <v>0.67001365684815639</v>
      </c>
      <c r="DN8" s="82">
        <f t="shared" si="29"/>
        <v>0.65817372156796516</v>
      </c>
      <c r="DO8" s="82">
        <f t="shared" si="29"/>
        <v>0.65083199207163167</v>
      </c>
      <c r="DP8" s="82">
        <f t="shared" si="29"/>
        <v>0.64874098100899702</v>
      </c>
      <c r="DQ8" s="82">
        <f t="shared" si="29"/>
        <v>0.64420404183188595</v>
      </c>
      <c r="DR8" s="82">
        <f t="shared" si="29"/>
        <v>0.64787655622155293</v>
      </c>
      <c r="DS8" s="83">
        <f t="shared" si="29"/>
        <v>0.56233098987617947</v>
      </c>
      <c r="DT8" s="83">
        <f t="shared" si="29"/>
        <v>0.65131854399618871</v>
      </c>
      <c r="DU8" s="84"/>
      <c r="DV8" s="82">
        <f t="shared" ref="DV8:EI8" si="30">IFERROR(DV7/DV3,0)</f>
        <v>0</v>
      </c>
      <c r="DW8" s="82">
        <f t="shared" si="30"/>
        <v>0</v>
      </c>
      <c r="DX8" s="82">
        <f t="shared" si="30"/>
        <v>0</v>
      </c>
      <c r="DY8" s="82">
        <f t="shared" si="30"/>
        <v>0</v>
      </c>
      <c r="DZ8" s="82">
        <f t="shared" si="30"/>
        <v>0</v>
      </c>
      <c r="EA8" s="82">
        <f t="shared" si="30"/>
        <v>0</v>
      </c>
      <c r="EB8" s="82">
        <f t="shared" si="30"/>
        <v>0.37975943264147349</v>
      </c>
      <c r="EC8" s="82">
        <f t="shared" si="30"/>
        <v>0.4094244114740454</v>
      </c>
      <c r="ED8" s="82">
        <f t="shared" si="30"/>
        <v>0.45870640405110003</v>
      </c>
      <c r="EE8" s="82">
        <f t="shared" si="30"/>
        <v>0.44350131979017005</v>
      </c>
      <c r="EF8" s="82">
        <f t="shared" si="30"/>
        <v>0.44780004602177936</v>
      </c>
      <c r="EG8" s="82">
        <f t="shared" si="30"/>
        <v>0.44951152108439585</v>
      </c>
      <c r="EH8" s="83">
        <f t="shared" si="30"/>
        <v>0.27390597517208731</v>
      </c>
      <c r="EI8" s="83">
        <f t="shared" si="30"/>
        <v>0.43038267794854174</v>
      </c>
      <c r="EJ8" s="85"/>
      <c r="EK8" s="82">
        <f t="shared" ref="EK8:EX8" si="31">IFERROR(EK7/EK3,0)</f>
        <v>5.4307809487171031E-2</v>
      </c>
      <c r="EL8" s="82">
        <f t="shared" si="31"/>
        <v>7.1864250649049749E-2</v>
      </c>
      <c r="EM8" s="82">
        <f t="shared" si="31"/>
        <v>5.7258590560287544E-2</v>
      </c>
      <c r="EN8" s="82">
        <f t="shared" si="31"/>
        <v>7.186161868858075E-2</v>
      </c>
      <c r="EO8" s="82">
        <f t="shared" si="31"/>
        <v>5.9023787885187098E-2</v>
      </c>
      <c r="EP8" s="82">
        <f t="shared" si="31"/>
        <v>7.0905607063790274E-2</v>
      </c>
      <c r="EQ8" s="82">
        <f t="shared" si="31"/>
        <v>6.59684293856376E-2</v>
      </c>
      <c r="ER8" s="82">
        <f t="shared" si="31"/>
        <v>6.59684293856376E-2</v>
      </c>
      <c r="ES8" s="82">
        <f t="shared" si="31"/>
        <v>6.5968429385637614E-2</v>
      </c>
      <c r="ET8" s="82">
        <f t="shared" si="31"/>
        <v>6.59684293856376E-2</v>
      </c>
      <c r="EU8" s="82">
        <f t="shared" si="31"/>
        <v>6.5968429385637614E-2</v>
      </c>
      <c r="EV8" s="82">
        <f t="shared" si="31"/>
        <v>6.59684293856376E-2</v>
      </c>
      <c r="EW8" s="83">
        <f t="shared" si="31"/>
        <v>6.4053887718616365E-2</v>
      </c>
      <c r="EX8" s="83">
        <f t="shared" si="31"/>
        <v>6.59684293856376E-2</v>
      </c>
      <c r="EY8" s="7"/>
    </row>
    <row r="9" spans="1:155" ht="16" customHeight="1">
      <c r="A9" s="76"/>
      <c r="B9" s="48"/>
      <c r="C9" s="48" t="s">
        <v>54</v>
      </c>
      <c r="D9" s="76"/>
      <c r="E9" s="76"/>
      <c r="F9" s="86">
        <f t="shared" ref="F9:Q9" si="32">SUM(U9,AJ9,AY9,BN9,CC9,CR9,DG9,DV9,EK9)</f>
        <v>412.1812373115269</v>
      </c>
      <c r="G9" s="86">
        <f t="shared" si="32"/>
        <v>249.59393688522061</v>
      </c>
      <c r="H9" s="86">
        <f t="shared" si="32"/>
        <v>566.78643541573751</v>
      </c>
      <c r="I9" s="86">
        <f t="shared" si="32"/>
        <v>353.13792234778708</v>
      </c>
      <c r="J9" s="86">
        <f t="shared" si="32"/>
        <v>472.97887069183361</v>
      </c>
      <c r="K9" s="86">
        <f t="shared" si="32"/>
        <v>545.45950355316711</v>
      </c>
      <c r="L9" s="86">
        <f t="shared" si="32"/>
        <v>343.93450873351651</v>
      </c>
      <c r="M9" s="86">
        <f t="shared" si="32"/>
        <v>460.44760035735823</v>
      </c>
      <c r="N9" s="86">
        <f t="shared" si="32"/>
        <v>580.34418862685061</v>
      </c>
      <c r="O9" s="86">
        <f t="shared" si="32"/>
        <v>625.60530862441658</v>
      </c>
      <c r="P9" s="86">
        <f t="shared" si="32"/>
        <v>760.47491936374547</v>
      </c>
      <c r="Q9" s="86">
        <f t="shared" si="32"/>
        <v>648.12293130985722</v>
      </c>
      <c r="R9" s="78">
        <f>SUM(F9:Q9)</f>
        <v>6019.0673632210173</v>
      </c>
      <c r="S9" s="78">
        <f>SUM(L9:Q9)</f>
        <v>3418.9294570157444</v>
      </c>
      <c r="T9" s="87"/>
      <c r="U9" s="86">
        <f t="shared" ref="U9:AH9" si="33">SUM(U11:U18)</f>
        <v>198.58580388145086</v>
      </c>
      <c r="V9" s="86">
        <f t="shared" si="33"/>
        <v>119.78783442173273</v>
      </c>
      <c r="W9" s="86">
        <f t="shared" si="33"/>
        <v>245.56532602619762</v>
      </c>
      <c r="X9" s="86">
        <f t="shared" si="33"/>
        <v>141.0880045922689</v>
      </c>
      <c r="Y9" s="86">
        <f t="shared" si="33"/>
        <v>188.31131441411208</v>
      </c>
      <c r="Z9" s="86">
        <f t="shared" si="33"/>
        <v>106.64524375662918</v>
      </c>
      <c r="AA9" s="86">
        <f t="shared" si="33"/>
        <v>72.764078914479228</v>
      </c>
      <c r="AB9" s="86">
        <f t="shared" si="33"/>
        <v>101.12459227244335</v>
      </c>
      <c r="AC9" s="86">
        <f t="shared" si="33"/>
        <v>127.88371515068987</v>
      </c>
      <c r="AD9" s="86">
        <f t="shared" si="33"/>
        <v>138.3073269695418</v>
      </c>
      <c r="AE9" s="86">
        <f t="shared" si="33"/>
        <v>168.02239946805975</v>
      </c>
      <c r="AF9" s="86">
        <f t="shared" si="33"/>
        <v>143.13019213945825</v>
      </c>
      <c r="AG9" s="78">
        <f t="shared" si="33"/>
        <v>1751.2158320070637</v>
      </c>
      <c r="AH9" s="78">
        <f t="shared" si="33"/>
        <v>751.23230491467211</v>
      </c>
      <c r="AI9" s="87"/>
      <c r="AJ9" s="86">
        <f t="shared" ref="AJ9:AW9" si="34">SUM(AJ11:AJ18)</f>
        <v>9.1682676099999973</v>
      </c>
      <c r="AK9" s="86">
        <f t="shared" si="34"/>
        <v>2.4443814499999981</v>
      </c>
      <c r="AL9" s="86">
        <f t="shared" si="34"/>
        <v>5.7343770999999952</v>
      </c>
      <c r="AM9" s="86">
        <f t="shared" si="34"/>
        <v>6.4032986749999976</v>
      </c>
      <c r="AN9" s="86">
        <f t="shared" si="34"/>
        <v>59.579896360367151</v>
      </c>
      <c r="AO9" s="86">
        <f t="shared" si="34"/>
        <v>45.758905764580142</v>
      </c>
      <c r="AP9" s="86">
        <f t="shared" si="34"/>
        <v>32.997965729321578</v>
      </c>
      <c r="AQ9" s="86">
        <f t="shared" si="34"/>
        <v>42.971630187146907</v>
      </c>
      <c r="AR9" s="86">
        <f t="shared" si="34"/>
        <v>53.50047865775268</v>
      </c>
      <c r="AS9" s="86">
        <f t="shared" si="34"/>
        <v>57.861223268542751</v>
      </c>
      <c r="AT9" s="86">
        <f t="shared" si="34"/>
        <v>70.292599696317396</v>
      </c>
      <c r="AU9" s="86">
        <f t="shared" si="34"/>
        <v>59.878881222788877</v>
      </c>
      <c r="AV9" s="78">
        <f t="shared" si="34"/>
        <v>446.59190572181745</v>
      </c>
      <c r="AW9" s="78">
        <f t="shared" si="34"/>
        <v>317.50277876187016</v>
      </c>
      <c r="AX9" s="87"/>
      <c r="AY9" s="86">
        <f t="shared" ref="AY9:BL9" si="35">SUM(AY11:AY18)</f>
        <v>7.8967081638000032</v>
      </c>
      <c r="AZ9" s="86">
        <f t="shared" si="35"/>
        <v>4.9254831719999999</v>
      </c>
      <c r="BA9" s="86">
        <f t="shared" si="35"/>
        <v>10.24330345780001</v>
      </c>
      <c r="BB9" s="86">
        <f t="shared" si="35"/>
        <v>14.187198418072262</v>
      </c>
      <c r="BC9" s="86">
        <f t="shared" si="35"/>
        <v>11.200114113655049</v>
      </c>
      <c r="BD9" s="86">
        <f t="shared" si="35"/>
        <v>10.372103827405335</v>
      </c>
      <c r="BE9" s="86">
        <f t="shared" si="35"/>
        <v>8.525536639784681</v>
      </c>
      <c r="BF9" s="86">
        <f t="shared" si="35"/>
        <v>11.402466699300501</v>
      </c>
      <c r="BG9" s="86">
        <f t="shared" si="35"/>
        <v>14.419734810500016</v>
      </c>
      <c r="BH9" s="86">
        <f t="shared" si="35"/>
        <v>15.595065993350993</v>
      </c>
      <c r="BI9" s="86">
        <f t="shared" si="35"/>
        <v>18.945636977299294</v>
      </c>
      <c r="BJ9" s="86">
        <f t="shared" si="35"/>
        <v>16.138875943625322</v>
      </c>
      <c r="BK9" s="78">
        <f t="shared" si="35"/>
        <v>143.85222821659346</v>
      </c>
      <c r="BL9" s="78">
        <f t="shared" si="35"/>
        <v>85.027317063860806</v>
      </c>
      <c r="BM9" s="87"/>
      <c r="BN9" s="86">
        <f t="shared" ref="BN9:CA9" si="36">SUM(BN11:BN18)</f>
        <v>3.8202730633468948E-2</v>
      </c>
      <c r="BO9" s="86">
        <f t="shared" si="36"/>
        <v>0.11522710261458834</v>
      </c>
      <c r="BP9" s="86">
        <f t="shared" si="36"/>
        <v>0.10377373223662711</v>
      </c>
      <c r="BQ9" s="86">
        <f t="shared" si="36"/>
        <v>1.9899123773053907E-2</v>
      </c>
      <c r="BR9" s="86">
        <f t="shared" si="36"/>
        <v>0.26045806713201858</v>
      </c>
      <c r="BS9" s="86">
        <f t="shared" si="36"/>
        <v>1.4925016082201557</v>
      </c>
      <c r="BT9" s="86">
        <f t="shared" si="36"/>
        <v>0.88311921898065071</v>
      </c>
      <c r="BU9" s="86">
        <f t="shared" si="36"/>
        <v>1.1811265274432572</v>
      </c>
      <c r="BV9" s="86">
        <f t="shared" si="36"/>
        <v>1.4936707777820879</v>
      </c>
      <c r="BW9" s="86">
        <f t="shared" si="36"/>
        <v>1.6154176659954704</v>
      </c>
      <c r="BX9" s="86">
        <f t="shared" si="36"/>
        <v>1.9624871532903352</v>
      </c>
      <c r="BY9" s="86">
        <f t="shared" si="36"/>
        <v>1.6717483157658413</v>
      </c>
      <c r="BZ9" s="78">
        <f t="shared" si="36"/>
        <v>10.837632023867556</v>
      </c>
      <c r="CA9" s="78">
        <f t="shared" si="36"/>
        <v>8.8075696592576431</v>
      </c>
      <c r="CB9" s="87"/>
      <c r="CC9" s="86">
        <f t="shared" ref="CC9:CP9" si="37">SUM(CC11:CC18)</f>
        <v>4.1284941235425814</v>
      </c>
      <c r="CD9" s="86">
        <f t="shared" si="37"/>
        <v>2.8897997636733468</v>
      </c>
      <c r="CE9" s="86">
        <f t="shared" si="37"/>
        <v>6.5920523137032605</v>
      </c>
      <c r="CF9" s="86">
        <f t="shared" si="37"/>
        <v>5.2982316599728403</v>
      </c>
      <c r="CG9" s="86">
        <f t="shared" si="37"/>
        <v>5.9426698592673155</v>
      </c>
      <c r="CH9" s="86">
        <f t="shared" si="37"/>
        <v>5.8582644629380605</v>
      </c>
      <c r="CI9" s="86">
        <f t="shared" si="37"/>
        <v>8.8591812404030374</v>
      </c>
      <c r="CJ9" s="86">
        <f t="shared" si="37"/>
        <v>11.848699189839452</v>
      </c>
      <c r="CK9" s="86">
        <f t="shared" si="37"/>
        <v>14.984047283150817</v>
      </c>
      <c r="CL9" s="86">
        <f t="shared" si="37"/>
        <v>16.205374738103501</v>
      </c>
      <c r="CM9" s="86">
        <f t="shared" si="37"/>
        <v>19.687069423117862</v>
      </c>
      <c r="CN9" s="86">
        <f t="shared" si="37"/>
        <v>16.770466545618913</v>
      </c>
      <c r="CO9" s="78">
        <f t="shared" si="37"/>
        <v>119.06435060333098</v>
      </c>
      <c r="CP9" s="78">
        <f t="shared" si="37"/>
        <v>88.354838420233577</v>
      </c>
      <c r="CQ9" s="87"/>
      <c r="CR9" s="86">
        <f t="shared" ref="CR9:DE9" si="38">SUM(CR11:CR18)</f>
        <v>179.33214800000002</v>
      </c>
      <c r="CS9" s="86">
        <f t="shared" si="38"/>
        <v>117.67010699999997</v>
      </c>
      <c r="CT9" s="86">
        <f t="shared" si="38"/>
        <v>248.90642899999997</v>
      </c>
      <c r="CU9" s="86">
        <f t="shared" si="38"/>
        <v>173.27693300000001</v>
      </c>
      <c r="CV9" s="86">
        <f t="shared" si="38"/>
        <v>188.87316999999999</v>
      </c>
      <c r="CW9" s="86">
        <f t="shared" si="38"/>
        <v>368.40033621466023</v>
      </c>
      <c r="CX9" s="86">
        <f t="shared" si="38"/>
        <v>179.94227477419582</v>
      </c>
      <c r="CY9" s="86">
        <f t="shared" si="38"/>
        <v>240.66353622063235</v>
      </c>
      <c r="CZ9" s="86">
        <f t="shared" si="38"/>
        <v>304.34681042055348</v>
      </c>
      <c r="DA9" s="86">
        <f t="shared" si="38"/>
        <v>329.15366723098799</v>
      </c>
      <c r="DB9" s="86">
        <f t="shared" si="38"/>
        <v>399.87172172043529</v>
      </c>
      <c r="DC9" s="86">
        <f t="shared" si="38"/>
        <v>340.63146665074112</v>
      </c>
      <c r="DD9" s="78">
        <f t="shared" si="38"/>
        <v>3071.0686002322063</v>
      </c>
      <c r="DE9" s="78">
        <f t="shared" si="38"/>
        <v>1794.6094770175462</v>
      </c>
      <c r="DF9" s="87"/>
      <c r="DG9" s="86">
        <f t="shared" ref="DG9:DT9" si="39">SUM(DG11:DG18)</f>
        <v>13.031612802099998</v>
      </c>
      <c r="DH9" s="86">
        <f t="shared" si="39"/>
        <v>1.7611039751999999</v>
      </c>
      <c r="DI9" s="86">
        <f t="shared" si="39"/>
        <v>49.6411737858</v>
      </c>
      <c r="DJ9" s="86">
        <f t="shared" si="39"/>
        <v>12.864356878699997</v>
      </c>
      <c r="DK9" s="86">
        <f t="shared" si="39"/>
        <v>18.811247877300001</v>
      </c>
      <c r="DL9" s="86">
        <f t="shared" si="39"/>
        <v>6.9321479187340564</v>
      </c>
      <c r="DM9" s="86">
        <f t="shared" si="39"/>
        <v>32.986352216351506</v>
      </c>
      <c r="DN9" s="86">
        <f t="shared" si="39"/>
        <v>44.117549260552437</v>
      </c>
      <c r="DO9" s="86">
        <f t="shared" si="39"/>
        <v>55.791731526421685</v>
      </c>
      <c r="DP9" s="86">
        <f t="shared" si="39"/>
        <v>60.339232757894038</v>
      </c>
      <c r="DQ9" s="86">
        <f t="shared" si="39"/>
        <v>73.303004925225594</v>
      </c>
      <c r="DR9" s="86">
        <f t="shared" si="39"/>
        <v>62.443300491858828</v>
      </c>
      <c r="DS9" s="78">
        <f t="shared" si="39"/>
        <v>432.0228144161382</v>
      </c>
      <c r="DT9" s="78">
        <f t="shared" si="39"/>
        <v>328.98117117830412</v>
      </c>
      <c r="DU9" s="87"/>
      <c r="DV9" s="86">
        <f t="shared" ref="DV9:EI9" si="40">SUM(DV11:DV18)</f>
        <v>0</v>
      </c>
      <c r="DW9" s="86">
        <f t="shared" si="40"/>
        <v>0</v>
      </c>
      <c r="DX9" s="86">
        <f t="shared" si="40"/>
        <v>0</v>
      </c>
      <c r="DY9" s="86">
        <f t="shared" si="40"/>
        <v>0</v>
      </c>
      <c r="DZ9" s="86">
        <f t="shared" si="40"/>
        <v>0</v>
      </c>
      <c r="EA9" s="86">
        <f t="shared" si="40"/>
        <v>0</v>
      </c>
      <c r="EB9" s="86">
        <f t="shared" si="40"/>
        <v>6.976</v>
      </c>
      <c r="EC9" s="86">
        <f t="shared" si="40"/>
        <v>7.1379999999999999</v>
      </c>
      <c r="ED9" s="86">
        <f t="shared" si="40"/>
        <v>7.9240000000000004</v>
      </c>
      <c r="EE9" s="86">
        <f t="shared" si="40"/>
        <v>6.5279999999999996</v>
      </c>
      <c r="EF9" s="86">
        <f t="shared" si="40"/>
        <v>8.39</v>
      </c>
      <c r="EG9" s="86">
        <f t="shared" si="40"/>
        <v>7.4580000000000002</v>
      </c>
      <c r="EH9" s="78">
        <f t="shared" si="40"/>
        <v>44.414000000000001</v>
      </c>
      <c r="EI9" s="78">
        <f t="shared" si="40"/>
        <v>44.414000000000001</v>
      </c>
      <c r="EJ9" s="42"/>
      <c r="EK9" s="86">
        <f t="shared" ref="EK9:EX9" si="41">SUM(EK11:EK18)</f>
        <v>0</v>
      </c>
      <c r="EL9" s="86">
        <f t="shared" si="41"/>
        <v>0</v>
      </c>
      <c r="EM9" s="86">
        <f t="shared" si="41"/>
        <v>0</v>
      </c>
      <c r="EN9" s="86">
        <f t="shared" si="41"/>
        <v>0</v>
      </c>
      <c r="EO9" s="86">
        <f t="shared" si="41"/>
        <v>0</v>
      </c>
      <c r="EP9" s="86">
        <f t="shared" si="41"/>
        <v>0</v>
      </c>
      <c r="EQ9" s="86">
        <f t="shared" si="41"/>
        <v>0</v>
      </c>
      <c r="ER9" s="86">
        <f t="shared" si="41"/>
        <v>0</v>
      </c>
      <c r="ES9" s="86">
        <f t="shared" si="41"/>
        <v>0</v>
      </c>
      <c r="ET9" s="86">
        <f t="shared" si="41"/>
        <v>0</v>
      </c>
      <c r="EU9" s="86">
        <f t="shared" si="41"/>
        <v>0</v>
      </c>
      <c r="EV9" s="86">
        <f t="shared" si="41"/>
        <v>0</v>
      </c>
      <c r="EW9" s="78">
        <f t="shared" si="41"/>
        <v>0</v>
      </c>
      <c r="EX9" s="78">
        <f t="shared" si="41"/>
        <v>0</v>
      </c>
      <c r="EY9" s="9"/>
    </row>
    <row r="10" spans="1:155" s="8" customFormat="1" ht="16" customHeight="1">
      <c r="A10" s="88"/>
      <c r="B10" s="89"/>
      <c r="C10" s="89" t="s">
        <v>108</v>
      </c>
      <c r="D10" s="88"/>
      <c r="E10" s="88"/>
      <c r="F10" s="90">
        <f t="shared" ref="F10:S10" si="42">IFERROR(F9/F3,0)</f>
        <v>0.37589245628869106</v>
      </c>
      <c r="G10" s="90">
        <f t="shared" si="42"/>
        <v>0.37535202609557083</v>
      </c>
      <c r="H10" s="90">
        <f t="shared" si="42"/>
        <v>0.55990256219118606</v>
      </c>
      <c r="I10" s="90">
        <f t="shared" si="42"/>
        <v>0.36113720127928639</v>
      </c>
      <c r="J10" s="90">
        <f t="shared" si="42"/>
        <v>0.38829130183122879</v>
      </c>
      <c r="K10" s="90">
        <f t="shared" si="42"/>
        <v>0.43967729257588489</v>
      </c>
      <c r="L10" s="90">
        <f t="shared" si="42"/>
        <v>0.43434635541562711</v>
      </c>
      <c r="M10" s="90">
        <f t="shared" si="42"/>
        <v>0.44036712362512559</v>
      </c>
      <c r="N10" s="90">
        <f t="shared" si="42"/>
        <v>0.4426347577543891</v>
      </c>
      <c r="O10" s="90">
        <f t="shared" si="42"/>
        <v>0.44286840203705707</v>
      </c>
      <c r="P10" s="90">
        <f t="shared" si="42"/>
        <v>0.44343548107832337</v>
      </c>
      <c r="Q10" s="90">
        <f t="shared" si="42"/>
        <v>0.4429773743708933</v>
      </c>
      <c r="R10" s="83">
        <f t="shared" si="42"/>
        <v>0.43148723825610868</v>
      </c>
      <c r="S10" s="83">
        <f t="shared" si="42"/>
        <v>0.44176521403191449</v>
      </c>
      <c r="T10" s="84"/>
      <c r="U10" s="90">
        <f t="shared" ref="U10:AH10" si="43">IFERROR(U9/U3,0)</f>
        <v>0.48114475485713004</v>
      </c>
      <c r="V10" s="90">
        <f t="shared" si="43"/>
        <v>0.50691219335715054</v>
      </c>
      <c r="W10" s="90">
        <f t="shared" si="43"/>
        <v>0.51056495476573416</v>
      </c>
      <c r="X10" s="90">
        <f t="shared" si="43"/>
        <v>0.48617945351508685</v>
      </c>
      <c r="Y10" s="90">
        <f t="shared" si="43"/>
        <v>0.49131412321160095</v>
      </c>
      <c r="Z10" s="90">
        <f t="shared" si="43"/>
        <v>0.39276182819044492</v>
      </c>
      <c r="AA10" s="90">
        <f t="shared" si="43"/>
        <v>0.38738078579671265</v>
      </c>
      <c r="AB10" s="90">
        <f t="shared" si="43"/>
        <v>0.40253230094822784</v>
      </c>
      <c r="AC10" s="90">
        <f t="shared" si="43"/>
        <v>0.40253230094822789</v>
      </c>
      <c r="AD10" s="90">
        <f t="shared" si="43"/>
        <v>0.40253230094822789</v>
      </c>
      <c r="AE10" s="90">
        <f t="shared" si="43"/>
        <v>0.40253230094822784</v>
      </c>
      <c r="AF10" s="90">
        <f t="shared" si="43"/>
        <v>0.40253230094822784</v>
      </c>
      <c r="AG10" s="83">
        <f t="shared" si="43"/>
        <v>0.44353063886099597</v>
      </c>
      <c r="AH10" s="83">
        <f t="shared" si="43"/>
        <v>0.40101308568855454</v>
      </c>
      <c r="AI10" s="84"/>
      <c r="AJ10" s="90">
        <f t="shared" ref="AJ10:AW10" si="44">IFERROR(AJ9/AJ3,0)</f>
        <v>0.58646135212240602</v>
      </c>
      <c r="AK10" s="90">
        <f t="shared" si="44"/>
        <v>0.45794657811416867</v>
      </c>
      <c r="AL10" s="90">
        <f t="shared" si="44"/>
        <v>0.50620149625935118</v>
      </c>
      <c r="AM10" s="90">
        <f t="shared" si="44"/>
        <v>0.85383007867191107</v>
      </c>
      <c r="AN10" s="90">
        <f t="shared" si="44"/>
        <v>0.88415148815534184</v>
      </c>
      <c r="AO10" s="90">
        <f t="shared" si="44"/>
        <v>0.64873258728880367</v>
      </c>
      <c r="AP10" s="90">
        <f t="shared" si="44"/>
        <v>0.62406733006540693</v>
      </c>
      <c r="AQ10" s="90">
        <f t="shared" si="44"/>
        <v>0.6076437326406271</v>
      </c>
      <c r="AR10" s="90">
        <f t="shared" si="44"/>
        <v>0.59822753678375318</v>
      </c>
      <c r="AS10" s="90">
        <f t="shared" si="44"/>
        <v>0.59822753678375318</v>
      </c>
      <c r="AT10" s="90">
        <f t="shared" si="44"/>
        <v>0.59822753678375318</v>
      </c>
      <c r="AU10" s="90">
        <f t="shared" si="44"/>
        <v>0.59822753678375318</v>
      </c>
      <c r="AV10" s="83">
        <f t="shared" si="44"/>
        <v>0.63340695187549667</v>
      </c>
      <c r="AW10" s="83">
        <f t="shared" si="44"/>
        <v>0.60208119200179555</v>
      </c>
      <c r="AX10" s="84"/>
      <c r="AY10" s="90">
        <f t="shared" ref="AY10:BL10" si="45">IFERROR(AY9/AY3,0)</f>
        <v>0.28506769692166062</v>
      </c>
      <c r="AZ10" s="90">
        <f t="shared" si="45"/>
        <v>0.34561432635394201</v>
      </c>
      <c r="BA10" s="90">
        <f t="shared" si="45"/>
        <v>0.31457731872285855</v>
      </c>
      <c r="BB10" s="90">
        <f t="shared" si="45"/>
        <v>0.41422901642210297</v>
      </c>
      <c r="BC10" s="90">
        <f t="shared" si="45"/>
        <v>0.34359919910465864</v>
      </c>
      <c r="BD10" s="90">
        <f t="shared" si="45"/>
        <v>0.39479526452180136</v>
      </c>
      <c r="BE10" s="90">
        <f t="shared" si="45"/>
        <v>0.35244289087848263</v>
      </c>
      <c r="BF10" s="90">
        <f t="shared" si="45"/>
        <v>0.35244289087848263</v>
      </c>
      <c r="BG10" s="90">
        <f t="shared" si="45"/>
        <v>0.35244289087848263</v>
      </c>
      <c r="BH10" s="90">
        <f t="shared" si="45"/>
        <v>0.35244289087848263</v>
      </c>
      <c r="BI10" s="90">
        <f t="shared" si="45"/>
        <v>0.35244289087848268</v>
      </c>
      <c r="BJ10" s="90">
        <f t="shared" si="45"/>
        <v>0.35244289087848263</v>
      </c>
      <c r="BK10" s="83">
        <f t="shared" si="45"/>
        <v>0.35181654002101698</v>
      </c>
      <c r="BL10" s="83">
        <f t="shared" si="45"/>
        <v>0.35244289087848263</v>
      </c>
      <c r="BM10" s="84"/>
      <c r="BN10" s="90">
        <f t="shared" ref="BN10:CA10" si="46">IFERROR(BN9/BN3,0)</f>
        <v>0.24720926278322819</v>
      </c>
      <c r="BO10" s="90">
        <f t="shared" si="46"/>
        <v>0.41708299742131161</v>
      </c>
      <c r="BP10" s="90">
        <f t="shared" si="46"/>
        <v>0.28322679773532367</v>
      </c>
      <c r="BQ10" s="90">
        <f t="shared" si="46"/>
        <v>0.16880687959089172</v>
      </c>
      <c r="BR10" s="90">
        <f t="shared" si="46"/>
        <v>0.5772294887250784</v>
      </c>
      <c r="BS10" s="90">
        <f t="shared" si="46"/>
        <v>0.30395479035698725</v>
      </c>
      <c r="BT10" s="90">
        <f t="shared" si="46"/>
        <v>0.30395479035698719</v>
      </c>
      <c r="BU10" s="90">
        <f t="shared" si="46"/>
        <v>0.30395479035698719</v>
      </c>
      <c r="BV10" s="90">
        <f t="shared" si="46"/>
        <v>0.30395479035698719</v>
      </c>
      <c r="BW10" s="90">
        <f t="shared" si="46"/>
        <v>0.30395479035698719</v>
      </c>
      <c r="BX10" s="90">
        <f t="shared" si="46"/>
        <v>0.30395479035698725</v>
      </c>
      <c r="BY10" s="90">
        <f t="shared" si="46"/>
        <v>0.30395479035698719</v>
      </c>
      <c r="BZ10" s="83">
        <f t="shared" si="46"/>
        <v>0.30742301317311421</v>
      </c>
      <c r="CA10" s="83">
        <f t="shared" si="46"/>
        <v>0.30395479035698725</v>
      </c>
      <c r="CB10" s="84"/>
      <c r="CC10" s="90">
        <f t="shared" ref="CC10:CP10" si="47">IFERROR(CC9/CC3,0)</f>
        <v>0.30202895001482027</v>
      </c>
      <c r="CD10" s="90">
        <f t="shared" si="47"/>
        <v>0.3371179601099229</v>
      </c>
      <c r="CE10" s="90">
        <f t="shared" si="47"/>
        <v>0.28336269732080205</v>
      </c>
      <c r="CF10" s="90">
        <f t="shared" si="47"/>
        <v>0.27217456116328426</v>
      </c>
      <c r="CG10" s="90">
        <f t="shared" si="47"/>
        <v>0.30916857538970466</v>
      </c>
      <c r="CH10" s="90">
        <f t="shared" si="47"/>
        <v>0.35141004641474821</v>
      </c>
      <c r="CI10" s="90">
        <f t="shared" si="47"/>
        <v>0.35107674781293274</v>
      </c>
      <c r="CJ10" s="90">
        <f t="shared" si="47"/>
        <v>0.35107674781293274</v>
      </c>
      <c r="CK10" s="90">
        <f t="shared" si="47"/>
        <v>0.35107674781293274</v>
      </c>
      <c r="CL10" s="90">
        <f t="shared" si="47"/>
        <v>0.3510767478129328</v>
      </c>
      <c r="CM10" s="90">
        <f t="shared" si="47"/>
        <v>0.35107674781293274</v>
      </c>
      <c r="CN10" s="90">
        <f t="shared" si="47"/>
        <v>0.35107674781293269</v>
      </c>
      <c r="CO10" s="83">
        <f t="shared" si="47"/>
        <v>0.33774095063723869</v>
      </c>
      <c r="CP10" s="83">
        <f t="shared" si="47"/>
        <v>0.35107674781293269</v>
      </c>
      <c r="CQ10" s="84"/>
      <c r="CR10" s="90">
        <f t="shared" ref="CR10:DE10" si="48">IFERROR(CR9/CR3,0)</f>
        <v>0.44758855910157308</v>
      </c>
      <c r="CS10" s="90">
        <f t="shared" si="48"/>
        <v>0.39071147808139484</v>
      </c>
      <c r="CT10" s="90">
        <f t="shared" si="48"/>
        <v>6.1424389368746821</v>
      </c>
      <c r="CU10" s="90">
        <f t="shared" si="48"/>
        <v>0.39478812354781284</v>
      </c>
      <c r="CV10" s="90">
        <f t="shared" si="48"/>
        <v>0.42326514569414886</v>
      </c>
      <c r="CW10" s="90">
        <f t="shared" si="48"/>
        <v>0.55794897116477205</v>
      </c>
      <c r="CX10" s="90">
        <f t="shared" si="48"/>
        <v>0.55794897116477205</v>
      </c>
      <c r="CY10" s="90">
        <f t="shared" si="48"/>
        <v>0.55794897116477205</v>
      </c>
      <c r="CZ10" s="90">
        <f t="shared" si="48"/>
        <v>0.55794897116477205</v>
      </c>
      <c r="DA10" s="90">
        <f t="shared" si="48"/>
        <v>0.55794897116477205</v>
      </c>
      <c r="DB10" s="90">
        <f t="shared" si="48"/>
        <v>0.55794897116477205</v>
      </c>
      <c r="DC10" s="90">
        <f t="shared" si="48"/>
        <v>0.55794897116477205</v>
      </c>
      <c r="DD10" s="83">
        <f t="shared" si="48"/>
        <v>0.55794897116477205</v>
      </c>
      <c r="DE10" s="83">
        <f t="shared" si="48"/>
        <v>0.55794897116477205</v>
      </c>
      <c r="DF10" s="84"/>
      <c r="DG10" s="90">
        <f t="shared" ref="DG10:DT10" si="49">IFERROR(DG9/DG3,0)</f>
        <v>0.25219109721365451</v>
      </c>
      <c r="DH10" s="90">
        <f t="shared" si="49"/>
        <v>0.41558995072682653</v>
      </c>
      <c r="DI10" s="90">
        <f t="shared" si="49"/>
        <v>0.26122495771902499</v>
      </c>
      <c r="DJ10" s="90">
        <f t="shared" si="49"/>
        <v>0.3402324195500524</v>
      </c>
      <c r="DK10" s="90">
        <f t="shared" si="49"/>
        <v>0.23183988532488392</v>
      </c>
      <c r="DL10" s="90">
        <f t="shared" si="49"/>
        <v>0.25316501257979235</v>
      </c>
      <c r="DM10" s="90">
        <f t="shared" si="49"/>
        <v>0.38059230769230767</v>
      </c>
      <c r="DN10" s="90">
        <f t="shared" si="49"/>
        <v>0.38059230769230767</v>
      </c>
      <c r="DO10" s="90">
        <f t="shared" si="49"/>
        <v>0.38059230769230767</v>
      </c>
      <c r="DP10" s="90">
        <f t="shared" si="49"/>
        <v>0.38059230769230773</v>
      </c>
      <c r="DQ10" s="90">
        <f t="shared" si="49"/>
        <v>0.38059230769230767</v>
      </c>
      <c r="DR10" s="90">
        <f t="shared" si="49"/>
        <v>0.38059230769230773</v>
      </c>
      <c r="DS10" s="83">
        <f t="shared" si="49"/>
        <v>0.3437845245239301</v>
      </c>
      <c r="DT10" s="83">
        <f t="shared" si="49"/>
        <v>0.38059230769230773</v>
      </c>
      <c r="DU10" s="84"/>
      <c r="DV10" s="90">
        <f t="shared" ref="DV10:EI10" si="50">IFERROR(DV9/DV3,0)</f>
        <v>0</v>
      </c>
      <c r="DW10" s="90">
        <f t="shared" si="50"/>
        <v>0</v>
      </c>
      <c r="DX10" s="90">
        <f t="shared" si="50"/>
        <v>0</v>
      </c>
      <c r="DY10" s="90">
        <f t="shared" si="50"/>
        <v>0</v>
      </c>
      <c r="DZ10" s="90">
        <f t="shared" si="50"/>
        <v>0</v>
      </c>
      <c r="EA10" s="90">
        <f t="shared" si="50"/>
        <v>0</v>
      </c>
      <c r="EB10" s="90">
        <f t="shared" si="50"/>
        <v>0.19403973141518829</v>
      </c>
      <c r="EC10" s="90">
        <f t="shared" si="50"/>
        <v>0.20610950975360268</v>
      </c>
      <c r="ED10" s="90">
        <f t="shared" si="50"/>
        <v>0.242857591636676</v>
      </c>
      <c r="EE10" s="90">
        <f t="shared" si="50"/>
        <v>0.21811620835978482</v>
      </c>
      <c r="EF10" s="90">
        <f t="shared" si="50"/>
        <v>0.23834736358413075</v>
      </c>
      <c r="EG10" s="90">
        <f t="shared" si="50"/>
        <v>0.23162515732450895</v>
      </c>
      <c r="EH10" s="83">
        <f t="shared" si="50"/>
        <v>0.14095020399141564</v>
      </c>
      <c r="EI10" s="83">
        <f t="shared" si="50"/>
        <v>0.22147208074999519</v>
      </c>
      <c r="EJ10" s="85"/>
      <c r="EK10" s="90">
        <f t="shared" ref="EK10:EX10" si="51">IFERROR(EK9/EK3,0)</f>
        <v>0</v>
      </c>
      <c r="EL10" s="90">
        <f t="shared" si="51"/>
        <v>0</v>
      </c>
      <c r="EM10" s="90">
        <f t="shared" si="51"/>
        <v>0</v>
      </c>
      <c r="EN10" s="90">
        <f t="shared" si="51"/>
        <v>0</v>
      </c>
      <c r="EO10" s="90">
        <f t="shared" si="51"/>
        <v>0</v>
      </c>
      <c r="EP10" s="90">
        <f t="shared" si="51"/>
        <v>0</v>
      </c>
      <c r="EQ10" s="90">
        <f t="shared" si="51"/>
        <v>0</v>
      </c>
      <c r="ER10" s="90">
        <f t="shared" si="51"/>
        <v>0</v>
      </c>
      <c r="ES10" s="90">
        <f t="shared" si="51"/>
        <v>0</v>
      </c>
      <c r="ET10" s="90">
        <f t="shared" si="51"/>
        <v>0</v>
      </c>
      <c r="EU10" s="90">
        <f t="shared" si="51"/>
        <v>0</v>
      </c>
      <c r="EV10" s="90">
        <f t="shared" si="51"/>
        <v>0</v>
      </c>
      <c r="EW10" s="83">
        <f t="shared" si="51"/>
        <v>0</v>
      </c>
      <c r="EX10" s="83">
        <f t="shared" si="51"/>
        <v>0</v>
      </c>
      <c r="EY10" s="7"/>
    </row>
    <row r="11" spans="1:155" ht="16" customHeight="1">
      <c r="A11" s="68"/>
      <c r="B11" s="68"/>
      <c r="C11" s="68"/>
      <c r="D11" s="68" t="s">
        <v>54</v>
      </c>
      <c r="E11" s="68" t="s">
        <v>55</v>
      </c>
      <c r="F11" s="91">
        <f t="shared" ref="F11:F19" si="52">SUM(U11,AJ11,AY11,BN11,CC11,CR11,DG11,DV11,EK11)</f>
        <v>334.99109991072692</v>
      </c>
      <c r="G11" s="91">
        <f t="shared" ref="G11:G19" si="53">SUM(V11,AK11,AZ11,BO11,CD11,CS11,DH11,DW11,EL11)</f>
        <v>214.39621712192067</v>
      </c>
      <c r="H11" s="91">
        <f t="shared" ref="H11:H19" si="54">SUM(W11,AL11,BA11,BP11,CE11,CT11,DI11,DX11,EM11)</f>
        <v>437.40128255953755</v>
      </c>
      <c r="I11" s="91">
        <f t="shared" ref="I11:I19" si="55">SUM(X11,AM11,BB11,BQ11,CF11,CU11,DJ11,DY11,EN11)</f>
        <v>301.87089244028704</v>
      </c>
      <c r="J11" s="91">
        <f t="shared" ref="J11:J19" si="56">SUM(Y11,AN11,BC11,BR11,CG11,CV11,DK11,DZ11,EO11)</f>
        <v>396.08315618013364</v>
      </c>
      <c r="K11" s="91">
        <f t="shared" ref="K11:K19" si="57">SUM(Z11,AO11,BD11,BS11,CH11,CW11,DL11,EA11,EP11)</f>
        <v>440.42026663472865</v>
      </c>
      <c r="L11" s="91">
        <f t="shared" ref="L11:L19" si="58">SUM(AA11,AP11,BE11,BT11,CI11,CX11,DM11,EB11,EQ11)</f>
        <v>290.95050176269882</v>
      </c>
      <c r="M11" s="91">
        <f t="shared" ref="M11:M19" si="59">SUM(AB11,AQ11,BF11,BU11,CJ11,CY11,DN11,EC11,ER11)</f>
        <v>389.5842165486514</v>
      </c>
      <c r="N11" s="91">
        <f t="shared" ref="N11:N19" si="60">SUM(AC11,AR11,BG11,BV11,CK11,CZ11,DO11,ED11,ES11)</f>
        <v>490.72926325645528</v>
      </c>
      <c r="O11" s="91">
        <f t="shared" ref="O11:O19" si="61">SUM(AD11,AS11,BH11,BW11,CL11,DA11,DP11,EE11,ET11)</f>
        <v>528.68600369220064</v>
      </c>
      <c r="P11" s="91">
        <f t="shared" ref="P11:P19" si="62">SUM(AE11,AT11,BI11,BX11,CM11,DB11,DQ11,EF11,EU11)</f>
        <v>642.73268165081731</v>
      </c>
      <c r="Q11" s="91">
        <f t="shared" ref="Q11:Q19" si="63">SUM(AF11,AU11,BJ11,BY11,CN11,DC11,DR11,EG11,EV11)</f>
        <v>547.82398807291827</v>
      </c>
      <c r="R11" s="92">
        <f t="shared" ref="R11:R19" si="64">SUM(F11:Q11)</f>
        <v>5015.6695698310759</v>
      </c>
      <c r="S11" s="92">
        <f t="shared" ref="S11:S19" si="65">SUM(L11:Q11)</f>
        <v>2890.5066549837416</v>
      </c>
      <c r="T11" s="91"/>
      <c r="U11" s="91">
        <f>'测算-高个子抖音'!I$22</f>
        <v>188.32117920355086</v>
      </c>
      <c r="V11" s="91">
        <f>'测算-高个子抖音'!J$22</f>
        <v>115.30583729023273</v>
      </c>
      <c r="W11" s="91">
        <f>'测算-高个子抖音'!K$22</f>
        <v>232.12859528579762</v>
      </c>
      <c r="X11" s="91">
        <f>'测算-高个子抖音'!L$22</f>
        <v>133.29834552216892</v>
      </c>
      <c r="Y11" s="91">
        <f>'测算-高个子抖音'!M$22</f>
        <v>180.30698313111208</v>
      </c>
      <c r="Z11" s="91">
        <f>'测算-高个子抖音'!N$22</f>
        <v>100.19800396039601</v>
      </c>
      <c r="AA11" s="91">
        <f>'测算-高个子抖音'!O$22</f>
        <v>68.304020307542999</v>
      </c>
      <c r="AB11" s="91">
        <f>'测算-高个子抖音'!P$22</f>
        <v>95.159493312549216</v>
      </c>
      <c r="AC11" s="91">
        <f>'测算-高个子抖音'!Q$22</f>
        <v>120.3401592352545</v>
      </c>
      <c r="AD11" s="91">
        <f>'测算-高个子抖音'!R$22</f>
        <v>130.14890700747119</v>
      </c>
      <c r="AE11" s="91">
        <f>'测算-高个子抖音'!S$22</f>
        <v>158.11115811931256</v>
      </c>
      <c r="AF11" s="91">
        <f>'测算-高个子抖音'!T$22</f>
        <v>134.6872828423773</v>
      </c>
      <c r="AG11" s="92">
        <f>'测算-高个子抖音'!V$22</f>
        <v>1656.3099652177659</v>
      </c>
      <c r="AH11" s="92">
        <f>'测算-高个子抖音'!W$22</f>
        <v>706.75102082450769</v>
      </c>
      <c r="AI11" s="91"/>
      <c r="AJ11" s="91">
        <f>'测算-高个子视频号'!I$22</f>
        <v>4.6383399999999986</v>
      </c>
      <c r="AK11" s="91">
        <f>'测算-高个子视频号'!J$22</f>
        <v>1.3725899999999978</v>
      </c>
      <c r="AL11" s="91">
        <f>'测算-高个子视频号'!K$22</f>
        <v>4.5073619999999952</v>
      </c>
      <c r="AM11" s="91">
        <f>'测算-高个子视频号'!L$22</f>
        <v>6.4533109999999976</v>
      </c>
      <c r="AN11" s="91">
        <f>'测算-高个子视频号'!M$22</f>
        <v>59.403044155367148</v>
      </c>
      <c r="AO11" s="91">
        <f>'测算-高个子视频号'!N$22</f>
        <v>42.749001212121215</v>
      </c>
      <c r="AP11" s="91">
        <f>'测算-高个子视频号'!O$22</f>
        <v>30.741656984521974</v>
      </c>
      <c r="AQ11" s="91">
        <f>'测算-高个子视频号'!P$22</f>
        <v>39.953933306242085</v>
      </c>
      <c r="AR11" s="91">
        <f>'测算-高个子视频号'!Q$22</f>
        <v>49.684252756054583</v>
      </c>
      <c r="AS11" s="91">
        <f>'测算-高个子视频号'!R$22</f>
        <v>53.73394245758216</v>
      </c>
      <c r="AT11" s="91">
        <f>'测算-高个子视频号'!S$22</f>
        <v>65.27858026342939</v>
      </c>
      <c r="AU11" s="91">
        <f>'测算-高个子视频号'!T$22</f>
        <v>55.607679483662054</v>
      </c>
      <c r="AV11" s="92">
        <f>'测算-高个子视频号'!V$22</f>
        <v>414.12369361898061</v>
      </c>
      <c r="AW11" s="92">
        <f>'测算-高个子视频号'!W$22</f>
        <v>295.00004525149222</v>
      </c>
      <c r="AX11" s="91"/>
      <c r="AY11" s="91">
        <f>'测算-天猫淘宝'!I$21</f>
        <v>6.1176670000000035</v>
      </c>
      <c r="AZ11" s="91">
        <f>'测算-天猫淘宝'!J$21</f>
        <v>4.0272790000000001</v>
      </c>
      <c r="BA11" s="91">
        <f>'测算-天猫淘宝'!K$21</f>
        <v>8.2254160000000098</v>
      </c>
      <c r="BB11" s="91">
        <f>'测算-天猫淘宝'!L$21</f>
        <v>12.037204364472261</v>
      </c>
      <c r="BC11" s="91">
        <f>'测算-天猫淘宝'!M$21</f>
        <v>8.9149157024550494</v>
      </c>
      <c r="BD11" s="91">
        <f>'测算-天猫淘宝'!N$21</f>
        <v>8.6273130000000027</v>
      </c>
      <c r="BE11" s="91">
        <f>'测算-天猫淘宝'!O$21</f>
        <v>6.9190340905948737</v>
      </c>
      <c r="BF11" s="91">
        <f>'测算-天猫淘宝'!P$21</f>
        <v>9.2538521787791534</v>
      </c>
      <c r="BG11" s="91">
        <f>'测算-天猫淘宝'!Q$21</f>
        <v>11.702563832240712</v>
      </c>
      <c r="BH11" s="91">
        <f>'测算-天猫淘宝'!R$21</f>
        <v>12.65642244143795</v>
      </c>
      <c r="BI11" s="91">
        <f>'测算-天猫淘宝'!S$21</f>
        <v>15.375631312433054</v>
      </c>
      <c r="BJ11" s="91">
        <f>'测算-天猫淘宝'!T$21</f>
        <v>13.097760006887416</v>
      </c>
      <c r="BK11" s="92">
        <f>'测算-天猫淘宝'!V$21</f>
        <v>116.95505892930049</v>
      </c>
      <c r="BL11" s="92">
        <f>'测算-天猫淘宝'!W$21</f>
        <v>69.005263862373155</v>
      </c>
      <c r="BM11" s="91"/>
      <c r="BN11" s="91">
        <f>'测算-拼多多'!I$22</f>
        <v>3.4673143633468947E-2</v>
      </c>
      <c r="BO11" s="91">
        <f>'测算-拼多多'!J$22</f>
        <v>0.11229166221458833</v>
      </c>
      <c r="BP11" s="91">
        <f>'测算-拼多多'!K$22</f>
        <v>9.6788040336627121E-2</v>
      </c>
      <c r="BQ11" s="91">
        <f>'测算-拼多多'!L$22</f>
        <v>2.1318449273053906E-2</v>
      </c>
      <c r="BR11" s="91">
        <f>'测算-拼多多'!M$22</f>
        <v>0.25805388553201858</v>
      </c>
      <c r="BS11" s="91">
        <f>'测算-拼多多'!N$22</f>
        <v>1.4745570570570572</v>
      </c>
      <c r="BT11" s="91">
        <f>'测算-拼多多'!O$22</f>
        <v>0.87250135570946008</v>
      </c>
      <c r="BU11" s="91">
        <f>'测算-拼多多'!P$22</f>
        <v>1.166925681504422</v>
      </c>
      <c r="BV11" s="91">
        <f>'测算-拼多多'!Q$22</f>
        <v>1.475712169533284</v>
      </c>
      <c r="BW11" s="91">
        <f>'测算-拼多多'!R$22</f>
        <v>1.595995278242202</v>
      </c>
      <c r="BX11" s="91">
        <f>'测算-拼多多'!S$22</f>
        <v>1.9388919015765782</v>
      </c>
      <c r="BY11" s="91">
        <f>'测算-拼多多'!T$22</f>
        <v>1.6516486568985669</v>
      </c>
      <c r="BZ11" s="92">
        <f>'测算-拼多多'!V$22</f>
        <v>10.699357281511327</v>
      </c>
      <c r="CA11" s="92">
        <f>'测算-拼多多'!W$22</f>
        <v>8.7016750434645136</v>
      </c>
      <c r="CB11" s="91"/>
      <c r="CC11" s="91">
        <f>'测算-京东POP'!I$22</f>
        <v>3.4810525635425815</v>
      </c>
      <c r="CD11" s="91">
        <f>'测算-京东POP'!J$22</f>
        <v>2.1461871694733468</v>
      </c>
      <c r="CE11" s="91">
        <f>'测算-京东POP'!K$22</f>
        <v>4.9012572334032605</v>
      </c>
      <c r="CF11" s="91">
        <f>'测算-京东POP'!L$22</f>
        <v>4.0909631043728405</v>
      </c>
      <c r="CG11" s="91">
        <f>'测算-京东POP'!M$22</f>
        <v>4.9457893056673159</v>
      </c>
      <c r="CH11" s="91">
        <f>'测算-京东POP'!N$22</f>
        <v>4.795998</v>
      </c>
      <c r="CI11" s="91">
        <f>'测算-京东POP'!O$22</f>
        <v>7.2512399400044245</v>
      </c>
      <c r="CJ11" s="91">
        <f>'测算-京东POP'!P$22</f>
        <v>9.6981604135861641</v>
      </c>
      <c r="CK11" s="91">
        <f>'测算-京东POP'!Q$22</f>
        <v>12.264442861488966</v>
      </c>
      <c r="CL11" s="91">
        <f>'测算-京东POP'!R$22</f>
        <v>13.264099396427849</v>
      </c>
      <c r="CM11" s="91">
        <f>'测算-京东POP'!S$22</f>
        <v>16.113866533343167</v>
      </c>
      <c r="CN11" s="91">
        <f>'测算-京东POP'!T$22</f>
        <v>13.726627046921953</v>
      </c>
      <c r="CO11" s="92">
        <f>'测算-京东POP'!V$22</f>
        <v>96.679683568231866</v>
      </c>
      <c r="CP11" s="92">
        <f>'测算-京东POP'!W$22</f>
        <v>72.31843619177252</v>
      </c>
      <c r="CQ11" s="91"/>
      <c r="CR11" s="91">
        <f>'测算-京东自营'!I$21</f>
        <v>132.398188</v>
      </c>
      <c r="CS11" s="91">
        <f>'测算-京东自营'!J$21</f>
        <v>91.432031999999992</v>
      </c>
      <c r="CT11" s="91">
        <f>'测算-京东自营'!K$21</f>
        <v>187.47319899999999</v>
      </c>
      <c r="CU11" s="91">
        <f>'测算-京东自营'!L$21</f>
        <v>142.93852799999999</v>
      </c>
      <c r="CV11" s="91">
        <f>'测算-京东自营'!M$21</f>
        <v>142.24938299999999</v>
      </c>
      <c r="CW11" s="91">
        <f>'测算-京东自营'!N$21</f>
        <v>282.56721240515441</v>
      </c>
      <c r="CX11" s="91">
        <f>'测算-京东自营'!O$21</f>
        <v>138.01775399889951</v>
      </c>
      <c r="CY11" s="91">
        <f>'测算-京东自营'!P$21</f>
        <v>184.5916462948245</v>
      </c>
      <c r="CZ11" s="91">
        <f>'测算-京东自营'!Q$21</f>
        <v>233.4374357759165</v>
      </c>
      <c r="DA11" s="91">
        <f>'测算-京东自营'!R$21</f>
        <v>252.46457470169079</v>
      </c>
      <c r="DB11" s="91">
        <f>'测算-京东自营'!S$21</f>
        <v>306.70611999755454</v>
      </c>
      <c r="DC11" s="91">
        <f>'测算-京东自营'!T$21</f>
        <v>261.26817629421311</v>
      </c>
      <c r="DD11" s="356">
        <f>'测算-京东自营'!V$21</f>
        <v>2355.5442494682534</v>
      </c>
      <c r="DE11" s="356">
        <f>'测算-京东自营'!W$21</f>
        <v>1376.485707063099</v>
      </c>
      <c r="DF11" s="91"/>
      <c r="DG11" s="91">
        <f>'测算-达播'!I$23</f>
        <v>0</v>
      </c>
      <c r="DH11" s="91">
        <f>'测算-达播'!J$23</f>
        <v>0</v>
      </c>
      <c r="DI11" s="91">
        <f>'测算-达播'!K$23</f>
        <v>6.866499999999999E-2</v>
      </c>
      <c r="DJ11" s="91">
        <f>'测算-达播'!L$23</f>
        <v>3.0312219999999983</v>
      </c>
      <c r="DK11" s="91">
        <f>'测算-达播'!M$23</f>
        <v>4.9869999999999984E-3</v>
      </c>
      <c r="DL11" s="91">
        <f>'测算-达播'!N$23</f>
        <v>8.1810000000000008E-3</v>
      </c>
      <c r="DM11" s="91">
        <f>'测算-达播'!O$23</f>
        <v>31.868295085425594</v>
      </c>
      <c r="DN11" s="91">
        <f>'测算-达播'!P$23</f>
        <v>42.622205361165925</v>
      </c>
      <c r="DO11" s="91">
        <f>'测算-达播'!Q$23</f>
        <v>53.900696625966745</v>
      </c>
      <c r="DP11" s="91">
        <f>'测算-达播'!R$23</f>
        <v>58.294062409348484</v>
      </c>
      <c r="DQ11" s="91">
        <f>'测算-达播'!S$23</f>
        <v>70.818433523168011</v>
      </c>
      <c r="DR11" s="91">
        <f>'测算-达播'!T$23</f>
        <v>60.32681374195792</v>
      </c>
      <c r="DS11" s="92">
        <f>'测算-达播'!V$23</f>
        <v>320.94356174703273</v>
      </c>
      <c r="DT11" s="92">
        <f>'测算-达播'!W$23</f>
        <v>317.8305067470327</v>
      </c>
      <c r="DU11" s="91"/>
      <c r="DV11" s="91">
        <f>'测算-私域'!I$22</f>
        <v>0</v>
      </c>
      <c r="DW11" s="91">
        <f>'测算-私域'!J$22</f>
        <v>0</v>
      </c>
      <c r="DX11" s="91">
        <f>'测算-私域'!K$22</f>
        <v>0</v>
      </c>
      <c r="DY11" s="91">
        <f>'测算-私域'!L$22</f>
        <v>0</v>
      </c>
      <c r="DZ11" s="91">
        <f>'测算-私域'!M$22</f>
        <v>0</v>
      </c>
      <c r="EA11" s="91">
        <f>'测算-私域'!N$22</f>
        <v>0</v>
      </c>
      <c r="EB11" s="91">
        <f>'测算-私域'!O$22</f>
        <v>6.976</v>
      </c>
      <c r="EC11" s="91">
        <f>'测算-私域'!P$22</f>
        <v>7.1379999999999999</v>
      </c>
      <c r="ED11" s="91">
        <f>'测算-私域'!Q$22</f>
        <v>7.9240000000000004</v>
      </c>
      <c r="EE11" s="91">
        <f>'测算-私域'!R$22</f>
        <v>6.5279999999999996</v>
      </c>
      <c r="EF11" s="91">
        <f>'测算-私域'!S$22</f>
        <v>8.39</v>
      </c>
      <c r="EG11" s="91">
        <f>'测算-私域'!T$22</f>
        <v>7.4580000000000002</v>
      </c>
      <c r="EH11" s="92">
        <f>'测算-私域'!V$22</f>
        <v>44.414000000000001</v>
      </c>
      <c r="EI11" s="92">
        <f>'测算-私域'!W$22</f>
        <v>44.414000000000001</v>
      </c>
      <c r="EJ11" s="42"/>
      <c r="EK11" s="91">
        <f>'测算-外部分销'!I$22</f>
        <v>0</v>
      </c>
      <c r="EL11" s="91">
        <f>'测算-外部分销'!J$22</f>
        <v>0</v>
      </c>
      <c r="EM11" s="91">
        <f>'测算-外部分销'!K$22</f>
        <v>0</v>
      </c>
      <c r="EN11" s="91">
        <f>'测算-外部分销'!L$22</f>
        <v>0</v>
      </c>
      <c r="EO11" s="91">
        <f>'测算-外部分销'!M$22</f>
        <v>0</v>
      </c>
      <c r="EP11" s="91">
        <f>'测算-外部分销'!N$22</f>
        <v>0</v>
      </c>
      <c r="EQ11" s="91">
        <f>'测算-外部分销'!O$22</f>
        <v>0</v>
      </c>
      <c r="ER11" s="91">
        <f>'测算-外部分销'!P$22</f>
        <v>0</v>
      </c>
      <c r="ES11" s="91">
        <f>'测算-外部分销'!Q$22</f>
        <v>0</v>
      </c>
      <c r="ET11" s="91">
        <f>'测算-外部分销'!R$22</f>
        <v>0</v>
      </c>
      <c r="EU11" s="91">
        <f>'测算-外部分销'!S$22</f>
        <v>0</v>
      </c>
      <c r="EV11" s="91">
        <f>'测算-外部分销'!T$22</f>
        <v>0</v>
      </c>
      <c r="EW11" s="92">
        <f>'测算-外部分销'!V$22</f>
        <v>0</v>
      </c>
      <c r="EX11" s="92">
        <f>'测算-外部分销'!W$22</f>
        <v>0</v>
      </c>
      <c r="EY11" s="10"/>
    </row>
    <row r="12" spans="1:155" ht="16" customHeight="1">
      <c r="A12" s="68"/>
      <c r="B12" s="68"/>
      <c r="C12" s="68"/>
      <c r="D12" s="68" t="s">
        <v>54</v>
      </c>
      <c r="E12" s="68" t="s">
        <v>58</v>
      </c>
      <c r="F12" s="91">
        <f t="shared" si="52"/>
        <v>0</v>
      </c>
      <c r="G12" s="91">
        <f t="shared" si="53"/>
        <v>0</v>
      </c>
      <c r="H12" s="91">
        <f t="shared" si="54"/>
        <v>0</v>
      </c>
      <c r="I12" s="91">
        <f t="shared" si="55"/>
        <v>0</v>
      </c>
      <c r="J12" s="91">
        <f t="shared" si="56"/>
        <v>0</v>
      </c>
      <c r="K12" s="91">
        <f t="shared" si="57"/>
        <v>0</v>
      </c>
      <c r="L12" s="91">
        <f t="shared" si="58"/>
        <v>0</v>
      </c>
      <c r="M12" s="91">
        <f t="shared" si="59"/>
        <v>0</v>
      </c>
      <c r="N12" s="91">
        <f t="shared" si="60"/>
        <v>0</v>
      </c>
      <c r="O12" s="91">
        <f t="shared" si="61"/>
        <v>0</v>
      </c>
      <c r="P12" s="91">
        <f t="shared" si="62"/>
        <v>0</v>
      </c>
      <c r="Q12" s="91">
        <f t="shared" si="63"/>
        <v>0</v>
      </c>
      <c r="R12" s="92">
        <f t="shared" si="64"/>
        <v>0</v>
      </c>
      <c r="S12" s="92">
        <f t="shared" si="65"/>
        <v>0</v>
      </c>
      <c r="T12" s="91"/>
      <c r="U12" s="91">
        <f>'测算-高个子抖音'!I$23</f>
        <v>0</v>
      </c>
      <c r="V12" s="91">
        <f>'测算-高个子抖音'!J$23</f>
        <v>0</v>
      </c>
      <c r="W12" s="91">
        <f>'测算-高个子抖音'!K$23</f>
        <v>0</v>
      </c>
      <c r="X12" s="91">
        <f>'测算-高个子抖音'!L$23</f>
        <v>0</v>
      </c>
      <c r="Y12" s="91">
        <f>'测算-高个子抖音'!M$23</f>
        <v>0</v>
      </c>
      <c r="Z12" s="91">
        <f>'测算-高个子抖音'!N$23</f>
        <v>0</v>
      </c>
      <c r="AA12" s="91">
        <f>'测算-高个子抖音'!O$23</f>
        <v>0</v>
      </c>
      <c r="AB12" s="91">
        <f>'测算-高个子抖音'!P$23</f>
        <v>0</v>
      </c>
      <c r="AC12" s="91">
        <f>'测算-高个子抖音'!Q$23</f>
        <v>0</v>
      </c>
      <c r="AD12" s="91">
        <f>'测算-高个子抖音'!R$23</f>
        <v>0</v>
      </c>
      <c r="AE12" s="91">
        <f>'测算-高个子抖音'!S$23</f>
        <v>0</v>
      </c>
      <c r="AF12" s="91">
        <f>'测算-高个子抖音'!T$23</f>
        <v>0</v>
      </c>
      <c r="AG12" s="92">
        <f>'测算-高个子抖音'!V$23</f>
        <v>0</v>
      </c>
      <c r="AH12" s="92">
        <f>'测算-高个子抖音'!W$23</f>
        <v>0</v>
      </c>
      <c r="AI12" s="91"/>
      <c r="AJ12" s="91">
        <f>'测算-高个子视频号'!I$23</f>
        <v>0</v>
      </c>
      <c r="AK12" s="91">
        <f>'测算-高个子视频号'!J$23</f>
        <v>0</v>
      </c>
      <c r="AL12" s="91">
        <f>'测算-高个子视频号'!K$23</f>
        <v>0</v>
      </c>
      <c r="AM12" s="91">
        <f>'测算-高个子视频号'!L$23</f>
        <v>0</v>
      </c>
      <c r="AN12" s="91">
        <f>'测算-高个子视频号'!M$23</f>
        <v>0</v>
      </c>
      <c r="AO12" s="91">
        <f>'测算-高个子视频号'!N$23</f>
        <v>0</v>
      </c>
      <c r="AP12" s="91">
        <f>'测算-高个子视频号'!O$23</f>
        <v>0</v>
      </c>
      <c r="AQ12" s="91">
        <f>'测算-高个子视频号'!P$23</f>
        <v>0</v>
      </c>
      <c r="AR12" s="91">
        <f>'测算-高个子视频号'!Q$23</f>
        <v>0</v>
      </c>
      <c r="AS12" s="91">
        <f>'测算-高个子视频号'!R$23</f>
        <v>0</v>
      </c>
      <c r="AT12" s="91">
        <f>'测算-高个子视频号'!S$23</f>
        <v>0</v>
      </c>
      <c r="AU12" s="91">
        <f>'测算-高个子视频号'!T$23</f>
        <v>0</v>
      </c>
      <c r="AV12" s="92">
        <f>'测算-高个子视频号'!V$23</f>
        <v>0</v>
      </c>
      <c r="AW12" s="92">
        <f>'测算-高个子视频号'!W$23</f>
        <v>0</v>
      </c>
      <c r="AX12" s="91"/>
      <c r="AY12" s="91">
        <f>'测算-天猫淘宝'!I$22</f>
        <v>0</v>
      </c>
      <c r="AZ12" s="91">
        <f>'测算-天猫淘宝'!J$22</f>
        <v>0</v>
      </c>
      <c r="BA12" s="91">
        <f>'测算-天猫淘宝'!K$22</f>
        <v>0</v>
      </c>
      <c r="BB12" s="91">
        <f>'测算-天猫淘宝'!L$22</f>
        <v>0</v>
      </c>
      <c r="BC12" s="91">
        <f>'测算-天猫淘宝'!M$22</f>
        <v>0</v>
      </c>
      <c r="BD12" s="91">
        <f>'测算-天猫淘宝'!N$22</f>
        <v>0</v>
      </c>
      <c r="BE12" s="91">
        <f>'测算-天猫淘宝'!O$22</f>
        <v>0</v>
      </c>
      <c r="BF12" s="91">
        <f>'测算-天猫淘宝'!P$22</f>
        <v>0</v>
      </c>
      <c r="BG12" s="91">
        <f>'测算-天猫淘宝'!Q$22</f>
        <v>0</v>
      </c>
      <c r="BH12" s="91">
        <f>'测算-天猫淘宝'!R$22</f>
        <v>0</v>
      </c>
      <c r="BI12" s="91">
        <f>'测算-天猫淘宝'!S$22</f>
        <v>0</v>
      </c>
      <c r="BJ12" s="91">
        <f>'测算-天猫淘宝'!T$22</f>
        <v>0</v>
      </c>
      <c r="BK12" s="92">
        <f>'测算-天猫淘宝'!V$22</f>
        <v>0</v>
      </c>
      <c r="BL12" s="92">
        <f>'测算-天猫淘宝'!W$22</f>
        <v>0</v>
      </c>
      <c r="BM12" s="91"/>
      <c r="BN12" s="91">
        <f>'测算-拼多多'!I$23</f>
        <v>0</v>
      </c>
      <c r="BO12" s="91">
        <f>'测算-拼多多'!J$23</f>
        <v>0</v>
      </c>
      <c r="BP12" s="91">
        <f>'测算-拼多多'!K$23</f>
        <v>0</v>
      </c>
      <c r="BQ12" s="91">
        <f>'测算-拼多多'!L$23</f>
        <v>0</v>
      </c>
      <c r="BR12" s="91">
        <f>'测算-拼多多'!M$23</f>
        <v>0</v>
      </c>
      <c r="BS12" s="91">
        <f>'测算-拼多多'!N$23</f>
        <v>0</v>
      </c>
      <c r="BT12" s="91">
        <f>'测算-拼多多'!O$23</f>
        <v>0</v>
      </c>
      <c r="BU12" s="91">
        <f>'测算-拼多多'!P$23</f>
        <v>0</v>
      </c>
      <c r="BV12" s="91">
        <f>'测算-拼多多'!Q$23</f>
        <v>0</v>
      </c>
      <c r="BW12" s="91">
        <f>'测算-拼多多'!R$23</f>
        <v>0</v>
      </c>
      <c r="BX12" s="91">
        <f>'测算-拼多多'!S$23</f>
        <v>0</v>
      </c>
      <c r="BY12" s="91">
        <f>'测算-拼多多'!T$23</f>
        <v>0</v>
      </c>
      <c r="BZ12" s="92">
        <f>'测算-拼多多'!V$23</f>
        <v>0</v>
      </c>
      <c r="CA12" s="92">
        <f>'测算-拼多多'!W$23</f>
        <v>0</v>
      </c>
      <c r="CB12" s="91"/>
      <c r="CC12" s="91">
        <f>'测算-京东POP'!I$23</f>
        <v>0</v>
      </c>
      <c r="CD12" s="91">
        <f>'测算-京东POP'!J$23</f>
        <v>0</v>
      </c>
      <c r="CE12" s="91">
        <f>'测算-京东POP'!K$23</f>
        <v>0</v>
      </c>
      <c r="CF12" s="91">
        <f>'测算-京东POP'!L$23</f>
        <v>0</v>
      </c>
      <c r="CG12" s="91">
        <f>'测算-京东POP'!M$23</f>
        <v>0</v>
      </c>
      <c r="CH12" s="91">
        <f>'测算-京东POP'!N$23</f>
        <v>0</v>
      </c>
      <c r="CI12" s="91">
        <f>'测算-京东POP'!O$23</f>
        <v>0</v>
      </c>
      <c r="CJ12" s="91">
        <f>'测算-京东POP'!P$23</f>
        <v>0</v>
      </c>
      <c r="CK12" s="91">
        <f>'测算-京东POP'!Q$23</f>
        <v>0</v>
      </c>
      <c r="CL12" s="91">
        <f>'测算-京东POP'!R$23</f>
        <v>0</v>
      </c>
      <c r="CM12" s="91">
        <f>'测算-京东POP'!S$23</f>
        <v>0</v>
      </c>
      <c r="CN12" s="91">
        <f>'测算-京东POP'!T$23</f>
        <v>0</v>
      </c>
      <c r="CO12" s="92">
        <f>'测算-京东POP'!V$23</f>
        <v>0</v>
      </c>
      <c r="CP12" s="92">
        <f>'测算-京东POP'!W$23</f>
        <v>0</v>
      </c>
      <c r="CQ12" s="91"/>
      <c r="CR12" s="91" t="str">
        <f>""</f>
        <v/>
      </c>
      <c r="CS12" s="91" t="str">
        <f>""</f>
        <v/>
      </c>
      <c r="CT12" s="91" t="str">
        <f>""</f>
        <v/>
      </c>
      <c r="CU12" s="91" t="str">
        <f>""</f>
        <v/>
      </c>
      <c r="CV12" s="91" t="str">
        <f>""</f>
        <v/>
      </c>
      <c r="CW12" s="91" t="str">
        <f>""</f>
        <v/>
      </c>
      <c r="CX12" s="91" t="str">
        <f>""</f>
        <v/>
      </c>
      <c r="CY12" s="91" t="str">
        <f>""</f>
        <v/>
      </c>
      <c r="CZ12" s="91" t="str">
        <f>""</f>
        <v/>
      </c>
      <c r="DA12" s="91" t="str">
        <f>""</f>
        <v/>
      </c>
      <c r="DB12" s="91" t="str">
        <f>""</f>
        <v/>
      </c>
      <c r="DC12" s="91" t="str">
        <f>""</f>
        <v/>
      </c>
      <c r="DD12" s="92" t="str">
        <f>""</f>
        <v/>
      </c>
      <c r="DE12" s="92" t="str">
        <f>""</f>
        <v/>
      </c>
      <c r="DF12" s="91"/>
      <c r="DG12" s="91">
        <f>'测算-达播'!I$24</f>
        <v>0</v>
      </c>
      <c r="DH12" s="91">
        <f>'测算-达播'!J$24</f>
        <v>0</v>
      </c>
      <c r="DI12" s="91">
        <f>'测算-达播'!K$24</f>
        <v>0</v>
      </c>
      <c r="DJ12" s="91">
        <f>'测算-达播'!L$24</f>
        <v>0</v>
      </c>
      <c r="DK12" s="91">
        <f>'测算-达播'!M$24</f>
        <v>0</v>
      </c>
      <c r="DL12" s="91">
        <f>'测算-达播'!N$24</f>
        <v>0</v>
      </c>
      <c r="DM12" s="91">
        <f>'测算-达播'!O$24</f>
        <v>0</v>
      </c>
      <c r="DN12" s="91">
        <f>'测算-达播'!P$24</f>
        <v>0</v>
      </c>
      <c r="DO12" s="91">
        <f>'测算-达播'!Q$24</f>
        <v>0</v>
      </c>
      <c r="DP12" s="91">
        <f>'测算-达播'!R$24</f>
        <v>0</v>
      </c>
      <c r="DQ12" s="91">
        <f>'测算-达播'!S$24</f>
        <v>0</v>
      </c>
      <c r="DR12" s="91">
        <f>'测算-达播'!T$24</f>
        <v>0</v>
      </c>
      <c r="DS12" s="92">
        <f>'测算-达播'!V$24</f>
        <v>0</v>
      </c>
      <c r="DT12" s="92">
        <f>'测算-达播'!W$24</f>
        <v>0</v>
      </c>
      <c r="DU12" s="91"/>
      <c r="DV12" s="91">
        <f>'测算-私域'!I$23</f>
        <v>0</v>
      </c>
      <c r="DW12" s="91">
        <f>'测算-私域'!J$23</f>
        <v>0</v>
      </c>
      <c r="DX12" s="91">
        <f>'测算-私域'!K$23</f>
        <v>0</v>
      </c>
      <c r="DY12" s="91">
        <f>'测算-私域'!L$23</f>
        <v>0</v>
      </c>
      <c r="DZ12" s="91">
        <f>'测算-私域'!M$23</f>
        <v>0</v>
      </c>
      <c r="EA12" s="91">
        <f>'测算-私域'!N$23</f>
        <v>0</v>
      </c>
      <c r="EB12" s="91">
        <f>'测算-私域'!O$23</f>
        <v>0</v>
      </c>
      <c r="EC12" s="91">
        <f>'测算-私域'!P$23</f>
        <v>0</v>
      </c>
      <c r="ED12" s="91">
        <f>'测算-私域'!Q$23</f>
        <v>0</v>
      </c>
      <c r="EE12" s="91">
        <f>'测算-私域'!R$23</f>
        <v>0</v>
      </c>
      <c r="EF12" s="91">
        <f>'测算-私域'!S$23</f>
        <v>0</v>
      </c>
      <c r="EG12" s="91">
        <f>'测算-私域'!T$23</f>
        <v>0</v>
      </c>
      <c r="EH12" s="92">
        <f>'测算-私域'!V$23</f>
        <v>0</v>
      </c>
      <c r="EI12" s="92">
        <f>'测算-私域'!W$23</f>
        <v>0</v>
      </c>
      <c r="EJ12" s="42"/>
      <c r="EK12" s="91" t="str">
        <f>'测算-外部分销'!I$23</f>
        <v/>
      </c>
      <c r="EL12" s="91" t="str">
        <f>'测算-外部分销'!J$23</f>
        <v/>
      </c>
      <c r="EM12" s="91" t="str">
        <f>'测算-外部分销'!K$23</f>
        <v/>
      </c>
      <c r="EN12" s="91" t="str">
        <f>'测算-外部分销'!L$23</f>
        <v/>
      </c>
      <c r="EO12" s="91" t="str">
        <f>'测算-外部分销'!M$23</f>
        <v/>
      </c>
      <c r="EP12" s="91" t="str">
        <f>'测算-外部分销'!N$23</f>
        <v/>
      </c>
      <c r="EQ12" s="91">
        <f>'测算-外部分销'!O$23</f>
        <v>0</v>
      </c>
      <c r="ER12" s="91">
        <f>'测算-外部分销'!P$23</f>
        <v>0</v>
      </c>
      <c r="ES12" s="91">
        <f>'测算-外部分销'!Q$23</f>
        <v>0</v>
      </c>
      <c r="ET12" s="91">
        <f>'测算-外部分销'!R$23</f>
        <v>0</v>
      </c>
      <c r="EU12" s="91">
        <f>'测算-外部分销'!S$23</f>
        <v>0</v>
      </c>
      <c r="EV12" s="91">
        <f>'测算-外部分销'!T$23</f>
        <v>0</v>
      </c>
      <c r="EW12" s="92">
        <f>'测算-外部分销'!V$23</f>
        <v>0</v>
      </c>
      <c r="EX12" s="92">
        <f>'测算-外部分销'!W$23</f>
        <v>0</v>
      </c>
      <c r="EY12" s="10"/>
    </row>
    <row r="13" spans="1:155" ht="16" customHeight="1">
      <c r="A13" s="68"/>
      <c r="B13" s="68"/>
      <c r="C13" s="68"/>
      <c r="D13" s="68" t="s">
        <v>54</v>
      </c>
      <c r="E13" s="68" t="s">
        <v>59</v>
      </c>
      <c r="F13" s="91">
        <f t="shared" si="52"/>
        <v>0</v>
      </c>
      <c r="G13" s="91">
        <f t="shared" si="53"/>
        <v>0</v>
      </c>
      <c r="H13" s="91">
        <f t="shared" si="54"/>
        <v>0</v>
      </c>
      <c r="I13" s="91">
        <f t="shared" si="55"/>
        <v>0</v>
      </c>
      <c r="J13" s="91">
        <f t="shared" si="56"/>
        <v>0</v>
      </c>
      <c r="K13" s="91">
        <f t="shared" si="57"/>
        <v>0</v>
      </c>
      <c r="L13" s="91">
        <f t="shared" si="58"/>
        <v>0</v>
      </c>
      <c r="M13" s="91">
        <f t="shared" si="59"/>
        <v>0</v>
      </c>
      <c r="N13" s="91">
        <f t="shared" si="60"/>
        <v>0</v>
      </c>
      <c r="O13" s="91">
        <f t="shared" si="61"/>
        <v>0</v>
      </c>
      <c r="P13" s="91">
        <f t="shared" si="62"/>
        <v>0</v>
      </c>
      <c r="Q13" s="91">
        <f t="shared" si="63"/>
        <v>0</v>
      </c>
      <c r="R13" s="92">
        <f t="shared" si="64"/>
        <v>0</v>
      </c>
      <c r="S13" s="92">
        <f t="shared" si="65"/>
        <v>0</v>
      </c>
      <c r="T13" s="91"/>
      <c r="U13" s="91">
        <f>'测算-高个子抖音'!I$24</f>
        <v>0</v>
      </c>
      <c r="V13" s="91">
        <f>'测算-高个子抖音'!J$24</f>
        <v>0</v>
      </c>
      <c r="W13" s="91">
        <f>'测算-高个子抖音'!K$24</f>
        <v>0</v>
      </c>
      <c r="X13" s="91">
        <f>'测算-高个子抖音'!L$24</f>
        <v>0</v>
      </c>
      <c r="Y13" s="91">
        <f>'测算-高个子抖音'!M$24</f>
        <v>0</v>
      </c>
      <c r="Z13" s="91">
        <f>'测算-高个子抖音'!N$24</f>
        <v>0</v>
      </c>
      <c r="AA13" s="91">
        <f>'测算-高个子抖音'!O$24</f>
        <v>0</v>
      </c>
      <c r="AB13" s="91">
        <f>'测算-高个子抖音'!P$24</f>
        <v>0</v>
      </c>
      <c r="AC13" s="91">
        <f>'测算-高个子抖音'!Q$24</f>
        <v>0</v>
      </c>
      <c r="AD13" s="91">
        <f>'测算-高个子抖音'!R$24</f>
        <v>0</v>
      </c>
      <c r="AE13" s="91">
        <f>'测算-高个子抖音'!S$24</f>
        <v>0</v>
      </c>
      <c r="AF13" s="91">
        <f>'测算-高个子抖音'!T$24</f>
        <v>0</v>
      </c>
      <c r="AG13" s="92">
        <f>'测算-高个子抖音'!V$24</f>
        <v>0</v>
      </c>
      <c r="AH13" s="92">
        <f>'测算-高个子抖音'!W$24</f>
        <v>0</v>
      </c>
      <c r="AI13" s="91"/>
      <c r="AJ13" s="91">
        <f>'测算-高个子视频号'!I$24</f>
        <v>0</v>
      </c>
      <c r="AK13" s="91">
        <f>'测算-高个子视频号'!J$24</f>
        <v>0</v>
      </c>
      <c r="AL13" s="91">
        <f>'测算-高个子视频号'!K$24</f>
        <v>0</v>
      </c>
      <c r="AM13" s="91">
        <f>'测算-高个子视频号'!L$24</f>
        <v>0</v>
      </c>
      <c r="AN13" s="91">
        <f>'测算-高个子视频号'!M$24</f>
        <v>0</v>
      </c>
      <c r="AO13" s="91">
        <f>'测算-高个子视频号'!N$24</f>
        <v>0</v>
      </c>
      <c r="AP13" s="91">
        <f>'测算-高个子视频号'!O$24</f>
        <v>0</v>
      </c>
      <c r="AQ13" s="91">
        <f>'测算-高个子视频号'!P$24</f>
        <v>0</v>
      </c>
      <c r="AR13" s="91">
        <f>'测算-高个子视频号'!Q$24</f>
        <v>0</v>
      </c>
      <c r="AS13" s="91">
        <f>'测算-高个子视频号'!R$24</f>
        <v>0</v>
      </c>
      <c r="AT13" s="91">
        <f>'测算-高个子视频号'!S$24</f>
        <v>0</v>
      </c>
      <c r="AU13" s="91">
        <f>'测算-高个子视频号'!T$24</f>
        <v>0</v>
      </c>
      <c r="AV13" s="92">
        <f>'测算-高个子视频号'!V$24</f>
        <v>0</v>
      </c>
      <c r="AW13" s="92">
        <f>'测算-高个子视频号'!W$24</f>
        <v>0</v>
      </c>
      <c r="AX13" s="91"/>
      <c r="AY13" s="91">
        <f>'测算-天猫淘宝'!I$23</f>
        <v>0</v>
      </c>
      <c r="AZ13" s="91">
        <f>'测算-天猫淘宝'!J$23</f>
        <v>0</v>
      </c>
      <c r="BA13" s="91">
        <f>'测算-天猫淘宝'!K$23</f>
        <v>0</v>
      </c>
      <c r="BB13" s="91">
        <f>'测算-天猫淘宝'!L$23</f>
        <v>0</v>
      </c>
      <c r="BC13" s="91">
        <f>'测算-天猫淘宝'!M$23</f>
        <v>0</v>
      </c>
      <c r="BD13" s="91">
        <f>'测算-天猫淘宝'!N$23</f>
        <v>0</v>
      </c>
      <c r="BE13" s="91">
        <f>'测算-天猫淘宝'!O$23</f>
        <v>0</v>
      </c>
      <c r="BF13" s="91">
        <f>'测算-天猫淘宝'!P$23</f>
        <v>0</v>
      </c>
      <c r="BG13" s="91">
        <f>'测算-天猫淘宝'!Q$23</f>
        <v>0</v>
      </c>
      <c r="BH13" s="91">
        <f>'测算-天猫淘宝'!R$23</f>
        <v>0</v>
      </c>
      <c r="BI13" s="91">
        <f>'测算-天猫淘宝'!S$23</f>
        <v>0</v>
      </c>
      <c r="BJ13" s="91">
        <f>'测算-天猫淘宝'!T$23</f>
        <v>0</v>
      </c>
      <c r="BK13" s="92">
        <f>'测算-天猫淘宝'!V$23</f>
        <v>0</v>
      </c>
      <c r="BL13" s="92">
        <f>'测算-天猫淘宝'!W$23</f>
        <v>0</v>
      </c>
      <c r="BM13" s="91"/>
      <c r="BN13" s="91">
        <f>'测算-拼多多'!I$24</f>
        <v>0</v>
      </c>
      <c r="BO13" s="91">
        <f>'测算-拼多多'!J$24</f>
        <v>0</v>
      </c>
      <c r="BP13" s="91">
        <f>'测算-拼多多'!K$24</f>
        <v>0</v>
      </c>
      <c r="BQ13" s="91">
        <f>'测算-拼多多'!L$24</f>
        <v>0</v>
      </c>
      <c r="BR13" s="91">
        <f>'测算-拼多多'!M$24</f>
        <v>0</v>
      </c>
      <c r="BS13" s="91">
        <f>'测算-拼多多'!N$24</f>
        <v>0</v>
      </c>
      <c r="BT13" s="91">
        <f>'测算-拼多多'!O$24</f>
        <v>0</v>
      </c>
      <c r="BU13" s="91">
        <f>'测算-拼多多'!P$24</f>
        <v>0</v>
      </c>
      <c r="BV13" s="91">
        <f>'测算-拼多多'!Q$24</f>
        <v>0</v>
      </c>
      <c r="BW13" s="91">
        <f>'测算-拼多多'!R$24</f>
        <v>0</v>
      </c>
      <c r="BX13" s="91">
        <f>'测算-拼多多'!S$24</f>
        <v>0</v>
      </c>
      <c r="BY13" s="91">
        <f>'测算-拼多多'!T$24</f>
        <v>0</v>
      </c>
      <c r="BZ13" s="92">
        <f>'测算-拼多多'!V$24</f>
        <v>0</v>
      </c>
      <c r="CA13" s="92">
        <f>'测算-拼多多'!W$24</f>
        <v>0</v>
      </c>
      <c r="CB13" s="91"/>
      <c r="CC13" s="91">
        <f>'测算-京东POP'!I$24</f>
        <v>0</v>
      </c>
      <c r="CD13" s="91">
        <f>'测算-京东POP'!J$24</f>
        <v>0</v>
      </c>
      <c r="CE13" s="91">
        <f>'测算-京东POP'!K$24</f>
        <v>0</v>
      </c>
      <c r="CF13" s="91">
        <f>'测算-京东POP'!L$24</f>
        <v>0</v>
      </c>
      <c r="CG13" s="91">
        <f>'测算-京东POP'!M$24</f>
        <v>0</v>
      </c>
      <c r="CH13" s="91">
        <f>'测算-京东POP'!N$24</f>
        <v>0</v>
      </c>
      <c r="CI13" s="91">
        <f>'测算-京东POP'!O$24</f>
        <v>0</v>
      </c>
      <c r="CJ13" s="91">
        <f>'测算-京东POP'!P$24</f>
        <v>0</v>
      </c>
      <c r="CK13" s="91">
        <f>'测算-京东POP'!Q$24</f>
        <v>0</v>
      </c>
      <c r="CL13" s="91">
        <f>'测算-京东POP'!R$24</f>
        <v>0</v>
      </c>
      <c r="CM13" s="91">
        <f>'测算-京东POP'!S$24</f>
        <v>0</v>
      </c>
      <c r="CN13" s="91">
        <f>'测算-京东POP'!T$24</f>
        <v>0</v>
      </c>
      <c r="CO13" s="92">
        <f>'测算-京东POP'!V$24</f>
        <v>0</v>
      </c>
      <c r="CP13" s="92">
        <f>'测算-京东POP'!W$24</f>
        <v>0</v>
      </c>
      <c r="CQ13" s="91"/>
      <c r="CR13" s="91">
        <f>'测算-京东自营'!I$24</f>
        <v>0</v>
      </c>
      <c r="CS13" s="91">
        <f>'测算-京东自营'!J$24</f>
        <v>0</v>
      </c>
      <c r="CT13" s="91">
        <f>'测算-京东自营'!K$24</f>
        <v>0</v>
      </c>
      <c r="CU13" s="91">
        <f>'测算-京东自营'!L$24</f>
        <v>0</v>
      </c>
      <c r="CV13" s="91">
        <f>'测算-京东自营'!M$24</f>
        <v>0</v>
      </c>
      <c r="CW13" s="91">
        <f>'测算-京东自营'!N$24</f>
        <v>0</v>
      </c>
      <c r="CX13" s="91">
        <f>'测算-京东自营'!O$24</f>
        <v>0</v>
      </c>
      <c r="CY13" s="91">
        <f>'测算-京东自营'!P$24</f>
        <v>0</v>
      </c>
      <c r="CZ13" s="91">
        <f>'测算-京东自营'!Q$24</f>
        <v>0</v>
      </c>
      <c r="DA13" s="91">
        <f>'测算-京东自营'!R$24</f>
        <v>0</v>
      </c>
      <c r="DB13" s="91">
        <f>'测算-京东自营'!S$24</f>
        <v>0</v>
      </c>
      <c r="DC13" s="91">
        <f>'测算-京东自营'!T$24</f>
        <v>0</v>
      </c>
      <c r="DD13" s="92">
        <f>'测算-京东自营'!V$24</f>
        <v>0</v>
      </c>
      <c r="DE13" s="92">
        <f>'测算-京东自营'!W$24</f>
        <v>0</v>
      </c>
      <c r="DF13" s="91"/>
      <c r="DG13" s="91">
        <f>'测算-达播'!I$25</f>
        <v>0</v>
      </c>
      <c r="DH13" s="91">
        <f>'测算-达播'!J$25</f>
        <v>0</v>
      </c>
      <c r="DI13" s="91">
        <f>'测算-达播'!K$25</f>
        <v>0</v>
      </c>
      <c r="DJ13" s="91">
        <f>'测算-达播'!L$25</f>
        <v>0</v>
      </c>
      <c r="DK13" s="91">
        <f>'测算-达播'!M$25</f>
        <v>0</v>
      </c>
      <c r="DL13" s="91">
        <f>'测算-达播'!N$25</f>
        <v>0</v>
      </c>
      <c r="DM13" s="91">
        <f>'测算-达播'!O$25</f>
        <v>0</v>
      </c>
      <c r="DN13" s="91">
        <f>'测算-达播'!P$25</f>
        <v>0</v>
      </c>
      <c r="DO13" s="91">
        <f>'测算-达播'!Q$25</f>
        <v>0</v>
      </c>
      <c r="DP13" s="91">
        <f>'测算-达播'!R$25</f>
        <v>0</v>
      </c>
      <c r="DQ13" s="91">
        <f>'测算-达播'!S$25</f>
        <v>0</v>
      </c>
      <c r="DR13" s="91">
        <f>'测算-达播'!T$25</f>
        <v>0</v>
      </c>
      <c r="DS13" s="92">
        <f>'测算-达播'!V$25</f>
        <v>0</v>
      </c>
      <c r="DT13" s="92">
        <f>'测算-达播'!W$25</f>
        <v>0</v>
      </c>
      <c r="DU13" s="91"/>
      <c r="DV13" s="91">
        <f>'测算-私域'!I$24</f>
        <v>0</v>
      </c>
      <c r="DW13" s="91">
        <f>'测算-私域'!J$24</f>
        <v>0</v>
      </c>
      <c r="DX13" s="91">
        <f>'测算-私域'!K$24</f>
        <v>0</v>
      </c>
      <c r="DY13" s="91">
        <f>'测算-私域'!L$24</f>
        <v>0</v>
      </c>
      <c r="DZ13" s="91">
        <f>'测算-私域'!M$24</f>
        <v>0</v>
      </c>
      <c r="EA13" s="91">
        <f>'测算-私域'!N$24</f>
        <v>0</v>
      </c>
      <c r="EB13" s="91">
        <f>'测算-私域'!O$24</f>
        <v>0</v>
      </c>
      <c r="EC13" s="91">
        <f>'测算-私域'!P$24</f>
        <v>0</v>
      </c>
      <c r="ED13" s="91">
        <f>'测算-私域'!Q$24</f>
        <v>0</v>
      </c>
      <c r="EE13" s="91">
        <f>'测算-私域'!R$24</f>
        <v>0</v>
      </c>
      <c r="EF13" s="91">
        <f>'测算-私域'!S$24</f>
        <v>0</v>
      </c>
      <c r="EG13" s="91">
        <f>'测算-私域'!T$24</f>
        <v>0</v>
      </c>
      <c r="EH13" s="92">
        <f>'测算-私域'!V$24</f>
        <v>0</v>
      </c>
      <c r="EI13" s="92">
        <f>'测算-私域'!W$24</f>
        <v>0</v>
      </c>
      <c r="EJ13" s="42"/>
      <c r="EK13" s="91" t="str">
        <f>'测算-外部分销'!I$24</f>
        <v/>
      </c>
      <c r="EL13" s="91" t="str">
        <f>'测算-外部分销'!J$24</f>
        <v/>
      </c>
      <c r="EM13" s="91" t="str">
        <f>'测算-外部分销'!K$24</f>
        <v/>
      </c>
      <c r="EN13" s="91" t="str">
        <f>'测算-外部分销'!L$24</f>
        <v/>
      </c>
      <c r="EO13" s="91" t="str">
        <f>'测算-外部分销'!M$24</f>
        <v/>
      </c>
      <c r="EP13" s="91" t="str">
        <f>'测算-外部分销'!N$24</f>
        <v/>
      </c>
      <c r="EQ13" s="91">
        <f>'测算-外部分销'!O$24</f>
        <v>0</v>
      </c>
      <c r="ER13" s="91">
        <f>'测算-外部分销'!P$24</f>
        <v>0</v>
      </c>
      <c r="ES13" s="91">
        <f>'测算-外部分销'!Q$24</f>
        <v>0</v>
      </c>
      <c r="ET13" s="91">
        <f>'测算-外部分销'!R$24</f>
        <v>0</v>
      </c>
      <c r="EU13" s="91">
        <f>'测算-外部分销'!S$24</f>
        <v>0</v>
      </c>
      <c r="EV13" s="91">
        <f>'测算-外部分销'!T$24</f>
        <v>0</v>
      </c>
      <c r="EW13" s="92">
        <f>'测算-外部分销'!V$24</f>
        <v>0</v>
      </c>
      <c r="EX13" s="92">
        <f>'测算-外部分销'!W$24</f>
        <v>0</v>
      </c>
      <c r="EY13" s="10"/>
    </row>
    <row r="14" spans="1:155" ht="16" customHeight="1">
      <c r="A14" s="68"/>
      <c r="B14" s="68"/>
      <c r="C14" s="68"/>
      <c r="D14" s="68" t="s">
        <v>54</v>
      </c>
      <c r="E14" s="68" t="s">
        <v>64</v>
      </c>
      <c r="F14" s="91" t="e">
        <f>SUM(U14,AJ14,AY14,BN14,CC14,#REF!,DG14,DV14,CR14)</f>
        <v>#REF!</v>
      </c>
      <c r="G14" s="91" t="e">
        <f>SUM(V14,AK14,AZ14,BO14,CD14,#REF!,DH14,DW14,CS14)</f>
        <v>#REF!</v>
      </c>
      <c r="H14" s="91" t="e">
        <f>SUM(W14,AL14,BA14,BP14,CE14,#REF!,DI14,DX14,CT14)</f>
        <v>#REF!</v>
      </c>
      <c r="I14" s="91" t="e">
        <f>SUM(X14,AM14,BB14,BQ14,CF14,#REF!,DJ14,DY14,CU14)</f>
        <v>#REF!</v>
      </c>
      <c r="J14" s="91" t="e">
        <f>SUM(Y14,AN14,BC14,BR14,CG14,#REF!,DK14,DZ14,CV14)</f>
        <v>#REF!</v>
      </c>
      <c r="K14" s="91" t="e">
        <f>SUM(Z14,AO14,BD14,BS14,CH14,#REF!,DL14,EA14,CW14)</f>
        <v>#REF!</v>
      </c>
      <c r="L14" s="91" t="e">
        <f>SUM(AA14,AP14,BE14,BT14,CI14,#REF!,DM14,EB14,CX14)</f>
        <v>#REF!</v>
      </c>
      <c r="M14" s="91" t="e">
        <f>SUM(AB14,AQ14,BF14,BU14,CJ14,#REF!,DN14,EC14,CY14)</f>
        <v>#REF!</v>
      </c>
      <c r="N14" s="91" t="e">
        <f>SUM(AC14,AR14,BG14,BV14,CK14,#REF!,DO14,ED14,CZ14)</f>
        <v>#REF!</v>
      </c>
      <c r="O14" s="91" t="e">
        <f>SUM(AD14,AS14,BH14,BW14,CL14,#REF!,DP14,EE14,DA14)</f>
        <v>#REF!</v>
      </c>
      <c r="P14" s="91" t="e">
        <f>SUM(AE14,AT14,BI14,BX14,CM14,#REF!,DQ14,EF14,DB14)</f>
        <v>#REF!</v>
      </c>
      <c r="Q14" s="91" t="e">
        <f>SUM(AF14,AU14,BJ14,BY14,CN14,#REF!,DR14,EG14,DC14)</f>
        <v>#REF!</v>
      </c>
      <c r="R14" s="92" t="e">
        <f t="shared" si="64"/>
        <v>#REF!</v>
      </c>
      <c r="S14" s="92" t="e">
        <f t="shared" si="65"/>
        <v>#REF!</v>
      </c>
      <c r="T14" s="91"/>
      <c r="U14" s="91" t="str">
        <f>""</f>
        <v/>
      </c>
      <c r="V14" s="91" t="str">
        <f>""</f>
        <v/>
      </c>
      <c r="W14" s="91" t="str">
        <f>""</f>
        <v/>
      </c>
      <c r="X14" s="91" t="str">
        <f>""</f>
        <v/>
      </c>
      <c r="Y14" s="91" t="str">
        <f>""</f>
        <v/>
      </c>
      <c r="Z14" s="91" t="str">
        <f>""</f>
        <v/>
      </c>
      <c r="AA14" s="91" t="str">
        <f>""</f>
        <v/>
      </c>
      <c r="AB14" s="91" t="str">
        <f>""</f>
        <v/>
      </c>
      <c r="AC14" s="91" t="str">
        <f>""</f>
        <v/>
      </c>
      <c r="AD14" s="91" t="str">
        <f>""</f>
        <v/>
      </c>
      <c r="AE14" s="91" t="str">
        <f>""</f>
        <v/>
      </c>
      <c r="AF14" s="91" t="str">
        <f>""</f>
        <v/>
      </c>
      <c r="AG14" s="92" t="str">
        <f>""</f>
        <v/>
      </c>
      <c r="AH14" s="92" t="str">
        <f>""</f>
        <v/>
      </c>
      <c r="AI14" s="91"/>
      <c r="AJ14" s="91" t="str">
        <f>""</f>
        <v/>
      </c>
      <c r="AK14" s="91" t="str">
        <f>""</f>
        <v/>
      </c>
      <c r="AL14" s="91" t="str">
        <f>""</f>
        <v/>
      </c>
      <c r="AM14" s="91" t="str">
        <f>""</f>
        <v/>
      </c>
      <c r="AN14" s="91" t="str">
        <f>""</f>
        <v/>
      </c>
      <c r="AO14" s="91" t="str">
        <f>""</f>
        <v/>
      </c>
      <c r="AP14" s="91" t="str">
        <f>""</f>
        <v/>
      </c>
      <c r="AQ14" s="91" t="str">
        <f>""</f>
        <v/>
      </c>
      <c r="AR14" s="91" t="str">
        <f>""</f>
        <v/>
      </c>
      <c r="AS14" s="91" t="str">
        <f>""</f>
        <v/>
      </c>
      <c r="AT14" s="91" t="str">
        <f>""</f>
        <v/>
      </c>
      <c r="AU14" s="91" t="str">
        <f>""</f>
        <v/>
      </c>
      <c r="AV14" s="92" t="str">
        <f>""</f>
        <v/>
      </c>
      <c r="AW14" s="92" t="str">
        <f>""</f>
        <v/>
      </c>
      <c r="AX14" s="91"/>
      <c r="AY14" s="91" t="str">
        <f>""</f>
        <v/>
      </c>
      <c r="AZ14" s="91" t="str">
        <f>""</f>
        <v/>
      </c>
      <c r="BA14" s="91" t="str">
        <f>""</f>
        <v/>
      </c>
      <c r="BB14" s="91" t="str">
        <f>""</f>
        <v/>
      </c>
      <c r="BC14" s="91" t="str">
        <f>""</f>
        <v/>
      </c>
      <c r="BD14" s="91" t="str">
        <f>""</f>
        <v/>
      </c>
      <c r="BE14" s="91" t="str">
        <f>""</f>
        <v/>
      </c>
      <c r="BF14" s="91" t="str">
        <f>""</f>
        <v/>
      </c>
      <c r="BG14" s="91" t="str">
        <f>""</f>
        <v/>
      </c>
      <c r="BH14" s="91" t="str">
        <f>""</f>
        <v/>
      </c>
      <c r="BI14" s="91" t="str">
        <f>""</f>
        <v/>
      </c>
      <c r="BJ14" s="91" t="str">
        <f>""</f>
        <v/>
      </c>
      <c r="BK14" s="92" t="str">
        <f>""</f>
        <v/>
      </c>
      <c r="BL14" s="92" t="str">
        <f>""</f>
        <v/>
      </c>
      <c r="BM14" s="91"/>
      <c r="BN14" s="91" t="str">
        <f>""</f>
        <v/>
      </c>
      <c r="BO14" s="91" t="str">
        <f>""</f>
        <v/>
      </c>
      <c r="BP14" s="91" t="str">
        <f>""</f>
        <v/>
      </c>
      <c r="BQ14" s="91" t="str">
        <f>""</f>
        <v/>
      </c>
      <c r="BR14" s="91" t="str">
        <f>""</f>
        <v/>
      </c>
      <c r="BS14" s="91" t="str">
        <f>""</f>
        <v/>
      </c>
      <c r="BT14" s="91" t="str">
        <f>""</f>
        <v/>
      </c>
      <c r="BU14" s="91" t="str">
        <f>""</f>
        <v/>
      </c>
      <c r="BV14" s="91" t="str">
        <f>""</f>
        <v/>
      </c>
      <c r="BW14" s="91" t="str">
        <f>""</f>
        <v/>
      </c>
      <c r="BX14" s="91" t="str">
        <f>""</f>
        <v/>
      </c>
      <c r="BY14" s="91" t="str">
        <f>""</f>
        <v/>
      </c>
      <c r="BZ14" s="92" t="str">
        <f>""</f>
        <v/>
      </c>
      <c r="CA14" s="92" t="str">
        <f>""</f>
        <v/>
      </c>
      <c r="CB14" s="91"/>
      <c r="CC14" s="91" t="str">
        <f>""</f>
        <v/>
      </c>
      <c r="CD14" s="91" t="str">
        <f>""</f>
        <v/>
      </c>
      <c r="CE14" s="91" t="str">
        <f>""</f>
        <v/>
      </c>
      <c r="CF14" s="91" t="str">
        <f>""</f>
        <v/>
      </c>
      <c r="CG14" s="91" t="str">
        <f>""</f>
        <v/>
      </c>
      <c r="CH14" s="91" t="str">
        <f>""</f>
        <v/>
      </c>
      <c r="CI14" s="91" t="str">
        <f>""</f>
        <v/>
      </c>
      <c r="CJ14" s="91" t="str">
        <f>""</f>
        <v/>
      </c>
      <c r="CK14" s="91" t="str">
        <f>""</f>
        <v/>
      </c>
      <c r="CL14" s="91" t="str">
        <f>""</f>
        <v/>
      </c>
      <c r="CM14" s="91" t="str">
        <f>""</f>
        <v/>
      </c>
      <c r="CN14" s="91" t="str">
        <f>""</f>
        <v/>
      </c>
      <c r="CO14" s="92" t="str">
        <f>""</f>
        <v/>
      </c>
      <c r="CP14" s="92" t="str">
        <f>""</f>
        <v/>
      </c>
      <c r="CQ14" s="91"/>
      <c r="CR14" s="91">
        <f>'测算-京东自营'!I$27</f>
        <v>6.3855600000000194</v>
      </c>
      <c r="CS14" s="91">
        <f>'测算-京东自营'!J$27</f>
        <v>3.4606699999999697</v>
      </c>
      <c r="CT14" s="91">
        <f>'测算-京东自营'!K$27</f>
        <v>11.145470000000001</v>
      </c>
      <c r="CU14" s="91">
        <f>'测算-京东自营'!L$27</f>
        <v>6.2514700000000305</v>
      </c>
      <c r="CV14" s="91">
        <f>'测算-京东自营'!M$27</f>
        <v>18.657320000000002</v>
      </c>
      <c r="CW14" s="91">
        <f>'测算-京东自营'!N$27</f>
        <v>18.621873595082182</v>
      </c>
      <c r="CX14" s="91">
        <f>'测算-京东自营'!O$27</f>
        <v>9.0957091127738074</v>
      </c>
      <c r="CY14" s="91">
        <f>'测算-京东自营'!P$27</f>
        <v>12.165043052063739</v>
      </c>
      <c r="CZ14" s="91">
        <f>'测算-京东自营'!Q$27</f>
        <v>15.384100598148295</v>
      </c>
      <c r="DA14" s="91">
        <f>'测算-京东自营'!R$27</f>
        <v>16.638035805053335</v>
      </c>
      <c r="DB14" s="91">
        <f>'测算-京东自营'!S$27</f>
        <v>20.212686917275136</v>
      </c>
      <c r="DC14" s="91">
        <f>'测算-京东自营'!T$27</f>
        <v>17.218214781382521</v>
      </c>
      <c r="DD14" s="356">
        <f>'测算-京东自营'!V$27</f>
        <v>155.23615386177903</v>
      </c>
      <c r="DE14" s="356">
        <f>'测算-京东自营'!W$27</f>
        <v>90.713790266696833</v>
      </c>
      <c r="DF14" s="91"/>
      <c r="DG14" s="91" t="str">
        <f>""</f>
        <v/>
      </c>
      <c r="DH14" s="91" t="str">
        <f>""</f>
        <v/>
      </c>
      <c r="DI14" s="91" t="str">
        <f>""</f>
        <v/>
      </c>
      <c r="DJ14" s="91" t="str">
        <f>""</f>
        <v/>
      </c>
      <c r="DK14" s="91" t="str">
        <f>""</f>
        <v/>
      </c>
      <c r="DL14" s="91" t="str">
        <f>""</f>
        <v/>
      </c>
      <c r="DM14" s="91" t="str">
        <f>""</f>
        <v/>
      </c>
      <c r="DN14" s="91" t="str">
        <f>""</f>
        <v/>
      </c>
      <c r="DO14" s="91" t="str">
        <f>""</f>
        <v/>
      </c>
      <c r="DP14" s="91" t="str">
        <f>""</f>
        <v/>
      </c>
      <c r="DQ14" s="91" t="str">
        <f>""</f>
        <v/>
      </c>
      <c r="DR14" s="91" t="str">
        <f>""</f>
        <v/>
      </c>
      <c r="DS14" s="92" t="str">
        <f>""</f>
        <v/>
      </c>
      <c r="DT14" s="92" t="str">
        <f>""</f>
        <v/>
      </c>
      <c r="DU14" s="91"/>
      <c r="DV14" s="91" t="str">
        <f>""</f>
        <v/>
      </c>
      <c r="DW14" s="91" t="str">
        <f>""</f>
        <v/>
      </c>
      <c r="DX14" s="91" t="str">
        <f>""</f>
        <v/>
      </c>
      <c r="DY14" s="91" t="str">
        <f>""</f>
        <v/>
      </c>
      <c r="DZ14" s="91" t="str">
        <f>""</f>
        <v/>
      </c>
      <c r="EA14" s="91" t="str">
        <f>""</f>
        <v/>
      </c>
      <c r="EB14" s="91" t="str">
        <f>""</f>
        <v/>
      </c>
      <c r="EC14" s="91" t="str">
        <f>""</f>
        <v/>
      </c>
      <c r="ED14" s="91" t="str">
        <f>""</f>
        <v/>
      </c>
      <c r="EE14" s="91" t="str">
        <f>""</f>
        <v/>
      </c>
      <c r="EF14" s="91" t="str">
        <f>""</f>
        <v/>
      </c>
      <c r="EG14" s="91" t="str">
        <f>""</f>
        <v/>
      </c>
      <c r="EH14" s="92" t="str">
        <f>""</f>
        <v/>
      </c>
      <c r="EI14" s="92" t="str">
        <f>""</f>
        <v/>
      </c>
      <c r="EJ14" s="42"/>
      <c r="EW14" s="92" t="str">
        <f>""</f>
        <v/>
      </c>
      <c r="EX14" s="92" t="str">
        <f>""</f>
        <v/>
      </c>
      <c r="EY14" s="10"/>
    </row>
    <row r="15" spans="1:155" ht="16" customHeight="1">
      <c r="A15" s="68"/>
      <c r="B15" s="68"/>
      <c r="C15" s="68"/>
      <c r="D15" s="68" t="s">
        <v>54</v>
      </c>
      <c r="E15" s="68" t="s">
        <v>60</v>
      </c>
      <c r="F15" s="91">
        <f t="shared" si="52"/>
        <v>37.598827</v>
      </c>
      <c r="G15" s="91">
        <f t="shared" si="53"/>
        <v>19.697302999999998</v>
      </c>
      <c r="H15" s="91">
        <f t="shared" si="54"/>
        <v>33.311613000000001</v>
      </c>
      <c r="I15" s="91">
        <f t="shared" si="55"/>
        <v>20.577461</v>
      </c>
      <c r="J15" s="91">
        <f t="shared" si="56"/>
        <v>16.509449</v>
      </c>
      <c r="K15" s="91">
        <f t="shared" si="57"/>
        <v>51.805845360994638</v>
      </c>
      <c r="L15" s="91">
        <f t="shared" si="58"/>
        <v>25.304161653711951</v>
      </c>
      <c r="M15" s="91">
        <f t="shared" si="59"/>
        <v>33.84301455743369</v>
      </c>
      <c r="N15" s="91">
        <f t="shared" si="60"/>
        <v>42.798396871093061</v>
      </c>
      <c r="O15" s="91">
        <f t="shared" si="61"/>
        <v>46.286830679320857</v>
      </c>
      <c r="P15" s="91">
        <f t="shared" si="62"/>
        <v>56.231470341582131</v>
      </c>
      <c r="Q15" s="91">
        <f t="shared" si="63"/>
        <v>47.900882142829211</v>
      </c>
      <c r="R15" s="92">
        <f t="shared" si="64"/>
        <v>431.86525460696555</v>
      </c>
      <c r="S15" s="92">
        <f t="shared" si="65"/>
        <v>252.36475624597091</v>
      </c>
      <c r="T15" s="91"/>
      <c r="U15" s="91">
        <f>'测算-高个子抖音'!I$25</f>
        <v>0</v>
      </c>
      <c r="V15" s="91">
        <f>'测算-高个子抖音'!J$25</f>
        <v>0</v>
      </c>
      <c r="W15" s="91">
        <f>'测算-高个子抖音'!K$25</f>
        <v>0</v>
      </c>
      <c r="X15" s="91">
        <f>'测算-高个子抖音'!L$25</f>
        <v>0</v>
      </c>
      <c r="Y15" s="91">
        <f>'测算-高个子抖音'!M$25</f>
        <v>0</v>
      </c>
      <c r="Z15" s="91">
        <f>'测算-高个子抖音'!N$25</f>
        <v>0</v>
      </c>
      <c r="AA15" s="91">
        <f>'测算-高个子抖音'!O$25</f>
        <v>0</v>
      </c>
      <c r="AB15" s="91">
        <f>'测算-高个子抖音'!P$25</f>
        <v>0</v>
      </c>
      <c r="AC15" s="91">
        <f>'测算-高个子抖音'!Q$25</f>
        <v>0</v>
      </c>
      <c r="AD15" s="91">
        <f>'测算-高个子抖音'!R$25</f>
        <v>0</v>
      </c>
      <c r="AE15" s="91">
        <f>'测算-高个子抖音'!S$25</f>
        <v>0</v>
      </c>
      <c r="AF15" s="91">
        <f>'测算-高个子抖音'!T$25</f>
        <v>0</v>
      </c>
      <c r="AG15" s="92">
        <f>'测算-高个子抖音'!V$25</f>
        <v>0</v>
      </c>
      <c r="AH15" s="92">
        <f>'测算-高个子抖音'!W$25</f>
        <v>0</v>
      </c>
      <c r="AI15" s="91"/>
      <c r="AJ15" s="91">
        <f>'测算-高个子视频号'!I$25</f>
        <v>0</v>
      </c>
      <c r="AK15" s="91">
        <f>'测算-高个子视频号'!J$25</f>
        <v>0</v>
      </c>
      <c r="AL15" s="91">
        <f>'测算-高个子视频号'!K$25</f>
        <v>0</v>
      </c>
      <c r="AM15" s="91">
        <f>'测算-高个子视频号'!L$25</f>
        <v>0</v>
      </c>
      <c r="AN15" s="91">
        <f>'测算-高个子视频号'!M$25</f>
        <v>0</v>
      </c>
      <c r="AO15" s="91">
        <f>'测算-高个子视频号'!N$25</f>
        <v>0</v>
      </c>
      <c r="AP15" s="91">
        <f>'测算-高个子视频号'!O$25</f>
        <v>0</v>
      </c>
      <c r="AQ15" s="91">
        <f>'测算-高个子视频号'!P$25</f>
        <v>0</v>
      </c>
      <c r="AR15" s="91">
        <f>'测算-高个子视频号'!Q$25</f>
        <v>0</v>
      </c>
      <c r="AS15" s="91">
        <f>'测算-高个子视频号'!R$25</f>
        <v>0</v>
      </c>
      <c r="AT15" s="91">
        <f>'测算-高个子视频号'!S$25</f>
        <v>0</v>
      </c>
      <c r="AU15" s="91">
        <f>'测算-高个子视频号'!T$25</f>
        <v>0</v>
      </c>
      <c r="AV15" s="92">
        <f>'测算-高个子视频号'!V$25</f>
        <v>0</v>
      </c>
      <c r="AW15" s="92">
        <f>'测算-高个子视频号'!W$25</f>
        <v>0</v>
      </c>
      <c r="AX15" s="91"/>
      <c r="AY15" s="91">
        <f>'测算-天猫淘宝'!I$24</f>
        <v>0</v>
      </c>
      <c r="AZ15" s="91">
        <f>'测算-天猫淘宝'!J$24</f>
        <v>0</v>
      </c>
      <c r="BA15" s="91">
        <f>'测算-天猫淘宝'!K$24</f>
        <v>0</v>
      </c>
      <c r="BB15" s="91">
        <f>'测算-天猫淘宝'!L$24</f>
        <v>0</v>
      </c>
      <c r="BC15" s="91">
        <f>'测算-天猫淘宝'!M$24</f>
        <v>0</v>
      </c>
      <c r="BD15" s="91">
        <f>'测算-天猫淘宝'!N$24</f>
        <v>0</v>
      </c>
      <c r="BE15" s="91">
        <f>'测算-天猫淘宝'!O$24</f>
        <v>0</v>
      </c>
      <c r="BF15" s="91">
        <f>'测算-天猫淘宝'!P$24</f>
        <v>0</v>
      </c>
      <c r="BG15" s="91">
        <f>'测算-天猫淘宝'!Q$24</f>
        <v>0</v>
      </c>
      <c r="BH15" s="91">
        <f>'测算-天猫淘宝'!R$24</f>
        <v>0</v>
      </c>
      <c r="BI15" s="91">
        <f>'测算-天猫淘宝'!S$24</f>
        <v>0</v>
      </c>
      <c r="BJ15" s="91">
        <f>'测算-天猫淘宝'!T$24</f>
        <v>0</v>
      </c>
      <c r="BK15" s="92">
        <f>'测算-天猫淘宝'!V$24</f>
        <v>0</v>
      </c>
      <c r="BL15" s="92">
        <f>'测算-天猫淘宝'!W$24</f>
        <v>0</v>
      </c>
      <c r="BM15" s="91"/>
      <c r="BN15" s="91">
        <f>'测算-拼多多'!I$25</f>
        <v>0</v>
      </c>
      <c r="BO15" s="91">
        <f>'测算-拼多多'!J$25</f>
        <v>0</v>
      </c>
      <c r="BP15" s="91">
        <f>'测算-拼多多'!K$25</f>
        <v>0</v>
      </c>
      <c r="BQ15" s="91">
        <f>'测算-拼多多'!L$25</f>
        <v>0</v>
      </c>
      <c r="BR15" s="91">
        <f>'测算-拼多多'!M$25</f>
        <v>0</v>
      </c>
      <c r="BS15" s="91">
        <f>'测算-拼多多'!N$25</f>
        <v>0</v>
      </c>
      <c r="BT15" s="91">
        <f>'测算-拼多多'!O$25</f>
        <v>0</v>
      </c>
      <c r="BU15" s="91">
        <f>'测算-拼多多'!P$25</f>
        <v>0</v>
      </c>
      <c r="BV15" s="91">
        <f>'测算-拼多多'!Q$25</f>
        <v>0</v>
      </c>
      <c r="BW15" s="91">
        <f>'测算-拼多多'!R$25</f>
        <v>0</v>
      </c>
      <c r="BX15" s="91">
        <f>'测算-拼多多'!S$25</f>
        <v>0</v>
      </c>
      <c r="BY15" s="91">
        <f>'测算-拼多多'!T$25</f>
        <v>0</v>
      </c>
      <c r="BZ15" s="92">
        <f>'测算-拼多多'!V$25</f>
        <v>0</v>
      </c>
      <c r="CA15" s="92">
        <f>'测算-拼多多'!W$25</f>
        <v>0</v>
      </c>
      <c r="CB15" s="91"/>
      <c r="CC15" s="91">
        <f>'测算-京东POP'!I$25</f>
        <v>0</v>
      </c>
      <c r="CD15" s="91">
        <f>'测算-京东POP'!J$25</f>
        <v>0</v>
      </c>
      <c r="CE15" s="91">
        <f>'测算-京东POP'!K$25</f>
        <v>0</v>
      </c>
      <c r="CF15" s="91">
        <f>'测算-京东POP'!L$25</f>
        <v>0</v>
      </c>
      <c r="CG15" s="91">
        <f>'测算-京东POP'!M$25</f>
        <v>0</v>
      </c>
      <c r="CH15" s="91">
        <f>'测算-京东POP'!N$25</f>
        <v>0</v>
      </c>
      <c r="CI15" s="91">
        <f>'测算-京东POP'!O$25</f>
        <v>0</v>
      </c>
      <c r="CJ15" s="91">
        <f>'测算-京东POP'!P$25</f>
        <v>0</v>
      </c>
      <c r="CK15" s="91">
        <f>'测算-京东POP'!Q$25</f>
        <v>0</v>
      </c>
      <c r="CL15" s="91">
        <f>'测算-京东POP'!R$25</f>
        <v>0</v>
      </c>
      <c r="CM15" s="91">
        <f>'测算-京东POP'!S$25</f>
        <v>0</v>
      </c>
      <c r="CN15" s="91">
        <f>'测算-京东POP'!T$25</f>
        <v>0</v>
      </c>
      <c r="CO15" s="92">
        <f>'测算-京东POP'!V$25</f>
        <v>0</v>
      </c>
      <c r="CP15" s="92">
        <f>'测算-京东POP'!W$25</f>
        <v>0</v>
      </c>
      <c r="CQ15" s="91"/>
      <c r="CR15" s="91">
        <f>'测算-京东自营'!I$25</f>
        <v>37.598827</v>
      </c>
      <c r="CS15" s="91">
        <f>'测算-京东自营'!J$25</f>
        <v>19.697302999999998</v>
      </c>
      <c r="CT15" s="91">
        <f>'测算-京东自营'!K$25</f>
        <v>33.311613000000001</v>
      </c>
      <c r="CU15" s="91">
        <f>'测算-京东自营'!L$25</f>
        <v>20.577461</v>
      </c>
      <c r="CV15" s="91">
        <f>'测算-京东自营'!M$25</f>
        <v>16.509449</v>
      </c>
      <c r="CW15" s="91">
        <f>'测算-京东自营'!N$25</f>
        <v>51.805845360994638</v>
      </c>
      <c r="CX15" s="91">
        <f>'测算-京东自营'!O$25</f>
        <v>25.304161653711951</v>
      </c>
      <c r="CY15" s="91">
        <f>'测算-京东自营'!P$25</f>
        <v>33.84301455743369</v>
      </c>
      <c r="CZ15" s="91">
        <f>'测算-京东自营'!Q$25</f>
        <v>42.798396871093061</v>
      </c>
      <c r="DA15" s="91">
        <f>'测算-京东自营'!R$25</f>
        <v>46.286830679320857</v>
      </c>
      <c r="DB15" s="91">
        <f>'测算-京东自营'!S$25</f>
        <v>56.231470341582131</v>
      </c>
      <c r="DC15" s="91">
        <f>'测算-京东自营'!T$25</f>
        <v>47.900882142829211</v>
      </c>
      <c r="DD15" s="92">
        <f>'测算-京东自营'!V$25</f>
        <v>431.86525460696555</v>
      </c>
      <c r="DE15" s="92">
        <f>'测算-京东自营'!W$25</f>
        <v>252.36475624597091</v>
      </c>
      <c r="DF15" s="91"/>
      <c r="DG15" s="91">
        <f>'测算-达播'!I$26</f>
        <v>0</v>
      </c>
      <c r="DH15" s="91">
        <f>'测算-达播'!J$26</f>
        <v>0</v>
      </c>
      <c r="DI15" s="91">
        <f>'测算-达播'!K$26</f>
        <v>0</v>
      </c>
      <c r="DJ15" s="91">
        <f>'测算-达播'!L$26</f>
        <v>0</v>
      </c>
      <c r="DK15" s="91">
        <f>'测算-达播'!M$26</f>
        <v>0</v>
      </c>
      <c r="DL15" s="91">
        <f>'测算-达播'!N$26</f>
        <v>0</v>
      </c>
      <c r="DM15" s="91">
        <f>'测算-达播'!O$26</f>
        <v>0</v>
      </c>
      <c r="DN15" s="91">
        <f>'测算-达播'!P$26</f>
        <v>0</v>
      </c>
      <c r="DO15" s="91">
        <f>'测算-达播'!Q$26</f>
        <v>0</v>
      </c>
      <c r="DP15" s="91">
        <f>'测算-达播'!R$26</f>
        <v>0</v>
      </c>
      <c r="DQ15" s="91">
        <f>'测算-达播'!S$26</f>
        <v>0</v>
      </c>
      <c r="DR15" s="91">
        <f>'测算-达播'!T$26</f>
        <v>0</v>
      </c>
      <c r="DS15" s="92">
        <f>'测算-达播'!V$26</f>
        <v>0</v>
      </c>
      <c r="DT15" s="92">
        <f>'测算-达播'!W$26</f>
        <v>0</v>
      </c>
      <c r="DU15" s="91"/>
      <c r="DV15" s="91">
        <f>'测算-私域'!I$25</f>
        <v>0</v>
      </c>
      <c r="DW15" s="91">
        <f>'测算-私域'!J$25</f>
        <v>0</v>
      </c>
      <c r="DX15" s="91">
        <f>'测算-私域'!K$25</f>
        <v>0</v>
      </c>
      <c r="DY15" s="91">
        <f>'测算-私域'!L$25</f>
        <v>0</v>
      </c>
      <c r="DZ15" s="91">
        <f>'测算-私域'!M$25</f>
        <v>0</v>
      </c>
      <c r="EA15" s="91">
        <f>'测算-私域'!N$25</f>
        <v>0</v>
      </c>
      <c r="EB15" s="91">
        <f>'测算-私域'!O$25</f>
        <v>0</v>
      </c>
      <c r="EC15" s="91">
        <f>'测算-私域'!P$25</f>
        <v>0</v>
      </c>
      <c r="ED15" s="91">
        <f>'测算-私域'!Q$25</f>
        <v>0</v>
      </c>
      <c r="EE15" s="91">
        <f>'测算-私域'!R$25</f>
        <v>0</v>
      </c>
      <c r="EF15" s="91">
        <f>'测算-私域'!S$25</f>
        <v>0</v>
      </c>
      <c r="EG15" s="91">
        <f>'测算-私域'!T$25</f>
        <v>0</v>
      </c>
      <c r="EH15" s="92">
        <f>'测算-私域'!V$25</f>
        <v>0</v>
      </c>
      <c r="EI15" s="92">
        <f>'测算-私域'!W$25</f>
        <v>0</v>
      </c>
      <c r="EJ15" s="42"/>
      <c r="EK15" s="91" t="str">
        <f>'测算-外部分销'!I$25</f>
        <v/>
      </c>
      <c r="EL15" s="91" t="str">
        <f>'测算-外部分销'!J$25</f>
        <v/>
      </c>
      <c r="EM15" s="91" t="str">
        <f>'测算-外部分销'!K$25</f>
        <v/>
      </c>
      <c r="EN15" s="91" t="str">
        <f>'测算-外部分销'!L$25</f>
        <v/>
      </c>
      <c r="EO15" s="91" t="str">
        <f>'测算-外部分销'!M$25</f>
        <v/>
      </c>
      <c r="EP15" s="91" t="str">
        <f>'测算-外部分销'!N$25</f>
        <v/>
      </c>
      <c r="EQ15" s="91">
        <f>'测算-外部分销'!O$25</f>
        <v>0</v>
      </c>
      <c r="ER15" s="91">
        <f>'测算-外部分销'!P$25</f>
        <v>0</v>
      </c>
      <c r="ES15" s="91">
        <f>'测算-外部分销'!Q$25</f>
        <v>0</v>
      </c>
      <c r="ET15" s="91">
        <f>'测算-外部分销'!R$25</f>
        <v>0</v>
      </c>
      <c r="EU15" s="91">
        <f>'测算-外部分销'!S$25</f>
        <v>0</v>
      </c>
      <c r="EV15" s="91">
        <f>'测算-外部分销'!T$25</f>
        <v>0</v>
      </c>
      <c r="EW15" s="92">
        <f>'测算-外部分销'!V$25</f>
        <v>0</v>
      </c>
      <c r="EX15" s="92">
        <f>'测算-外部分销'!W$25</f>
        <v>0</v>
      </c>
      <c r="EY15" s="10"/>
    </row>
    <row r="16" spans="1:155" ht="16" customHeight="1">
      <c r="A16" s="68"/>
      <c r="B16" s="68"/>
      <c r="C16" s="68"/>
      <c r="D16" s="68" t="s">
        <v>54</v>
      </c>
      <c r="E16" s="68" t="s">
        <v>61</v>
      </c>
      <c r="F16" s="91">
        <f t="shared" si="52"/>
        <v>30.256177400799999</v>
      </c>
      <c r="G16" s="91">
        <f t="shared" si="53"/>
        <v>8.9596447633</v>
      </c>
      <c r="H16" s="91">
        <f t="shared" si="54"/>
        <v>67.951922856199985</v>
      </c>
      <c r="I16" s="91">
        <f t="shared" si="55"/>
        <v>20.928624907500001</v>
      </c>
      <c r="J16" s="91">
        <f t="shared" si="56"/>
        <v>30.2719275117</v>
      </c>
      <c r="K16" s="91">
        <f t="shared" si="57"/>
        <v>19.206113108932655</v>
      </c>
      <c r="L16" s="91">
        <f t="shared" si="58"/>
        <v>11.059486195521364</v>
      </c>
      <c r="M16" s="91">
        <f t="shared" si="59"/>
        <v>14.791493882898946</v>
      </c>
      <c r="N16" s="91">
        <f t="shared" si="60"/>
        <v>18.705550725758357</v>
      </c>
      <c r="O16" s="91">
        <f t="shared" si="61"/>
        <v>20.230212402918713</v>
      </c>
      <c r="P16" s="91">
        <f t="shared" si="62"/>
        <v>24.576635990047482</v>
      </c>
      <c r="Q16" s="91">
        <f t="shared" si="63"/>
        <v>20.935652880410807</v>
      </c>
      <c r="R16" s="92">
        <f t="shared" si="64"/>
        <v>287.87344262598833</v>
      </c>
      <c r="S16" s="92">
        <f t="shared" si="65"/>
        <v>110.29903207755567</v>
      </c>
      <c r="T16" s="91"/>
      <c r="U16" s="91">
        <f>'测算-高个子抖音'!I$26</f>
        <v>10.264624677900001</v>
      </c>
      <c r="V16" s="91">
        <f>'测算-高个子抖音'!J$26</f>
        <v>4.4819971315</v>
      </c>
      <c r="W16" s="91">
        <f>'测算-高个子抖音'!K$26</f>
        <v>13.436730740399998</v>
      </c>
      <c r="X16" s="91">
        <f>'测算-高个子抖音'!L$26</f>
        <v>7.7896590700999999</v>
      </c>
      <c r="Y16" s="91">
        <f>'测算-高个子抖音'!M$26</f>
        <v>8.0043312829999991</v>
      </c>
      <c r="Z16" s="91">
        <f>'测算-高个子抖音'!N$26</f>
        <v>6.4472397962331822</v>
      </c>
      <c r="AA16" s="91">
        <f>'测算-高个子抖音'!O$26</f>
        <v>4.4600586069362347</v>
      </c>
      <c r="AB16" s="91">
        <f>'测算-高个子抖音'!P$26</f>
        <v>5.9650989598941422</v>
      </c>
      <c r="AC16" s="91">
        <f>'测算-高个子抖音'!Q$26</f>
        <v>7.5435559154353591</v>
      </c>
      <c r="AD16" s="91">
        <f>'测算-高个子抖音'!R$26</f>
        <v>8.1584199620706048</v>
      </c>
      <c r="AE16" s="91">
        <f>'测算-高个子抖音'!S$26</f>
        <v>9.9112413487471915</v>
      </c>
      <c r="AF16" s="91">
        <f>'测算-高个子抖音'!T$26</f>
        <v>8.4429092970809378</v>
      </c>
      <c r="AG16" s="92">
        <f>'测算-高个子抖音'!V$26</f>
        <v>94.905866789297676</v>
      </c>
      <c r="AH16" s="92">
        <f>'测算-高个子抖音'!W$26</f>
        <v>44.481284090164465</v>
      </c>
      <c r="AI16" s="91"/>
      <c r="AJ16" s="91">
        <f>'测算-高个子视频号'!I$26</f>
        <v>4.5299276099999997</v>
      </c>
      <c r="AK16" s="91">
        <f>'测算-高个子视频号'!J$26</f>
        <v>1.0717914500000001</v>
      </c>
      <c r="AL16" s="91">
        <f>'测算-高个子视频号'!K$26</f>
        <v>1.2270151</v>
      </c>
      <c r="AM16" s="91">
        <f>'测算-高个子视频号'!L$26</f>
        <v>-5.00123250000001E-2</v>
      </c>
      <c r="AN16" s="91">
        <f>'测算-高个子视频号'!M$26</f>
        <v>0.17685220500000001</v>
      </c>
      <c r="AO16" s="91">
        <f>'测算-高个子视频号'!N$26</f>
        <v>3.0099045524589245</v>
      </c>
      <c r="AP16" s="91">
        <f>'测算-高个子视频号'!O$26</f>
        <v>2.2563087447996035</v>
      </c>
      <c r="AQ16" s="91">
        <f>'测算-高个子视频号'!P$26</f>
        <v>3.0176968809048197</v>
      </c>
      <c r="AR16" s="91">
        <f>'测算-高个子视频号'!Q$26</f>
        <v>3.8162259016980951</v>
      </c>
      <c r="AS16" s="91">
        <f>'测算-高个子视频号'!R$26</f>
        <v>4.1272808109605927</v>
      </c>
      <c r="AT16" s="91">
        <f>'测算-高个子视频号'!S$26</f>
        <v>5.0140194328880092</v>
      </c>
      <c r="AU16" s="91">
        <f>'测算-高个子视频号'!T$26</f>
        <v>4.2712017391268216</v>
      </c>
      <c r="AV16" s="92">
        <f>'测算-高个子视频号'!V$26</f>
        <v>32.468212102836866</v>
      </c>
      <c r="AW16" s="92">
        <f>'测算-高个子视频号'!W$26</f>
        <v>22.502733510377944</v>
      </c>
      <c r="AX16" s="91"/>
      <c r="AY16" s="91">
        <f>'测算-天猫淘宝'!I$25</f>
        <v>1.7790411638000001</v>
      </c>
      <c r="AZ16" s="91">
        <f>'测算-天猫淘宝'!J$25</f>
        <v>0.89820417200000002</v>
      </c>
      <c r="BA16" s="91">
        <f>'测算-天猫淘宝'!K$25</f>
        <v>2.0178874578000001</v>
      </c>
      <c r="BB16" s="91">
        <f>'测算-天猫淘宝'!L$25</f>
        <v>2.1499940536</v>
      </c>
      <c r="BC16" s="91">
        <f>'测算-天猫淘宝'!M$25</f>
        <v>2.2851984111999997</v>
      </c>
      <c r="BD16" s="91">
        <f>'测算-天猫淘宝'!N$25</f>
        <v>1.7447908274053323</v>
      </c>
      <c r="BE16" s="91">
        <f>'测算-天猫淘宝'!O$25</f>
        <v>1.6065025491898073</v>
      </c>
      <c r="BF16" s="91">
        <f>'测算-天猫淘宝'!P$25</f>
        <v>2.1486145205213476</v>
      </c>
      <c r="BG16" s="91">
        <f>'测算-天猫淘宝'!Q$25</f>
        <v>2.7171709782593036</v>
      </c>
      <c r="BH16" s="91">
        <f>'测算-天猫淘宝'!R$25</f>
        <v>2.9386435519130432</v>
      </c>
      <c r="BI16" s="91">
        <f>'测算-天猫淘宝'!S$25</f>
        <v>3.5700056648662386</v>
      </c>
      <c r="BJ16" s="91">
        <f>'测算-天猫淘宝'!T$25</f>
        <v>3.0411159367379068</v>
      </c>
      <c r="BK16" s="92">
        <f>'测算-天猫淘宝'!V$25</f>
        <v>26.897169287292979</v>
      </c>
      <c r="BL16" s="92">
        <f>'测算-天猫淘宝'!W$25</f>
        <v>16.022053201487648</v>
      </c>
      <c r="BM16" s="91"/>
      <c r="BN16" s="91">
        <f>'测算-拼多多'!I$26</f>
        <v>3.5295869999999998E-3</v>
      </c>
      <c r="BO16" s="91">
        <f>'测算-拼多多'!J$26</f>
        <v>2.9354403999999998E-3</v>
      </c>
      <c r="BP16" s="91">
        <f>'测算-拼多多'!K$26</f>
        <v>6.9856919000000003E-3</v>
      </c>
      <c r="BQ16" s="91">
        <f>'测算-拼多多'!L$26</f>
        <v>-1.4193255000000001E-3</v>
      </c>
      <c r="BR16" s="91">
        <f>'测算-拼多多'!M$26</f>
        <v>2.4041815999999998E-3</v>
      </c>
      <c r="BS16" s="91">
        <f>'测算-拼多多'!N$26</f>
        <v>1.7944551163098378E-2</v>
      </c>
      <c r="BT16" s="91">
        <f>'测算-拼多多'!O$26</f>
        <v>1.0617863271190651E-2</v>
      </c>
      <c r="BU16" s="91">
        <f>'测算-拼多多'!P$26</f>
        <v>1.4200845938835234E-2</v>
      </c>
      <c r="BV16" s="91">
        <f>'测算-拼多多'!Q$26</f>
        <v>1.7958608248803937E-2</v>
      </c>
      <c r="BW16" s="91">
        <f>'测算-拼多多'!R$26</f>
        <v>1.9422387753268499E-2</v>
      </c>
      <c r="BX16" s="91">
        <f>'测算-拼多多'!S$26</f>
        <v>2.3595251713757003E-2</v>
      </c>
      <c r="BY16" s="91">
        <f>'测算-拼多多'!T$26</f>
        <v>2.0099658867274488E-2</v>
      </c>
      <c r="BZ16" s="92">
        <f>'测算-拼多多'!V$26</f>
        <v>0.13827474235622819</v>
      </c>
      <c r="CA16" s="92">
        <f>'测算-拼多多'!W$26</f>
        <v>0.10589461579312981</v>
      </c>
      <c r="CB16" s="91"/>
      <c r="CC16" s="91">
        <f>'测算-京东POP'!I$26</f>
        <v>0.64744156000000008</v>
      </c>
      <c r="CD16" s="91">
        <f>'测算-京东POP'!J$26</f>
        <v>0.74361259419999992</v>
      </c>
      <c r="CE16" s="91">
        <f>'测算-京东POP'!K$26</f>
        <v>1.6907950803000003</v>
      </c>
      <c r="CF16" s="91">
        <f>'测算-京东POP'!L$26</f>
        <v>1.2072685556</v>
      </c>
      <c r="CG16" s="91">
        <f>'测算-京东POP'!M$26</f>
        <v>0.99688055360000005</v>
      </c>
      <c r="CH16" s="91">
        <f>'测算-京东POP'!N$26</f>
        <v>1.0622664629380605</v>
      </c>
      <c r="CI16" s="91">
        <f>'测算-京东POP'!O$26</f>
        <v>1.6079413003986123</v>
      </c>
      <c r="CJ16" s="91">
        <f>'测算-京东POP'!P$26</f>
        <v>2.1505387762532879</v>
      </c>
      <c r="CK16" s="91">
        <f>'测算-京东POP'!Q$26</f>
        <v>2.7196044216618507</v>
      </c>
      <c r="CL16" s="91">
        <f>'测算-京东POP'!R$26</f>
        <v>2.941275341675651</v>
      </c>
      <c r="CM16" s="91">
        <f>'测算-京东POP'!S$26</f>
        <v>3.5732028897746941</v>
      </c>
      <c r="CN16" s="91">
        <f>'测算-京东POP'!T$26</f>
        <v>3.0438394986969608</v>
      </c>
      <c r="CO16" s="92">
        <f>'测算-京东POP'!V$26</f>
        <v>22.384667035099117</v>
      </c>
      <c r="CP16" s="92">
        <f>'测算-京东POP'!W$26</f>
        <v>16.036402228461057</v>
      </c>
      <c r="CQ16" s="91"/>
      <c r="CR16" s="91">
        <f>'测算-京东自营'!I$26</f>
        <v>0</v>
      </c>
      <c r="CS16" s="91">
        <f>'测算-京东自营'!J$26</f>
        <v>0</v>
      </c>
      <c r="CT16" s="91">
        <f>'测算-京东自营'!K$26</f>
        <v>0</v>
      </c>
      <c r="CU16" s="91">
        <f>'测算-京东自营'!L$26</f>
        <v>0</v>
      </c>
      <c r="CV16" s="91">
        <f>'测算-京东自营'!M$26</f>
        <v>0</v>
      </c>
      <c r="CW16" s="91">
        <f>'测算-京东自营'!N$26</f>
        <v>0</v>
      </c>
      <c r="CX16" s="91">
        <f>'测算-京东自营'!O$26</f>
        <v>0</v>
      </c>
      <c r="CY16" s="91">
        <f>'测算-京东自营'!P$26</f>
        <v>0</v>
      </c>
      <c r="CZ16" s="91">
        <f>'测算-京东自营'!Q$26</f>
        <v>0</v>
      </c>
      <c r="DA16" s="91">
        <f>'测算-京东自营'!R$26</f>
        <v>0</v>
      </c>
      <c r="DB16" s="91">
        <f>'测算-京东自营'!S$26</f>
        <v>0</v>
      </c>
      <c r="DC16" s="91">
        <f>'测算-京东自营'!T$26</f>
        <v>0</v>
      </c>
      <c r="DD16" s="92">
        <f>'测算-京东自营'!V$26</f>
        <v>0</v>
      </c>
      <c r="DE16" s="92">
        <f>'测算-京东自营'!W$26</f>
        <v>0</v>
      </c>
      <c r="DF16" s="91"/>
      <c r="DG16" s="91">
        <f>'测算-达播'!I$27</f>
        <v>13.031612802099998</v>
      </c>
      <c r="DH16" s="91">
        <f>'测算-达播'!J$27</f>
        <v>1.7611039751999999</v>
      </c>
      <c r="DI16" s="91">
        <f>'测算-达播'!K$27</f>
        <v>49.572508785799997</v>
      </c>
      <c r="DJ16" s="91">
        <f>'测算-达播'!L$27</f>
        <v>9.8331348786999992</v>
      </c>
      <c r="DK16" s="91">
        <f>'测算-达播'!M$27</f>
        <v>18.806260877300002</v>
      </c>
      <c r="DL16" s="91">
        <f>'测算-达播'!N$27</f>
        <v>6.923966918734056</v>
      </c>
      <c r="DM16" s="91">
        <f>'测算-达播'!O$27</f>
        <v>1.1180571309259146</v>
      </c>
      <c r="DN16" s="91">
        <f>'测算-达播'!P$27</f>
        <v>1.4953438993865116</v>
      </c>
      <c r="DO16" s="91">
        <f>'测算-达播'!Q$27</f>
        <v>1.891034900454942</v>
      </c>
      <c r="DP16" s="91">
        <f>'测算-达播'!R$27</f>
        <v>2.0451703485455526</v>
      </c>
      <c r="DQ16" s="91">
        <f>'测算-达播'!S$27</f>
        <v>2.4845714020575889</v>
      </c>
      <c r="DR16" s="91">
        <f>'测算-达播'!T$27</f>
        <v>2.1164867499009086</v>
      </c>
      <c r="DS16" s="92">
        <f>'测算-达播'!V$27</f>
        <v>111.07925266910547</v>
      </c>
      <c r="DT16" s="92">
        <f>'测算-达播'!W$27</f>
        <v>11.150664431271416</v>
      </c>
      <c r="DU16" s="91"/>
      <c r="DV16" s="91">
        <f>'测算-私域'!I$26</f>
        <v>0</v>
      </c>
      <c r="DW16" s="91">
        <f>'测算-私域'!J$26</f>
        <v>0</v>
      </c>
      <c r="DX16" s="91">
        <f>'测算-私域'!K$26</f>
        <v>0</v>
      </c>
      <c r="DY16" s="91">
        <f>'测算-私域'!L$26</f>
        <v>0</v>
      </c>
      <c r="DZ16" s="91">
        <f>'测算-私域'!M$26</f>
        <v>0</v>
      </c>
      <c r="EA16" s="91">
        <f>'测算-私域'!N$26</f>
        <v>0</v>
      </c>
      <c r="EB16" s="91">
        <f>'测算-私域'!O$26</f>
        <v>0</v>
      </c>
      <c r="EC16" s="91">
        <f>'测算-私域'!P$26</f>
        <v>0</v>
      </c>
      <c r="ED16" s="91">
        <f>'测算-私域'!Q$26</f>
        <v>0</v>
      </c>
      <c r="EE16" s="91">
        <f>'测算-私域'!R$26</f>
        <v>0</v>
      </c>
      <c r="EF16" s="91">
        <f>'测算-私域'!S$26</f>
        <v>0</v>
      </c>
      <c r="EG16" s="91">
        <f>'测算-私域'!T$26</f>
        <v>0</v>
      </c>
      <c r="EH16" s="92">
        <f>'测算-私域'!V$26</f>
        <v>0</v>
      </c>
      <c r="EI16" s="92">
        <f>'测算-私域'!W$26</f>
        <v>0</v>
      </c>
      <c r="EJ16" s="42"/>
      <c r="EK16" s="91">
        <f>'测算-外部分销'!I$26</f>
        <v>0</v>
      </c>
      <c r="EL16" s="91">
        <f>'测算-外部分销'!J$26</f>
        <v>0</v>
      </c>
      <c r="EM16" s="91">
        <f>'测算-外部分销'!K$26</f>
        <v>0</v>
      </c>
      <c r="EN16" s="91">
        <f>'测算-外部分销'!L$26</f>
        <v>0</v>
      </c>
      <c r="EO16" s="91">
        <f>'测算-外部分销'!M$26</f>
        <v>0</v>
      </c>
      <c r="EP16" s="91">
        <f>'测算-外部分销'!N$26</f>
        <v>0</v>
      </c>
      <c r="EQ16" s="91">
        <f>'测算-外部分销'!O$26</f>
        <v>0</v>
      </c>
      <c r="ER16" s="91">
        <f>'测算-外部分销'!P$26</f>
        <v>0</v>
      </c>
      <c r="ES16" s="91">
        <f>'测算-外部分销'!Q$26</f>
        <v>0</v>
      </c>
      <c r="ET16" s="91">
        <f>'测算-外部分销'!R$26</f>
        <v>0</v>
      </c>
      <c r="EU16" s="91">
        <f>'测算-外部分销'!S$26</f>
        <v>0</v>
      </c>
      <c r="EV16" s="91">
        <f>'测算-外部分销'!T$26</f>
        <v>0</v>
      </c>
      <c r="EW16" s="92">
        <f>'测算-外部分销'!V$26</f>
        <v>0</v>
      </c>
      <c r="EX16" s="92">
        <f>'测算-外部分销'!W$26</f>
        <v>0</v>
      </c>
      <c r="EY16" s="10"/>
    </row>
    <row r="17" spans="1:155" ht="16" customHeight="1">
      <c r="A17" s="68"/>
      <c r="B17" s="68"/>
      <c r="C17" s="68"/>
      <c r="D17" s="68" t="s">
        <v>54</v>
      </c>
      <c r="E17" s="68" t="s">
        <v>62</v>
      </c>
      <c r="F17" s="91">
        <f t="shared" si="52"/>
        <v>0.16028299999999998</v>
      </c>
      <c r="G17" s="91">
        <f t="shared" si="53"/>
        <v>0.15701899999999999</v>
      </c>
      <c r="H17" s="91">
        <f t="shared" si="54"/>
        <v>0.50476700000000008</v>
      </c>
      <c r="I17" s="91">
        <f t="shared" si="55"/>
        <v>0.36718100000000004</v>
      </c>
      <c r="J17" s="91">
        <f t="shared" si="56"/>
        <v>4.2320289999999998</v>
      </c>
      <c r="K17" s="91">
        <f t="shared" si="57"/>
        <v>2.1994181818467187</v>
      </c>
      <c r="L17" s="91">
        <f t="shared" si="58"/>
        <v>1.0742886797763871</v>
      </c>
      <c r="M17" s="91">
        <f t="shared" si="59"/>
        <v>1.4368058474375554</v>
      </c>
      <c r="N17" s="91">
        <f t="shared" si="60"/>
        <v>1.8170067793748772</v>
      </c>
      <c r="O17" s="91">
        <f t="shared" si="61"/>
        <v>1.9651083051876721</v>
      </c>
      <c r="P17" s="91">
        <f t="shared" si="62"/>
        <v>2.3873081772808611</v>
      </c>
      <c r="Q17" s="91">
        <f t="shared" si="63"/>
        <v>2.0336328917577702</v>
      </c>
      <c r="R17" s="92">
        <f t="shared" si="64"/>
        <v>18.334847862661839</v>
      </c>
      <c r="S17" s="92">
        <f t="shared" si="65"/>
        <v>10.714150680815125</v>
      </c>
      <c r="T17" s="91"/>
      <c r="U17" s="91" t="str">
        <f>""</f>
        <v/>
      </c>
      <c r="V17" s="91" t="str">
        <f>""</f>
        <v/>
      </c>
      <c r="W17" s="91" t="str">
        <f>""</f>
        <v/>
      </c>
      <c r="X17" s="91" t="str">
        <f>""</f>
        <v/>
      </c>
      <c r="Y17" s="91" t="str">
        <f>""</f>
        <v/>
      </c>
      <c r="Z17" s="91" t="str">
        <f>""</f>
        <v/>
      </c>
      <c r="AA17" s="91" t="str">
        <f>""</f>
        <v/>
      </c>
      <c r="AB17" s="91" t="str">
        <f>""</f>
        <v/>
      </c>
      <c r="AC17" s="91" t="str">
        <f>""</f>
        <v/>
      </c>
      <c r="AD17" s="91" t="str">
        <f>""</f>
        <v/>
      </c>
      <c r="AE17" s="91" t="str">
        <f>""</f>
        <v/>
      </c>
      <c r="AF17" s="91" t="str">
        <f>""</f>
        <v/>
      </c>
      <c r="AG17" s="92" t="str">
        <f>""</f>
        <v/>
      </c>
      <c r="AH17" s="92" t="str">
        <f>""</f>
        <v/>
      </c>
      <c r="AI17" s="91"/>
      <c r="AJ17" s="91" t="str">
        <f>""</f>
        <v/>
      </c>
      <c r="AK17" s="91" t="str">
        <f>""</f>
        <v/>
      </c>
      <c r="AL17" s="91" t="str">
        <f>""</f>
        <v/>
      </c>
      <c r="AM17" s="91" t="str">
        <f>""</f>
        <v/>
      </c>
      <c r="AN17" s="91" t="str">
        <f>""</f>
        <v/>
      </c>
      <c r="AO17" s="91" t="str">
        <f>""</f>
        <v/>
      </c>
      <c r="AP17" s="91" t="str">
        <f>""</f>
        <v/>
      </c>
      <c r="AQ17" s="91" t="str">
        <f>""</f>
        <v/>
      </c>
      <c r="AR17" s="91" t="str">
        <f>""</f>
        <v/>
      </c>
      <c r="AS17" s="91" t="str">
        <f>""</f>
        <v/>
      </c>
      <c r="AT17" s="91" t="str">
        <f>""</f>
        <v/>
      </c>
      <c r="AU17" s="91" t="str">
        <f>""</f>
        <v/>
      </c>
      <c r="AV17" s="92" t="str">
        <f>""</f>
        <v/>
      </c>
      <c r="AW17" s="92" t="str">
        <f>""</f>
        <v/>
      </c>
      <c r="AX17" s="91"/>
      <c r="AY17" s="91" t="str">
        <f>""</f>
        <v/>
      </c>
      <c r="AZ17" s="91" t="str">
        <f>""</f>
        <v/>
      </c>
      <c r="BA17" s="91" t="str">
        <f>""</f>
        <v/>
      </c>
      <c r="BB17" s="91" t="str">
        <f>""</f>
        <v/>
      </c>
      <c r="BC17" s="91" t="str">
        <f>""</f>
        <v/>
      </c>
      <c r="BD17" s="91" t="str">
        <f>""</f>
        <v/>
      </c>
      <c r="BE17" s="91" t="str">
        <f>""</f>
        <v/>
      </c>
      <c r="BF17" s="91" t="str">
        <f>""</f>
        <v/>
      </c>
      <c r="BG17" s="91" t="str">
        <f>""</f>
        <v/>
      </c>
      <c r="BH17" s="91" t="str">
        <f>""</f>
        <v/>
      </c>
      <c r="BI17" s="91" t="str">
        <f>""</f>
        <v/>
      </c>
      <c r="BJ17" s="91" t="str">
        <f>""</f>
        <v/>
      </c>
      <c r="BK17" s="92" t="str">
        <f>""</f>
        <v/>
      </c>
      <c r="BL17" s="92" t="str">
        <f>""</f>
        <v/>
      </c>
      <c r="BM17" s="91"/>
      <c r="BN17" s="91" t="str">
        <f>""</f>
        <v/>
      </c>
      <c r="BO17" s="91" t="str">
        <f>""</f>
        <v/>
      </c>
      <c r="BP17" s="91" t="str">
        <f>""</f>
        <v/>
      </c>
      <c r="BQ17" s="91" t="str">
        <f>""</f>
        <v/>
      </c>
      <c r="BR17" s="91" t="str">
        <f>""</f>
        <v/>
      </c>
      <c r="BS17" s="91" t="str">
        <f>""</f>
        <v/>
      </c>
      <c r="BT17" s="91" t="str">
        <f>""</f>
        <v/>
      </c>
      <c r="BU17" s="91" t="str">
        <f>""</f>
        <v/>
      </c>
      <c r="BV17" s="91" t="str">
        <f>""</f>
        <v/>
      </c>
      <c r="BW17" s="91" t="str">
        <f>""</f>
        <v/>
      </c>
      <c r="BX17" s="91" t="str">
        <f>""</f>
        <v/>
      </c>
      <c r="BY17" s="91" t="str">
        <f>""</f>
        <v/>
      </c>
      <c r="BZ17" s="92" t="str">
        <f>""</f>
        <v/>
      </c>
      <c r="CA17" s="92" t="str">
        <f>""</f>
        <v/>
      </c>
      <c r="CB17" s="91"/>
      <c r="CC17" s="91" t="str">
        <f>""</f>
        <v/>
      </c>
      <c r="CD17" s="91" t="str">
        <f>""</f>
        <v/>
      </c>
      <c r="CE17" s="91" t="str">
        <f>""</f>
        <v/>
      </c>
      <c r="CF17" s="91" t="str">
        <f>""</f>
        <v/>
      </c>
      <c r="CG17" s="91" t="str">
        <f>""</f>
        <v/>
      </c>
      <c r="CH17" s="91" t="str">
        <f>""</f>
        <v/>
      </c>
      <c r="CI17" s="91" t="str">
        <f>""</f>
        <v/>
      </c>
      <c r="CJ17" s="91" t="str">
        <f>""</f>
        <v/>
      </c>
      <c r="CK17" s="91" t="str">
        <f>""</f>
        <v/>
      </c>
      <c r="CL17" s="91" t="str">
        <f>""</f>
        <v/>
      </c>
      <c r="CM17" s="91" t="str">
        <f>""</f>
        <v/>
      </c>
      <c r="CN17" s="91" t="str">
        <f>""</f>
        <v/>
      </c>
      <c r="CO17" s="92" t="str">
        <f>""</f>
        <v/>
      </c>
      <c r="CP17" s="92" t="str">
        <f>""</f>
        <v/>
      </c>
      <c r="CQ17" s="91"/>
      <c r="CR17" s="91">
        <f>'测算-京东自营'!I$22</f>
        <v>0.16028299999999998</v>
      </c>
      <c r="CS17" s="91">
        <f>'测算-京东自营'!J$22</f>
        <v>0.15701899999999999</v>
      </c>
      <c r="CT17" s="91">
        <f>'测算-京东自营'!K$22</f>
        <v>0.50476700000000008</v>
      </c>
      <c r="CU17" s="91">
        <f>'测算-京东自营'!L$22</f>
        <v>0.36718100000000004</v>
      </c>
      <c r="CV17" s="91">
        <f>'测算-京东自营'!M$22</f>
        <v>4.2320289999999998</v>
      </c>
      <c r="CW17" s="91">
        <f>'测算-京东自营'!N$22</f>
        <v>2.1994181818467187</v>
      </c>
      <c r="CX17" s="91">
        <f>'测算-京东自营'!O$22</f>
        <v>1.0742886797763871</v>
      </c>
      <c r="CY17" s="91">
        <f>'测算-京东自营'!P$22</f>
        <v>1.4368058474375554</v>
      </c>
      <c r="CZ17" s="91">
        <f>'测算-京东自营'!Q$22</f>
        <v>1.8170067793748772</v>
      </c>
      <c r="DA17" s="91">
        <f>'测算-京东自营'!R$22</f>
        <v>1.9651083051876721</v>
      </c>
      <c r="DB17" s="91">
        <f>'测算-京东自营'!S$22</f>
        <v>2.3873081772808611</v>
      </c>
      <c r="DC17" s="91">
        <f>'测算-京东自营'!T$22</f>
        <v>2.0336328917577702</v>
      </c>
      <c r="DD17" s="92">
        <f>'测算-京东自营'!V$22</f>
        <v>18.334847862661839</v>
      </c>
      <c r="DE17" s="92">
        <f>'测算-京东自营'!W$22</f>
        <v>10.714150680815125</v>
      </c>
      <c r="DF17" s="91"/>
      <c r="DG17" s="91" t="str">
        <f>""</f>
        <v/>
      </c>
      <c r="DH17" s="91" t="str">
        <f>""</f>
        <v/>
      </c>
      <c r="DI17" s="91" t="str">
        <f>""</f>
        <v/>
      </c>
      <c r="DJ17" s="91" t="str">
        <f>""</f>
        <v/>
      </c>
      <c r="DK17" s="91" t="str">
        <f>""</f>
        <v/>
      </c>
      <c r="DL17" s="91" t="str">
        <f>""</f>
        <v/>
      </c>
      <c r="DM17" s="91" t="str">
        <f>""</f>
        <v/>
      </c>
      <c r="DN17" s="91" t="str">
        <f>""</f>
        <v/>
      </c>
      <c r="DO17" s="91" t="str">
        <f>""</f>
        <v/>
      </c>
      <c r="DP17" s="91" t="str">
        <f>""</f>
        <v/>
      </c>
      <c r="DQ17" s="91" t="str">
        <f>""</f>
        <v/>
      </c>
      <c r="DR17" s="91" t="str">
        <f>""</f>
        <v/>
      </c>
      <c r="DS17" s="92" t="str">
        <f>""</f>
        <v/>
      </c>
      <c r="DT17" s="92" t="str">
        <f>""</f>
        <v/>
      </c>
      <c r="DU17" s="91"/>
      <c r="DV17" s="91" t="str">
        <f>""</f>
        <v/>
      </c>
      <c r="DW17" s="91" t="str">
        <f>""</f>
        <v/>
      </c>
      <c r="DX17" s="91" t="str">
        <f>""</f>
        <v/>
      </c>
      <c r="DY17" s="91" t="str">
        <f>""</f>
        <v/>
      </c>
      <c r="DZ17" s="91" t="str">
        <f>""</f>
        <v/>
      </c>
      <c r="EA17" s="91" t="str">
        <f>""</f>
        <v/>
      </c>
      <c r="EB17" s="91" t="str">
        <f>""</f>
        <v/>
      </c>
      <c r="EC17" s="91" t="str">
        <f>""</f>
        <v/>
      </c>
      <c r="ED17" s="91" t="str">
        <f>""</f>
        <v/>
      </c>
      <c r="EE17" s="91" t="str">
        <f>""</f>
        <v/>
      </c>
      <c r="EF17" s="91" t="str">
        <f>""</f>
        <v/>
      </c>
      <c r="EG17" s="91" t="str">
        <f>""</f>
        <v/>
      </c>
      <c r="EH17" s="92" t="str">
        <f>""</f>
        <v/>
      </c>
      <c r="EI17" s="92" t="str">
        <f>""</f>
        <v/>
      </c>
      <c r="EJ17" s="42"/>
      <c r="EK17" s="91" t="str">
        <f>""</f>
        <v/>
      </c>
      <c r="EL17" s="91" t="str">
        <f>""</f>
        <v/>
      </c>
      <c r="EM17" s="91" t="str">
        <f>""</f>
        <v/>
      </c>
      <c r="EN17" s="91" t="str">
        <f>""</f>
        <v/>
      </c>
      <c r="EO17" s="91" t="str">
        <f>""</f>
        <v/>
      </c>
      <c r="EP17" s="91" t="str">
        <f>""</f>
        <v/>
      </c>
      <c r="EQ17" s="91" t="str">
        <f>""</f>
        <v/>
      </c>
      <c r="ER17" s="91" t="str">
        <f>""</f>
        <v/>
      </c>
      <c r="ES17" s="91" t="str">
        <f>""</f>
        <v/>
      </c>
      <c r="ET17" s="91" t="str">
        <f>""</f>
        <v/>
      </c>
      <c r="EU17" s="91" t="str">
        <f>""</f>
        <v/>
      </c>
      <c r="EV17" s="91" t="str">
        <f>""</f>
        <v/>
      </c>
      <c r="EW17" s="92" t="str">
        <f>""</f>
        <v/>
      </c>
      <c r="EX17" s="92" t="str">
        <f>""</f>
        <v/>
      </c>
      <c r="EY17" s="10"/>
    </row>
    <row r="18" spans="1:155" ht="16" customHeight="1">
      <c r="A18" s="68"/>
      <c r="B18" s="68"/>
      <c r="C18" s="68"/>
      <c r="D18" s="68" t="s">
        <v>54</v>
      </c>
      <c r="E18" s="68" t="s">
        <v>63</v>
      </c>
      <c r="F18" s="91">
        <f t="shared" si="52"/>
        <v>2.7892900000000003</v>
      </c>
      <c r="G18" s="91">
        <f t="shared" si="53"/>
        <v>2.9230830000000001</v>
      </c>
      <c r="H18" s="91">
        <f t="shared" si="54"/>
        <v>16.47138</v>
      </c>
      <c r="I18" s="91">
        <f t="shared" si="55"/>
        <v>3.142293</v>
      </c>
      <c r="J18" s="91">
        <f t="shared" si="56"/>
        <v>7.2249889999999999</v>
      </c>
      <c r="K18" s="91">
        <f t="shared" si="57"/>
        <v>13.205986671582279</v>
      </c>
      <c r="L18" s="91">
        <f t="shared" si="58"/>
        <v>6.4503613290341573</v>
      </c>
      <c r="M18" s="91">
        <f t="shared" si="59"/>
        <v>8.6270264688728471</v>
      </c>
      <c r="N18" s="91">
        <f t="shared" si="60"/>
        <v>10.909870396020736</v>
      </c>
      <c r="O18" s="91">
        <f t="shared" si="61"/>
        <v>11.799117739735326</v>
      </c>
      <c r="P18" s="91">
        <f t="shared" si="62"/>
        <v>14.334136286742575</v>
      </c>
      <c r="Q18" s="91">
        <f t="shared" si="63"/>
        <v>12.210560540558488</v>
      </c>
      <c r="R18" s="92">
        <f t="shared" si="64"/>
        <v>110.08809443254641</v>
      </c>
      <c r="S18" s="92">
        <f t="shared" si="65"/>
        <v>64.331072760964133</v>
      </c>
      <c r="T18" s="91"/>
      <c r="U18" s="91" t="str">
        <f>""</f>
        <v/>
      </c>
      <c r="V18" s="91" t="str">
        <f>""</f>
        <v/>
      </c>
      <c r="W18" s="91" t="str">
        <f>""</f>
        <v/>
      </c>
      <c r="X18" s="91" t="str">
        <f>""</f>
        <v/>
      </c>
      <c r="Y18" s="91" t="str">
        <f>""</f>
        <v/>
      </c>
      <c r="Z18" s="91" t="str">
        <f>""</f>
        <v/>
      </c>
      <c r="AA18" s="91" t="str">
        <f>""</f>
        <v/>
      </c>
      <c r="AB18" s="91" t="str">
        <f>""</f>
        <v/>
      </c>
      <c r="AC18" s="91" t="str">
        <f>""</f>
        <v/>
      </c>
      <c r="AD18" s="91" t="str">
        <f>""</f>
        <v/>
      </c>
      <c r="AE18" s="91" t="str">
        <f>""</f>
        <v/>
      </c>
      <c r="AF18" s="91" t="str">
        <f>""</f>
        <v/>
      </c>
      <c r="AG18" s="92" t="str">
        <f>""</f>
        <v/>
      </c>
      <c r="AH18" s="92" t="str">
        <f>""</f>
        <v/>
      </c>
      <c r="AI18" s="91"/>
      <c r="AJ18" s="91" t="str">
        <f>""</f>
        <v/>
      </c>
      <c r="AK18" s="91" t="str">
        <f>""</f>
        <v/>
      </c>
      <c r="AL18" s="91" t="str">
        <f>""</f>
        <v/>
      </c>
      <c r="AM18" s="91" t="str">
        <f>""</f>
        <v/>
      </c>
      <c r="AN18" s="91" t="str">
        <f>""</f>
        <v/>
      </c>
      <c r="AO18" s="91" t="str">
        <f>""</f>
        <v/>
      </c>
      <c r="AP18" s="91" t="str">
        <f>""</f>
        <v/>
      </c>
      <c r="AQ18" s="91" t="str">
        <f>""</f>
        <v/>
      </c>
      <c r="AR18" s="91" t="str">
        <f>""</f>
        <v/>
      </c>
      <c r="AS18" s="91" t="str">
        <f>""</f>
        <v/>
      </c>
      <c r="AT18" s="91" t="str">
        <f>""</f>
        <v/>
      </c>
      <c r="AU18" s="91" t="str">
        <f>""</f>
        <v/>
      </c>
      <c r="AV18" s="92" t="str">
        <f>""</f>
        <v/>
      </c>
      <c r="AW18" s="92" t="str">
        <f>""</f>
        <v/>
      </c>
      <c r="AX18" s="91"/>
      <c r="AY18" s="91" t="str">
        <f>""</f>
        <v/>
      </c>
      <c r="AZ18" s="91" t="str">
        <f>""</f>
        <v/>
      </c>
      <c r="BA18" s="91" t="str">
        <f>""</f>
        <v/>
      </c>
      <c r="BB18" s="91" t="str">
        <f>""</f>
        <v/>
      </c>
      <c r="BC18" s="91" t="str">
        <f>""</f>
        <v/>
      </c>
      <c r="BD18" s="91" t="str">
        <f>""</f>
        <v/>
      </c>
      <c r="BE18" s="91" t="str">
        <f>""</f>
        <v/>
      </c>
      <c r="BF18" s="91" t="str">
        <f>""</f>
        <v/>
      </c>
      <c r="BG18" s="91" t="str">
        <f>""</f>
        <v/>
      </c>
      <c r="BH18" s="91" t="str">
        <f>""</f>
        <v/>
      </c>
      <c r="BI18" s="91" t="str">
        <f>""</f>
        <v/>
      </c>
      <c r="BJ18" s="91" t="str">
        <f>""</f>
        <v/>
      </c>
      <c r="BK18" s="92" t="str">
        <f>""</f>
        <v/>
      </c>
      <c r="BL18" s="92" t="str">
        <f>""</f>
        <v/>
      </c>
      <c r="BM18" s="91"/>
      <c r="BN18" s="91" t="str">
        <f>""</f>
        <v/>
      </c>
      <c r="BO18" s="91" t="str">
        <f>""</f>
        <v/>
      </c>
      <c r="BP18" s="91" t="str">
        <f>""</f>
        <v/>
      </c>
      <c r="BQ18" s="91" t="str">
        <f>""</f>
        <v/>
      </c>
      <c r="BR18" s="91" t="str">
        <f>""</f>
        <v/>
      </c>
      <c r="BS18" s="91" t="str">
        <f>""</f>
        <v/>
      </c>
      <c r="BT18" s="91" t="str">
        <f>""</f>
        <v/>
      </c>
      <c r="BU18" s="91" t="str">
        <f>""</f>
        <v/>
      </c>
      <c r="BV18" s="91" t="str">
        <f>""</f>
        <v/>
      </c>
      <c r="BW18" s="91" t="str">
        <f>""</f>
        <v/>
      </c>
      <c r="BX18" s="91" t="str">
        <f>""</f>
        <v/>
      </c>
      <c r="BY18" s="91" t="str">
        <f>""</f>
        <v/>
      </c>
      <c r="BZ18" s="92" t="str">
        <f>""</f>
        <v/>
      </c>
      <c r="CA18" s="92" t="str">
        <f>""</f>
        <v/>
      </c>
      <c r="CB18" s="91"/>
      <c r="CC18" s="91" t="str">
        <f>""</f>
        <v/>
      </c>
      <c r="CD18" s="91" t="str">
        <f>""</f>
        <v/>
      </c>
      <c r="CE18" s="91" t="str">
        <f>""</f>
        <v/>
      </c>
      <c r="CF18" s="91" t="str">
        <f>""</f>
        <v/>
      </c>
      <c r="CG18" s="91" t="str">
        <f>""</f>
        <v/>
      </c>
      <c r="CH18" s="91" t="str">
        <f>""</f>
        <v/>
      </c>
      <c r="CI18" s="91" t="str">
        <f>""</f>
        <v/>
      </c>
      <c r="CJ18" s="91" t="str">
        <f>""</f>
        <v/>
      </c>
      <c r="CK18" s="91" t="str">
        <f>""</f>
        <v/>
      </c>
      <c r="CL18" s="91" t="str">
        <f>""</f>
        <v/>
      </c>
      <c r="CM18" s="91" t="str">
        <f>""</f>
        <v/>
      </c>
      <c r="CN18" s="91" t="str">
        <f>""</f>
        <v/>
      </c>
      <c r="CO18" s="92" t="str">
        <f>""</f>
        <v/>
      </c>
      <c r="CP18" s="92" t="str">
        <f>""</f>
        <v/>
      </c>
      <c r="CQ18" s="91"/>
      <c r="CR18" s="91">
        <f>'测算-京东自营'!I$23</f>
        <v>2.7892900000000003</v>
      </c>
      <c r="CS18" s="91">
        <f>'测算-京东自营'!J$23</f>
        <v>2.9230830000000001</v>
      </c>
      <c r="CT18" s="91">
        <f>'测算-京东自营'!K$23</f>
        <v>16.47138</v>
      </c>
      <c r="CU18" s="91">
        <f>'测算-京东自营'!L$23</f>
        <v>3.142293</v>
      </c>
      <c r="CV18" s="91">
        <f>'测算-京东自营'!M$23</f>
        <v>7.2249889999999999</v>
      </c>
      <c r="CW18" s="91">
        <f>'测算-京东自营'!N$23</f>
        <v>13.205986671582279</v>
      </c>
      <c r="CX18" s="91">
        <f>'测算-京东自营'!O$23</f>
        <v>6.4503613290341573</v>
      </c>
      <c r="CY18" s="91">
        <f>'测算-京东自营'!P$23</f>
        <v>8.6270264688728471</v>
      </c>
      <c r="CZ18" s="91">
        <f>'测算-京东自营'!Q$23</f>
        <v>10.909870396020736</v>
      </c>
      <c r="DA18" s="91">
        <f>'测算-京东自营'!R$23</f>
        <v>11.799117739735326</v>
      </c>
      <c r="DB18" s="91">
        <f>'测算-京东自营'!S$23</f>
        <v>14.334136286742575</v>
      </c>
      <c r="DC18" s="91">
        <f>'测算-京东自营'!T$23</f>
        <v>12.210560540558488</v>
      </c>
      <c r="DD18" s="92">
        <f>'测算-京东自营'!V$23</f>
        <v>110.08809443254641</v>
      </c>
      <c r="DE18" s="92">
        <f>'测算-京东自营'!W$23</f>
        <v>64.331072760964133</v>
      </c>
      <c r="DF18" s="91"/>
      <c r="DG18" s="91" t="str">
        <f>""</f>
        <v/>
      </c>
      <c r="DH18" s="91" t="str">
        <f>""</f>
        <v/>
      </c>
      <c r="DI18" s="91" t="str">
        <f>""</f>
        <v/>
      </c>
      <c r="DJ18" s="91" t="str">
        <f>""</f>
        <v/>
      </c>
      <c r="DK18" s="91" t="str">
        <f>""</f>
        <v/>
      </c>
      <c r="DL18" s="91" t="str">
        <f>""</f>
        <v/>
      </c>
      <c r="DM18" s="91" t="str">
        <f>""</f>
        <v/>
      </c>
      <c r="DN18" s="91" t="str">
        <f>""</f>
        <v/>
      </c>
      <c r="DO18" s="91" t="str">
        <f>""</f>
        <v/>
      </c>
      <c r="DP18" s="91" t="str">
        <f>""</f>
        <v/>
      </c>
      <c r="DQ18" s="91" t="str">
        <f>""</f>
        <v/>
      </c>
      <c r="DR18" s="91" t="str">
        <f>""</f>
        <v/>
      </c>
      <c r="DS18" s="92" t="str">
        <f>""</f>
        <v/>
      </c>
      <c r="DT18" s="92" t="str">
        <f>""</f>
        <v/>
      </c>
      <c r="DU18" s="91"/>
      <c r="DV18" s="91" t="str">
        <f>""</f>
        <v/>
      </c>
      <c r="DW18" s="91" t="str">
        <f>""</f>
        <v/>
      </c>
      <c r="DX18" s="91" t="str">
        <f>""</f>
        <v/>
      </c>
      <c r="DY18" s="91" t="str">
        <f>""</f>
        <v/>
      </c>
      <c r="DZ18" s="91" t="str">
        <f>""</f>
        <v/>
      </c>
      <c r="EA18" s="91" t="str">
        <f>""</f>
        <v/>
      </c>
      <c r="EB18" s="91" t="str">
        <f>""</f>
        <v/>
      </c>
      <c r="EC18" s="91" t="str">
        <f>""</f>
        <v/>
      </c>
      <c r="ED18" s="91" t="str">
        <f>""</f>
        <v/>
      </c>
      <c r="EE18" s="91" t="str">
        <f>""</f>
        <v/>
      </c>
      <c r="EF18" s="91" t="str">
        <f>""</f>
        <v/>
      </c>
      <c r="EG18" s="91" t="str">
        <f>""</f>
        <v/>
      </c>
      <c r="EH18" s="92" t="str">
        <f>""</f>
        <v/>
      </c>
      <c r="EI18" s="92" t="str">
        <f>""</f>
        <v/>
      </c>
      <c r="EJ18" s="42"/>
      <c r="EK18" s="91" t="str">
        <f>""</f>
        <v/>
      </c>
      <c r="EL18" s="91" t="str">
        <f>""</f>
        <v/>
      </c>
      <c r="EM18" s="91" t="str">
        <f>""</f>
        <v/>
      </c>
      <c r="EN18" s="91" t="str">
        <f>""</f>
        <v/>
      </c>
      <c r="EO18" s="91" t="str">
        <f>""</f>
        <v/>
      </c>
      <c r="EP18" s="91" t="str">
        <f>""</f>
        <v/>
      </c>
      <c r="EQ18" s="91" t="str">
        <f>""</f>
        <v/>
      </c>
      <c r="ER18" s="91" t="str">
        <f>""</f>
        <v/>
      </c>
      <c r="ES18" s="91" t="str">
        <f>""</f>
        <v/>
      </c>
      <c r="ET18" s="91" t="str">
        <f>""</f>
        <v/>
      </c>
      <c r="EU18" s="91" t="str">
        <f>""</f>
        <v/>
      </c>
      <c r="EV18" s="91" t="str">
        <f>""</f>
        <v/>
      </c>
      <c r="EW18" s="92" t="str">
        <f>""</f>
        <v/>
      </c>
      <c r="EX18" s="92" t="str">
        <f>""</f>
        <v/>
      </c>
      <c r="EY18" s="10"/>
    </row>
    <row r="19" spans="1:155" ht="16" customHeight="1">
      <c r="A19" s="76"/>
      <c r="B19" s="48"/>
      <c r="C19" s="48" t="s">
        <v>65</v>
      </c>
      <c r="D19" s="76"/>
      <c r="E19" s="76"/>
      <c r="F19" s="86">
        <f t="shared" si="52"/>
        <v>0</v>
      </c>
      <c r="G19" s="86">
        <f t="shared" si="53"/>
        <v>0</v>
      </c>
      <c r="H19" s="86">
        <f t="shared" si="54"/>
        <v>0</v>
      </c>
      <c r="I19" s="86">
        <f t="shared" si="55"/>
        <v>0</v>
      </c>
      <c r="J19" s="86">
        <f t="shared" si="56"/>
        <v>0</v>
      </c>
      <c r="K19" s="86">
        <f t="shared" si="57"/>
        <v>0</v>
      </c>
      <c r="L19" s="86">
        <f t="shared" si="58"/>
        <v>22.751162547911054</v>
      </c>
      <c r="M19" s="86">
        <f t="shared" si="59"/>
        <v>30.428509580539483</v>
      </c>
      <c r="N19" s="86">
        <f t="shared" si="60"/>
        <v>38.480361346466843</v>
      </c>
      <c r="O19" s="86">
        <f t="shared" si="61"/>
        <v>41.616838487845548</v>
      </c>
      <c r="P19" s="86">
        <f t="shared" si="62"/>
        <v>50.558138995357922</v>
      </c>
      <c r="Q19" s="86">
        <f t="shared" si="63"/>
        <v>43.068044329378957</v>
      </c>
      <c r="R19" s="78">
        <f t="shared" si="64"/>
        <v>226.9030552874998</v>
      </c>
      <c r="S19" s="78">
        <f t="shared" si="65"/>
        <v>226.9030552874998</v>
      </c>
      <c r="T19" s="87"/>
      <c r="U19" s="86">
        <f t="shared" ref="U19:AH19" si="66">SUM(U21:U24)</f>
        <v>0</v>
      </c>
      <c r="V19" s="86">
        <f t="shared" si="66"/>
        <v>0</v>
      </c>
      <c r="W19" s="86">
        <f t="shared" si="66"/>
        <v>0</v>
      </c>
      <c r="X19" s="86">
        <f t="shared" si="66"/>
        <v>0</v>
      </c>
      <c r="Y19" s="86">
        <f t="shared" si="66"/>
        <v>0</v>
      </c>
      <c r="Z19" s="86">
        <f t="shared" si="66"/>
        <v>0</v>
      </c>
      <c r="AA19" s="86">
        <f t="shared" si="66"/>
        <v>3.4668438168245412</v>
      </c>
      <c r="AB19" s="86">
        <f t="shared" si="66"/>
        <v>4.6367252694155408</v>
      </c>
      <c r="AC19" s="86">
        <f t="shared" si="66"/>
        <v>5.8636741099378042</v>
      </c>
      <c r="AD19" s="86">
        <f t="shared" si="66"/>
        <v>6.3416134838621785</v>
      </c>
      <c r="AE19" s="86">
        <f t="shared" si="66"/>
        <v>7.7040973707212066</v>
      </c>
      <c r="AF19" s="86">
        <f t="shared" si="66"/>
        <v>6.5627496120958417</v>
      </c>
      <c r="AG19" s="78">
        <f t="shared" si="66"/>
        <v>34.575703662857116</v>
      </c>
      <c r="AH19" s="78">
        <f t="shared" si="66"/>
        <v>34.575703662857116</v>
      </c>
      <c r="AI19" s="87"/>
      <c r="AJ19" s="86">
        <f t="shared" ref="AJ19:AW19" si="67">SUM(AJ21:AJ24)</f>
        <v>0</v>
      </c>
      <c r="AK19" s="86">
        <f t="shared" si="67"/>
        <v>0</v>
      </c>
      <c r="AL19" s="86">
        <f t="shared" si="67"/>
        <v>0</v>
      </c>
      <c r="AM19" s="86">
        <f t="shared" si="67"/>
        <v>0</v>
      </c>
      <c r="AN19" s="86">
        <f t="shared" si="67"/>
        <v>0</v>
      </c>
      <c r="AO19" s="86">
        <f t="shared" si="67"/>
        <v>0</v>
      </c>
      <c r="AP19" s="86">
        <f t="shared" si="67"/>
        <v>2.8168106011699399</v>
      </c>
      <c r="AQ19" s="86">
        <f t="shared" si="67"/>
        <v>3.767339281400127</v>
      </c>
      <c r="AR19" s="86">
        <f t="shared" si="67"/>
        <v>4.7642352143244668</v>
      </c>
      <c r="AS19" s="86">
        <f t="shared" si="67"/>
        <v>5.1525609556380205</v>
      </c>
      <c r="AT19" s="86">
        <f t="shared" si="67"/>
        <v>6.2595791137109806</v>
      </c>
      <c r="AU19" s="86">
        <f t="shared" si="67"/>
        <v>5.3322340598278712</v>
      </c>
      <c r="AV19" s="78">
        <f t="shared" si="67"/>
        <v>28.092759226071408</v>
      </c>
      <c r="AW19" s="78">
        <f t="shared" si="67"/>
        <v>28.092759226071408</v>
      </c>
      <c r="AX19" s="87"/>
      <c r="AY19" s="86">
        <f t="shared" ref="AY19:BL19" si="68">SUM(AY21:AY24)</f>
        <v>0</v>
      </c>
      <c r="AZ19" s="86">
        <f t="shared" si="68"/>
        <v>0</v>
      </c>
      <c r="BA19" s="86">
        <f t="shared" si="68"/>
        <v>0</v>
      </c>
      <c r="BB19" s="86">
        <f t="shared" si="68"/>
        <v>0</v>
      </c>
      <c r="BC19" s="86">
        <f t="shared" si="68"/>
        <v>0</v>
      </c>
      <c r="BD19" s="86">
        <f t="shared" si="68"/>
        <v>0</v>
      </c>
      <c r="BE19" s="86">
        <f t="shared" si="68"/>
        <v>0</v>
      </c>
      <c r="BF19" s="86">
        <f t="shared" si="68"/>
        <v>0</v>
      </c>
      <c r="BG19" s="86">
        <f t="shared" si="68"/>
        <v>0</v>
      </c>
      <c r="BH19" s="86">
        <f t="shared" si="68"/>
        <v>0</v>
      </c>
      <c r="BI19" s="86">
        <f t="shared" si="68"/>
        <v>0</v>
      </c>
      <c r="BJ19" s="86">
        <f t="shared" si="68"/>
        <v>0</v>
      </c>
      <c r="BK19" s="78">
        <f t="shared" si="68"/>
        <v>0</v>
      </c>
      <c r="BL19" s="78">
        <f t="shared" si="68"/>
        <v>0</v>
      </c>
      <c r="BM19" s="87"/>
      <c r="BN19" s="86">
        <f t="shared" ref="BN19:CA19" si="69">SUM(BN21:BN24)</f>
        <v>0</v>
      </c>
      <c r="BO19" s="86">
        <f t="shared" si="69"/>
        <v>0</v>
      </c>
      <c r="BP19" s="86">
        <f t="shared" si="69"/>
        <v>0</v>
      </c>
      <c r="BQ19" s="86">
        <f t="shared" si="69"/>
        <v>0</v>
      </c>
      <c r="BR19" s="86">
        <f t="shared" si="69"/>
        <v>0</v>
      </c>
      <c r="BS19" s="86">
        <f t="shared" si="69"/>
        <v>0</v>
      </c>
      <c r="BT19" s="86">
        <f t="shared" si="69"/>
        <v>0</v>
      </c>
      <c r="BU19" s="86">
        <f t="shared" si="69"/>
        <v>0</v>
      </c>
      <c r="BV19" s="86">
        <f t="shared" si="69"/>
        <v>0</v>
      </c>
      <c r="BW19" s="86">
        <f t="shared" si="69"/>
        <v>0</v>
      </c>
      <c r="BX19" s="86">
        <f t="shared" si="69"/>
        <v>0</v>
      </c>
      <c r="BY19" s="86">
        <f t="shared" si="69"/>
        <v>0</v>
      </c>
      <c r="BZ19" s="78">
        <f t="shared" si="69"/>
        <v>0</v>
      </c>
      <c r="CA19" s="78">
        <f t="shared" si="69"/>
        <v>0</v>
      </c>
      <c r="CB19" s="87"/>
      <c r="CC19" s="86">
        <f t="shared" ref="CC19:CP19" si="70">SUM(CC21:CC24)</f>
        <v>0</v>
      </c>
      <c r="CD19" s="86">
        <f t="shared" si="70"/>
        <v>0</v>
      </c>
      <c r="CE19" s="86">
        <f t="shared" si="70"/>
        <v>0</v>
      </c>
      <c r="CF19" s="86">
        <f t="shared" si="70"/>
        <v>0</v>
      </c>
      <c r="CG19" s="86">
        <f t="shared" si="70"/>
        <v>0</v>
      </c>
      <c r="CH19" s="86">
        <f t="shared" si="70"/>
        <v>0</v>
      </c>
      <c r="CI19" s="86">
        <f t="shared" si="70"/>
        <v>0</v>
      </c>
      <c r="CJ19" s="86">
        <f t="shared" si="70"/>
        <v>0</v>
      </c>
      <c r="CK19" s="86">
        <f t="shared" si="70"/>
        <v>0</v>
      </c>
      <c r="CL19" s="86">
        <f t="shared" si="70"/>
        <v>0</v>
      </c>
      <c r="CM19" s="86">
        <f t="shared" si="70"/>
        <v>0</v>
      </c>
      <c r="CN19" s="86">
        <f t="shared" si="70"/>
        <v>0</v>
      </c>
      <c r="CO19" s="78">
        <f t="shared" si="70"/>
        <v>0</v>
      </c>
      <c r="CP19" s="78">
        <f t="shared" si="70"/>
        <v>0</v>
      </c>
      <c r="CQ19" s="87"/>
      <c r="CR19" s="86">
        <f t="shared" ref="CR19:DE19" si="71">SUM(CR21:CR24)</f>
        <v>0</v>
      </c>
      <c r="CS19" s="86">
        <f t="shared" si="71"/>
        <v>0</v>
      </c>
      <c r="CT19" s="86">
        <f t="shared" si="71"/>
        <v>0</v>
      </c>
      <c r="CU19" s="86">
        <f t="shared" si="71"/>
        <v>0</v>
      </c>
      <c r="CV19" s="86">
        <f t="shared" si="71"/>
        <v>0</v>
      </c>
      <c r="CW19" s="86">
        <f t="shared" si="71"/>
        <v>0</v>
      </c>
      <c r="CX19" s="86">
        <f t="shared" si="71"/>
        <v>0</v>
      </c>
      <c r="CY19" s="86">
        <f t="shared" si="71"/>
        <v>0</v>
      </c>
      <c r="CZ19" s="86">
        <f t="shared" si="71"/>
        <v>0</v>
      </c>
      <c r="DA19" s="86">
        <f t="shared" si="71"/>
        <v>0</v>
      </c>
      <c r="DB19" s="86">
        <f t="shared" si="71"/>
        <v>0</v>
      </c>
      <c r="DC19" s="86">
        <f t="shared" si="71"/>
        <v>0</v>
      </c>
      <c r="DD19" s="78">
        <f t="shared" si="71"/>
        <v>0</v>
      </c>
      <c r="DE19" s="78">
        <f t="shared" si="71"/>
        <v>0</v>
      </c>
      <c r="DF19" s="87"/>
      <c r="DG19" s="86">
        <f t="shared" ref="DG19:DT19" si="72">SUM(DG21:DG24)</f>
        <v>0</v>
      </c>
      <c r="DH19" s="86">
        <f t="shared" si="72"/>
        <v>0</v>
      </c>
      <c r="DI19" s="86">
        <f t="shared" si="72"/>
        <v>0</v>
      </c>
      <c r="DJ19" s="86">
        <f t="shared" si="72"/>
        <v>0</v>
      </c>
      <c r="DK19" s="86">
        <f t="shared" si="72"/>
        <v>0</v>
      </c>
      <c r="DL19" s="86">
        <f t="shared" si="72"/>
        <v>0</v>
      </c>
      <c r="DM19" s="86">
        <f t="shared" si="72"/>
        <v>16.467508129916574</v>
      </c>
      <c r="DN19" s="86">
        <f t="shared" si="72"/>
        <v>22.024445029723815</v>
      </c>
      <c r="DO19" s="86">
        <f t="shared" si="72"/>
        <v>27.852452022204574</v>
      </c>
      <c r="DP19" s="86">
        <f t="shared" si="72"/>
        <v>30.122664048345349</v>
      </c>
      <c r="DQ19" s="86">
        <f t="shared" si="72"/>
        <v>36.594462510925737</v>
      </c>
      <c r="DR19" s="86">
        <f t="shared" si="72"/>
        <v>31.173060657455245</v>
      </c>
      <c r="DS19" s="78">
        <f t="shared" si="72"/>
        <v>164.23459239857129</v>
      </c>
      <c r="DT19" s="78">
        <f t="shared" si="72"/>
        <v>164.23459239857129</v>
      </c>
      <c r="DU19" s="87"/>
      <c r="DV19" s="86">
        <f t="shared" ref="DV19:EI19" si="73">SUM(DV21:DV24)</f>
        <v>0</v>
      </c>
      <c r="DW19" s="86">
        <f t="shared" si="73"/>
        <v>0</v>
      </c>
      <c r="DX19" s="86">
        <f t="shared" si="73"/>
        <v>0</v>
      </c>
      <c r="DY19" s="86">
        <f t="shared" si="73"/>
        <v>0</v>
      </c>
      <c r="DZ19" s="86">
        <f t="shared" si="73"/>
        <v>0</v>
      </c>
      <c r="EA19" s="86">
        <f t="shared" si="73"/>
        <v>0</v>
      </c>
      <c r="EB19" s="86">
        <f t="shared" si="73"/>
        <v>0</v>
      </c>
      <c r="EC19" s="86">
        <f t="shared" si="73"/>
        <v>0</v>
      </c>
      <c r="ED19" s="86">
        <f t="shared" si="73"/>
        <v>0</v>
      </c>
      <c r="EE19" s="86">
        <f t="shared" si="73"/>
        <v>0</v>
      </c>
      <c r="EF19" s="86">
        <f t="shared" si="73"/>
        <v>0</v>
      </c>
      <c r="EG19" s="86">
        <f t="shared" si="73"/>
        <v>0</v>
      </c>
      <c r="EH19" s="78">
        <f t="shared" si="73"/>
        <v>0</v>
      </c>
      <c r="EI19" s="78">
        <f t="shared" si="73"/>
        <v>0</v>
      </c>
      <c r="EJ19" s="42"/>
      <c r="EK19" s="86">
        <f t="shared" ref="EK19:EX19" si="74">SUM(EK21:EK24)</f>
        <v>0</v>
      </c>
      <c r="EL19" s="86">
        <f t="shared" si="74"/>
        <v>0</v>
      </c>
      <c r="EM19" s="86">
        <f t="shared" si="74"/>
        <v>0</v>
      </c>
      <c r="EN19" s="86">
        <f t="shared" si="74"/>
        <v>0</v>
      </c>
      <c r="EO19" s="86">
        <f t="shared" si="74"/>
        <v>0</v>
      </c>
      <c r="EP19" s="86">
        <f t="shared" si="74"/>
        <v>0</v>
      </c>
      <c r="EQ19" s="86">
        <f t="shared" si="74"/>
        <v>0</v>
      </c>
      <c r="ER19" s="86">
        <f t="shared" si="74"/>
        <v>0</v>
      </c>
      <c r="ES19" s="86">
        <f t="shared" si="74"/>
        <v>0</v>
      </c>
      <c r="ET19" s="86">
        <f t="shared" si="74"/>
        <v>0</v>
      </c>
      <c r="EU19" s="86">
        <f t="shared" si="74"/>
        <v>0</v>
      </c>
      <c r="EV19" s="86">
        <f t="shared" si="74"/>
        <v>0</v>
      </c>
      <c r="EW19" s="78">
        <f t="shared" si="74"/>
        <v>0</v>
      </c>
      <c r="EX19" s="78">
        <f t="shared" si="74"/>
        <v>0</v>
      </c>
      <c r="EY19" s="9"/>
    </row>
    <row r="20" spans="1:155" s="8" customFormat="1" ht="16" customHeight="1">
      <c r="A20" s="88"/>
      <c r="B20" s="89"/>
      <c r="C20" s="89" t="s">
        <v>108</v>
      </c>
      <c r="D20" s="88"/>
      <c r="E20" s="88"/>
      <c r="F20" s="90">
        <f t="shared" ref="F20:S20" si="75">IFERROR(F19/F3,0)</f>
        <v>0</v>
      </c>
      <c r="G20" s="90">
        <f t="shared" si="75"/>
        <v>0</v>
      </c>
      <c r="H20" s="90">
        <f t="shared" si="75"/>
        <v>0</v>
      </c>
      <c r="I20" s="90">
        <f t="shared" si="75"/>
        <v>0</v>
      </c>
      <c r="J20" s="90">
        <f t="shared" si="75"/>
        <v>0</v>
      </c>
      <c r="K20" s="90">
        <f t="shared" si="75"/>
        <v>0</v>
      </c>
      <c r="L20" s="90">
        <f t="shared" si="75"/>
        <v>2.8731878550198785E-2</v>
      </c>
      <c r="M20" s="90">
        <f t="shared" si="75"/>
        <v>2.910149869340635E-2</v>
      </c>
      <c r="N20" s="90">
        <f t="shared" si="75"/>
        <v>2.9349385686442041E-2</v>
      </c>
      <c r="O20" s="90">
        <f t="shared" si="75"/>
        <v>2.946071988978503E-2</v>
      </c>
      <c r="P20" s="90">
        <f t="shared" si="75"/>
        <v>2.9480620750239151E-2</v>
      </c>
      <c r="Q20" s="90">
        <f t="shared" si="75"/>
        <v>2.9436034854931806E-2</v>
      </c>
      <c r="R20" s="83">
        <f t="shared" si="75"/>
        <v>1.6265937357026614E-2</v>
      </c>
      <c r="S20" s="83">
        <f t="shared" si="75"/>
        <v>2.9318498098253119E-2</v>
      </c>
      <c r="T20" s="84"/>
      <c r="U20" s="90">
        <f t="shared" ref="U20:AH20" si="76">IFERROR(U19/U3,0)</f>
        <v>0</v>
      </c>
      <c r="V20" s="90">
        <f t="shared" si="76"/>
        <v>0</v>
      </c>
      <c r="W20" s="90">
        <f t="shared" si="76"/>
        <v>0</v>
      </c>
      <c r="X20" s="90">
        <f t="shared" si="76"/>
        <v>0</v>
      </c>
      <c r="Y20" s="90">
        <f t="shared" si="76"/>
        <v>0</v>
      </c>
      <c r="Z20" s="90">
        <f t="shared" si="76"/>
        <v>0</v>
      </c>
      <c r="AA20" s="90">
        <f t="shared" si="76"/>
        <v>1.8456753689885929E-2</v>
      </c>
      <c r="AB20" s="90">
        <f t="shared" si="76"/>
        <v>1.8456753689885932E-2</v>
      </c>
      <c r="AC20" s="90">
        <f t="shared" si="76"/>
        <v>1.8456753689885929E-2</v>
      </c>
      <c r="AD20" s="90">
        <f t="shared" si="76"/>
        <v>1.8456753689885929E-2</v>
      </c>
      <c r="AE20" s="90">
        <f t="shared" si="76"/>
        <v>1.8456753689885932E-2</v>
      </c>
      <c r="AF20" s="90">
        <f t="shared" si="76"/>
        <v>1.8456753689885936E-2</v>
      </c>
      <c r="AG20" s="83">
        <f t="shared" si="76"/>
        <v>8.7569925159251515E-3</v>
      </c>
      <c r="AH20" s="83">
        <f t="shared" si="76"/>
        <v>1.8456753689885932E-2</v>
      </c>
      <c r="AI20" s="84"/>
      <c r="AJ20" s="90">
        <f t="shared" ref="AJ20:AW20" si="77">IFERROR(AJ19/AJ3,0)</f>
        <v>0</v>
      </c>
      <c r="AK20" s="90">
        <f t="shared" si="77"/>
        <v>0</v>
      </c>
      <c r="AL20" s="90">
        <f t="shared" si="77"/>
        <v>0</v>
      </c>
      <c r="AM20" s="90">
        <f t="shared" si="77"/>
        <v>0</v>
      </c>
      <c r="AN20" s="90">
        <f t="shared" si="77"/>
        <v>0</v>
      </c>
      <c r="AO20" s="90">
        <f t="shared" si="77"/>
        <v>0</v>
      </c>
      <c r="AP20" s="90">
        <f t="shared" si="77"/>
        <v>5.3272358835442651E-2</v>
      </c>
      <c r="AQ20" s="90">
        <f t="shared" si="77"/>
        <v>5.3272358835442679E-2</v>
      </c>
      <c r="AR20" s="90">
        <f t="shared" si="77"/>
        <v>5.3272358835442658E-2</v>
      </c>
      <c r="AS20" s="90">
        <f t="shared" si="77"/>
        <v>5.3272358835442672E-2</v>
      </c>
      <c r="AT20" s="90">
        <f t="shared" si="77"/>
        <v>5.3272358835442665E-2</v>
      </c>
      <c r="AU20" s="90">
        <f t="shared" si="77"/>
        <v>5.3272358835442672E-2</v>
      </c>
      <c r="AV20" s="83">
        <f t="shared" si="77"/>
        <v>3.984431594745947E-2</v>
      </c>
      <c r="AW20" s="83">
        <f t="shared" si="77"/>
        <v>5.3272358835442672E-2</v>
      </c>
      <c r="AX20" s="84"/>
      <c r="AY20" s="90">
        <f t="shared" ref="AY20:BL20" si="78">IFERROR(AY19/AY3,0)</f>
        <v>0</v>
      </c>
      <c r="AZ20" s="90">
        <f t="shared" si="78"/>
        <v>0</v>
      </c>
      <c r="BA20" s="90">
        <f t="shared" si="78"/>
        <v>0</v>
      </c>
      <c r="BB20" s="90">
        <f t="shared" si="78"/>
        <v>0</v>
      </c>
      <c r="BC20" s="90">
        <f t="shared" si="78"/>
        <v>0</v>
      </c>
      <c r="BD20" s="90">
        <f t="shared" si="78"/>
        <v>0</v>
      </c>
      <c r="BE20" s="90">
        <f t="shared" si="78"/>
        <v>0</v>
      </c>
      <c r="BF20" s="90">
        <f t="shared" si="78"/>
        <v>0</v>
      </c>
      <c r="BG20" s="90">
        <f t="shared" si="78"/>
        <v>0</v>
      </c>
      <c r="BH20" s="90">
        <f t="shared" si="78"/>
        <v>0</v>
      </c>
      <c r="BI20" s="90">
        <f t="shared" si="78"/>
        <v>0</v>
      </c>
      <c r="BJ20" s="90">
        <f t="shared" si="78"/>
        <v>0</v>
      </c>
      <c r="BK20" s="83">
        <f t="shared" si="78"/>
        <v>0</v>
      </c>
      <c r="BL20" s="83">
        <f t="shared" si="78"/>
        <v>0</v>
      </c>
      <c r="BM20" s="84"/>
      <c r="BN20" s="90">
        <f t="shared" ref="BN20:CA20" si="79">IFERROR(BN19/BN3,0)</f>
        <v>0</v>
      </c>
      <c r="BO20" s="90">
        <f t="shared" si="79"/>
        <v>0</v>
      </c>
      <c r="BP20" s="90">
        <f t="shared" si="79"/>
        <v>0</v>
      </c>
      <c r="BQ20" s="90">
        <f t="shared" si="79"/>
        <v>0</v>
      </c>
      <c r="BR20" s="90">
        <f t="shared" si="79"/>
        <v>0</v>
      </c>
      <c r="BS20" s="90">
        <f t="shared" si="79"/>
        <v>0</v>
      </c>
      <c r="BT20" s="90">
        <f t="shared" si="79"/>
        <v>0</v>
      </c>
      <c r="BU20" s="90">
        <f t="shared" si="79"/>
        <v>0</v>
      </c>
      <c r="BV20" s="90">
        <f t="shared" si="79"/>
        <v>0</v>
      </c>
      <c r="BW20" s="90">
        <f t="shared" si="79"/>
        <v>0</v>
      </c>
      <c r="BX20" s="90">
        <f t="shared" si="79"/>
        <v>0</v>
      </c>
      <c r="BY20" s="90">
        <f t="shared" si="79"/>
        <v>0</v>
      </c>
      <c r="BZ20" s="83">
        <f t="shared" si="79"/>
        <v>0</v>
      </c>
      <c r="CA20" s="83">
        <f t="shared" si="79"/>
        <v>0</v>
      </c>
      <c r="CB20" s="84"/>
      <c r="CC20" s="90">
        <f t="shared" ref="CC20:CP20" si="80">IFERROR(CC19/CC3,0)</f>
        <v>0</v>
      </c>
      <c r="CD20" s="90">
        <f t="shared" si="80"/>
        <v>0</v>
      </c>
      <c r="CE20" s="90">
        <f t="shared" si="80"/>
        <v>0</v>
      </c>
      <c r="CF20" s="90">
        <f t="shared" si="80"/>
        <v>0</v>
      </c>
      <c r="CG20" s="90">
        <f t="shared" si="80"/>
        <v>0</v>
      </c>
      <c r="CH20" s="90">
        <f t="shared" si="80"/>
        <v>0</v>
      </c>
      <c r="CI20" s="90">
        <f t="shared" si="80"/>
        <v>0</v>
      </c>
      <c r="CJ20" s="90">
        <f t="shared" si="80"/>
        <v>0</v>
      </c>
      <c r="CK20" s="90">
        <f t="shared" si="80"/>
        <v>0</v>
      </c>
      <c r="CL20" s="90">
        <f t="shared" si="80"/>
        <v>0</v>
      </c>
      <c r="CM20" s="90">
        <f t="shared" si="80"/>
        <v>0</v>
      </c>
      <c r="CN20" s="90">
        <f t="shared" si="80"/>
        <v>0</v>
      </c>
      <c r="CO20" s="83">
        <f t="shared" si="80"/>
        <v>0</v>
      </c>
      <c r="CP20" s="83">
        <f t="shared" si="80"/>
        <v>0</v>
      </c>
      <c r="CQ20" s="84"/>
      <c r="CR20" s="90">
        <f t="shared" ref="CR20:DE20" si="81">IFERROR(CR19/CR3,0)</f>
        <v>0</v>
      </c>
      <c r="CS20" s="90">
        <f t="shared" si="81"/>
        <v>0</v>
      </c>
      <c r="CT20" s="90">
        <f t="shared" si="81"/>
        <v>0</v>
      </c>
      <c r="CU20" s="90">
        <f t="shared" si="81"/>
        <v>0</v>
      </c>
      <c r="CV20" s="90">
        <f t="shared" si="81"/>
        <v>0</v>
      </c>
      <c r="CW20" s="90">
        <f t="shared" si="81"/>
        <v>0</v>
      </c>
      <c r="CX20" s="90">
        <f t="shared" si="81"/>
        <v>0</v>
      </c>
      <c r="CY20" s="90">
        <f t="shared" si="81"/>
        <v>0</v>
      </c>
      <c r="CZ20" s="90">
        <f t="shared" si="81"/>
        <v>0</v>
      </c>
      <c r="DA20" s="90">
        <f t="shared" si="81"/>
        <v>0</v>
      </c>
      <c r="DB20" s="90">
        <f t="shared" si="81"/>
        <v>0</v>
      </c>
      <c r="DC20" s="90">
        <f t="shared" si="81"/>
        <v>0</v>
      </c>
      <c r="DD20" s="83">
        <f t="shared" si="81"/>
        <v>0</v>
      </c>
      <c r="DE20" s="83">
        <f t="shared" si="81"/>
        <v>0</v>
      </c>
      <c r="DF20" s="84"/>
      <c r="DG20" s="90">
        <f t="shared" ref="DG20:DT20" si="82">IFERROR(DG19/DG3,0)</f>
        <v>0</v>
      </c>
      <c r="DH20" s="90">
        <f t="shared" si="82"/>
        <v>0</v>
      </c>
      <c r="DI20" s="90">
        <f t="shared" si="82"/>
        <v>0</v>
      </c>
      <c r="DJ20" s="90">
        <f t="shared" si="82"/>
        <v>0</v>
      </c>
      <c r="DK20" s="90">
        <f t="shared" si="82"/>
        <v>0</v>
      </c>
      <c r="DL20" s="90">
        <f t="shared" si="82"/>
        <v>0</v>
      </c>
      <c r="DM20" s="90">
        <f t="shared" si="82"/>
        <v>0.19000000000000003</v>
      </c>
      <c r="DN20" s="90">
        <f t="shared" si="82"/>
        <v>0.19</v>
      </c>
      <c r="DO20" s="90">
        <f t="shared" si="82"/>
        <v>0.19</v>
      </c>
      <c r="DP20" s="90">
        <f t="shared" si="82"/>
        <v>0.19000000000000003</v>
      </c>
      <c r="DQ20" s="90">
        <f t="shared" si="82"/>
        <v>0.19000000000000006</v>
      </c>
      <c r="DR20" s="90">
        <f t="shared" si="82"/>
        <v>0.19000000000000003</v>
      </c>
      <c r="DS20" s="83">
        <f t="shared" si="82"/>
        <v>0.1306905778446667</v>
      </c>
      <c r="DT20" s="83">
        <f t="shared" si="82"/>
        <v>0.19</v>
      </c>
      <c r="DU20" s="84"/>
      <c r="DV20" s="90">
        <f t="shared" ref="DV20:EI20" si="83">IFERROR(DV19/DV3,0)</f>
        <v>0</v>
      </c>
      <c r="DW20" s="90">
        <f t="shared" si="83"/>
        <v>0</v>
      </c>
      <c r="DX20" s="90">
        <f t="shared" si="83"/>
        <v>0</v>
      </c>
      <c r="DY20" s="90">
        <f t="shared" si="83"/>
        <v>0</v>
      </c>
      <c r="DZ20" s="90">
        <f t="shared" si="83"/>
        <v>0</v>
      </c>
      <c r="EA20" s="90">
        <f t="shared" si="83"/>
        <v>0</v>
      </c>
      <c r="EB20" s="90">
        <f t="shared" si="83"/>
        <v>0</v>
      </c>
      <c r="EC20" s="90">
        <f t="shared" si="83"/>
        <v>0</v>
      </c>
      <c r="ED20" s="90">
        <f t="shared" si="83"/>
        <v>0</v>
      </c>
      <c r="EE20" s="90">
        <f t="shared" si="83"/>
        <v>0</v>
      </c>
      <c r="EF20" s="90">
        <f t="shared" si="83"/>
        <v>0</v>
      </c>
      <c r="EG20" s="90">
        <f t="shared" si="83"/>
        <v>0</v>
      </c>
      <c r="EH20" s="83">
        <f t="shared" si="83"/>
        <v>0</v>
      </c>
      <c r="EI20" s="83">
        <f t="shared" si="83"/>
        <v>0</v>
      </c>
      <c r="EJ20" s="85"/>
      <c r="EK20" s="90">
        <f t="shared" ref="EK20:EX20" si="84">IFERROR(EK19/EK3,0)</f>
        <v>0</v>
      </c>
      <c r="EL20" s="90">
        <f t="shared" si="84"/>
        <v>0</v>
      </c>
      <c r="EM20" s="90">
        <f t="shared" si="84"/>
        <v>0</v>
      </c>
      <c r="EN20" s="90">
        <f t="shared" si="84"/>
        <v>0</v>
      </c>
      <c r="EO20" s="90">
        <f t="shared" si="84"/>
        <v>0</v>
      </c>
      <c r="EP20" s="90">
        <f t="shared" si="84"/>
        <v>0</v>
      </c>
      <c r="EQ20" s="90">
        <f t="shared" si="84"/>
        <v>0</v>
      </c>
      <c r="ER20" s="90">
        <f t="shared" si="84"/>
        <v>0</v>
      </c>
      <c r="ES20" s="90">
        <f t="shared" si="84"/>
        <v>0</v>
      </c>
      <c r="ET20" s="90">
        <f t="shared" si="84"/>
        <v>0</v>
      </c>
      <c r="EU20" s="90">
        <f t="shared" si="84"/>
        <v>0</v>
      </c>
      <c r="EV20" s="90">
        <f t="shared" si="84"/>
        <v>0</v>
      </c>
      <c r="EW20" s="83">
        <f t="shared" si="84"/>
        <v>0</v>
      </c>
      <c r="EX20" s="83">
        <f t="shared" si="84"/>
        <v>0</v>
      </c>
      <c r="EY20" s="7"/>
    </row>
    <row r="21" spans="1:155" ht="16" customHeight="1">
      <c r="A21" s="68"/>
      <c r="B21" s="68"/>
      <c r="C21" s="68"/>
      <c r="D21" s="68" t="s">
        <v>65</v>
      </c>
      <c r="E21" s="68" t="s">
        <v>66</v>
      </c>
      <c r="F21" s="91">
        <f t="shared" ref="F21:Q25" si="85">SUM(U21,AJ21,AY21,BN21,CC21,CR21,DG21,DV21,EK21)</f>
        <v>0</v>
      </c>
      <c r="G21" s="91">
        <f t="shared" si="85"/>
        <v>0</v>
      </c>
      <c r="H21" s="91">
        <f t="shared" si="85"/>
        <v>0</v>
      </c>
      <c r="I21" s="91">
        <f t="shared" si="85"/>
        <v>0</v>
      </c>
      <c r="J21" s="91">
        <f t="shared" si="85"/>
        <v>0</v>
      </c>
      <c r="K21" s="91">
        <f t="shared" si="85"/>
        <v>0</v>
      </c>
      <c r="L21" s="91">
        <f t="shared" si="85"/>
        <v>3.4668438168245417</v>
      </c>
      <c r="M21" s="91">
        <f t="shared" si="85"/>
        <v>4.6367252694155408</v>
      </c>
      <c r="N21" s="91">
        <f t="shared" si="85"/>
        <v>5.8636741099378051</v>
      </c>
      <c r="O21" s="91">
        <f t="shared" si="85"/>
        <v>6.3416134838621794</v>
      </c>
      <c r="P21" s="91">
        <f t="shared" si="85"/>
        <v>7.7040973707212066</v>
      </c>
      <c r="Q21" s="91">
        <f t="shared" si="85"/>
        <v>6.5627496120958417</v>
      </c>
      <c r="R21" s="92">
        <f>SUM(F21:Q21)</f>
        <v>34.575703662857116</v>
      </c>
      <c r="S21" s="92">
        <f>SUM(L21:Q21)</f>
        <v>34.575703662857116</v>
      </c>
      <c r="T21" s="91"/>
      <c r="U21" s="91">
        <f>'测算-高个子抖音'!I$28</f>
        <v>0</v>
      </c>
      <c r="V21" s="91">
        <f>'测算-高个子抖音'!J$28</f>
        <v>0</v>
      </c>
      <c r="W21" s="91">
        <f>'测算-高个子抖音'!K$28</f>
        <v>0</v>
      </c>
      <c r="X21" s="91">
        <f>'测算-高个子抖音'!L$28</f>
        <v>0</v>
      </c>
      <c r="Y21" s="91">
        <f>'测算-高个子抖音'!M$28</f>
        <v>0</v>
      </c>
      <c r="Z21" s="91">
        <f>'测算-高个子抖音'!N$28</f>
        <v>0</v>
      </c>
      <c r="AA21" s="91">
        <f>'测算-高个子抖音'!O$28</f>
        <v>0.86671095420613542</v>
      </c>
      <c r="AB21" s="91">
        <f>'测算-高个子抖音'!P$28</f>
        <v>1.1591813173538852</v>
      </c>
      <c r="AC21" s="91">
        <f>'测算-高个子抖音'!Q$28</f>
        <v>1.4659185274844513</v>
      </c>
      <c r="AD21" s="91">
        <f>'测算-高个子抖音'!R$28</f>
        <v>1.5854033709655448</v>
      </c>
      <c r="AE21" s="91">
        <f>'测算-高个子抖音'!S$28</f>
        <v>1.9260243426803016</v>
      </c>
      <c r="AF21" s="91">
        <f>'测算-高个子抖音'!T$28</f>
        <v>1.6406874030239604</v>
      </c>
      <c r="AG21" s="92">
        <f>'测算-高个子抖音'!V$28</f>
        <v>8.6439259157142789</v>
      </c>
      <c r="AH21" s="92">
        <f>'测算-高个子抖音'!W$28</f>
        <v>8.6439259157142789</v>
      </c>
      <c r="AI21" s="91"/>
      <c r="AJ21" s="91">
        <f>'测算-高个子视频号'!I$28</f>
        <v>0</v>
      </c>
      <c r="AK21" s="91">
        <f>'测算-高个子视频号'!J$28</f>
        <v>0</v>
      </c>
      <c r="AL21" s="91">
        <f>'测算-高个子视频号'!K$28</f>
        <v>0</v>
      </c>
      <c r="AM21" s="91">
        <f>'测算-高个子视频号'!L$28</f>
        <v>0</v>
      </c>
      <c r="AN21" s="91">
        <f>'测算-高个子视频号'!M$28</f>
        <v>0</v>
      </c>
      <c r="AO21" s="91">
        <f>'测算-高个子视频号'!N$28</f>
        <v>0</v>
      </c>
      <c r="AP21" s="91">
        <f>'测算-高个子视频号'!O$28</f>
        <v>0.86671095420613542</v>
      </c>
      <c r="AQ21" s="91">
        <f>'测算-高个子视频号'!P$28</f>
        <v>1.1591813173538852</v>
      </c>
      <c r="AR21" s="91">
        <f>'测算-高个子视频号'!Q$28</f>
        <v>1.4659185274844513</v>
      </c>
      <c r="AS21" s="91">
        <f>'测算-高个子视频号'!R$28</f>
        <v>1.5854033709655448</v>
      </c>
      <c r="AT21" s="91">
        <f>'测算-高个子视频号'!S$28</f>
        <v>1.9260243426803016</v>
      </c>
      <c r="AU21" s="91">
        <f>'测算-高个子视频号'!T$28</f>
        <v>1.6406874030239604</v>
      </c>
      <c r="AV21" s="92">
        <f>'测算-高个子视频号'!V$28</f>
        <v>8.6439259157142789</v>
      </c>
      <c r="AW21" s="92">
        <f>'测算-高个子视频号'!W$28</f>
        <v>8.6439259157142789</v>
      </c>
      <c r="AX21" s="91"/>
      <c r="AY21" s="91">
        <f>'测算-天猫淘宝'!I$27</f>
        <v>0</v>
      </c>
      <c r="AZ21" s="91">
        <f>'测算-天猫淘宝'!J$27</f>
        <v>0</v>
      </c>
      <c r="BA21" s="91">
        <f>'测算-天猫淘宝'!K$27</f>
        <v>0</v>
      </c>
      <c r="BB21" s="91">
        <f>'测算-天猫淘宝'!L$27</f>
        <v>0</v>
      </c>
      <c r="BC21" s="91">
        <f>'测算-天猫淘宝'!M$27</f>
        <v>0</v>
      </c>
      <c r="BD21" s="91">
        <f>'测算-天猫淘宝'!N$27</f>
        <v>0</v>
      </c>
      <c r="BE21" s="91">
        <f>'测算-天猫淘宝'!O$27</f>
        <v>0</v>
      </c>
      <c r="BF21" s="91">
        <f>'测算-天猫淘宝'!P$27</f>
        <v>0</v>
      </c>
      <c r="BG21" s="91">
        <f>'测算-天猫淘宝'!Q$27</f>
        <v>0</v>
      </c>
      <c r="BH21" s="91">
        <f>'测算-天猫淘宝'!R$27</f>
        <v>0</v>
      </c>
      <c r="BI21" s="91">
        <f>'测算-天猫淘宝'!S$27</f>
        <v>0</v>
      </c>
      <c r="BJ21" s="91">
        <f>'测算-天猫淘宝'!T$27</f>
        <v>0</v>
      </c>
      <c r="BK21" s="92">
        <f>'测算-天猫淘宝'!V$27</f>
        <v>0</v>
      </c>
      <c r="BL21" s="92">
        <f>'测算-天猫淘宝'!W$27</f>
        <v>0</v>
      </c>
      <c r="BM21" s="91"/>
      <c r="BN21" s="91">
        <f>'测算-拼多多'!I$28</f>
        <v>0</v>
      </c>
      <c r="BO21" s="91">
        <f>'测算-拼多多'!J$28</f>
        <v>0</v>
      </c>
      <c r="BP21" s="91">
        <f>'测算-拼多多'!K$28</f>
        <v>0</v>
      </c>
      <c r="BQ21" s="91">
        <f>'测算-拼多多'!L$28</f>
        <v>0</v>
      </c>
      <c r="BR21" s="91">
        <f>'测算-拼多多'!M$28</f>
        <v>0</v>
      </c>
      <c r="BS21" s="91">
        <f>'测算-拼多多'!N$28</f>
        <v>0</v>
      </c>
      <c r="BT21" s="91">
        <f>'测算-拼多多'!O$28</f>
        <v>0</v>
      </c>
      <c r="BU21" s="91">
        <f>'测算-拼多多'!P$28</f>
        <v>0</v>
      </c>
      <c r="BV21" s="91">
        <f>'测算-拼多多'!Q$28</f>
        <v>0</v>
      </c>
      <c r="BW21" s="91">
        <f>'测算-拼多多'!R$28</f>
        <v>0</v>
      </c>
      <c r="BX21" s="91">
        <f>'测算-拼多多'!S$28</f>
        <v>0</v>
      </c>
      <c r="BY21" s="91">
        <f>'测算-拼多多'!T$28</f>
        <v>0</v>
      </c>
      <c r="BZ21" s="92">
        <f>'测算-拼多多'!V$28</f>
        <v>0</v>
      </c>
      <c r="CA21" s="92">
        <f>'测算-拼多多'!W$28</f>
        <v>0</v>
      </c>
      <c r="CB21" s="91"/>
      <c r="CC21" s="91">
        <f>'测算-京东POP'!I$28</f>
        <v>0</v>
      </c>
      <c r="CD21" s="91">
        <f>'测算-京东POP'!J$28</f>
        <v>0</v>
      </c>
      <c r="CE21" s="91">
        <f>'测算-京东POP'!K$28</f>
        <v>0</v>
      </c>
      <c r="CF21" s="91">
        <f>'测算-京东POP'!L$28</f>
        <v>0</v>
      </c>
      <c r="CG21" s="91">
        <f>'测算-京东POP'!M$28</f>
        <v>0</v>
      </c>
      <c r="CH21" s="91">
        <f>'测算-京东POP'!N$28</f>
        <v>0</v>
      </c>
      <c r="CI21" s="91">
        <f>'测算-京东POP'!O$28</f>
        <v>0</v>
      </c>
      <c r="CJ21" s="91">
        <f>'测算-京东POP'!P$28</f>
        <v>0</v>
      </c>
      <c r="CK21" s="91">
        <f>'测算-京东POP'!Q$28</f>
        <v>0</v>
      </c>
      <c r="CL21" s="91">
        <f>'测算-京东POP'!R$28</f>
        <v>0</v>
      </c>
      <c r="CM21" s="91">
        <f>'测算-京东POP'!S$28</f>
        <v>0</v>
      </c>
      <c r="CN21" s="91">
        <f>'测算-京东POP'!T$28</f>
        <v>0</v>
      </c>
      <c r="CO21" s="92">
        <f>'测算-京东POP'!V$28</f>
        <v>0</v>
      </c>
      <c r="CP21" s="92">
        <f>'测算-京东POP'!W$28</f>
        <v>0</v>
      </c>
      <c r="CQ21" s="91"/>
      <c r="CR21" s="91">
        <f>'测算-京东自营'!I$29</f>
        <v>0</v>
      </c>
      <c r="CS21" s="91">
        <f>'测算-京东自营'!J$29</f>
        <v>0</v>
      </c>
      <c r="CT21" s="91">
        <f>'测算-京东自营'!K$29</f>
        <v>0</v>
      </c>
      <c r="CU21" s="91">
        <f>'测算-京东自营'!L$29</f>
        <v>0</v>
      </c>
      <c r="CV21" s="91">
        <f>'测算-京东自营'!M$29</f>
        <v>0</v>
      </c>
      <c r="CW21" s="91">
        <f>'测算-京东自营'!N$29</f>
        <v>0</v>
      </c>
      <c r="CX21" s="91">
        <f>'测算-京东自营'!O$29</f>
        <v>0</v>
      </c>
      <c r="CY21" s="91">
        <f>'测算-京东自营'!P$29</f>
        <v>0</v>
      </c>
      <c r="CZ21" s="91">
        <f>'测算-京东自营'!Q$29</f>
        <v>0</v>
      </c>
      <c r="DA21" s="91">
        <f>'测算-京东自营'!R$29</f>
        <v>0</v>
      </c>
      <c r="DB21" s="91">
        <f>'测算-京东自营'!S$29</f>
        <v>0</v>
      </c>
      <c r="DC21" s="91">
        <f>'测算-京东自营'!T$29</f>
        <v>0</v>
      </c>
      <c r="DD21" s="92">
        <f>'测算-京东自营'!V$29</f>
        <v>0</v>
      </c>
      <c r="DE21" s="92">
        <f>'测算-京东自营'!W$29</f>
        <v>0</v>
      </c>
      <c r="DF21" s="91"/>
      <c r="DG21" s="91">
        <f>'测算-达播'!I$29</f>
        <v>0</v>
      </c>
      <c r="DH21" s="91">
        <f>'测算-达播'!J$29</f>
        <v>0</v>
      </c>
      <c r="DI21" s="91">
        <f>'测算-达播'!K$29</f>
        <v>0</v>
      </c>
      <c r="DJ21" s="91">
        <f>'测算-达播'!L$29</f>
        <v>0</v>
      </c>
      <c r="DK21" s="91">
        <f>'测算-达播'!M$29</f>
        <v>0</v>
      </c>
      <c r="DL21" s="91">
        <f>'测算-达播'!N$29</f>
        <v>0</v>
      </c>
      <c r="DM21" s="91">
        <f>'测算-达播'!O$29</f>
        <v>1.7334219084122708</v>
      </c>
      <c r="DN21" s="91">
        <f>'测算-达播'!P$29</f>
        <v>2.3183626347077704</v>
      </c>
      <c r="DO21" s="91">
        <f>'测算-达播'!Q$29</f>
        <v>2.9318370549689026</v>
      </c>
      <c r="DP21" s="91">
        <f>'测算-达播'!R$29</f>
        <v>3.1708067419310897</v>
      </c>
      <c r="DQ21" s="91">
        <f>'测算-达播'!S$29</f>
        <v>3.8520486853606033</v>
      </c>
      <c r="DR21" s="91">
        <f>'测算-达播'!T$29</f>
        <v>3.2813748060479209</v>
      </c>
      <c r="DS21" s="92">
        <f>'测算-达播'!V$29</f>
        <v>17.287851831428558</v>
      </c>
      <c r="DT21" s="92">
        <f>'测算-达播'!W$29</f>
        <v>17.287851831428558</v>
      </c>
      <c r="DU21" s="91"/>
      <c r="DV21" s="91">
        <f>'测算-私域'!I$28</f>
        <v>0</v>
      </c>
      <c r="DW21" s="91">
        <f>'测算-私域'!J$28</f>
        <v>0</v>
      </c>
      <c r="DX21" s="91">
        <f>'测算-私域'!K$28</f>
        <v>0</v>
      </c>
      <c r="DY21" s="91">
        <f>'测算-私域'!L$28</f>
        <v>0</v>
      </c>
      <c r="DZ21" s="91">
        <f>'测算-私域'!M$28</f>
        <v>0</v>
      </c>
      <c r="EA21" s="91">
        <f>'测算-私域'!N$28</f>
        <v>0</v>
      </c>
      <c r="EB21" s="91">
        <f>'测算-私域'!O$28</f>
        <v>0</v>
      </c>
      <c r="EC21" s="91">
        <f>'测算-私域'!P$28</f>
        <v>0</v>
      </c>
      <c r="ED21" s="91">
        <f>'测算-私域'!Q$28</f>
        <v>0</v>
      </c>
      <c r="EE21" s="91">
        <f>'测算-私域'!R$28</f>
        <v>0</v>
      </c>
      <c r="EF21" s="91">
        <f>'测算-私域'!S$28</f>
        <v>0</v>
      </c>
      <c r="EG21" s="91">
        <f>'测算-私域'!T$28</f>
        <v>0</v>
      </c>
      <c r="EH21" s="92">
        <f>'测算-私域'!V$28</f>
        <v>0</v>
      </c>
      <c r="EI21" s="92">
        <f>'测算-私域'!W$28</f>
        <v>0</v>
      </c>
      <c r="EJ21" s="42"/>
      <c r="EK21" s="91" t="str">
        <f>'测算-外部分销'!I$28</f>
        <v/>
      </c>
      <c r="EL21" s="91" t="str">
        <f>'测算-外部分销'!J$28</f>
        <v/>
      </c>
      <c r="EM21" s="91" t="str">
        <f>'测算-外部分销'!K$28</f>
        <v/>
      </c>
      <c r="EN21" s="91" t="str">
        <f>'测算-外部分销'!L$28</f>
        <v/>
      </c>
      <c r="EO21" s="91" t="str">
        <f>'测算-外部分销'!M$28</f>
        <v/>
      </c>
      <c r="EP21" s="91" t="str">
        <f>'测算-外部分销'!N$28</f>
        <v/>
      </c>
      <c r="EQ21" s="91">
        <f>'测算-外部分销'!O$28</f>
        <v>0</v>
      </c>
      <c r="ER21" s="91">
        <f>'测算-外部分销'!P$28</f>
        <v>0</v>
      </c>
      <c r="ES21" s="91">
        <f>'测算-外部分销'!Q$28</f>
        <v>0</v>
      </c>
      <c r="ET21" s="91">
        <f>'测算-外部分销'!R$28</f>
        <v>0</v>
      </c>
      <c r="EU21" s="91">
        <f>'测算-外部分销'!S$28</f>
        <v>0</v>
      </c>
      <c r="EV21" s="91">
        <f>'测算-外部分销'!T$28</f>
        <v>0</v>
      </c>
      <c r="EW21" s="92">
        <f>'测算-外部分销'!V$28</f>
        <v>0</v>
      </c>
      <c r="EX21" s="92">
        <f>'测算-外部分销'!W$28</f>
        <v>0</v>
      </c>
      <c r="EY21" s="10"/>
    </row>
    <row r="22" spans="1:155" ht="16" customHeight="1">
      <c r="A22" s="68"/>
      <c r="B22" s="68"/>
      <c r="C22" s="68"/>
      <c r="D22" s="68" t="s">
        <v>65</v>
      </c>
      <c r="E22" s="68" t="s">
        <v>67</v>
      </c>
      <c r="F22" s="91">
        <f t="shared" si="85"/>
        <v>0</v>
      </c>
      <c r="G22" s="91">
        <f t="shared" si="85"/>
        <v>0</v>
      </c>
      <c r="H22" s="91">
        <f t="shared" si="85"/>
        <v>0</v>
      </c>
      <c r="I22" s="91">
        <f t="shared" si="85"/>
        <v>0</v>
      </c>
      <c r="J22" s="91">
        <f t="shared" si="85"/>
        <v>0</v>
      </c>
      <c r="K22" s="91">
        <f t="shared" si="85"/>
        <v>0</v>
      </c>
      <c r="L22" s="91">
        <f t="shared" si="85"/>
        <v>5.2002657252368119</v>
      </c>
      <c r="M22" s="91">
        <f t="shared" si="85"/>
        <v>6.9550879041233111</v>
      </c>
      <c r="N22" s="91">
        <f t="shared" si="85"/>
        <v>8.7955111649067064</v>
      </c>
      <c r="O22" s="91">
        <f t="shared" si="85"/>
        <v>9.5124202257932673</v>
      </c>
      <c r="P22" s="91">
        <f t="shared" si="85"/>
        <v>11.556146056081809</v>
      </c>
      <c r="Q22" s="91">
        <f t="shared" si="85"/>
        <v>9.8441244181437622</v>
      </c>
      <c r="R22" s="92">
        <f>SUM(F22:Q22)</f>
        <v>51.86355549428567</v>
      </c>
      <c r="S22" s="92">
        <f>SUM(L22:Q22)</f>
        <v>51.86355549428567</v>
      </c>
      <c r="T22" s="91"/>
      <c r="U22" s="91">
        <f>'测算-高个子抖音'!I$29</f>
        <v>0</v>
      </c>
      <c r="V22" s="91">
        <f>'测算-高个子抖音'!J$29</f>
        <v>0</v>
      </c>
      <c r="W22" s="91">
        <f>'测算-高个子抖音'!K$29</f>
        <v>0</v>
      </c>
      <c r="X22" s="91">
        <f>'测算-高个子抖音'!L$29</f>
        <v>0</v>
      </c>
      <c r="Y22" s="91">
        <f>'测算-高个子抖音'!M$29</f>
        <v>0</v>
      </c>
      <c r="Z22" s="91">
        <f>'测算-高个子抖音'!N$29</f>
        <v>0</v>
      </c>
      <c r="AA22" s="91">
        <f>'测算-高个子抖音'!O$29</f>
        <v>2.6001328626184059</v>
      </c>
      <c r="AB22" s="91">
        <f>'测算-高个子抖音'!P$29</f>
        <v>3.4775439520616551</v>
      </c>
      <c r="AC22" s="91">
        <f>'测算-高个子抖音'!Q$29</f>
        <v>4.3977555824533532</v>
      </c>
      <c r="AD22" s="91">
        <f>'测算-高个子抖音'!R$29</f>
        <v>4.7562101128966336</v>
      </c>
      <c r="AE22" s="91">
        <f>'测算-高个子抖音'!S$29</f>
        <v>5.7780730280409047</v>
      </c>
      <c r="AF22" s="91">
        <f>'测算-高个子抖音'!T$29</f>
        <v>4.9220622090718811</v>
      </c>
      <c r="AG22" s="92">
        <f>'测算-高个子抖音'!V$29</f>
        <v>25.931777747142835</v>
      </c>
      <c r="AH22" s="92">
        <f>'测算-高个子抖音'!W$29</f>
        <v>25.931777747142835</v>
      </c>
      <c r="AI22" s="91"/>
      <c r="AJ22" s="91">
        <f>'测算-高个子视频号'!I$29</f>
        <v>0</v>
      </c>
      <c r="AK22" s="91">
        <f>'测算-高个子视频号'!J$29</f>
        <v>0</v>
      </c>
      <c r="AL22" s="91">
        <f>'测算-高个子视频号'!K$29</f>
        <v>0</v>
      </c>
      <c r="AM22" s="91">
        <f>'测算-高个子视频号'!L$29</f>
        <v>0</v>
      </c>
      <c r="AN22" s="91">
        <f>'测算-高个子视频号'!M$29</f>
        <v>0</v>
      </c>
      <c r="AO22" s="91">
        <f>'测算-高个子视频号'!N$29</f>
        <v>0</v>
      </c>
      <c r="AP22" s="91">
        <f>'测算-高个子视频号'!O$29</f>
        <v>0.86671095420613542</v>
      </c>
      <c r="AQ22" s="91">
        <f>'测算-高个子视频号'!P$29</f>
        <v>1.1591813173538852</v>
      </c>
      <c r="AR22" s="91">
        <f>'测算-高个子视频号'!Q$29</f>
        <v>1.4659185274844513</v>
      </c>
      <c r="AS22" s="91">
        <f>'测算-高个子视频号'!R$29</f>
        <v>1.5854033709655448</v>
      </c>
      <c r="AT22" s="91">
        <f>'测算-高个子视频号'!S$29</f>
        <v>1.9260243426803016</v>
      </c>
      <c r="AU22" s="91">
        <f>'测算-高个子视频号'!T$29</f>
        <v>1.6406874030239604</v>
      </c>
      <c r="AV22" s="92">
        <f>'测算-高个子视频号'!V$29</f>
        <v>8.6439259157142789</v>
      </c>
      <c r="AW22" s="92">
        <f>'测算-高个子视频号'!W$29</f>
        <v>8.6439259157142789</v>
      </c>
      <c r="AX22" s="91"/>
      <c r="AY22" s="91">
        <f>'测算-天猫淘宝'!I$28</f>
        <v>0</v>
      </c>
      <c r="AZ22" s="91">
        <f>'测算-天猫淘宝'!J$28</f>
        <v>0</v>
      </c>
      <c r="BA22" s="91">
        <f>'测算-天猫淘宝'!K$28</f>
        <v>0</v>
      </c>
      <c r="BB22" s="91">
        <f>'测算-天猫淘宝'!L$28</f>
        <v>0</v>
      </c>
      <c r="BC22" s="91">
        <f>'测算-天猫淘宝'!M$28</f>
        <v>0</v>
      </c>
      <c r="BD22" s="91">
        <f>'测算-天猫淘宝'!N$28</f>
        <v>0</v>
      </c>
      <c r="BE22" s="91">
        <f>'测算-天猫淘宝'!O$28</f>
        <v>0</v>
      </c>
      <c r="BF22" s="91">
        <f>'测算-天猫淘宝'!P$28</f>
        <v>0</v>
      </c>
      <c r="BG22" s="91">
        <f>'测算-天猫淘宝'!Q$28</f>
        <v>0</v>
      </c>
      <c r="BH22" s="91">
        <f>'测算-天猫淘宝'!R$28</f>
        <v>0</v>
      </c>
      <c r="BI22" s="91">
        <f>'测算-天猫淘宝'!S$28</f>
        <v>0</v>
      </c>
      <c r="BJ22" s="91">
        <f>'测算-天猫淘宝'!T$28</f>
        <v>0</v>
      </c>
      <c r="BK22" s="92">
        <f>'测算-天猫淘宝'!V$28</f>
        <v>0</v>
      </c>
      <c r="BL22" s="92">
        <f>'测算-天猫淘宝'!W$28</f>
        <v>0</v>
      </c>
      <c r="BM22" s="91"/>
      <c r="BN22" s="91">
        <f>'测算-拼多多'!I$29</f>
        <v>0</v>
      </c>
      <c r="BO22" s="91">
        <f>'测算-拼多多'!J$29</f>
        <v>0</v>
      </c>
      <c r="BP22" s="91">
        <f>'测算-拼多多'!K$29</f>
        <v>0</v>
      </c>
      <c r="BQ22" s="91">
        <f>'测算-拼多多'!L$29</f>
        <v>0</v>
      </c>
      <c r="BR22" s="91">
        <f>'测算-拼多多'!M$29</f>
        <v>0</v>
      </c>
      <c r="BS22" s="91">
        <f>'测算-拼多多'!N$29</f>
        <v>0</v>
      </c>
      <c r="BT22" s="91">
        <f>'测算-拼多多'!O$29</f>
        <v>0</v>
      </c>
      <c r="BU22" s="91">
        <f>'测算-拼多多'!P$29</f>
        <v>0</v>
      </c>
      <c r="BV22" s="91">
        <f>'测算-拼多多'!Q$29</f>
        <v>0</v>
      </c>
      <c r="BW22" s="91">
        <f>'测算-拼多多'!R$29</f>
        <v>0</v>
      </c>
      <c r="BX22" s="91">
        <f>'测算-拼多多'!S$29</f>
        <v>0</v>
      </c>
      <c r="BY22" s="91">
        <f>'测算-拼多多'!T$29</f>
        <v>0</v>
      </c>
      <c r="BZ22" s="92">
        <f>'测算-拼多多'!V$29</f>
        <v>0</v>
      </c>
      <c r="CA22" s="92">
        <f>'测算-拼多多'!W$29</f>
        <v>0</v>
      </c>
      <c r="CB22" s="91"/>
      <c r="CC22" s="91">
        <f>'测算-京东POP'!I$29</f>
        <v>0</v>
      </c>
      <c r="CD22" s="91">
        <f>'测算-京东POP'!J$29</f>
        <v>0</v>
      </c>
      <c r="CE22" s="91">
        <f>'测算-京东POP'!K$29</f>
        <v>0</v>
      </c>
      <c r="CF22" s="91">
        <f>'测算-京东POP'!L$29</f>
        <v>0</v>
      </c>
      <c r="CG22" s="91">
        <f>'测算-京东POP'!M$29</f>
        <v>0</v>
      </c>
      <c r="CH22" s="91">
        <f>'测算-京东POP'!N$29</f>
        <v>0</v>
      </c>
      <c r="CI22" s="91">
        <f>'测算-京东POP'!O$29</f>
        <v>0</v>
      </c>
      <c r="CJ22" s="91">
        <f>'测算-京东POP'!P$29</f>
        <v>0</v>
      </c>
      <c r="CK22" s="91">
        <f>'测算-京东POP'!Q$29</f>
        <v>0</v>
      </c>
      <c r="CL22" s="91">
        <f>'测算-京东POP'!R$29</f>
        <v>0</v>
      </c>
      <c r="CM22" s="91">
        <f>'测算-京东POP'!S$29</f>
        <v>0</v>
      </c>
      <c r="CN22" s="91">
        <f>'测算-京东POP'!T$29</f>
        <v>0</v>
      </c>
      <c r="CO22" s="92">
        <f>'测算-京东POP'!V$29</f>
        <v>0</v>
      </c>
      <c r="CP22" s="92">
        <f>'测算-京东POP'!W$29</f>
        <v>0</v>
      </c>
      <c r="CQ22" s="91"/>
      <c r="CR22" s="91">
        <f>'测算-京东自营'!I$30</f>
        <v>0</v>
      </c>
      <c r="CS22" s="91">
        <f>'测算-京东自营'!J$30</f>
        <v>0</v>
      </c>
      <c r="CT22" s="91">
        <f>'测算-京东自营'!K$30</f>
        <v>0</v>
      </c>
      <c r="CU22" s="91">
        <f>'测算-京东自营'!L$30</f>
        <v>0</v>
      </c>
      <c r="CV22" s="91">
        <f>'测算-京东自营'!M$30</f>
        <v>0</v>
      </c>
      <c r="CW22" s="91">
        <f>'测算-京东自营'!N$30</f>
        <v>0</v>
      </c>
      <c r="CX22" s="91">
        <f>'测算-京东自营'!O$30</f>
        <v>0</v>
      </c>
      <c r="CY22" s="91">
        <f>'测算-京东自营'!P$30</f>
        <v>0</v>
      </c>
      <c r="CZ22" s="91">
        <f>'测算-京东自营'!Q$30</f>
        <v>0</v>
      </c>
      <c r="DA22" s="91">
        <f>'测算-京东自营'!R$30</f>
        <v>0</v>
      </c>
      <c r="DB22" s="91">
        <f>'测算-京东自营'!S$30</f>
        <v>0</v>
      </c>
      <c r="DC22" s="91">
        <f>'测算-京东自营'!T$30</f>
        <v>0</v>
      </c>
      <c r="DD22" s="92">
        <f>'测算-京东自营'!V$30</f>
        <v>0</v>
      </c>
      <c r="DE22" s="92">
        <f>'测算-京东自营'!W$30</f>
        <v>0</v>
      </c>
      <c r="DF22" s="91"/>
      <c r="DG22" s="91">
        <f>'测算-达播'!I$30</f>
        <v>0</v>
      </c>
      <c r="DH22" s="91">
        <f>'测算-达播'!J$30</f>
        <v>0</v>
      </c>
      <c r="DI22" s="91">
        <f>'测算-达播'!K$30</f>
        <v>0</v>
      </c>
      <c r="DJ22" s="91">
        <f>'测算-达播'!L$30</f>
        <v>0</v>
      </c>
      <c r="DK22" s="91">
        <f>'测算-达播'!M$30</f>
        <v>0</v>
      </c>
      <c r="DL22" s="91">
        <f>'测算-达播'!N$30</f>
        <v>0</v>
      </c>
      <c r="DM22" s="91">
        <f>'测算-达播'!O$30</f>
        <v>1.7334219084122708</v>
      </c>
      <c r="DN22" s="91">
        <f>'测算-达播'!P$30</f>
        <v>2.3183626347077704</v>
      </c>
      <c r="DO22" s="91">
        <f>'测算-达播'!Q$30</f>
        <v>2.9318370549689026</v>
      </c>
      <c r="DP22" s="91">
        <f>'测算-达播'!R$30</f>
        <v>3.1708067419310897</v>
      </c>
      <c r="DQ22" s="91">
        <f>'测算-达播'!S$30</f>
        <v>3.8520486853606033</v>
      </c>
      <c r="DR22" s="91">
        <f>'测算-达播'!T$30</f>
        <v>3.2813748060479209</v>
      </c>
      <c r="DS22" s="92">
        <f>'测算-达播'!V$30</f>
        <v>17.287851831428558</v>
      </c>
      <c r="DT22" s="92">
        <f>'测算-达播'!W$30</f>
        <v>17.287851831428558</v>
      </c>
      <c r="DU22" s="91"/>
      <c r="DV22" s="91">
        <f>'测算-私域'!I$29</f>
        <v>0</v>
      </c>
      <c r="DW22" s="91">
        <f>'测算-私域'!J$29</f>
        <v>0</v>
      </c>
      <c r="DX22" s="91">
        <f>'测算-私域'!K$29</f>
        <v>0</v>
      </c>
      <c r="DY22" s="91">
        <f>'测算-私域'!L$29</f>
        <v>0</v>
      </c>
      <c r="DZ22" s="91">
        <f>'测算-私域'!M$29</f>
        <v>0</v>
      </c>
      <c r="EA22" s="91">
        <f>'测算-私域'!N$29</f>
        <v>0</v>
      </c>
      <c r="EB22" s="91">
        <f>'测算-私域'!O$29</f>
        <v>0</v>
      </c>
      <c r="EC22" s="91">
        <f>'测算-私域'!P$29</f>
        <v>0</v>
      </c>
      <c r="ED22" s="91">
        <f>'测算-私域'!Q$29</f>
        <v>0</v>
      </c>
      <c r="EE22" s="91">
        <f>'测算-私域'!R$29</f>
        <v>0</v>
      </c>
      <c r="EF22" s="91">
        <f>'测算-私域'!S$29</f>
        <v>0</v>
      </c>
      <c r="EG22" s="91">
        <f>'测算-私域'!T$29</f>
        <v>0</v>
      </c>
      <c r="EH22" s="92">
        <f>'测算-私域'!V$29</f>
        <v>0</v>
      </c>
      <c r="EI22" s="92">
        <f>'测算-私域'!W$29</f>
        <v>0</v>
      </c>
      <c r="EJ22" s="42"/>
      <c r="EK22" s="91" t="str">
        <f>'测算-外部分销'!I$29</f>
        <v/>
      </c>
      <c r="EL22" s="91" t="str">
        <f>'测算-外部分销'!J$29</f>
        <v/>
      </c>
      <c r="EM22" s="91" t="str">
        <f>'测算-外部分销'!K$29</f>
        <v/>
      </c>
      <c r="EN22" s="91" t="str">
        <f>'测算-外部分销'!L$29</f>
        <v/>
      </c>
      <c r="EO22" s="91" t="str">
        <f>'测算-外部分销'!M$29</f>
        <v/>
      </c>
      <c r="EP22" s="91" t="str">
        <f>'测算-外部分销'!N$29</f>
        <v/>
      </c>
      <c r="EQ22" s="91">
        <f>'测算-外部分销'!O$29</f>
        <v>0</v>
      </c>
      <c r="ER22" s="91">
        <f>'测算-外部分销'!P$29</f>
        <v>0</v>
      </c>
      <c r="ES22" s="91">
        <f>'测算-外部分销'!Q$29</f>
        <v>0</v>
      </c>
      <c r="ET22" s="91">
        <f>'测算-外部分销'!R$29</f>
        <v>0</v>
      </c>
      <c r="EU22" s="91">
        <f>'测算-外部分销'!S$29</f>
        <v>0</v>
      </c>
      <c r="EV22" s="91">
        <f>'测算-外部分销'!T$29</f>
        <v>0</v>
      </c>
      <c r="EW22" s="92">
        <f>'测算-外部分销'!V$29</f>
        <v>0</v>
      </c>
      <c r="EX22" s="92">
        <f>'测算-外部分销'!W$29</f>
        <v>0</v>
      </c>
      <c r="EY22" s="10"/>
    </row>
    <row r="23" spans="1:155" ht="16" customHeight="1">
      <c r="A23" s="68"/>
      <c r="B23" s="68"/>
      <c r="C23" s="68"/>
      <c r="D23" s="68" t="s">
        <v>65</v>
      </c>
      <c r="E23" s="68" t="s">
        <v>68</v>
      </c>
      <c r="F23" s="91">
        <f t="shared" si="85"/>
        <v>0</v>
      </c>
      <c r="G23" s="91">
        <f t="shared" si="85"/>
        <v>0</v>
      </c>
      <c r="H23" s="91">
        <f t="shared" si="85"/>
        <v>0</v>
      </c>
      <c r="I23" s="91">
        <f t="shared" si="85"/>
        <v>0</v>
      </c>
      <c r="J23" s="91">
        <f t="shared" si="85"/>
        <v>0</v>
      </c>
      <c r="K23" s="91">
        <f t="shared" si="85"/>
        <v>0</v>
      </c>
      <c r="L23" s="91">
        <f t="shared" si="85"/>
        <v>6.2836544179944829</v>
      </c>
      <c r="M23" s="91">
        <f t="shared" si="85"/>
        <v>8.4040645508156668</v>
      </c>
      <c r="N23" s="91">
        <f t="shared" si="85"/>
        <v>10.627909324262273</v>
      </c>
      <c r="O23" s="91">
        <f t="shared" si="85"/>
        <v>11.494174439500199</v>
      </c>
      <c r="P23" s="91">
        <f t="shared" si="85"/>
        <v>13.963676484432188</v>
      </c>
      <c r="Q23" s="91">
        <f t="shared" si="85"/>
        <v>11.894983671923713</v>
      </c>
      <c r="R23" s="92">
        <f>SUM(F23:Q23)</f>
        <v>62.668462888928516</v>
      </c>
      <c r="S23" s="92">
        <f>SUM(L23:Q23)</f>
        <v>62.668462888928516</v>
      </c>
      <c r="T23" s="91"/>
      <c r="U23" s="91">
        <f>'测算-高个子抖音'!I$30</f>
        <v>0</v>
      </c>
      <c r="V23" s="91">
        <f>'测算-高个子抖音'!J$30</f>
        <v>0</v>
      </c>
      <c r="W23" s="91">
        <f>'测算-高个子抖音'!K$30</f>
        <v>0</v>
      </c>
      <c r="X23" s="91">
        <f>'测算-高个子抖音'!L$30</f>
        <v>0</v>
      </c>
      <c r="Y23" s="91">
        <f>'测算-高个子抖音'!M$30</f>
        <v>0</v>
      </c>
      <c r="Z23" s="91">
        <f>'测算-高个子抖音'!N$30</f>
        <v>0</v>
      </c>
      <c r="AA23" s="91">
        <f>'测算-高个子抖音'!O$30</f>
        <v>0</v>
      </c>
      <c r="AB23" s="91">
        <f>'测算-高个子抖音'!P$30</f>
        <v>0</v>
      </c>
      <c r="AC23" s="91">
        <f>'测算-高个子抖音'!Q$30</f>
        <v>0</v>
      </c>
      <c r="AD23" s="91">
        <f>'测算-高个子抖音'!R$30</f>
        <v>0</v>
      </c>
      <c r="AE23" s="91">
        <f>'测算-高个子抖音'!S$30</f>
        <v>0</v>
      </c>
      <c r="AF23" s="91">
        <f>'测算-高个子抖音'!T$30</f>
        <v>0</v>
      </c>
      <c r="AG23" s="92">
        <f>'测算-高个子抖音'!V$30</f>
        <v>0</v>
      </c>
      <c r="AH23" s="92">
        <f>'测算-高个子抖音'!W$30</f>
        <v>0</v>
      </c>
      <c r="AI23" s="91"/>
      <c r="AJ23" s="91">
        <f>'测算-高个子视频号'!I$30</f>
        <v>0</v>
      </c>
      <c r="AK23" s="91">
        <f>'测算-高个子视频号'!J$30</f>
        <v>0</v>
      </c>
      <c r="AL23" s="91">
        <f>'测算-高个子视频号'!K$30</f>
        <v>0</v>
      </c>
      <c r="AM23" s="91">
        <f>'测算-高个子视频号'!L$30</f>
        <v>0</v>
      </c>
      <c r="AN23" s="91">
        <f>'测算-高个子视频号'!M$30</f>
        <v>0</v>
      </c>
      <c r="AO23" s="91">
        <f>'测算-高个子视频号'!N$30</f>
        <v>0</v>
      </c>
      <c r="AP23" s="91">
        <f>'测算-高个子视频号'!O$30</f>
        <v>1.0833886927576692</v>
      </c>
      <c r="AQ23" s="91">
        <f>'测算-高个子视频号'!P$30</f>
        <v>1.4489766466923564</v>
      </c>
      <c r="AR23" s="91">
        <f>'测算-高个子视频号'!Q$30</f>
        <v>1.832398159355564</v>
      </c>
      <c r="AS23" s="91">
        <f>'测算-高个子视频号'!R$30</f>
        <v>1.9817542137069308</v>
      </c>
      <c r="AT23" s="91">
        <f>'测算-高个子视频号'!S$30</f>
        <v>2.4075304283503769</v>
      </c>
      <c r="AU23" s="91">
        <f>'测算-高个子视频号'!T$30</f>
        <v>2.0508592537799504</v>
      </c>
      <c r="AV23" s="92">
        <f>'测算-高个子视频号'!V$30</f>
        <v>10.804907394642848</v>
      </c>
      <c r="AW23" s="92">
        <f>'测算-高个子视频号'!W$30</f>
        <v>10.804907394642848</v>
      </c>
      <c r="AX23" s="91"/>
      <c r="AY23" s="91">
        <f>'测算-天猫淘宝'!I$29</f>
        <v>0</v>
      </c>
      <c r="AZ23" s="91">
        <f>'测算-天猫淘宝'!J$29</f>
        <v>0</v>
      </c>
      <c r="BA23" s="91">
        <f>'测算-天猫淘宝'!K$29</f>
        <v>0</v>
      </c>
      <c r="BB23" s="91">
        <f>'测算-天猫淘宝'!L$29</f>
        <v>0</v>
      </c>
      <c r="BC23" s="91">
        <f>'测算-天猫淘宝'!M$29</f>
        <v>0</v>
      </c>
      <c r="BD23" s="91">
        <f>'测算-天猫淘宝'!N$29</f>
        <v>0</v>
      </c>
      <c r="BE23" s="91">
        <f>'测算-天猫淘宝'!O$29</f>
        <v>0</v>
      </c>
      <c r="BF23" s="91">
        <f>'测算-天猫淘宝'!P$29</f>
        <v>0</v>
      </c>
      <c r="BG23" s="91">
        <f>'测算-天猫淘宝'!Q$29</f>
        <v>0</v>
      </c>
      <c r="BH23" s="91">
        <f>'测算-天猫淘宝'!R$29</f>
        <v>0</v>
      </c>
      <c r="BI23" s="91">
        <f>'测算-天猫淘宝'!S$29</f>
        <v>0</v>
      </c>
      <c r="BJ23" s="91">
        <f>'测算-天猫淘宝'!T$29</f>
        <v>0</v>
      </c>
      <c r="BK23" s="92">
        <f>'测算-天猫淘宝'!V$29</f>
        <v>0</v>
      </c>
      <c r="BL23" s="92">
        <f>'测算-天猫淘宝'!W$29</f>
        <v>0</v>
      </c>
      <c r="BM23" s="91"/>
      <c r="BN23" s="91">
        <f>'测算-拼多多'!I$30</f>
        <v>0</v>
      </c>
      <c r="BO23" s="91">
        <f>'测算-拼多多'!J$30</f>
        <v>0</v>
      </c>
      <c r="BP23" s="91">
        <f>'测算-拼多多'!K$30</f>
        <v>0</v>
      </c>
      <c r="BQ23" s="91">
        <f>'测算-拼多多'!L$30</f>
        <v>0</v>
      </c>
      <c r="BR23" s="91">
        <f>'测算-拼多多'!M$30</f>
        <v>0</v>
      </c>
      <c r="BS23" s="91">
        <f>'测算-拼多多'!N$30</f>
        <v>0</v>
      </c>
      <c r="BT23" s="91">
        <f>'测算-拼多多'!O$30</f>
        <v>0</v>
      </c>
      <c r="BU23" s="91">
        <f>'测算-拼多多'!P$30</f>
        <v>0</v>
      </c>
      <c r="BV23" s="91">
        <f>'测算-拼多多'!Q$30</f>
        <v>0</v>
      </c>
      <c r="BW23" s="91">
        <f>'测算-拼多多'!R$30</f>
        <v>0</v>
      </c>
      <c r="BX23" s="91">
        <f>'测算-拼多多'!S$30</f>
        <v>0</v>
      </c>
      <c r="BY23" s="91">
        <f>'测算-拼多多'!T$30</f>
        <v>0</v>
      </c>
      <c r="BZ23" s="92">
        <f>'测算-拼多多'!V$30</f>
        <v>0</v>
      </c>
      <c r="CA23" s="92">
        <f>'测算-拼多多'!W$30</f>
        <v>0</v>
      </c>
      <c r="CB23" s="91"/>
      <c r="CC23" s="91">
        <f>'测算-京东POP'!I$30</f>
        <v>0</v>
      </c>
      <c r="CD23" s="91">
        <f>'测算-京东POP'!J$30</f>
        <v>0</v>
      </c>
      <c r="CE23" s="91">
        <f>'测算-京东POP'!K$30</f>
        <v>0</v>
      </c>
      <c r="CF23" s="91">
        <f>'测算-京东POP'!L$30</f>
        <v>0</v>
      </c>
      <c r="CG23" s="91">
        <f>'测算-京东POP'!M$30</f>
        <v>0</v>
      </c>
      <c r="CH23" s="91">
        <f>'测算-京东POP'!N$30</f>
        <v>0</v>
      </c>
      <c r="CI23" s="91">
        <f>'测算-京东POP'!O$30</f>
        <v>0</v>
      </c>
      <c r="CJ23" s="91">
        <f>'测算-京东POP'!P$30</f>
        <v>0</v>
      </c>
      <c r="CK23" s="91">
        <f>'测算-京东POP'!Q$30</f>
        <v>0</v>
      </c>
      <c r="CL23" s="91">
        <f>'测算-京东POP'!R$30</f>
        <v>0</v>
      </c>
      <c r="CM23" s="91">
        <f>'测算-京东POP'!S$30</f>
        <v>0</v>
      </c>
      <c r="CN23" s="91">
        <f>'测算-京东POP'!T$30</f>
        <v>0</v>
      </c>
      <c r="CO23" s="92">
        <f>'测算-京东POP'!V$30</f>
        <v>0</v>
      </c>
      <c r="CP23" s="92">
        <f>'测算-京东POP'!W$30</f>
        <v>0</v>
      </c>
      <c r="CQ23" s="91"/>
      <c r="CR23" s="91">
        <f>'测算-京东自营'!I$31</f>
        <v>0</v>
      </c>
      <c r="CS23" s="91">
        <f>'测算-京东自营'!J$31</f>
        <v>0</v>
      </c>
      <c r="CT23" s="91">
        <f>'测算-京东自营'!K$31</f>
        <v>0</v>
      </c>
      <c r="CU23" s="91">
        <f>'测算-京东自营'!L$31</f>
        <v>0</v>
      </c>
      <c r="CV23" s="91">
        <f>'测算-京东自营'!M$31</f>
        <v>0</v>
      </c>
      <c r="CW23" s="91">
        <f>'测算-京东自营'!N$31</f>
        <v>0</v>
      </c>
      <c r="CX23" s="91">
        <f>'测算-京东自营'!O$31</f>
        <v>0</v>
      </c>
      <c r="CY23" s="91">
        <f>'测算-京东自营'!P$31</f>
        <v>0</v>
      </c>
      <c r="CZ23" s="91">
        <f>'测算-京东自营'!Q$31</f>
        <v>0</v>
      </c>
      <c r="DA23" s="91">
        <f>'测算-京东自营'!R$31</f>
        <v>0</v>
      </c>
      <c r="DB23" s="91">
        <f>'测算-京东自营'!S$31</f>
        <v>0</v>
      </c>
      <c r="DC23" s="91">
        <f>'测算-京东自营'!T$31</f>
        <v>0</v>
      </c>
      <c r="DD23" s="92">
        <f>'测算-京东自营'!V$31</f>
        <v>0</v>
      </c>
      <c r="DE23" s="92">
        <f>'测算-京东自营'!W$31</f>
        <v>0</v>
      </c>
      <c r="DF23" s="91"/>
      <c r="DG23" s="91">
        <f>'测算-达播'!I$31</f>
        <v>0</v>
      </c>
      <c r="DH23" s="91">
        <f>'测算-达播'!J$31</f>
        <v>0</v>
      </c>
      <c r="DI23" s="91">
        <f>'测算-达播'!K$31</f>
        <v>0</v>
      </c>
      <c r="DJ23" s="91">
        <f>'测算-达播'!L$31</f>
        <v>0</v>
      </c>
      <c r="DK23" s="91">
        <f>'测算-达播'!M$31</f>
        <v>0</v>
      </c>
      <c r="DL23" s="91">
        <f>'测算-达播'!N$31</f>
        <v>0</v>
      </c>
      <c r="DM23" s="91">
        <f>'测算-达播'!O$31</f>
        <v>5.2002657252368136</v>
      </c>
      <c r="DN23" s="91">
        <f>'测算-达播'!P$31</f>
        <v>6.9550879041233102</v>
      </c>
      <c r="DO23" s="91">
        <f>'测算-达播'!Q$31</f>
        <v>8.7955111649067081</v>
      </c>
      <c r="DP23" s="91">
        <f>'测算-达播'!R$31</f>
        <v>9.5124202257932691</v>
      </c>
      <c r="DQ23" s="91">
        <f>'测算-达播'!S$31</f>
        <v>11.556146056081811</v>
      </c>
      <c r="DR23" s="91">
        <f>'测算-达播'!T$31</f>
        <v>9.8441244181437622</v>
      </c>
      <c r="DS23" s="92">
        <f>'测算-达播'!V$31</f>
        <v>51.863555494285677</v>
      </c>
      <c r="DT23" s="92">
        <f>'测算-达播'!W$31</f>
        <v>51.863555494285677</v>
      </c>
      <c r="DU23" s="91"/>
      <c r="DV23" s="91">
        <f>'测算-私域'!I$30</f>
        <v>0</v>
      </c>
      <c r="DW23" s="91">
        <f>'测算-私域'!J$30</f>
        <v>0</v>
      </c>
      <c r="DX23" s="91">
        <f>'测算-私域'!K$30</f>
        <v>0</v>
      </c>
      <c r="DY23" s="91">
        <f>'测算-私域'!L$30</f>
        <v>0</v>
      </c>
      <c r="DZ23" s="91">
        <f>'测算-私域'!M$30</f>
        <v>0</v>
      </c>
      <c r="EA23" s="91">
        <f>'测算-私域'!N$30</f>
        <v>0</v>
      </c>
      <c r="EB23" s="91">
        <f>'测算-私域'!O$30</f>
        <v>0</v>
      </c>
      <c r="EC23" s="91">
        <f>'测算-私域'!P$30</f>
        <v>0</v>
      </c>
      <c r="ED23" s="91">
        <f>'测算-私域'!Q$30</f>
        <v>0</v>
      </c>
      <c r="EE23" s="91">
        <f>'测算-私域'!R$30</f>
        <v>0</v>
      </c>
      <c r="EF23" s="91">
        <f>'测算-私域'!S$30</f>
        <v>0</v>
      </c>
      <c r="EG23" s="91">
        <f>'测算-私域'!T$30</f>
        <v>0</v>
      </c>
      <c r="EH23" s="92">
        <f>'测算-私域'!V$30</f>
        <v>0</v>
      </c>
      <c r="EI23" s="92">
        <f>'测算-私域'!W$30</f>
        <v>0</v>
      </c>
      <c r="EJ23" s="42"/>
      <c r="EK23" s="91" t="str">
        <f>'测算-外部分销'!I$30</f>
        <v/>
      </c>
      <c r="EL23" s="91" t="str">
        <f>'测算-外部分销'!J$30</f>
        <v/>
      </c>
      <c r="EM23" s="91" t="str">
        <f>'测算-外部分销'!K$30</f>
        <v/>
      </c>
      <c r="EN23" s="91" t="str">
        <f>'测算-外部分销'!L$30</f>
        <v/>
      </c>
      <c r="EO23" s="91" t="str">
        <f>'测算-外部分销'!M$30</f>
        <v/>
      </c>
      <c r="EP23" s="91" t="str">
        <f>'测算-外部分销'!N$30</f>
        <v/>
      </c>
      <c r="EQ23" s="91">
        <f>'测算-外部分销'!O$30</f>
        <v>0</v>
      </c>
      <c r="ER23" s="91">
        <f>'测算-外部分销'!P$30</f>
        <v>0</v>
      </c>
      <c r="ES23" s="91">
        <f>'测算-外部分销'!Q$30</f>
        <v>0</v>
      </c>
      <c r="ET23" s="91">
        <f>'测算-外部分销'!R$30</f>
        <v>0</v>
      </c>
      <c r="EU23" s="91">
        <f>'测算-外部分销'!S$30</f>
        <v>0</v>
      </c>
      <c r="EV23" s="91">
        <f>'测算-外部分销'!T$30</f>
        <v>0</v>
      </c>
      <c r="EW23" s="92">
        <f>'测算-外部分销'!V$30</f>
        <v>0</v>
      </c>
      <c r="EX23" s="92">
        <f>'测算-外部分销'!W$30</f>
        <v>0</v>
      </c>
      <c r="EY23" s="10"/>
    </row>
    <row r="24" spans="1:155" ht="16" customHeight="1">
      <c r="A24" s="68"/>
      <c r="B24" s="68"/>
      <c r="C24" s="68"/>
      <c r="D24" s="68" t="s">
        <v>65</v>
      </c>
      <c r="E24" s="68" t="s">
        <v>69</v>
      </c>
      <c r="F24" s="91">
        <f t="shared" si="85"/>
        <v>0</v>
      </c>
      <c r="G24" s="91">
        <f t="shared" si="85"/>
        <v>0</v>
      </c>
      <c r="H24" s="91">
        <f t="shared" si="85"/>
        <v>0</v>
      </c>
      <c r="I24" s="91">
        <f t="shared" si="85"/>
        <v>0</v>
      </c>
      <c r="J24" s="91">
        <f t="shared" si="85"/>
        <v>0</v>
      </c>
      <c r="K24" s="91">
        <f t="shared" si="85"/>
        <v>0</v>
      </c>
      <c r="L24" s="91">
        <f t="shared" si="85"/>
        <v>7.8003985878552191</v>
      </c>
      <c r="M24" s="91">
        <f t="shared" si="85"/>
        <v>10.432631856184965</v>
      </c>
      <c r="N24" s="91">
        <f t="shared" si="85"/>
        <v>13.193266747360061</v>
      </c>
      <c r="O24" s="91">
        <f t="shared" si="85"/>
        <v>14.268630338689901</v>
      </c>
      <c r="P24" s="91">
        <f t="shared" si="85"/>
        <v>17.334219084122715</v>
      </c>
      <c r="Q24" s="91">
        <f t="shared" si="85"/>
        <v>14.766186627215641</v>
      </c>
      <c r="R24" s="92">
        <f>SUM(F24:Q24)</f>
        <v>77.795333241428509</v>
      </c>
      <c r="S24" s="92">
        <f>SUM(L24:Q24)</f>
        <v>77.795333241428509</v>
      </c>
      <c r="T24" s="91"/>
      <c r="U24" s="91">
        <f>'测算-高个子抖音'!I$31</f>
        <v>0</v>
      </c>
      <c r="V24" s="91">
        <f>'测算-高个子抖音'!J$31</f>
        <v>0</v>
      </c>
      <c r="W24" s="91">
        <f>'测算-高个子抖音'!K$31</f>
        <v>0</v>
      </c>
      <c r="X24" s="91">
        <f>'测算-高个子抖音'!L$31</f>
        <v>0</v>
      </c>
      <c r="Y24" s="91">
        <f>'测算-高个子抖音'!M$31</f>
        <v>0</v>
      </c>
      <c r="Z24" s="91">
        <f>'测算-高个子抖音'!N$31</f>
        <v>0</v>
      </c>
      <c r="AA24" s="91">
        <f>'测算-高个子抖音'!O$31</f>
        <v>0</v>
      </c>
      <c r="AB24" s="91">
        <f>'测算-高个子抖音'!P$31</f>
        <v>0</v>
      </c>
      <c r="AC24" s="91">
        <f>'测算-高个子抖音'!Q$31</f>
        <v>0</v>
      </c>
      <c r="AD24" s="91">
        <f>'测算-高个子抖音'!R$31</f>
        <v>0</v>
      </c>
      <c r="AE24" s="91">
        <f>'测算-高个子抖音'!S$31</f>
        <v>0</v>
      </c>
      <c r="AF24" s="91">
        <f>'测算-高个子抖音'!T$31</f>
        <v>0</v>
      </c>
      <c r="AG24" s="92">
        <f>'测算-高个子抖音'!V$31</f>
        <v>0</v>
      </c>
      <c r="AH24" s="92">
        <f>'测算-高个子抖音'!W$31</f>
        <v>0</v>
      </c>
      <c r="AI24" s="91"/>
      <c r="AJ24" s="91">
        <f>'测算-高个子视频号'!I$31</f>
        <v>0</v>
      </c>
      <c r="AK24" s="91">
        <f>'测算-高个子视频号'!J$31</f>
        <v>0</v>
      </c>
      <c r="AL24" s="91">
        <f>'测算-高个子视频号'!K$31</f>
        <v>0</v>
      </c>
      <c r="AM24" s="91">
        <f>'测算-高个子视频号'!L$31</f>
        <v>0</v>
      </c>
      <c r="AN24" s="91">
        <f>'测算-高个子视频号'!M$31</f>
        <v>0</v>
      </c>
      <c r="AO24" s="91">
        <f>'测算-高个子视频号'!N$31</f>
        <v>0</v>
      </c>
      <c r="AP24" s="91">
        <f>'测算-高个子视频号'!O$31</f>
        <v>0</v>
      </c>
      <c r="AQ24" s="91">
        <f>'测算-高个子视频号'!P$31</f>
        <v>0</v>
      </c>
      <c r="AR24" s="91">
        <f>'测算-高个子视频号'!Q$31</f>
        <v>0</v>
      </c>
      <c r="AS24" s="91">
        <f>'测算-高个子视频号'!R$31</f>
        <v>0</v>
      </c>
      <c r="AT24" s="91">
        <f>'测算-高个子视频号'!S$31</f>
        <v>0</v>
      </c>
      <c r="AU24" s="91">
        <f>'测算-高个子视频号'!T$31</f>
        <v>0</v>
      </c>
      <c r="AV24" s="92">
        <f>'测算-高个子视频号'!V$31</f>
        <v>0</v>
      </c>
      <c r="AW24" s="92">
        <f>'测算-高个子视频号'!W$31</f>
        <v>0</v>
      </c>
      <c r="AX24" s="91"/>
      <c r="AY24" s="91">
        <f>'测算-天猫淘宝'!I$30</f>
        <v>0</v>
      </c>
      <c r="AZ24" s="91">
        <f>'测算-天猫淘宝'!J$30</f>
        <v>0</v>
      </c>
      <c r="BA24" s="91">
        <f>'测算-天猫淘宝'!K$30</f>
        <v>0</v>
      </c>
      <c r="BB24" s="91">
        <f>'测算-天猫淘宝'!L$30</f>
        <v>0</v>
      </c>
      <c r="BC24" s="91">
        <f>'测算-天猫淘宝'!M$30</f>
        <v>0</v>
      </c>
      <c r="BD24" s="91">
        <f>'测算-天猫淘宝'!N$30</f>
        <v>0</v>
      </c>
      <c r="BE24" s="91">
        <f>'测算-天猫淘宝'!O$30</f>
        <v>0</v>
      </c>
      <c r="BF24" s="91">
        <f>'测算-天猫淘宝'!P$30</f>
        <v>0</v>
      </c>
      <c r="BG24" s="91">
        <f>'测算-天猫淘宝'!Q$30</f>
        <v>0</v>
      </c>
      <c r="BH24" s="91">
        <f>'测算-天猫淘宝'!R$30</f>
        <v>0</v>
      </c>
      <c r="BI24" s="91">
        <f>'测算-天猫淘宝'!S$30</f>
        <v>0</v>
      </c>
      <c r="BJ24" s="91">
        <f>'测算-天猫淘宝'!T$30</f>
        <v>0</v>
      </c>
      <c r="BK24" s="92">
        <f>'测算-天猫淘宝'!V$30</f>
        <v>0</v>
      </c>
      <c r="BL24" s="92">
        <f>'测算-天猫淘宝'!W$30</f>
        <v>0</v>
      </c>
      <c r="BM24" s="91"/>
      <c r="BN24" s="91">
        <f>'测算-拼多多'!I$31</f>
        <v>0</v>
      </c>
      <c r="BO24" s="91">
        <f>'测算-拼多多'!J$31</f>
        <v>0</v>
      </c>
      <c r="BP24" s="91">
        <f>'测算-拼多多'!K$31</f>
        <v>0</v>
      </c>
      <c r="BQ24" s="91">
        <f>'测算-拼多多'!L$31</f>
        <v>0</v>
      </c>
      <c r="BR24" s="91">
        <f>'测算-拼多多'!M$31</f>
        <v>0</v>
      </c>
      <c r="BS24" s="91">
        <f>'测算-拼多多'!N$31</f>
        <v>0</v>
      </c>
      <c r="BT24" s="91">
        <f>'测算-拼多多'!O$31</f>
        <v>0</v>
      </c>
      <c r="BU24" s="91">
        <f>'测算-拼多多'!P$31</f>
        <v>0</v>
      </c>
      <c r="BV24" s="91">
        <f>'测算-拼多多'!Q$31</f>
        <v>0</v>
      </c>
      <c r="BW24" s="91">
        <f>'测算-拼多多'!R$31</f>
        <v>0</v>
      </c>
      <c r="BX24" s="91">
        <f>'测算-拼多多'!S$31</f>
        <v>0</v>
      </c>
      <c r="BY24" s="91">
        <f>'测算-拼多多'!T$31</f>
        <v>0</v>
      </c>
      <c r="BZ24" s="92">
        <f>'测算-拼多多'!V$31</f>
        <v>0</v>
      </c>
      <c r="CA24" s="92">
        <f>'测算-拼多多'!W$31</f>
        <v>0</v>
      </c>
      <c r="CB24" s="91"/>
      <c r="CC24" s="91">
        <f>'测算-京东POP'!I$31</f>
        <v>0</v>
      </c>
      <c r="CD24" s="91">
        <f>'测算-京东POP'!J$31</f>
        <v>0</v>
      </c>
      <c r="CE24" s="91">
        <f>'测算-京东POP'!K$31</f>
        <v>0</v>
      </c>
      <c r="CF24" s="91">
        <f>'测算-京东POP'!L$31</f>
        <v>0</v>
      </c>
      <c r="CG24" s="91">
        <f>'测算-京东POP'!M$31</f>
        <v>0</v>
      </c>
      <c r="CH24" s="91">
        <f>'测算-京东POP'!N$31</f>
        <v>0</v>
      </c>
      <c r="CI24" s="91">
        <f>'测算-京东POP'!O$31</f>
        <v>0</v>
      </c>
      <c r="CJ24" s="91">
        <f>'测算-京东POP'!P$31</f>
        <v>0</v>
      </c>
      <c r="CK24" s="91">
        <f>'测算-京东POP'!Q$31</f>
        <v>0</v>
      </c>
      <c r="CL24" s="91">
        <f>'测算-京东POP'!R$31</f>
        <v>0</v>
      </c>
      <c r="CM24" s="91">
        <f>'测算-京东POP'!S$31</f>
        <v>0</v>
      </c>
      <c r="CN24" s="91">
        <f>'测算-京东POP'!T$31</f>
        <v>0</v>
      </c>
      <c r="CO24" s="92">
        <f>'测算-京东POP'!V$31</f>
        <v>0</v>
      </c>
      <c r="CP24" s="92">
        <f>'测算-京东POP'!W$31</f>
        <v>0</v>
      </c>
      <c r="CQ24" s="91"/>
      <c r="CR24" s="91">
        <f>'测算-京东自营'!I$32</f>
        <v>0</v>
      </c>
      <c r="CS24" s="91">
        <f>'测算-京东自营'!J$32</f>
        <v>0</v>
      </c>
      <c r="CT24" s="91">
        <f>'测算-京东自营'!K$32</f>
        <v>0</v>
      </c>
      <c r="CU24" s="91">
        <f>'测算-京东自营'!L$32</f>
        <v>0</v>
      </c>
      <c r="CV24" s="91">
        <f>'测算-京东自营'!M$32</f>
        <v>0</v>
      </c>
      <c r="CW24" s="91">
        <f>'测算-京东自营'!N$32</f>
        <v>0</v>
      </c>
      <c r="CX24" s="91">
        <f>'测算-京东自营'!O$32</f>
        <v>0</v>
      </c>
      <c r="CY24" s="91">
        <f>'测算-京东自营'!P$32</f>
        <v>0</v>
      </c>
      <c r="CZ24" s="91">
        <f>'测算-京东自营'!Q$32</f>
        <v>0</v>
      </c>
      <c r="DA24" s="91">
        <f>'测算-京东自营'!R$32</f>
        <v>0</v>
      </c>
      <c r="DB24" s="91">
        <f>'测算-京东自营'!S$32</f>
        <v>0</v>
      </c>
      <c r="DC24" s="91">
        <f>'测算-京东自营'!T$32</f>
        <v>0</v>
      </c>
      <c r="DD24" s="92">
        <f>'测算-京东自营'!V$32</f>
        <v>0</v>
      </c>
      <c r="DE24" s="92">
        <f>'测算-京东自营'!W$32</f>
        <v>0</v>
      </c>
      <c r="DF24" s="91"/>
      <c r="DG24" s="91">
        <f>'测算-达播'!I$32</f>
        <v>0</v>
      </c>
      <c r="DH24" s="91">
        <f>'测算-达播'!J$32</f>
        <v>0</v>
      </c>
      <c r="DI24" s="91">
        <f>'测算-达播'!K$32</f>
        <v>0</v>
      </c>
      <c r="DJ24" s="91">
        <f>'测算-达播'!L$32</f>
        <v>0</v>
      </c>
      <c r="DK24" s="91">
        <f>'测算-达播'!M$32</f>
        <v>0</v>
      </c>
      <c r="DL24" s="91">
        <f>'测算-达播'!N$32</f>
        <v>0</v>
      </c>
      <c r="DM24" s="91">
        <f>'测算-达播'!O$32</f>
        <v>7.8003985878552191</v>
      </c>
      <c r="DN24" s="91">
        <f>'测算-达播'!P$32</f>
        <v>10.432631856184965</v>
      </c>
      <c r="DO24" s="91">
        <f>'测算-达播'!Q$32</f>
        <v>13.193266747360061</v>
      </c>
      <c r="DP24" s="91">
        <f>'测算-达播'!R$32</f>
        <v>14.268630338689901</v>
      </c>
      <c r="DQ24" s="91">
        <f>'测算-达播'!S$32</f>
        <v>17.334219084122715</v>
      </c>
      <c r="DR24" s="91">
        <f>'测算-达播'!T$32</f>
        <v>14.766186627215641</v>
      </c>
      <c r="DS24" s="92">
        <f>'测算-达播'!V$32</f>
        <v>77.795333241428509</v>
      </c>
      <c r="DT24" s="92">
        <f>'测算-达播'!W$32</f>
        <v>77.795333241428509</v>
      </c>
      <c r="DU24" s="91"/>
      <c r="DV24" s="91">
        <f>'测算-私域'!I$31</f>
        <v>0</v>
      </c>
      <c r="DW24" s="91">
        <f>'测算-私域'!J$31</f>
        <v>0</v>
      </c>
      <c r="DX24" s="91">
        <f>'测算-私域'!K$31</f>
        <v>0</v>
      </c>
      <c r="DY24" s="91">
        <f>'测算-私域'!L$31</f>
        <v>0</v>
      </c>
      <c r="DZ24" s="91">
        <f>'测算-私域'!M$31</f>
        <v>0</v>
      </c>
      <c r="EA24" s="91">
        <f>'测算-私域'!N$31</f>
        <v>0</v>
      </c>
      <c r="EB24" s="91">
        <f>'测算-私域'!O$31</f>
        <v>0</v>
      </c>
      <c r="EC24" s="91">
        <f>'测算-私域'!P$31</f>
        <v>0</v>
      </c>
      <c r="ED24" s="91">
        <f>'测算-私域'!Q$31</f>
        <v>0</v>
      </c>
      <c r="EE24" s="91">
        <f>'测算-私域'!R$31</f>
        <v>0</v>
      </c>
      <c r="EF24" s="91">
        <f>'测算-私域'!S$31</f>
        <v>0</v>
      </c>
      <c r="EG24" s="91">
        <f>'测算-私域'!T$31</f>
        <v>0</v>
      </c>
      <c r="EH24" s="92">
        <f>'测算-私域'!V$31</f>
        <v>0</v>
      </c>
      <c r="EI24" s="92">
        <f>'测算-私域'!W$31</f>
        <v>0</v>
      </c>
      <c r="EJ24" s="42"/>
      <c r="EK24" s="91" t="str">
        <f>'测算-外部分销'!I$31</f>
        <v/>
      </c>
      <c r="EL24" s="91" t="str">
        <f>'测算-外部分销'!J$31</f>
        <v/>
      </c>
      <c r="EM24" s="91" t="str">
        <f>'测算-外部分销'!K$31</f>
        <v/>
      </c>
      <c r="EN24" s="91" t="str">
        <f>'测算-外部分销'!L$31</f>
        <v/>
      </c>
      <c r="EO24" s="91" t="str">
        <f>'测算-外部分销'!M$31</f>
        <v/>
      </c>
      <c r="EP24" s="91" t="str">
        <f>'测算-外部分销'!N$31</f>
        <v/>
      </c>
      <c r="EQ24" s="91">
        <f>'测算-外部分销'!O$31</f>
        <v>0</v>
      </c>
      <c r="ER24" s="91">
        <f>'测算-外部分销'!P$31</f>
        <v>0</v>
      </c>
      <c r="ES24" s="91">
        <f>'测算-外部分销'!Q$31</f>
        <v>0</v>
      </c>
      <c r="ET24" s="91">
        <f>'测算-外部分销'!R$31</f>
        <v>0</v>
      </c>
      <c r="EU24" s="91">
        <f>'测算-外部分销'!S$31</f>
        <v>0</v>
      </c>
      <c r="EV24" s="91">
        <f>'测算-外部分销'!T$31</f>
        <v>0</v>
      </c>
      <c r="EW24" s="92">
        <f>'测算-外部分销'!V$31</f>
        <v>0</v>
      </c>
      <c r="EX24" s="92">
        <f>'测算-外部分销'!W$31</f>
        <v>0</v>
      </c>
      <c r="EY24" s="10"/>
    </row>
    <row r="25" spans="1:155" ht="16" customHeight="1">
      <c r="A25" s="76"/>
      <c r="B25" s="48"/>
      <c r="C25" s="48" t="s">
        <v>70</v>
      </c>
      <c r="D25" s="76"/>
      <c r="E25" s="76"/>
      <c r="F25" s="86">
        <f t="shared" si="85"/>
        <v>7.6598420000000011</v>
      </c>
      <c r="G25" s="86">
        <f t="shared" si="85"/>
        <v>3.5393119999999998</v>
      </c>
      <c r="H25" s="86">
        <f t="shared" si="85"/>
        <v>7.6861610000000002</v>
      </c>
      <c r="I25" s="86">
        <f t="shared" si="85"/>
        <v>4.7087069999999995</v>
      </c>
      <c r="J25" s="86">
        <f t="shared" si="85"/>
        <v>8.1075370000000007</v>
      </c>
      <c r="K25" s="86">
        <f t="shared" si="85"/>
        <v>11.194122118474731</v>
      </c>
      <c r="L25" s="86">
        <f t="shared" si="85"/>
        <v>7.5643179319570617</v>
      </c>
      <c r="M25" s="86">
        <f t="shared" si="85"/>
        <v>9.6528240993767298</v>
      </c>
      <c r="N25" s="86">
        <f t="shared" si="85"/>
        <v>11.821811106365647</v>
      </c>
      <c r="O25" s="86">
        <f t="shared" si="85"/>
        <v>12.600515989320638</v>
      </c>
      <c r="P25" s="86">
        <f t="shared" si="85"/>
        <v>15.267746416849029</v>
      </c>
      <c r="Q25" s="86">
        <f t="shared" si="85"/>
        <v>13.082198700463984</v>
      </c>
      <c r="R25" s="78">
        <f>SUM(F25:Q25)</f>
        <v>112.88509536280782</v>
      </c>
      <c r="S25" s="78">
        <f>SUM(L25:Q25)</f>
        <v>69.989414244333091</v>
      </c>
      <c r="T25" s="87"/>
      <c r="U25" s="86">
        <f t="shared" ref="U25:AH25" si="86">SUM(U27:U29)</f>
        <v>0</v>
      </c>
      <c r="V25" s="86">
        <f t="shared" si="86"/>
        <v>0</v>
      </c>
      <c r="W25" s="86">
        <f t="shared" si="86"/>
        <v>0</v>
      </c>
      <c r="X25" s="86">
        <f t="shared" si="86"/>
        <v>0</v>
      </c>
      <c r="Y25" s="86">
        <f t="shared" si="86"/>
        <v>0</v>
      </c>
      <c r="Z25" s="86">
        <f t="shared" si="86"/>
        <v>0</v>
      </c>
      <c r="AA25" s="86">
        <f t="shared" si="86"/>
        <v>0</v>
      </c>
      <c r="AB25" s="86">
        <f t="shared" si="86"/>
        <v>0</v>
      </c>
      <c r="AC25" s="86">
        <f t="shared" si="86"/>
        <v>0</v>
      </c>
      <c r="AD25" s="86">
        <f t="shared" si="86"/>
        <v>0</v>
      </c>
      <c r="AE25" s="86">
        <f t="shared" si="86"/>
        <v>0</v>
      </c>
      <c r="AF25" s="86">
        <f t="shared" si="86"/>
        <v>0</v>
      </c>
      <c r="AG25" s="78">
        <f t="shared" si="86"/>
        <v>0</v>
      </c>
      <c r="AH25" s="78">
        <f t="shared" si="86"/>
        <v>0</v>
      </c>
      <c r="AI25" s="87"/>
      <c r="AJ25" s="86">
        <f t="shared" ref="AJ25:AW25" si="87">SUM(AJ27:AJ29)</f>
        <v>3.8874730000000004</v>
      </c>
      <c r="AK25" s="86">
        <f t="shared" si="87"/>
        <v>0.87030300000000005</v>
      </c>
      <c r="AL25" s="86">
        <f t="shared" si="87"/>
        <v>2.2448550000000003</v>
      </c>
      <c r="AM25" s="86">
        <f t="shared" si="87"/>
        <v>0.38460800000000001</v>
      </c>
      <c r="AN25" s="86">
        <f t="shared" si="87"/>
        <v>3.5358260000000006</v>
      </c>
      <c r="AO25" s="86">
        <f t="shared" si="87"/>
        <v>6.3484551184747318</v>
      </c>
      <c r="AP25" s="86">
        <f t="shared" si="87"/>
        <v>4.7589797450820717</v>
      </c>
      <c r="AQ25" s="86">
        <f t="shared" si="87"/>
        <v>6.3648906055624419</v>
      </c>
      <c r="AR25" s="86">
        <f t="shared" si="87"/>
        <v>8.0491385811881955</v>
      </c>
      <c r="AS25" s="86">
        <f t="shared" si="87"/>
        <v>8.7052119205307879</v>
      </c>
      <c r="AT25" s="86">
        <f t="shared" si="87"/>
        <v>10.575510544626828</v>
      </c>
      <c r="AU25" s="86">
        <f t="shared" si="87"/>
        <v>9.0087682417191477</v>
      </c>
      <c r="AV25" s="78">
        <f t="shared" si="87"/>
        <v>64.734019757184214</v>
      </c>
      <c r="AW25" s="78">
        <f t="shared" si="87"/>
        <v>47.462499638709474</v>
      </c>
      <c r="AX25" s="87"/>
      <c r="AY25" s="86">
        <f t="shared" ref="AY25:BL25" si="88">SUM(AY27:AY29)</f>
        <v>0</v>
      </c>
      <c r="AZ25" s="86">
        <f t="shared" si="88"/>
        <v>0</v>
      </c>
      <c r="BA25" s="86">
        <f t="shared" si="88"/>
        <v>0</v>
      </c>
      <c r="BB25" s="86">
        <f t="shared" si="88"/>
        <v>0</v>
      </c>
      <c r="BC25" s="86">
        <f t="shared" si="88"/>
        <v>0</v>
      </c>
      <c r="BD25" s="86">
        <f t="shared" si="88"/>
        <v>0</v>
      </c>
      <c r="BE25" s="86">
        <f t="shared" si="88"/>
        <v>0</v>
      </c>
      <c r="BF25" s="86">
        <f t="shared" si="88"/>
        <v>0</v>
      </c>
      <c r="BG25" s="86">
        <f t="shared" si="88"/>
        <v>0</v>
      </c>
      <c r="BH25" s="86">
        <f t="shared" si="88"/>
        <v>0</v>
      </c>
      <c r="BI25" s="86">
        <f t="shared" si="88"/>
        <v>0</v>
      </c>
      <c r="BJ25" s="86">
        <f t="shared" si="88"/>
        <v>0</v>
      </c>
      <c r="BK25" s="78">
        <f t="shared" si="88"/>
        <v>0</v>
      </c>
      <c r="BL25" s="78">
        <f t="shared" si="88"/>
        <v>0</v>
      </c>
      <c r="BM25" s="87"/>
      <c r="BN25" s="86">
        <f t="shared" ref="BN25:CA25" si="89">SUM(BN27:BN29)</f>
        <v>0</v>
      </c>
      <c r="BO25" s="86">
        <f t="shared" si="89"/>
        <v>0</v>
      </c>
      <c r="BP25" s="86">
        <f t="shared" si="89"/>
        <v>0</v>
      </c>
      <c r="BQ25" s="86">
        <f t="shared" si="89"/>
        <v>0</v>
      </c>
      <c r="BR25" s="86">
        <f t="shared" si="89"/>
        <v>0</v>
      </c>
      <c r="BS25" s="86">
        <f t="shared" si="89"/>
        <v>0</v>
      </c>
      <c r="BT25" s="86">
        <f t="shared" si="89"/>
        <v>0</v>
      </c>
      <c r="BU25" s="86">
        <f t="shared" si="89"/>
        <v>0</v>
      </c>
      <c r="BV25" s="86">
        <f t="shared" si="89"/>
        <v>0</v>
      </c>
      <c r="BW25" s="86">
        <f t="shared" si="89"/>
        <v>0</v>
      </c>
      <c r="BX25" s="86">
        <f t="shared" si="89"/>
        <v>0</v>
      </c>
      <c r="BY25" s="86">
        <f t="shared" si="89"/>
        <v>0</v>
      </c>
      <c r="BZ25" s="78">
        <f t="shared" si="89"/>
        <v>0</v>
      </c>
      <c r="CA25" s="78">
        <f t="shared" si="89"/>
        <v>0</v>
      </c>
      <c r="CB25" s="87"/>
      <c r="CC25" s="86">
        <f t="shared" ref="CC25:CP25" si="90">SUM(CC27:CC29)</f>
        <v>0</v>
      </c>
      <c r="CD25" s="86">
        <f t="shared" si="90"/>
        <v>0</v>
      </c>
      <c r="CE25" s="86">
        <f t="shared" si="90"/>
        <v>0</v>
      </c>
      <c r="CF25" s="86">
        <f t="shared" si="90"/>
        <v>0</v>
      </c>
      <c r="CG25" s="86">
        <f t="shared" si="90"/>
        <v>0</v>
      </c>
      <c r="CH25" s="86">
        <f t="shared" si="90"/>
        <v>0</v>
      </c>
      <c r="CI25" s="86">
        <f t="shared" si="90"/>
        <v>0</v>
      </c>
      <c r="CJ25" s="86">
        <f t="shared" si="90"/>
        <v>0</v>
      </c>
      <c r="CK25" s="86">
        <f t="shared" si="90"/>
        <v>0</v>
      </c>
      <c r="CL25" s="86">
        <f t="shared" si="90"/>
        <v>0</v>
      </c>
      <c r="CM25" s="86">
        <f t="shared" si="90"/>
        <v>0</v>
      </c>
      <c r="CN25" s="86">
        <f t="shared" si="90"/>
        <v>0</v>
      </c>
      <c r="CO25" s="78">
        <f t="shared" si="90"/>
        <v>0</v>
      </c>
      <c r="CP25" s="78">
        <f t="shared" si="90"/>
        <v>0</v>
      </c>
      <c r="CQ25" s="87"/>
      <c r="CR25" s="86">
        <f t="shared" ref="CR25:DE25" si="91">SUM(CR27:CR29)</f>
        <v>0</v>
      </c>
      <c r="CS25" s="86">
        <f t="shared" si="91"/>
        <v>0</v>
      </c>
      <c r="CT25" s="86">
        <f t="shared" si="91"/>
        <v>0</v>
      </c>
      <c r="CU25" s="86">
        <f t="shared" si="91"/>
        <v>0</v>
      </c>
      <c r="CV25" s="86">
        <f t="shared" si="91"/>
        <v>0</v>
      </c>
      <c r="CW25" s="86">
        <f t="shared" si="91"/>
        <v>0</v>
      </c>
      <c r="CX25" s="86">
        <f t="shared" si="91"/>
        <v>0</v>
      </c>
      <c r="CY25" s="86">
        <f t="shared" si="91"/>
        <v>0</v>
      </c>
      <c r="CZ25" s="86">
        <f t="shared" si="91"/>
        <v>0</v>
      </c>
      <c r="DA25" s="86">
        <f t="shared" si="91"/>
        <v>0</v>
      </c>
      <c r="DB25" s="86">
        <f t="shared" si="91"/>
        <v>0</v>
      </c>
      <c r="DC25" s="86">
        <f t="shared" si="91"/>
        <v>0</v>
      </c>
      <c r="DD25" s="78">
        <f t="shared" si="91"/>
        <v>0</v>
      </c>
      <c r="DE25" s="78">
        <f t="shared" si="91"/>
        <v>0</v>
      </c>
      <c r="DF25" s="87"/>
      <c r="DG25" s="86">
        <f t="shared" ref="DG25:DT25" si="92">SUM(DG27:DG29)</f>
        <v>0</v>
      </c>
      <c r="DH25" s="86">
        <f t="shared" si="92"/>
        <v>0</v>
      </c>
      <c r="DI25" s="86">
        <f t="shared" si="92"/>
        <v>0</v>
      </c>
      <c r="DJ25" s="86">
        <f t="shared" si="92"/>
        <v>0</v>
      </c>
      <c r="DK25" s="86">
        <f t="shared" si="92"/>
        <v>0</v>
      </c>
      <c r="DL25" s="86">
        <f t="shared" si="92"/>
        <v>0</v>
      </c>
      <c r="DM25" s="86">
        <f t="shared" si="92"/>
        <v>0</v>
      </c>
      <c r="DN25" s="86">
        <f t="shared" si="92"/>
        <v>0</v>
      </c>
      <c r="DO25" s="86">
        <f t="shared" si="92"/>
        <v>0</v>
      </c>
      <c r="DP25" s="86">
        <f t="shared" si="92"/>
        <v>0</v>
      </c>
      <c r="DQ25" s="86">
        <f t="shared" si="92"/>
        <v>0</v>
      </c>
      <c r="DR25" s="86">
        <f t="shared" si="92"/>
        <v>0</v>
      </c>
      <c r="DS25" s="78">
        <f t="shared" si="92"/>
        <v>0</v>
      </c>
      <c r="DT25" s="78">
        <f t="shared" si="92"/>
        <v>0</v>
      </c>
      <c r="DU25" s="87"/>
      <c r="DV25" s="86">
        <f t="shared" ref="DV25:EI25" si="93">SUM(DV27:DV29)</f>
        <v>0</v>
      </c>
      <c r="DW25" s="86">
        <f t="shared" si="93"/>
        <v>0</v>
      </c>
      <c r="DX25" s="86">
        <f t="shared" si="93"/>
        <v>0</v>
      </c>
      <c r="DY25" s="86">
        <f t="shared" si="93"/>
        <v>0</v>
      </c>
      <c r="DZ25" s="86">
        <f t="shared" si="93"/>
        <v>0</v>
      </c>
      <c r="EA25" s="86">
        <f t="shared" si="93"/>
        <v>0</v>
      </c>
      <c r="EB25" s="86">
        <f t="shared" si="93"/>
        <v>1.2403233</v>
      </c>
      <c r="EC25" s="86">
        <f t="shared" si="93"/>
        <v>1.1948065875</v>
      </c>
      <c r="ED25" s="86">
        <f t="shared" si="93"/>
        <v>1.1256720375</v>
      </c>
      <c r="EE25" s="86">
        <f t="shared" si="93"/>
        <v>1.0325504999999999</v>
      </c>
      <c r="EF25" s="86">
        <f t="shared" si="93"/>
        <v>1.2144250125</v>
      </c>
      <c r="EG25" s="86">
        <f t="shared" si="93"/>
        <v>1.1108508374999999</v>
      </c>
      <c r="EH25" s="78">
        <f t="shared" si="93"/>
        <v>6.9186282750000005</v>
      </c>
      <c r="EI25" s="78">
        <f t="shared" si="93"/>
        <v>6.9186282750000005</v>
      </c>
      <c r="EJ25" s="42"/>
      <c r="EK25" s="86">
        <f t="shared" ref="EK25:EX25" si="94">SUM(EK27:EK29)</f>
        <v>3.7723690000000003</v>
      </c>
      <c r="EL25" s="86">
        <f t="shared" si="94"/>
        <v>2.669009</v>
      </c>
      <c r="EM25" s="86">
        <f t="shared" si="94"/>
        <v>5.441306</v>
      </c>
      <c r="EN25" s="86">
        <f t="shared" si="94"/>
        <v>4.3240989999999995</v>
      </c>
      <c r="EO25" s="86">
        <f t="shared" si="94"/>
        <v>4.5717109999999996</v>
      </c>
      <c r="EP25" s="86">
        <f t="shared" si="94"/>
        <v>4.8456669999999997</v>
      </c>
      <c r="EQ25" s="86">
        <f t="shared" si="94"/>
        <v>1.5650148868749905</v>
      </c>
      <c r="ER25" s="86">
        <f t="shared" si="94"/>
        <v>2.0931269063142879</v>
      </c>
      <c r="ES25" s="86">
        <f t="shared" si="94"/>
        <v>2.6470004876774529</v>
      </c>
      <c r="ET25" s="86">
        <f t="shared" si="94"/>
        <v>2.86275356878985</v>
      </c>
      <c r="EU25" s="86">
        <f t="shared" si="94"/>
        <v>3.4778108597222013</v>
      </c>
      <c r="EV25" s="86">
        <f t="shared" si="94"/>
        <v>2.9625796212448376</v>
      </c>
      <c r="EW25" s="78">
        <f t="shared" si="94"/>
        <v>41.232447330623621</v>
      </c>
      <c r="EX25" s="78">
        <f t="shared" si="94"/>
        <v>15.608286330623621</v>
      </c>
      <c r="EY25" s="9"/>
    </row>
    <row r="26" spans="1:155" s="8" customFormat="1" ht="16" customHeight="1">
      <c r="A26" s="88"/>
      <c r="B26" s="89"/>
      <c r="C26" s="89" t="s">
        <v>108</v>
      </c>
      <c r="D26" s="88"/>
      <c r="E26" s="88"/>
      <c r="F26" s="90">
        <f t="shared" ref="F26:S26" si="95">IFERROR(F25/F3,0)</f>
        <v>6.9854631009977795E-3</v>
      </c>
      <c r="G26" s="90">
        <f t="shared" si="95"/>
        <v>5.3225969619417933E-3</v>
      </c>
      <c r="H26" s="90">
        <f t="shared" si="95"/>
        <v>7.5928091577515495E-3</v>
      </c>
      <c r="I26" s="90">
        <f t="shared" si="95"/>
        <v>4.8153686138229634E-3</v>
      </c>
      <c r="J26" s="90">
        <f t="shared" si="95"/>
        <v>6.6558704657781031E-3</v>
      </c>
      <c r="K26" s="90">
        <f t="shared" si="95"/>
        <v>9.0232203742968801E-3</v>
      </c>
      <c r="L26" s="90">
        <f t="shared" si="95"/>
        <v>9.5527893872850191E-3</v>
      </c>
      <c r="M26" s="90">
        <f t="shared" si="95"/>
        <v>9.2318569587565326E-3</v>
      </c>
      <c r="N26" s="90">
        <f t="shared" si="95"/>
        <v>9.0166225454337279E-3</v>
      </c>
      <c r="O26" s="90">
        <f t="shared" si="95"/>
        <v>8.9199536898159609E-3</v>
      </c>
      <c r="P26" s="90">
        <f t="shared" si="95"/>
        <v>8.9026742433552762E-3</v>
      </c>
      <c r="Q26" s="90">
        <f t="shared" si="95"/>
        <v>8.9413871217577622E-3</v>
      </c>
      <c r="R26" s="83">
        <f t="shared" si="95"/>
        <v>8.0923630022824277E-3</v>
      </c>
      <c r="S26" s="83">
        <f t="shared" si="95"/>
        <v>9.0434415077414541E-3</v>
      </c>
      <c r="T26" s="84"/>
      <c r="U26" s="90">
        <f t="shared" ref="U26:AH26" si="96">IFERROR(U25/U3,0)</f>
        <v>0</v>
      </c>
      <c r="V26" s="90">
        <f t="shared" si="96"/>
        <v>0</v>
      </c>
      <c r="W26" s="90">
        <f t="shared" si="96"/>
        <v>0</v>
      </c>
      <c r="X26" s="90">
        <f t="shared" si="96"/>
        <v>0</v>
      </c>
      <c r="Y26" s="90">
        <f t="shared" si="96"/>
        <v>0</v>
      </c>
      <c r="Z26" s="90">
        <f t="shared" si="96"/>
        <v>0</v>
      </c>
      <c r="AA26" s="90">
        <f t="shared" si="96"/>
        <v>0</v>
      </c>
      <c r="AB26" s="90">
        <f t="shared" si="96"/>
        <v>0</v>
      </c>
      <c r="AC26" s="90">
        <f t="shared" si="96"/>
        <v>0</v>
      </c>
      <c r="AD26" s="90">
        <f t="shared" si="96"/>
        <v>0</v>
      </c>
      <c r="AE26" s="90">
        <f t="shared" si="96"/>
        <v>0</v>
      </c>
      <c r="AF26" s="90">
        <f t="shared" si="96"/>
        <v>0</v>
      </c>
      <c r="AG26" s="83">
        <f t="shared" si="96"/>
        <v>0</v>
      </c>
      <c r="AH26" s="83">
        <f t="shared" si="96"/>
        <v>0</v>
      </c>
      <c r="AI26" s="84"/>
      <c r="AJ26" s="90">
        <f t="shared" ref="AJ26:AW26" si="97">IFERROR(AJ25/AJ3,0)</f>
        <v>0.24866777115369856</v>
      </c>
      <c r="AK26" s="90">
        <f t="shared" si="97"/>
        <v>0.16304831669070949</v>
      </c>
      <c r="AL26" s="90">
        <f t="shared" si="97"/>
        <v>0.19816432370401432</v>
      </c>
      <c r="AM26" s="90">
        <f t="shared" si="97"/>
        <v>5.128448563237549E-2</v>
      </c>
      <c r="AN26" s="90">
        <f t="shared" si="97"/>
        <v>5.2470816680337803E-2</v>
      </c>
      <c r="AO26" s="90">
        <f t="shared" si="97"/>
        <v>9.0003238615090825E-2</v>
      </c>
      <c r="AP26" s="90">
        <f t="shared" si="97"/>
        <v>9.0003238615090825E-2</v>
      </c>
      <c r="AQ26" s="90">
        <f t="shared" si="97"/>
        <v>9.0003238615090825E-2</v>
      </c>
      <c r="AR26" s="90">
        <f t="shared" si="97"/>
        <v>9.0003238615090825E-2</v>
      </c>
      <c r="AS26" s="90">
        <f t="shared" si="97"/>
        <v>9.0003238615090825E-2</v>
      </c>
      <c r="AT26" s="90">
        <f t="shared" si="97"/>
        <v>9.0003238615090825E-2</v>
      </c>
      <c r="AU26" s="90">
        <f t="shared" si="97"/>
        <v>9.0003238615090825E-2</v>
      </c>
      <c r="AV26" s="83">
        <f t="shared" si="97"/>
        <v>9.1813079484219379E-2</v>
      </c>
      <c r="AW26" s="83">
        <f t="shared" si="97"/>
        <v>9.0003238615090825E-2</v>
      </c>
      <c r="AX26" s="84"/>
      <c r="AY26" s="90">
        <f t="shared" ref="AY26:BL26" si="98">IFERROR(AY25/AY3,0)</f>
        <v>0</v>
      </c>
      <c r="AZ26" s="90">
        <f t="shared" si="98"/>
        <v>0</v>
      </c>
      <c r="BA26" s="90">
        <f t="shared" si="98"/>
        <v>0</v>
      </c>
      <c r="BB26" s="90">
        <f t="shared" si="98"/>
        <v>0</v>
      </c>
      <c r="BC26" s="90">
        <f t="shared" si="98"/>
        <v>0</v>
      </c>
      <c r="BD26" s="90">
        <f t="shared" si="98"/>
        <v>0</v>
      </c>
      <c r="BE26" s="90">
        <f t="shared" si="98"/>
        <v>0</v>
      </c>
      <c r="BF26" s="90">
        <f t="shared" si="98"/>
        <v>0</v>
      </c>
      <c r="BG26" s="90">
        <f t="shared" si="98"/>
        <v>0</v>
      </c>
      <c r="BH26" s="90">
        <f t="shared" si="98"/>
        <v>0</v>
      </c>
      <c r="BI26" s="90">
        <f t="shared" si="98"/>
        <v>0</v>
      </c>
      <c r="BJ26" s="90">
        <f t="shared" si="98"/>
        <v>0</v>
      </c>
      <c r="BK26" s="83">
        <f t="shared" si="98"/>
        <v>0</v>
      </c>
      <c r="BL26" s="83">
        <f t="shared" si="98"/>
        <v>0</v>
      </c>
      <c r="BM26" s="84"/>
      <c r="BN26" s="90">
        <f t="shared" ref="BN26:CA26" si="99">IFERROR(BN25/BN3,0)</f>
        <v>0</v>
      </c>
      <c r="BO26" s="90">
        <f t="shared" si="99"/>
        <v>0</v>
      </c>
      <c r="BP26" s="90">
        <f t="shared" si="99"/>
        <v>0</v>
      </c>
      <c r="BQ26" s="90">
        <f t="shared" si="99"/>
        <v>0</v>
      </c>
      <c r="BR26" s="90">
        <f t="shared" si="99"/>
        <v>0</v>
      </c>
      <c r="BS26" s="90">
        <f t="shared" si="99"/>
        <v>0</v>
      </c>
      <c r="BT26" s="90">
        <f t="shared" si="99"/>
        <v>0</v>
      </c>
      <c r="BU26" s="90">
        <f t="shared" si="99"/>
        <v>0</v>
      </c>
      <c r="BV26" s="90">
        <f t="shared" si="99"/>
        <v>0</v>
      </c>
      <c r="BW26" s="90">
        <f t="shared" si="99"/>
        <v>0</v>
      </c>
      <c r="BX26" s="90">
        <f t="shared" si="99"/>
        <v>0</v>
      </c>
      <c r="BY26" s="90">
        <f t="shared" si="99"/>
        <v>0</v>
      </c>
      <c r="BZ26" s="83">
        <f t="shared" si="99"/>
        <v>0</v>
      </c>
      <c r="CA26" s="83">
        <f t="shared" si="99"/>
        <v>0</v>
      </c>
      <c r="CB26" s="84"/>
      <c r="CC26" s="90">
        <f t="shared" ref="CC26:CP26" si="100">IFERROR(CC25/CC3,0)</f>
        <v>0</v>
      </c>
      <c r="CD26" s="90">
        <f t="shared" si="100"/>
        <v>0</v>
      </c>
      <c r="CE26" s="90">
        <f t="shared" si="100"/>
        <v>0</v>
      </c>
      <c r="CF26" s="90">
        <f t="shared" si="100"/>
        <v>0</v>
      </c>
      <c r="CG26" s="90">
        <f t="shared" si="100"/>
        <v>0</v>
      </c>
      <c r="CH26" s="90">
        <f t="shared" si="100"/>
        <v>0</v>
      </c>
      <c r="CI26" s="90">
        <f t="shared" si="100"/>
        <v>0</v>
      </c>
      <c r="CJ26" s="90">
        <f t="shared" si="100"/>
        <v>0</v>
      </c>
      <c r="CK26" s="90">
        <f t="shared" si="100"/>
        <v>0</v>
      </c>
      <c r="CL26" s="90">
        <f t="shared" si="100"/>
        <v>0</v>
      </c>
      <c r="CM26" s="90">
        <f t="shared" si="100"/>
        <v>0</v>
      </c>
      <c r="CN26" s="90">
        <f t="shared" si="100"/>
        <v>0</v>
      </c>
      <c r="CO26" s="83">
        <f t="shared" si="100"/>
        <v>0</v>
      </c>
      <c r="CP26" s="83">
        <f t="shared" si="100"/>
        <v>0</v>
      </c>
      <c r="CQ26" s="84"/>
      <c r="CR26" s="90">
        <f t="shared" ref="CR26:DE26" si="101">IFERROR(CR25/CR3,0)</f>
        <v>0</v>
      </c>
      <c r="CS26" s="90">
        <f t="shared" si="101"/>
        <v>0</v>
      </c>
      <c r="CT26" s="90">
        <f t="shared" si="101"/>
        <v>0</v>
      </c>
      <c r="CU26" s="90">
        <f t="shared" si="101"/>
        <v>0</v>
      </c>
      <c r="CV26" s="90">
        <f t="shared" si="101"/>
        <v>0</v>
      </c>
      <c r="CW26" s="90">
        <f t="shared" si="101"/>
        <v>0</v>
      </c>
      <c r="CX26" s="90">
        <f t="shared" si="101"/>
        <v>0</v>
      </c>
      <c r="CY26" s="90">
        <f t="shared" si="101"/>
        <v>0</v>
      </c>
      <c r="CZ26" s="90">
        <f t="shared" si="101"/>
        <v>0</v>
      </c>
      <c r="DA26" s="90">
        <f t="shared" si="101"/>
        <v>0</v>
      </c>
      <c r="DB26" s="90">
        <f t="shared" si="101"/>
        <v>0</v>
      </c>
      <c r="DC26" s="90">
        <f t="shared" si="101"/>
        <v>0</v>
      </c>
      <c r="DD26" s="83">
        <f t="shared" si="101"/>
        <v>0</v>
      </c>
      <c r="DE26" s="83">
        <f t="shared" si="101"/>
        <v>0</v>
      </c>
      <c r="DF26" s="84"/>
      <c r="DG26" s="90">
        <f t="shared" ref="DG26:DT26" si="102">IFERROR(DG25/DG3,0)</f>
        <v>0</v>
      </c>
      <c r="DH26" s="90">
        <f t="shared" si="102"/>
        <v>0</v>
      </c>
      <c r="DI26" s="90">
        <f t="shared" si="102"/>
        <v>0</v>
      </c>
      <c r="DJ26" s="90">
        <f t="shared" si="102"/>
        <v>0</v>
      </c>
      <c r="DK26" s="90">
        <f t="shared" si="102"/>
        <v>0</v>
      </c>
      <c r="DL26" s="90">
        <f t="shared" si="102"/>
        <v>0</v>
      </c>
      <c r="DM26" s="90">
        <f t="shared" si="102"/>
        <v>0</v>
      </c>
      <c r="DN26" s="90">
        <f t="shared" si="102"/>
        <v>0</v>
      </c>
      <c r="DO26" s="90">
        <f t="shared" si="102"/>
        <v>0</v>
      </c>
      <c r="DP26" s="90">
        <f t="shared" si="102"/>
        <v>0</v>
      </c>
      <c r="DQ26" s="90">
        <f t="shared" si="102"/>
        <v>0</v>
      </c>
      <c r="DR26" s="90">
        <f t="shared" si="102"/>
        <v>0</v>
      </c>
      <c r="DS26" s="83">
        <f t="shared" si="102"/>
        <v>0</v>
      </c>
      <c r="DT26" s="83">
        <f t="shared" si="102"/>
        <v>0</v>
      </c>
      <c r="DU26" s="84"/>
      <c r="DV26" s="90">
        <f t="shared" ref="DV26:EI26" si="103">IFERROR(DV25/DV3,0)</f>
        <v>0</v>
      </c>
      <c r="DW26" s="90">
        <f t="shared" si="103"/>
        <v>0</v>
      </c>
      <c r="DX26" s="90">
        <f t="shared" si="103"/>
        <v>0</v>
      </c>
      <c r="DY26" s="90">
        <f t="shared" si="103"/>
        <v>0</v>
      </c>
      <c r="DZ26" s="90">
        <f t="shared" si="103"/>
        <v>0</v>
      </c>
      <c r="EA26" s="90">
        <f t="shared" si="103"/>
        <v>0</v>
      </c>
      <c r="EB26" s="90">
        <f t="shared" si="103"/>
        <v>3.4500000000000003E-2</v>
      </c>
      <c r="EC26" s="90">
        <f t="shared" si="103"/>
        <v>3.4500000000000003E-2</v>
      </c>
      <c r="ED26" s="90">
        <f t="shared" si="103"/>
        <v>3.4500000000000003E-2</v>
      </c>
      <c r="EE26" s="90">
        <f t="shared" si="103"/>
        <v>3.4499999999999996E-2</v>
      </c>
      <c r="EF26" s="90">
        <f t="shared" si="103"/>
        <v>3.4500000000000003E-2</v>
      </c>
      <c r="EG26" s="90">
        <f t="shared" si="103"/>
        <v>3.4499999999999996E-2</v>
      </c>
      <c r="EH26" s="83">
        <f t="shared" si="103"/>
        <v>2.1956636797001536E-2</v>
      </c>
      <c r="EI26" s="83">
        <f t="shared" si="103"/>
        <v>3.4500000000000003E-2</v>
      </c>
      <c r="EJ26" s="85"/>
      <c r="EK26" s="90">
        <f t="shared" ref="EK26:EX26" si="104">IFERROR(EK25/EK3,0)</f>
        <v>2.522828765128169E-2</v>
      </c>
      <c r="EL26" s="90">
        <f t="shared" si="104"/>
        <v>3.0697022012462379E-2</v>
      </c>
      <c r="EM26" s="90">
        <f t="shared" si="104"/>
        <v>2.6257335842912847E-2</v>
      </c>
      <c r="EN26" s="90">
        <f t="shared" si="104"/>
        <v>3.2665315725408886E-2</v>
      </c>
      <c r="EO26" s="90">
        <f t="shared" si="104"/>
        <v>2.7016354537822147E-2</v>
      </c>
      <c r="EP26" s="90">
        <f t="shared" si="104"/>
        <v>3.3905883003594268E-2</v>
      </c>
      <c r="EQ26" s="90">
        <f t="shared" si="104"/>
        <v>2.9158098845365889E-2</v>
      </c>
      <c r="ER26" s="90">
        <f t="shared" si="104"/>
        <v>2.9158098845365885E-2</v>
      </c>
      <c r="ES26" s="90">
        <f t="shared" si="104"/>
        <v>2.9158098845365889E-2</v>
      </c>
      <c r="ET26" s="90">
        <f t="shared" si="104"/>
        <v>2.9158098845365889E-2</v>
      </c>
      <c r="EU26" s="90">
        <f t="shared" si="104"/>
        <v>2.9158098845365885E-2</v>
      </c>
      <c r="EV26" s="90">
        <f t="shared" si="104"/>
        <v>2.9158098845365889E-2</v>
      </c>
      <c r="EW26" s="83">
        <f t="shared" si="104"/>
        <v>2.8965219190154379E-2</v>
      </c>
      <c r="EX26" s="83">
        <f t="shared" si="104"/>
        <v>2.9158098845365885E-2</v>
      </c>
      <c r="EY26" s="7"/>
    </row>
    <row r="27" spans="1:155" ht="16" customHeight="1">
      <c r="A27" s="68"/>
      <c r="B27" s="68"/>
      <c r="C27" s="68"/>
      <c r="D27" s="68" t="s">
        <v>70</v>
      </c>
      <c r="E27" s="68" t="s">
        <v>73</v>
      </c>
      <c r="F27" s="91">
        <f t="shared" ref="F27:Q30" si="105">SUM(U27,AJ27,AY27,BN27,CC27,CR27,DG27,DV27,EK27)</f>
        <v>3.7723690000000003</v>
      </c>
      <c r="G27" s="91">
        <f t="shared" si="105"/>
        <v>2.669009</v>
      </c>
      <c r="H27" s="91">
        <f t="shared" si="105"/>
        <v>5.441306</v>
      </c>
      <c r="I27" s="91">
        <f t="shared" si="105"/>
        <v>4.3240989999999995</v>
      </c>
      <c r="J27" s="91">
        <f t="shared" si="105"/>
        <v>4.5717109999999996</v>
      </c>
      <c r="K27" s="91">
        <f t="shared" si="105"/>
        <v>4.8456669999999997</v>
      </c>
      <c r="L27" s="91">
        <f t="shared" si="105"/>
        <v>2.8053381868749905</v>
      </c>
      <c r="M27" s="91">
        <f t="shared" si="105"/>
        <v>3.2879334938142879</v>
      </c>
      <c r="N27" s="91">
        <f t="shared" si="105"/>
        <v>3.7726725251774527</v>
      </c>
      <c r="O27" s="91">
        <f t="shared" si="105"/>
        <v>3.8953040687898497</v>
      </c>
      <c r="P27" s="91">
        <f t="shared" si="105"/>
        <v>4.6922358722222013</v>
      </c>
      <c r="Q27" s="91">
        <f t="shared" si="105"/>
        <v>4.0734304587448378</v>
      </c>
      <c r="R27" s="92">
        <f>SUM(F27:Q27)</f>
        <v>48.151075605623618</v>
      </c>
      <c r="S27" s="92">
        <f>SUM(L27:Q27)</f>
        <v>22.52691460562362</v>
      </c>
      <c r="T27" s="91"/>
      <c r="U27" s="91">
        <f>'测算-高个子抖音'!I$35</f>
        <v>0</v>
      </c>
      <c r="V27" s="91">
        <f>'测算-高个子抖音'!J$35</f>
        <v>0</v>
      </c>
      <c r="W27" s="91">
        <f>'测算-高个子抖音'!K$35</f>
        <v>0</v>
      </c>
      <c r="X27" s="91">
        <f>'测算-高个子抖音'!L$35</f>
        <v>0</v>
      </c>
      <c r="Y27" s="91">
        <f>'测算-高个子抖音'!M$35</f>
        <v>0</v>
      </c>
      <c r="Z27" s="91">
        <f>'测算-高个子抖音'!N$35</f>
        <v>0</v>
      </c>
      <c r="AA27" s="91">
        <f>'测算-高个子抖音'!O$35</f>
        <v>0</v>
      </c>
      <c r="AB27" s="91">
        <f>'测算-高个子抖音'!P$35</f>
        <v>0</v>
      </c>
      <c r="AC27" s="91">
        <f>'测算-高个子抖音'!Q$35</f>
        <v>0</v>
      </c>
      <c r="AD27" s="91">
        <f>'测算-高个子抖音'!R$35</f>
        <v>0</v>
      </c>
      <c r="AE27" s="91">
        <f>'测算-高个子抖音'!S$35</f>
        <v>0</v>
      </c>
      <c r="AF27" s="91">
        <f>'测算-高个子抖音'!T$35</f>
        <v>0</v>
      </c>
      <c r="AG27" s="92">
        <f>'测算-高个子抖音'!V$35</f>
        <v>0</v>
      </c>
      <c r="AH27" s="92">
        <f>'测算-高个子抖音'!W$35</f>
        <v>0</v>
      </c>
      <c r="AI27" s="91"/>
      <c r="AJ27" s="91">
        <f>'测算-高个子视频号'!I$35</f>
        <v>0</v>
      </c>
      <c r="AK27" s="91">
        <f>'测算-高个子视频号'!J$35</f>
        <v>0</v>
      </c>
      <c r="AL27" s="91">
        <f>'测算-高个子视频号'!K$35</f>
        <v>0</v>
      </c>
      <c r="AM27" s="91">
        <f>'测算-高个子视频号'!L$35</f>
        <v>0</v>
      </c>
      <c r="AN27" s="91">
        <f>'测算-高个子视频号'!M$35</f>
        <v>0</v>
      </c>
      <c r="AO27" s="91">
        <f>'测算-高个子视频号'!N$35</f>
        <v>0</v>
      </c>
      <c r="AP27" s="91">
        <f>'测算-高个子视频号'!O$35</f>
        <v>0</v>
      </c>
      <c r="AQ27" s="91">
        <f>'测算-高个子视频号'!P$35</f>
        <v>0</v>
      </c>
      <c r="AR27" s="91">
        <f>'测算-高个子视频号'!Q$35</f>
        <v>0</v>
      </c>
      <c r="AS27" s="91">
        <f>'测算-高个子视频号'!R$35</f>
        <v>0</v>
      </c>
      <c r="AT27" s="91">
        <f>'测算-高个子视频号'!S$35</f>
        <v>0</v>
      </c>
      <c r="AU27" s="91">
        <f>'测算-高个子视频号'!T$35</f>
        <v>0</v>
      </c>
      <c r="AV27" s="92">
        <f>'测算-高个子视频号'!V$35</f>
        <v>0</v>
      </c>
      <c r="AW27" s="92">
        <f>'测算-高个子视频号'!W$35</f>
        <v>0</v>
      </c>
      <c r="AX27" s="91"/>
      <c r="AY27" s="91">
        <f>'测算-天猫淘宝'!I$34</f>
        <v>0</v>
      </c>
      <c r="AZ27" s="91">
        <f>'测算-天猫淘宝'!J$34</f>
        <v>0</v>
      </c>
      <c r="BA27" s="91">
        <f>'测算-天猫淘宝'!K$34</f>
        <v>0</v>
      </c>
      <c r="BB27" s="91">
        <f>'测算-天猫淘宝'!L$34</f>
        <v>0</v>
      </c>
      <c r="BC27" s="91">
        <f>'测算-天猫淘宝'!M$34</f>
        <v>0</v>
      </c>
      <c r="BD27" s="91">
        <f>'测算-天猫淘宝'!N$34</f>
        <v>0</v>
      </c>
      <c r="BE27" s="91">
        <f>'测算-天猫淘宝'!O$34</f>
        <v>0</v>
      </c>
      <c r="BF27" s="91">
        <f>'测算-天猫淘宝'!P$34</f>
        <v>0</v>
      </c>
      <c r="BG27" s="91">
        <f>'测算-天猫淘宝'!Q$34</f>
        <v>0</v>
      </c>
      <c r="BH27" s="91">
        <f>'测算-天猫淘宝'!R$34</f>
        <v>0</v>
      </c>
      <c r="BI27" s="91">
        <f>'测算-天猫淘宝'!S$34</f>
        <v>0</v>
      </c>
      <c r="BJ27" s="91">
        <f>'测算-天猫淘宝'!T$34</f>
        <v>0</v>
      </c>
      <c r="BK27" s="92">
        <f>'测算-天猫淘宝'!V$34</f>
        <v>0</v>
      </c>
      <c r="BL27" s="92">
        <f>'测算-天猫淘宝'!W$34</f>
        <v>0</v>
      </c>
      <c r="BM27" s="91"/>
      <c r="BN27" s="91">
        <f>'测算-拼多多'!I$35</f>
        <v>0</v>
      </c>
      <c r="BO27" s="91">
        <f>'测算-拼多多'!J$35</f>
        <v>0</v>
      </c>
      <c r="BP27" s="91">
        <f>'测算-拼多多'!K$35</f>
        <v>0</v>
      </c>
      <c r="BQ27" s="91">
        <f>'测算-拼多多'!L$35</f>
        <v>0</v>
      </c>
      <c r="BR27" s="91">
        <f>'测算-拼多多'!M$35</f>
        <v>0</v>
      </c>
      <c r="BS27" s="91">
        <f>'测算-拼多多'!N$35</f>
        <v>0</v>
      </c>
      <c r="BT27" s="91">
        <f>'测算-拼多多'!O$35</f>
        <v>0</v>
      </c>
      <c r="BU27" s="91">
        <f>'测算-拼多多'!P$35</f>
        <v>0</v>
      </c>
      <c r="BV27" s="91">
        <f>'测算-拼多多'!Q$35</f>
        <v>0</v>
      </c>
      <c r="BW27" s="91">
        <f>'测算-拼多多'!R$35</f>
        <v>0</v>
      </c>
      <c r="BX27" s="91">
        <f>'测算-拼多多'!S$35</f>
        <v>0</v>
      </c>
      <c r="BY27" s="91">
        <f>'测算-拼多多'!T$35</f>
        <v>0</v>
      </c>
      <c r="BZ27" s="92">
        <f>'测算-拼多多'!V$35</f>
        <v>0</v>
      </c>
      <c r="CA27" s="92">
        <f>'测算-拼多多'!W$35</f>
        <v>0</v>
      </c>
      <c r="CB27" s="91"/>
      <c r="CC27" s="91">
        <f>'测算-京东POP'!I$35</f>
        <v>0</v>
      </c>
      <c r="CD27" s="91">
        <f>'测算-京东POP'!J$35</f>
        <v>0</v>
      </c>
      <c r="CE27" s="91">
        <f>'测算-京东POP'!K$35</f>
        <v>0</v>
      </c>
      <c r="CF27" s="91">
        <f>'测算-京东POP'!L$35</f>
        <v>0</v>
      </c>
      <c r="CG27" s="91">
        <f>'测算-京东POP'!M$35</f>
        <v>0</v>
      </c>
      <c r="CH27" s="91">
        <f>'测算-京东POP'!N$35</f>
        <v>0</v>
      </c>
      <c r="CI27" s="91">
        <f>'测算-京东POP'!O$35</f>
        <v>0</v>
      </c>
      <c r="CJ27" s="91">
        <f>'测算-京东POP'!P$35</f>
        <v>0</v>
      </c>
      <c r="CK27" s="91">
        <f>'测算-京东POP'!Q$35</f>
        <v>0</v>
      </c>
      <c r="CL27" s="91">
        <f>'测算-京东POP'!R$35</f>
        <v>0</v>
      </c>
      <c r="CM27" s="91">
        <f>'测算-京东POP'!S$35</f>
        <v>0</v>
      </c>
      <c r="CN27" s="91">
        <f>'测算-京东POP'!T$35</f>
        <v>0</v>
      </c>
      <c r="CO27" s="92">
        <f>'测算-京东POP'!V$35</f>
        <v>0</v>
      </c>
      <c r="CP27" s="92">
        <f>'测算-京东POP'!W$35</f>
        <v>0</v>
      </c>
      <c r="CQ27" s="91"/>
      <c r="CR27" s="91">
        <f>'测算-京东自营'!I$36</f>
        <v>0</v>
      </c>
      <c r="CS27" s="91">
        <f>'测算-京东自营'!J$36</f>
        <v>0</v>
      </c>
      <c r="CT27" s="91">
        <f>'测算-京东自营'!K$36</f>
        <v>0</v>
      </c>
      <c r="CU27" s="91">
        <f>'测算-京东自营'!L$36</f>
        <v>0</v>
      </c>
      <c r="CV27" s="91">
        <f>'测算-京东自营'!M$36</f>
        <v>0</v>
      </c>
      <c r="CW27" s="91">
        <f>'测算-京东自营'!N$36</f>
        <v>0</v>
      </c>
      <c r="CX27" s="91">
        <f>'测算-京东自营'!O$36</f>
        <v>0</v>
      </c>
      <c r="CY27" s="91">
        <f>'测算-京东自营'!P$36</f>
        <v>0</v>
      </c>
      <c r="CZ27" s="91">
        <f>'测算-京东自营'!Q$36</f>
        <v>0</v>
      </c>
      <c r="DA27" s="91">
        <f>'测算-京东自营'!R$36</f>
        <v>0</v>
      </c>
      <c r="DB27" s="91">
        <f>'测算-京东自营'!S$36</f>
        <v>0</v>
      </c>
      <c r="DC27" s="91">
        <f>'测算-京东自营'!T$36</f>
        <v>0</v>
      </c>
      <c r="DD27" s="92">
        <f>'测算-京东自营'!V$36</f>
        <v>0</v>
      </c>
      <c r="DE27" s="92">
        <f>'测算-京东自营'!W$36</f>
        <v>0</v>
      </c>
      <c r="DF27" s="91"/>
      <c r="DG27" s="91">
        <f>'测算-达播'!I$36</f>
        <v>0</v>
      </c>
      <c r="DH27" s="91">
        <f>'测算-达播'!J$36</f>
        <v>0</v>
      </c>
      <c r="DI27" s="91">
        <f>'测算-达播'!K$36</f>
        <v>0</v>
      </c>
      <c r="DJ27" s="91">
        <f>'测算-达播'!L$36</f>
        <v>0</v>
      </c>
      <c r="DK27" s="91">
        <f>'测算-达播'!M$36</f>
        <v>0</v>
      </c>
      <c r="DL27" s="91">
        <f>'测算-达播'!N$36</f>
        <v>0</v>
      </c>
      <c r="DM27" s="91">
        <f>'测算-达播'!O$36</f>
        <v>0</v>
      </c>
      <c r="DN27" s="91">
        <f>'测算-达播'!P$36</f>
        <v>0</v>
      </c>
      <c r="DO27" s="91">
        <f>'测算-达播'!Q$36</f>
        <v>0</v>
      </c>
      <c r="DP27" s="91">
        <f>'测算-达播'!R$36</f>
        <v>0</v>
      </c>
      <c r="DQ27" s="91">
        <f>'测算-达播'!S$36</f>
        <v>0</v>
      </c>
      <c r="DR27" s="91">
        <f>'测算-达播'!T$36</f>
        <v>0</v>
      </c>
      <c r="DS27" s="92">
        <f>'测算-达播'!V$36</f>
        <v>0</v>
      </c>
      <c r="DT27" s="92">
        <f>'测算-达播'!W$36</f>
        <v>0</v>
      </c>
      <c r="DU27" s="91"/>
      <c r="DV27" s="91">
        <f>'测算-私域'!I$35</f>
        <v>0</v>
      </c>
      <c r="DW27" s="91">
        <f>'测算-私域'!J$35</f>
        <v>0</v>
      </c>
      <c r="DX27" s="91">
        <f>'测算-私域'!K$35</f>
        <v>0</v>
      </c>
      <c r="DY27" s="91">
        <f>'测算-私域'!L$35</f>
        <v>0</v>
      </c>
      <c r="DZ27" s="91">
        <f>'测算-私域'!M$35</f>
        <v>0</v>
      </c>
      <c r="EA27" s="91">
        <f>'测算-私域'!N$35</f>
        <v>0</v>
      </c>
      <c r="EB27" s="91">
        <f>'测算-私域'!O$35</f>
        <v>1.2403233</v>
      </c>
      <c r="EC27" s="91">
        <f>'测算-私域'!P$35</f>
        <v>1.1948065875</v>
      </c>
      <c r="ED27" s="91">
        <f>'测算-私域'!Q$35</f>
        <v>1.1256720375</v>
      </c>
      <c r="EE27" s="91">
        <f>'测算-私域'!R$35</f>
        <v>1.0325504999999999</v>
      </c>
      <c r="EF27" s="91">
        <f>'测算-私域'!S$35</f>
        <v>1.2144250125</v>
      </c>
      <c r="EG27" s="91">
        <f>'测算-私域'!T$35</f>
        <v>1.1108508374999999</v>
      </c>
      <c r="EH27" s="92">
        <f>'测算-私域'!V$35</f>
        <v>6.9186282750000005</v>
      </c>
      <c r="EI27" s="92">
        <f>'测算-私域'!W$35</f>
        <v>6.9186282750000005</v>
      </c>
      <c r="EJ27" s="42"/>
      <c r="EK27" s="91">
        <f>'测算-外部分销'!I$35</f>
        <v>3.7723690000000003</v>
      </c>
      <c r="EL27" s="91">
        <f>'测算-外部分销'!J$35</f>
        <v>2.669009</v>
      </c>
      <c r="EM27" s="91">
        <f>'测算-外部分销'!K$35</f>
        <v>5.441306</v>
      </c>
      <c r="EN27" s="91">
        <f>'测算-外部分销'!L$35</f>
        <v>4.3240989999999995</v>
      </c>
      <c r="EO27" s="91">
        <f>'测算-外部分销'!M$35</f>
        <v>4.5717109999999996</v>
      </c>
      <c r="EP27" s="91">
        <f>'测算-外部分销'!N$35</f>
        <v>4.8456669999999997</v>
      </c>
      <c r="EQ27" s="91">
        <f>'测算-外部分销'!O$35</f>
        <v>1.5650148868749905</v>
      </c>
      <c r="ER27" s="91">
        <f>'测算-外部分销'!P$35</f>
        <v>2.0931269063142879</v>
      </c>
      <c r="ES27" s="91">
        <f>'测算-外部分销'!Q$35</f>
        <v>2.6470004876774529</v>
      </c>
      <c r="ET27" s="91">
        <f>'测算-外部分销'!R$35</f>
        <v>2.86275356878985</v>
      </c>
      <c r="EU27" s="91">
        <f>'测算-外部分销'!S$35</f>
        <v>3.4778108597222013</v>
      </c>
      <c r="EV27" s="91">
        <f>'测算-外部分销'!T$35</f>
        <v>2.9625796212448376</v>
      </c>
      <c r="EW27" s="92">
        <f>'测算-外部分销'!V$35</f>
        <v>41.232447330623621</v>
      </c>
      <c r="EX27" s="92">
        <f>'测算-外部分销'!W$35</f>
        <v>15.608286330623621</v>
      </c>
      <c r="EY27" s="10"/>
    </row>
    <row r="28" spans="1:155" ht="16" customHeight="1">
      <c r="A28" s="68"/>
      <c r="B28" s="68"/>
      <c r="C28" s="68"/>
      <c r="D28" s="68" t="s">
        <v>70</v>
      </c>
      <c r="E28" s="68" t="s">
        <v>71</v>
      </c>
      <c r="F28" s="91">
        <f t="shared" si="105"/>
        <v>3.8874730000000004</v>
      </c>
      <c r="G28" s="91">
        <f t="shared" si="105"/>
        <v>0.87030300000000005</v>
      </c>
      <c r="H28" s="91">
        <f t="shared" si="105"/>
        <v>2.2448550000000003</v>
      </c>
      <c r="I28" s="91">
        <f t="shared" si="105"/>
        <v>0.38460800000000001</v>
      </c>
      <c r="J28" s="91">
        <f t="shared" si="105"/>
        <v>3.5358260000000006</v>
      </c>
      <c r="K28" s="91">
        <f t="shared" si="105"/>
        <v>6.3484551184747318</v>
      </c>
      <c r="L28" s="91">
        <f t="shared" si="105"/>
        <v>4.7589797450820717</v>
      </c>
      <c r="M28" s="91">
        <f t="shared" si="105"/>
        <v>6.3648906055624419</v>
      </c>
      <c r="N28" s="91">
        <f t="shared" si="105"/>
        <v>8.0491385811881955</v>
      </c>
      <c r="O28" s="91">
        <f t="shared" si="105"/>
        <v>8.7052119205307879</v>
      </c>
      <c r="P28" s="91">
        <f t="shared" si="105"/>
        <v>10.575510544626828</v>
      </c>
      <c r="Q28" s="91">
        <f t="shared" si="105"/>
        <v>9.0087682417191477</v>
      </c>
      <c r="R28" s="92">
        <f>SUM(F28:Q28)</f>
        <v>64.734019757184214</v>
      </c>
      <c r="S28" s="92">
        <f>SUM(L28:Q28)</f>
        <v>47.462499638709474</v>
      </c>
      <c r="T28" s="91"/>
      <c r="U28" s="91">
        <f>'测算-高个子抖音'!I$33</f>
        <v>0</v>
      </c>
      <c r="V28" s="91">
        <f>'测算-高个子抖音'!J$33</f>
        <v>0</v>
      </c>
      <c r="W28" s="91">
        <f>'测算-高个子抖音'!K$33</f>
        <v>0</v>
      </c>
      <c r="X28" s="91">
        <f>'测算-高个子抖音'!L$33</f>
        <v>0</v>
      </c>
      <c r="Y28" s="91">
        <f>'测算-高个子抖音'!M$33</f>
        <v>0</v>
      </c>
      <c r="Z28" s="91">
        <f>'测算-高个子抖音'!N$33</f>
        <v>0</v>
      </c>
      <c r="AA28" s="91">
        <f>'测算-高个子抖音'!O$33</f>
        <v>0</v>
      </c>
      <c r="AB28" s="91">
        <f>'测算-高个子抖音'!P$33</f>
        <v>0</v>
      </c>
      <c r="AC28" s="91">
        <f>'测算-高个子抖音'!Q$33</f>
        <v>0</v>
      </c>
      <c r="AD28" s="91">
        <f>'测算-高个子抖音'!R$33</f>
        <v>0</v>
      </c>
      <c r="AE28" s="91">
        <f>'测算-高个子抖音'!S$33</f>
        <v>0</v>
      </c>
      <c r="AF28" s="91">
        <f>'测算-高个子抖音'!T$33</f>
        <v>0</v>
      </c>
      <c r="AG28" s="92">
        <f>'测算-高个子抖音'!V$33</f>
        <v>0</v>
      </c>
      <c r="AH28" s="92">
        <f>'测算-高个子抖音'!W$33</f>
        <v>0</v>
      </c>
      <c r="AI28" s="91"/>
      <c r="AJ28" s="91">
        <f>'测算-高个子视频号'!I$33</f>
        <v>3.8874730000000004</v>
      </c>
      <c r="AK28" s="91">
        <f>'测算-高个子视频号'!J$33</f>
        <v>0.87030300000000005</v>
      </c>
      <c r="AL28" s="91">
        <f>'测算-高个子视频号'!K$33</f>
        <v>2.2448550000000003</v>
      </c>
      <c r="AM28" s="91">
        <f>'测算-高个子视频号'!L$33</f>
        <v>0.38460800000000001</v>
      </c>
      <c r="AN28" s="91">
        <f>'测算-高个子视频号'!M$33</f>
        <v>3.5358260000000006</v>
      </c>
      <c r="AO28" s="91">
        <f>'测算-高个子视频号'!N$33</f>
        <v>6.3484551184747318</v>
      </c>
      <c r="AP28" s="91">
        <f>'测算-高个子视频号'!O$33</f>
        <v>4.7589797450820717</v>
      </c>
      <c r="AQ28" s="91">
        <f>'测算-高个子视频号'!P$33</f>
        <v>6.3648906055624419</v>
      </c>
      <c r="AR28" s="91">
        <f>'测算-高个子视频号'!Q$33</f>
        <v>8.0491385811881955</v>
      </c>
      <c r="AS28" s="91">
        <f>'测算-高个子视频号'!R$33</f>
        <v>8.7052119205307879</v>
      </c>
      <c r="AT28" s="91">
        <f>'测算-高个子视频号'!S$33</f>
        <v>10.575510544626828</v>
      </c>
      <c r="AU28" s="91">
        <f>'测算-高个子视频号'!T$33</f>
        <v>9.0087682417191477</v>
      </c>
      <c r="AV28" s="92">
        <f>'测算-高个子视频号'!V$33</f>
        <v>64.734019757184214</v>
      </c>
      <c r="AW28" s="92">
        <f>'测算-高个子视频号'!W$33</f>
        <v>47.462499638709474</v>
      </c>
      <c r="AX28" s="91"/>
      <c r="AY28" s="91">
        <f>'测算-天猫淘宝'!I$32</f>
        <v>0</v>
      </c>
      <c r="AZ28" s="91">
        <f>'测算-天猫淘宝'!J$32</f>
        <v>0</v>
      </c>
      <c r="BA28" s="91">
        <f>'测算-天猫淘宝'!K$32</f>
        <v>0</v>
      </c>
      <c r="BB28" s="91">
        <f>'测算-天猫淘宝'!L$32</f>
        <v>0</v>
      </c>
      <c r="BC28" s="91">
        <f>'测算-天猫淘宝'!M$32</f>
        <v>0</v>
      </c>
      <c r="BD28" s="91">
        <f>'测算-天猫淘宝'!N$32</f>
        <v>0</v>
      </c>
      <c r="BE28" s="91">
        <f>'测算-天猫淘宝'!O$32</f>
        <v>0</v>
      </c>
      <c r="BF28" s="91">
        <f>'测算-天猫淘宝'!P$32</f>
        <v>0</v>
      </c>
      <c r="BG28" s="91">
        <f>'测算-天猫淘宝'!Q$32</f>
        <v>0</v>
      </c>
      <c r="BH28" s="91">
        <f>'测算-天猫淘宝'!R$32</f>
        <v>0</v>
      </c>
      <c r="BI28" s="91">
        <f>'测算-天猫淘宝'!S$32</f>
        <v>0</v>
      </c>
      <c r="BJ28" s="91">
        <f>'测算-天猫淘宝'!T$32</f>
        <v>0</v>
      </c>
      <c r="BK28" s="92">
        <f>'测算-天猫淘宝'!V$32</f>
        <v>0</v>
      </c>
      <c r="BL28" s="92">
        <f>'测算-天猫淘宝'!W$32</f>
        <v>0</v>
      </c>
      <c r="BM28" s="91"/>
      <c r="BN28" s="91">
        <f>'测算-拼多多'!I$33</f>
        <v>0</v>
      </c>
      <c r="BO28" s="91">
        <f>'测算-拼多多'!J$33</f>
        <v>0</v>
      </c>
      <c r="BP28" s="91">
        <f>'测算-拼多多'!K$33</f>
        <v>0</v>
      </c>
      <c r="BQ28" s="91">
        <f>'测算-拼多多'!L$33</f>
        <v>0</v>
      </c>
      <c r="BR28" s="91">
        <f>'测算-拼多多'!M$33</f>
        <v>0</v>
      </c>
      <c r="BS28" s="91">
        <f>'测算-拼多多'!N$33</f>
        <v>0</v>
      </c>
      <c r="BT28" s="91">
        <f>'测算-拼多多'!O$33</f>
        <v>0</v>
      </c>
      <c r="BU28" s="91">
        <f>'测算-拼多多'!P$33</f>
        <v>0</v>
      </c>
      <c r="BV28" s="91">
        <f>'测算-拼多多'!Q$33</f>
        <v>0</v>
      </c>
      <c r="BW28" s="91">
        <f>'测算-拼多多'!R$33</f>
        <v>0</v>
      </c>
      <c r="BX28" s="91">
        <f>'测算-拼多多'!S$33</f>
        <v>0</v>
      </c>
      <c r="BY28" s="91">
        <f>'测算-拼多多'!T$33</f>
        <v>0</v>
      </c>
      <c r="BZ28" s="92">
        <f>'测算-拼多多'!V$33</f>
        <v>0</v>
      </c>
      <c r="CA28" s="92">
        <f>'测算-拼多多'!W$33</f>
        <v>0</v>
      </c>
      <c r="CB28" s="91"/>
      <c r="CC28" s="91">
        <f>'测算-京东POP'!I$33</f>
        <v>0</v>
      </c>
      <c r="CD28" s="91">
        <f>'测算-京东POP'!J$33</f>
        <v>0</v>
      </c>
      <c r="CE28" s="91">
        <f>'测算-京东POP'!K$33</f>
        <v>0</v>
      </c>
      <c r="CF28" s="91">
        <f>'测算-京东POP'!L$33</f>
        <v>0</v>
      </c>
      <c r="CG28" s="91">
        <f>'测算-京东POP'!M$33</f>
        <v>0</v>
      </c>
      <c r="CH28" s="91">
        <f>'测算-京东POP'!N$33</f>
        <v>0</v>
      </c>
      <c r="CI28" s="91">
        <f>'测算-京东POP'!O$33</f>
        <v>0</v>
      </c>
      <c r="CJ28" s="91">
        <f>'测算-京东POP'!P$33</f>
        <v>0</v>
      </c>
      <c r="CK28" s="91">
        <f>'测算-京东POP'!Q$33</f>
        <v>0</v>
      </c>
      <c r="CL28" s="91">
        <f>'测算-京东POP'!R$33</f>
        <v>0</v>
      </c>
      <c r="CM28" s="91">
        <f>'测算-京东POP'!S$33</f>
        <v>0</v>
      </c>
      <c r="CN28" s="91">
        <f>'测算-京东POP'!T$33</f>
        <v>0</v>
      </c>
      <c r="CO28" s="92">
        <f>'测算-京东POP'!V$33</f>
        <v>0</v>
      </c>
      <c r="CP28" s="92">
        <f>'测算-京东POP'!W$33</f>
        <v>0</v>
      </c>
      <c r="CQ28" s="91"/>
      <c r="CR28" s="91">
        <f>'测算-京东自营'!I$34</f>
        <v>0</v>
      </c>
      <c r="CS28" s="91">
        <f>'测算-京东自营'!J$34</f>
        <v>0</v>
      </c>
      <c r="CT28" s="91">
        <f>'测算-京东自营'!K$34</f>
        <v>0</v>
      </c>
      <c r="CU28" s="91">
        <f>'测算-京东自营'!L$34</f>
        <v>0</v>
      </c>
      <c r="CV28" s="91">
        <f>'测算-京东自营'!M$34</f>
        <v>0</v>
      </c>
      <c r="CW28" s="91">
        <f>'测算-京东自营'!N$34</f>
        <v>0</v>
      </c>
      <c r="CX28" s="91">
        <f>'测算-京东自营'!O$34</f>
        <v>0</v>
      </c>
      <c r="CY28" s="91">
        <f>'测算-京东自营'!P$34</f>
        <v>0</v>
      </c>
      <c r="CZ28" s="91">
        <f>'测算-京东自营'!Q$34</f>
        <v>0</v>
      </c>
      <c r="DA28" s="91">
        <f>'测算-京东自营'!R$34</f>
        <v>0</v>
      </c>
      <c r="DB28" s="91">
        <f>'测算-京东自营'!S$34</f>
        <v>0</v>
      </c>
      <c r="DC28" s="91">
        <f>'测算-京东自营'!T$34</f>
        <v>0</v>
      </c>
      <c r="DD28" s="92">
        <f>'测算-京东自营'!V$34</f>
        <v>0</v>
      </c>
      <c r="DE28" s="92">
        <f>'测算-京东自营'!W$34</f>
        <v>0</v>
      </c>
      <c r="DF28" s="91"/>
      <c r="DG28" s="91">
        <f>'测算-达播'!I$34</f>
        <v>0</v>
      </c>
      <c r="DH28" s="91">
        <f>'测算-达播'!J$34</f>
        <v>0</v>
      </c>
      <c r="DI28" s="91">
        <f>'测算-达播'!K$34</f>
        <v>0</v>
      </c>
      <c r="DJ28" s="91">
        <f>'测算-达播'!L$34</f>
        <v>0</v>
      </c>
      <c r="DK28" s="91">
        <f>'测算-达播'!M$34</f>
        <v>0</v>
      </c>
      <c r="DL28" s="91">
        <f>'测算-达播'!N$34</f>
        <v>0</v>
      </c>
      <c r="DM28" s="91">
        <f>'测算-达播'!O$34</f>
        <v>0</v>
      </c>
      <c r="DN28" s="91">
        <f>'测算-达播'!P$34</f>
        <v>0</v>
      </c>
      <c r="DO28" s="91">
        <f>'测算-达播'!Q$34</f>
        <v>0</v>
      </c>
      <c r="DP28" s="91">
        <f>'测算-达播'!R$34</f>
        <v>0</v>
      </c>
      <c r="DQ28" s="91">
        <f>'测算-达播'!S$34</f>
        <v>0</v>
      </c>
      <c r="DR28" s="91">
        <f>'测算-达播'!T$34</f>
        <v>0</v>
      </c>
      <c r="DS28" s="92">
        <f>'测算-达播'!V$34</f>
        <v>0</v>
      </c>
      <c r="DT28" s="92">
        <f>'测算-达播'!W$34</f>
        <v>0</v>
      </c>
      <c r="DU28" s="91"/>
      <c r="DV28" s="91">
        <f>'测算-私域'!I$33</f>
        <v>0</v>
      </c>
      <c r="DW28" s="91">
        <f>'测算-私域'!J$33</f>
        <v>0</v>
      </c>
      <c r="DX28" s="91">
        <f>'测算-私域'!K$33</f>
        <v>0</v>
      </c>
      <c r="DY28" s="91">
        <f>'测算-私域'!L$33</f>
        <v>0</v>
      </c>
      <c r="DZ28" s="91">
        <f>'测算-私域'!M$33</f>
        <v>0</v>
      </c>
      <c r="EA28" s="91">
        <f>'测算-私域'!N$33</f>
        <v>0</v>
      </c>
      <c r="EB28" s="91">
        <f>'测算-私域'!O$33</f>
        <v>0</v>
      </c>
      <c r="EC28" s="91">
        <f>'测算-私域'!P$33</f>
        <v>0</v>
      </c>
      <c r="ED28" s="91">
        <f>'测算-私域'!Q$33</f>
        <v>0</v>
      </c>
      <c r="EE28" s="91">
        <f>'测算-私域'!R$33</f>
        <v>0</v>
      </c>
      <c r="EF28" s="91">
        <f>'测算-私域'!S$33</f>
        <v>0</v>
      </c>
      <c r="EG28" s="91">
        <f>'测算-私域'!T$33</f>
        <v>0</v>
      </c>
      <c r="EH28" s="92">
        <f>'测算-私域'!V$33</f>
        <v>0</v>
      </c>
      <c r="EI28" s="92">
        <f>'测算-私域'!W$33</f>
        <v>0</v>
      </c>
      <c r="EJ28" s="42"/>
      <c r="EK28" s="91" t="str">
        <f>'测算-外部分销'!I$33</f>
        <v/>
      </c>
      <c r="EL28" s="91" t="str">
        <f>'测算-外部分销'!J$33</f>
        <v/>
      </c>
      <c r="EM28" s="91" t="str">
        <f>'测算-外部分销'!K$33</f>
        <v/>
      </c>
      <c r="EN28" s="91" t="str">
        <f>'测算-外部分销'!L$33</f>
        <v/>
      </c>
      <c r="EO28" s="91" t="str">
        <f>'测算-外部分销'!M$33</f>
        <v/>
      </c>
      <c r="EP28" s="91" t="str">
        <f>'测算-外部分销'!N$33</f>
        <v/>
      </c>
      <c r="EQ28" s="91">
        <f>'测算-外部分销'!O$33</f>
        <v>0</v>
      </c>
      <c r="ER28" s="91">
        <f>'测算-外部分销'!P$33</f>
        <v>0</v>
      </c>
      <c r="ES28" s="91">
        <f>'测算-外部分销'!Q$33</f>
        <v>0</v>
      </c>
      <c r="ET28" s="91">
        <f>'测算-外部分销'!R$33</f>
        <v>0</v>
      </c>
      <c r="EU28" s="91">
        <f>'测算-外部分销'!S$33</f>
        <v>0</v>
      </c>
      <c r="EV28" s="91">
        <f>'测算-外部分销'!T$33</f>
        <v>0</v>
      </c>
      <c r="EW28" s="92">
        <f>'测算-外部分销'!V$33</f>
        <v>0</v>
      </c>
      <c r="EX28" s="92">
        <f>'测算-外部分销'!W$33</f>
        <v>0</v>
      </c>
      <c r="EY28" s="10"/>
    </row>
    <row r="29" spans="1:155" ht="16" customHeight="1">
      <c r="A29" s="68"/>
      <c r="B29" s="68"/>
      <c r="C29" s="68"/>
      <c r="D29" s="68" t="s">
        <v>70</v>
      </c>
      <c r="E29" s="68" t="s">
        <v>72</v>
      </c>
      <c r="F29" s="91">
        <f t="shared" si="105"/>
        <v>0</v>
      </c>
      <c r="G29" s="91">
        <f t="shared" si="105"/>
        <v>0</v>
      </c>
      <c r="H29" s="91">
        <f t="shared" si="105"/>
        <v>0</v>
      </c>
      <c r="I29" s="91">
        <f t="shared" si="105"/>
        <v>0</v>
      </c>
      <c r="J29" s="91">
        <f t="shared" si="105"/>
        <v>0</v>
      </c>
      <c r="K29" s="91">
        <f t="shared" si="105"/>
        <v>0</v>
      </c>
      <c r="L29" s="91">
        <f t="shared" si="105"/>
        <v>0</v>
      </c>
      <c r="M29" s="91">
        <f t="shared" si="105"/>
        <v>0</v>
      </c>
      <c r="N29" s="91">
        <f t="shared" si="105"/>
        <v>0</v>
      </c>
      <c r="O29" s="91">
        <f t="shared" si="105"/>
        <v>0</v>
      </c>
      <c r="P29" s="91">
        <f t="shared" si="105"/>
        <v>0</v>
      </c>
      <c r="Q29" s="91">
        <f t="shared" si="105"/>
        <v>0</v>
      </c>
      <c r="R29" s="92">
        <f>SUM(F29:Q29)</f>
        <v>0</v>
      </c>
      <c r="S29" s="92">
        <f>SUM(L29:Q29)</f>
        <v>0</v>
      </c>
      <c r="T29" s="91"/>
      <c r="U29" s="91">
        <f>'测算-高个子抖音'!I$34</f>
        <v>0</v>
      </c>
      <c r="V29" s="91">
        <f>'测算-高个子抖音'!J$34</f>
        <v>0</v>
      </c>
      <c r="W29" s="91">
        <f>'测算-高个子抖音'!K$34</f>
        <v>0</v>
      </c>
      <c r="X29" s="91">
        <f>'测算-高个子抖音'!L$34</f>
        <v>0</v>
      </c>
      <c r="Y29" s="91">
        <f>'测算-高个子抖音'!M$34</f>
        <v>0</v>
      </c>
      <c r="Z29" s="91">
        <f>'测算-高个子抖音'!N$34</f>
        <v>0</v>
      </c>
      <c r="AA29" s="91">
        <f>'测算-高个子抖音'!O$34</f>
        <v>0</v>
      </c>
      <c r="AB29" s="91">
        <f>'测算-高个子抖音'!P$34</f>
        <v>0</v>
      </c>
      <c r="AC29" s="91">
        <f>'测算-高个子抖音'!Q$34</f>
        <v>0</v>
      </c>
      <c r="AD29" s="91">
        <f>'测算-高个子抖音'!R$34</f>
        <v>0</v>
      </c>
      <c r="AE29" s="91">
        <f>'测算-高个子抖音'!S$34</f>
        <v>0</v>
      </c>
      <c r="AF29" s="91">
        <f>'测算-高个子抖音'!T$34</f>
        <v>0</v>
      </c>
      <c r="AG29" s="92">
        <f>'测算-高个子抖音'!V$34</f>
        <v>0</v>
      </c>
      <c r="AH29" s="92">
        <f>'测算-高个子抖音'!W$34</f>
        <v>0</v>
      </c>
      <c r="AI29" s="91"/>
      <c r="AJ29" s="91">
        <f>'测算-高个子视频号'!I$34</f>
        <v>0</v>
      </c>
      <c r="AK29" s="91">
        <f>'测算-高个子视频号'!J$34</f>
        <v>0</v>
      </c>
      <c r="AL29" s="91">
        <f>'测算-高个子视频号'!K$34</f>
        <v>0</v>
      </c>
      <c r="AM29" s="91">
        <f>'测算-高个子视频号'!L$34</f>
        <v>0</v>
      </c>
      <c r="AN29" s="91">
        <f>'测算-高个子视频号'!M$34</f>
        <v>0</v>
      </c>
      <c r="AO29" s="91">
        <f>'测算-高个子视频号'!N$34</f>
        <v>0</v>
      </c>
      <c r="AP29" s="91">
        <f>'测算-高个子视频号'!O$34</f>
        <v>0</v>
      </c>
      <c r="AQ29" s="91">
        <f>'测算-高个子视频号'!P$34</f>
        <v>0</v>
      </c>
      <c r="AR29" s="91">
        <f>'测算-高个子视频号'!Q$34</f>
        <v>0</v>
      </c>
      <c r="AS29" s="91">
        <f>'测算-高个子视频号'!R$34</f>
        <v>0</v>
      </c>
      <c r="AT29" s="91">
        <f>'测算-高个子视频号'!S$34</f>
        <v>0</v>
      </c>
      <c r="AU29" s="91">
        <f>'测算-高个子视频号'!T$34</f>
        <v>0</v>
      </c>
      <c r="AV29" s="92">
        <f>'测算-高个子视频号'!V$34</f>
        <v>0</v>
      </c>
      <c r="AW29" s="92">
        <f>'测算-高个子视频号'!W$34</f>
        <v>0</v>
      </c>
      <c r="AX29" s="91"/>
      <c r="AY29" s="91">
        <f>'测算-天猫淘宝'!I$33</f>
        <v>0</v>
      </c>
      <c r="AZ29" s="91">
        <f>'测算-天猫淘宝'!J$33</f>
        <v>0</v>
      </c>
      <c r="BA29" s="91">
        <f>'测算-天猫淘宝'!K$33</f>
        <v>0</v>
      </c>
      <c r="BB29" s="91">
        <f>'测算-天猫淘宝'!L$33</f>
        <v>0</v>
      </c>
      <c r="BC29" s="91">
        <f>'测算-天猫淘宝'!M$33</f>
        <v>0</v>
      </c>
      <c r="BD29" s="91">
        <f>'测算-天猫淘宝'!N$33</f>
        <v>0</v>
      </c>
      <c r="BE29" s="91">
        <f>'测算-天猫淘宝'!O$33</f>
        <v>0</v>
      </c>
      <c r="BF29" s="91">
        <f>'测算-天猫淘宝'!P$33</f>
        <v>0</v>
      </c>
      <c r="BG29" s="91">
        <f>'测算-天猫淘宝'!Q$33</f>
        <v>0</v>
      </c>
      <c r="BH29" s="91">
        <f>'测算-天猫淘宝'!R$33</f>
        <v>0</v>
      </c>
      <c r="BI29" s="91">
        <f>'测算-天猫淘宝'!S$33</f>
        <v>0</v>
      </c>
      <c r="BJ29" s="91">
        <f>'测算-天猫淘宝'!T$33</f>
        <v>0</v>
      </c>
      <c r="BK29" s="92">
        <f>'测算-天猫淘宝'!V$33</f>
        <v>0</v>
      </c>
      <c r="BL29" s="92">
        <f>'测算-天猫淘宝'!W$33</f>
        <v>0</v>
      </c>
      <c r="BM29" s="91"/>
      <c r="BN29" s="91">
        <f>'测算-拼多多'!I$34</f>
        <v>0</v>
      </c>
      <c r="BO29" s="91">
        <f>'测算-拼多多'!J$34</f>
        <v>0</v>
      </c>
      <c r="BP29" s="91">
        <f>'测算-拼多多'!K$34</f>
        <v>0</v>
      </c>
      <c r="BQ29" s="91">
        <f>'测算-拼多多'!L$34</f>
        <v>0</v>
      </c>
      <c r="BR29" s="91">
        <f>'测算-拼多多'!M$34</f>
        <v>0</v>
      </c>
      <c r="BS29" s="91">
        <f>'测算-拼多多'!N$34</f>
        <v>0</v>
      </c>
      <c r="BT29" s="91">
        <f>'测算-拼多多'!O$34</f>
        <v>0</v>
      </c>
      <c r="BU29" s="91">
        <f>'测算-拼多多'!P$34</f>
        <v>0</v>
      </c>
      <c r="BV29" s="91">
        <f>'测算-拼多多'!Q$34</f>
        <v>0</v>
      </c>
      <c r="BW29" s="91">
        <f>'测算-拼多多'!R$34</f>
        <v>0</v>
      </c>
      <c r="BX29" s="91">
        <f>'测算-拼多多'!S$34</f>
        <v>0</v>
      </c>
      <c r="BY29" s="91">
        <f>'测算-拼多多'!T$34</f>
        <v>0</v>
      </c>
      <c r="BZ29" s="92">
        <f>'测算-拼多多'!V$34</f>
        <v>0</v>
      </c>
      <c r="CA29" s="92">
        <f>'测算-拼多多'!W$34</f>
        <v>0</v>
      </c>
      <c r="CB29" s="91"/>
      <c r="CC29" s="91">
        <f>'测算-京东POP'!I$34</f>
        <v>0</v>
      </c>
      <c r="CD29" s="91">
        <f>'测算-京东POP'!J$34</f>
        <v>0</v>
      </c>
      <c r="CE29" s="91">
        <f>'测算-京东POP'!K$34</f>
        <v>0</v>
      </c>
      <c r="CF29" s="91">
        <f>'测算-京东POP'!L$34</f>
        <v>0</v>
      </c>
      <c r="CG29" s="91">
        <f>'测算-京东POP'!M$34</f>
        <v>0</v>
      </c>
      <c r="CH29" s="91">
        <f>'测算-京东POP'!N$34</f>
        <v>0</v>
      </c>
      <c r="CI29" s="91">
        <f>'测算-京东POP'!O$34</f>
        <v>0</v>
      </c>
      <c r="CJ29" s="91">
        <f>'测算-京东POP'!P$34</f>
        <v>0</v>
      </c>
      <c r="CK29" s="91">
        <f>'测算-京东POP'!Q$34</f>
        <v>0</v>
      </c>
      <c r="CL29" s="91">
        <f>'测算-京东POP'!R$34</f>
        <v>0</v>
      </c>
      <c r="CM29" s="91">
        <f>'测算-京东POP'!S$34</f>
        <v>0</v>
      </c>
      <c r="CN29" s="91">
        <f>'测算-京东POP'!T$34</f>
        <v>0</v>
      </c>
      <c r="CO29" s="92">
        <f>'测算-京东POP'!V$34</f>
        <v>0</v>
      </c>
      <c r="CP29" s="92">
        <f>'测算-京东POP'!W$34</f>
        <v>0</v>
      </c>
      <c r="CQ29" s="91"/>
      <c r="CR29" s="91">
        <f>'测算-京东自营'!I$35</f>
        <v>0</v>
      </c>
      <c r="CS29" s="91">
        <f>'测算-京东自营'!J$35</f>
        <v>0</v>
      </c>
      <c r="CT29" s="91">
        <f>'测算-京东自营'!K$35</f>
        <v>0</v>
      </c>
      <c r="CU29" s="91">
        <f>'测算-京东自营'!L$35</f>
        <v>0</v>
      </c>
      <c r="CV29" s="91">
        <f>'测算-京东自营'!M$35</f>
        <v>0</v>
      </c>
      <c r="CW29" s="91">
        <f>'测算-京东自营'!N$35</f>
        <v>0</v>
      </c>
      <c r="CX29" s="91">
        <f>'测算-京东自营'!O$35</f>
        <v>0</v>
      </c>
      <c r="CY29" s="91">
        <f>'测算-京东自营'!P$35</f>
        <v>0</v>
      </c>
      <c r="CZ29" s="91">
        <f>'测算-京东自营'!Q$35</f>
        <v>0</v>
      </c>
      <c r="DA29" s="91">
        <f>'测算-京东自营'!R$35</f>
        <v>0</v>
      </c>
      <c r="DB29" s="91">
        <f>'测算-京东自营'!S$35</f>
        <v>0</v>
      </c>
      <c r="DC29" s="91">
        <f>'测算-京东自营'!T$35</f>
        <v>0</v>
      </c>
      <c r="DD29" s="92">
        <f>'测算-京东自营'!V$35</f>
        <v>0</v>
      </c>
      <c r="DE29" s="92">
        <f>'测算-京东自营'!W$35</f>
        <v>0</v>
      </c>
      <c r="DF29" s="91"/>
      <c r="DG29" s="91">
        <f>'测算-达播'!I$35</f>
        <v>0</v>
      </c>
      <c r="DH29" s="91">
        <f>'测算-达播'!J$35</f>
        <v>0</v>
      </c>
      <c r="DI29" s="91">
        <f>'测算-达播'!K$35</f>
        <v>0</v>
      </c>
      <c r="DJ29" s="91">
        <f>'测算-达播'!L$35</f>
        <v>0</v>
      </c>
      <c r="DK29" s="91">
        <f>'测算-达播'!M$35</f>
        <v>0</v>
      </c>
      <c r="DL29" s="91">
        <f>'测算-达播'!N$35</f>
        <v>0</v>
      </c>
      <c r="DM29" s="91">
        <f>'测算-达播'!O$35</f>
        <v>0</v>
      </c>
      <c r="DN29" s="91">
        <f>'测算-达播'!P$35</f>
        <v>0</v>
      </c>
      <c r="DO29" s="91">
        <f>'测算-达播'!Q$35</f>
        <v>0</v>
      </c>
      <c r="DP29" s="91">
        <f>'测算-达播'!R$35</f>
        <v>0</v>
      </c>
      <c r="DQ29" s="91">
        <f>'测算-达播'!S$35</f>
        <v>0</v>
      </c>
      <c r="DR29" s="91">
        <f>'测算-达播'!T$35</f>
        <v>0</v>
      </c>
      <c r="DS29" s="92">
        <f>'测算-达播'!V$35</f>
        <v>0</v>
      </c>
      <c r="DT29" s="92">
        <f>'测算-达播'!W$35</f>
        <v>0</v>
      </c>
      <c r="DU29" s="91"/>
      <c r="DV29" s="91">
        <f>'测算-私域'!I$34</f>
        <v>0</v>
      </c>
      <c r="DW29" s="91">
        <f>'测算-私域'!J$34</f>
        <v>0</v>
      </c>
      <c r="DX29" s="91">
        <f>'测算-私域'!K$34</f>
        <v>0</v>
      </c>
      <c r="DY29" s="91">
        <f>'测算-私域'!L$34</f>
        <v>0</v>
      </c>
      <c r="DZ29" s="91">
        <f>'测算-私域'!M$34</f>
        <v>0</v>
      </c>
      <c r="EA29" s="91">
        <f>'测算-私域'!N$34</f>
        <v>0</v>
      </c>
      <c r="EB29" s="91">
        <f>'测算-私域'!O$34</f>
        <v>0</v>
      </c>
      <c r="EC29" s="91">
        <f>'测算-私域'!P$34</f>
        <v>0</v>
      </c>
      <c r="ED29" s="91">
        <f>'测算-私域'!Q$34</f>
        <v>0</v>
      </c>
      <c r="EE29" s="91">
        <f>'测算-私域'!R$34</f>
        <v>0</v>
      </c>
      <c r="EF29" s="91">
        <f>'测算-私域'!S$34</f>
        <v>0</v>
      </c>
      <c r="EG29" s="91">
        <f>'测算-私域'!T$34</f>
        <v>0</v>
      </c>
      <c r="EH29" s="92">
        <f>'测算-私域'!V$34</f>
        <v>0</v>
      </c>
      <c r="EI29" s="92">
        <f>'测算-私域'!W$34</f>
        <v>0</v>
      </c>
      <c r="EJ29" s="42"/>
      <c r="EK29" s="91" t="str">
        <f>'测算-外部分销'!I$34</f>
        <v/>
      </c>
      <c r="EL29" s="91" t="str">
        <f>'测算-外部分销'!J$34</f>
        <v/>
      </c>
      <c r="EM29" s="91" t="str">
        <f>'测算-外部分销'!K$34</f>
        <v/>
      </c>
      <c r="EN29" s="91" t="str">
        <f>'测算-外部分销'!L$34</f>
        <v/>
      </c>
      <c r="EO29" s="91" t="str">
        <f>'测算-外部分销'!M$34</f>
        <v/>
      </c>
      <c r="EP29" s="91" t="str">
        <f>'测算-外部分销'!N$34</f>
        <v/>
      </c>
      <c r="EQ29" s="91">
        <f>'测算-外部分销'!O$34</f>
        <v>0</v>
      </c>
      <c r="ER29" s="91">
        <f>'测算-外部分销'!P$34</f>
        <v>0</v>
      </c>
      <c r="ES29" s="91">
        <f>'测算-外部分销'!Q$34</f>
        <v>0</v>
      </c>
      <c r="ET29" s="91">
        <f>'测算-外部分销'!R$34</f>
        <v>0</v>
      </c>
      <c r="EU29" s="91">
        <f>'测算-外部分销'!S$34</f>
        <v>0</v>
      </c>
      <c r="EV29" s="91">
        <f>'测算-外部分销'!T$34</f>
        <v>0</v>
      </c>
      <c r="EW29" s="92">
        <f>'测算-外部分销'!V$34</f>
        <v>0</v>
      </c>
      <c r="EX29" s="92">
        <f>'测算-外部分销'!W$34</f>
        <v>0</v>
      </c>
      <c r="EY29" s="10"/>
    </row>
    <row r="30" spans="1:155" ht="16" customHeight="1">
      <c r="A30" s="76"/>
      <c r="B30" s="48"/>
      <c r="C30" s="48" t="s">
        <v>74</v>
      </c>
      <c r="D30" s="76"/>
      <c r="E30" s="76"/>
      <c r="F30" s="86">
        <f t="shared" si="105"/>
        <v>37.219239589430906</v>
      </c>
      <c r="G30" s="86">
        <f t="shared" si="105"/>
        <v>40.605946715982284</v>
      </c>
      <c r="H30" s="86">
        <f t="shared" si="105"/>
        <v>40.113545292552068</v>
      </c>
      <c r="I30" s="86">
        <f t="shared" si="105"/>
        <v>29.593611565285038</v>
      </c>
      <c r="J30" s="86">
        <f t="shared" si="105"/>
        <v>35.070613126941858</v>
      </c>
      <c r="K30" s="86">
        <f t="shared" si="105"/>
        <v>48.212655978036274</v>
      </c>
      <c r="L30" s="86">
        <f t="shared" si="105"/>
        <v>30.707836222523436</v>
      </c>
      <c r="M30" s="86">
        <f t="shared" si="105"/>
        <v>40.606089302809124</v>
      </c>
      <c r="N30" s="86">
        <f t="shared" si="105"/>
        <v>50.965786486706314</v>
      </c>
      <c r="O30" s="86">
        <f t="shared" si="105"/>
        <v>54.935058706015113</v>
      </c>
      <c r="P30" s="86">
        <f t="shared" si="105"/>
        <v>66.697787062552095</v>
      </c>
      <c r="Q30" s="86">
        <f t="shared" si="105"/>
        <v>56.89297406532215</v>
      </c>
      <c r="R30" s="78">
        <f>SUM(F30:Q30)</f>
        <v>531.62114411415666</v>
      </c>
      <c r="S30" s="78">
        <f>SUM(L30:Q30)</f>
        <v>300.80553184592827</v>
      </c>
      <c r="T30" s="87"/>
      <c r="U30" s="86">
        <f t="shared" ref="U30:AH30" si="106">SUM(U32:U35)</f>
        <v>15.341833925718603</v>
      </c>
      <c r="V30" s="86">
        <f t="shared" si="106"/>
        <v>13.75130750613059</v>
      </c>
      <c r="W30" s="86">
        <f t="shared" si="106"/>
        <v>14.375733696866389</v>
      </c>
      <c r="X30" s="86">
        <f t="shared" si="106"/>
        <v>11.01981243760615</v>
      </c>
      <c r="Y30" s="86">
        <f t="shared" si="106"/>
        <v>10.660791899141849</v>
      </c>
      <c r="Z30" s="86">
        <f t="shared" si="106"/>
        <v>9.838483475365333</v>
      </c>
      <c r="AA30" s="86">
        <f t="shared" si="106"/>
        <v>6.8060463532223849</v>
      </c>
      <c r="AB30" s="86">
        <f t="shared" si="106"/>
        <v>9.1027368921698564</v>
      </c>
      <c r="AC30" s="86">
        <f t="shared" si="106"/>
        <v>11.51146111594403</v>
      </c>
      <c r="AD30" s="86">
        <f t="shared" si="106"/>
        <v>12.449743226367698</v>
      </c>
      <c r="AE30" s="86">
        <f t="shared" si="106"/>
        <v>15.124547451605302</v>
      </c>
      <c r="AF30" s="86">
        <f t="shared" si="106"/>
        <v>12.883873755071178</v>
      </c>
      <c r="AG30" s="78">
        <f t="shared" si="106"/>
        <v>142.86637173520938</v>
      </c>
      <c r="AH30" s="78">
        <f t="shared" si="106"/>
        <v>67.878408794380448</v>
      </c>
      <c r="AI30" s="87"/>
      <c r="AJ30" s="86">
        <f t="shared" ref="AJ30:AW30" si="107">SUM(AJ32:AJ35)</f>
        <v>2.2723218290278901</v>
      </c>
      <c r="AK30" s="86">
        <f t="shared" si="107"/>
        <v>0.62619705955764493</v>
      </c>
      <c r="AL30" s="86">
        <f t="shared" si="107"/>
        <v>0.93141624316362515</v>
      </c>
      <c r="AM30" s="86">
        <f t="shared" si="107"/>
        <v>0.24741419946584386</v>
      </c>
      <c r="AN30" s="86">
        <f t="shared" si="107"/>
        <v>1.8633686669069267</v>
      </c>
      <c r="AO30" s="86">
        <f t="shared" si="107"/>
        <v>3.4653381206416665</v>
      </c>
      <c r="AP30" s="86">
        <f t="shared" si="107"/>
        <v>2.5977145019112422</v>
      </c>
      <c r="AQ30" s="86">
        <f t="shared" si="107"/>
        <v>3.4743095190170936</v>
      </c>
      <c r="AR30" s="86">
        <f t="shared" si="107"/>
        <v>4.3936652686646944</v>
      </c>
      <c r="AS30" s="86">
        <f t="shared" si="107"/>
        <v>4.7517864037018418</v>
      </c>
      <c r="AT30" s="86">
        <f t="shared" si="107"/>
        <v>5.7726988931360959</v>
      </c>
      <c r="AU30" s="86">
        <f t="shared" si="107"/>
        <v>4.917484242301116</v>
      </c>
      <c r="AV30" s="78">
        <f t="shared" si="107"/>
        <v>35.313714947495676</v>
      </c>
      <c r="AW30" s="78">
        <f t="shared" si="107"/>
        <v>25.907658828732085</v>
      </c>
      <c r="AX30" s="87"/>
      <c r="AY30" s="86">
        <f t="shared" ref="AY30:BL30" si="108">SUM(AY32:AY35)</f>
        <v>0.94911133391762603</v>
      </c>
      <c r="AZ30" s="86">
        <f t="shared" si="108"/>
        <v>0.70270802195794302</v>
      </c>
      <c r="BA30" s="86">
        <f t="shared" si="108"/>
        <v>0.94589367907334831</v>
      </c>
      <c r="BB30" s="86">
        <f t="shared" si="108"/>
        <v>1.045633172433911</v>
      </c>
      <c r="BC30" s="86">
        <f t="shared" si="108"/>
        <v>0.950818541991724</v>
      </c>
      <c r="BD30" s="86">
        <f t="shared" si="108"/>
        <v>0.8627356380839718</v>
      </c>
      <c r="BE30" s="86">
        <f t="shared" si="108"/>
        <v>0.79435711151685062</v>
      </c>
      <c r="BF30" s="86">
        <f t="shared" si="108"/>
        <v>1.0624117746624546</v>
      </c>
      <c r="BG30" s="86">
        <f t="shared" si="108"/>
        <v>1.3435422750346731</v>
      </c>
      <c r="BH30" s="86">
        <f t="shared" si="108"/>
        <v>1.4530524118075727</v>
      </c>
      <c r="BI30" s="86">
        <f t="shared" si="108"/>
        <v>1.7652380255930014</v>
      </c>
      <c r="BJ30" s="86">
        <f t="shared" si="108"/>
        <v>1.503721281060705</v>
      </c>
      <c r="BK30" s="78">
        <f t="shared" si="108"/>
        <v>13.379223267133783</v>
      </c>
      <c r="BL30" s="78">
        <f t="shared" si="108"/>
        <v>7.9223228796752574</v>
      </c>
      <c r="BM30" s="87"/>
      <c r="BN30" s="86">
        <f t="shared" ref="BN30:CA30" si="109">SUM(BN32:BN35)</f>
        <v>2.4510934544116937E-2</v>
      </c>
      <c r="BO30" s="86">
        <f t="shared" si="109"/>
        <v>4.378759676169771E-2</v>
      </c>
      <c r="BP30" s="86">
        <f t="shared" si="109"/>
        <v>5.3812519430937081E-2</v>
      </c>
      <c r="BQ30" s="86">
        <f t="shared" si="109"/>
        <v>1.2399511610117851E-2</v>
      </c>
      <c r="BR30" s="86">
        <f t="shared" si="109"/>
        <v>3.1437704192388574E-2</v>
      </c>
      <c r="BS30" s="86">
        <f t="shared" si="109"/>
        <v>0.43034713752015352</v>
      </c>
      <c r="BT30" s="86">
        <f t="shared" si="109"/>
        <v>0.25463813632373433</v>
      </c>
      <c r="BU30" s="86">
        <f t="shared" si="109"/>
        <v>0.34056540866343077</v>
      </c>
      <c r="BV30" s="86">
        <f t="shared" si="109"/>
        <v>0.43068425526359994</v>
      </c>
      <c r="BW30" s="86">
        <f t="shared" si="109"/>
        <v>0.46578868969506149</v>
      </c>
      <c r="BX30" s="86">
        <f t="shared" si="109"/>
        <v>0.56586252516385416</v>
      </c>
      <c r="BY30" s="86">
        <f t="shared" si="109"/>
        <v>0.48203103995439434</v>
      </c>
      <c r="BZ30" s="78">
        <f t="shared" si="109"/>
        <v>3.1358654591234867</v>
      </c>
      <c r="CA30" s="78">
        <f t="shared" si="109"/>
        <v>2.539570055064075</v>
      </c>
      <c r="CB30" s="87"/>
      <c r="CC30" s="86">
        <f t="shared" ref="CC30:CP30" si="110">SUM(CC32:CC35)</f>
        <v>0.59660366522498798</v>
      </c>
      <c r="CD30" s="86">
        <f t="shared" si="110"/>
        <v>0.43343218735643385</v>
      </c>
      <c r="CE30" s="86">
        <f t="shared" si="110"/>
        <v>0.66106208401611988</v>
      </c>
      <c r="CF30" s="86">
        <f t="shared" si="110"/>
        <v>0.67559413741556562</v>
      </c>
      <c r="CG30" s="86">
        <f t="shared" si="110"/>
        <v>0.60362588161420527</v>
      </c>
      <c r="CH30" s="86">
        <f t="shared" si="110"/>
        <v>0.59066406440993435</v>
      </c>
      <c r="CI30" s="86">
        <f t="shared" si="110"/>
        <v>0.89408183065402702</v>
      </c>
      <c r="CJ30" s="86">
        <f t="shared" si="110"/>
        <v>1.1957884566360444</v>
      </c>
      <c r="CK30" s="86">
        <f t="shared" si="110"/>
        <v>1.5122124790074287</v>
      </c>
      <c r="CL30" s="86">
        <f t="shared" si="110"/>
        <v>1.6354706737683748</v>
      </c>
      <c r="CM30" s="86">
        <f t="shared" si="110"/>
        <v>1.9868485125645048</v>
      </c>
      <c r="CN30" s="86">
        <f t="shared" si="110"/>
        <v>1.6925005847771701</v>
      </c>
      <c r="CO30" s="78">
        <f t="shared" si="110"/>
        <v>12.477884557444797</v>
      </c>
      <c r="CP30" s="78">
        <f t="shared" si="110"/>
        <v>8.9169025374075499</v>
      </c>
      <c r="CQ30" s="87"/>
      <c r="CR30" s="86">
        <f t="shared" ref="CR30:DE30" si="111">SUM(CR32:CR35)</f>
        <v>11.776414810841841</v>
      </c>
      <c r="CS30" s="86">
        <f t="shared" si="111"/>
        <v>20.94537275581018</v>
      </c>
      <c r="CT30" s="86">
        <f t="shared" si="111"/>
        <v>9.7895902698099704</v>
      </c>
      <c r="CU30" s="86">
        <f t="shared" si="111"/>
        <v>10.30885157573479</v>
      </c>
      <c r="CV30" s="86">
        <f t="shared" si="111"/>
        <v>13.157244179524788</v>
      </c>
      <c r="CW30" s="86">
        <f t="shared" si="111"/>
        <v>26.767125434781008</v>
      </c>
      <c r="CX30" s="86">
        <f t="shared" si="111"/>
        <v>13.07419393095836</v>
      </c>
      <c r="CY30" s="86">
        <f t="shared" si="111"/>
        <v>17.486061841816742</v>
      </c>
      <c r="CZ30" s="86">
        <f t="shared" si="111"/>
        <v>22.113142821497476</v>
      </c>
      <c r="DA30" s="86">
        <f t="shared" si="111"/>
        <v>23.915552272884749</v>
      </c>
      <c r="DB30" s="86">
        <f t="shared" si="111"/>
        <v>29.053764291018588</v>
      </c>
      <c r="DC30" s="86">
        <f t="shared" si="111"/>
        <v>24.749502914571387</v>
      </c>
      <c r="DD30" s="78">
        <f t="shared" si="111"/>
        <v>223.1368170992499</v>
      </c>
      <c r="DE30" s="78">
        <f t="shared" si="111"/>
        <v>130.39221807274731</v>
      </c>
      <c r="DF30" s="87"/>
      <c r="DG30" s="86">
        <f t="shared" ref="DG30:DT30" si="112">SUM(DG32:DG35)</f>
        <v>1.9102016151558381</v>
      </c>
      <c r="DH30" s="86">
        <f t="shared" si="112"/>
        <v>0.52378122923336179</v>
      </c>
      <c r="DI30" s="86">
        <f t="shared" si="112"/>
        <v>6.9316488001916756</v>
      </c>
      <c r="DJ30" s="86">
        <f t="shared" si="112"/>
        <v>1.0952625310186572</v>
      </c>
      <c r="DK30" s="86">
        <f t="shared" si="112"/>
        <v>2.3870242535699755</v>
      </c>
      <c r="DL30" s="86">
        <f t="shared" si="112"/>
        <v>0.97013810723420657</v>
      </c>
      <c r="DM30" s="86">
        <f t="shared" si="112"/>
        <v>3.0707447250630513</v>
      </c>
      <c r="DN30" s="86">
        <f t="shared" si="112"/>
        <v>4.1069631096522299</v>
      </c>
      <c r="DO30" s="86">
        <f t="shared" si="112"/>
        <v>5.1937287325140495</v>
      </c>
      <c r="DP30" s="86">
        <f t="shared" si="112"/>
        <v>5.6170618530474341</v>
      </c>
      <c r="DQ30" s="86">
        <f t="shared" si="112"/>
        <v>6.823877166806783</v>
      </c>
      <c r="DR30" s="86">
        <f t="shared" si="112"/>
        <v>5.8129324013539243</v>
      </c>
      <c r="DS30" s="78">
        <f t="shared" si="112"/>
        <v>44.443364524841186</v>
      </c>
      <c r="DT30" s="78">
        <f t="shared" si="112"/>
        <v>30.625307988437473</v>
      </c>
      <c r="DU30" s="87"/>
      <c r="DV30" s="86">
        <f t="shared" ref="DV30:EI30" si="113">SUM(DV32:DV35)</f>
        <v>0</v>
      </c>
      <c r="DW30" s="86">
        <f t="shared" si="113"/>
        <v>0</v>
      </c>
      <c r="DX30" s="86">
        <f t="shared" si="113"/>
        <v>0</v>
      </c>
      <c r="DY30" s="86">
        <f t="shared" si="113"/>
        <v>0</v>
      </c>
      <c r="DZ30" s="86">
        <f t="shared" si="113"/>
        <v>0</v>
      </c>
      <c r="EA30" s="86">
        <f t="shared" si="113"/>
        <v>0</v>
      </c>
      <c r="EB30" s="86">
        <f t="shared" si="113"/>
        <v>1.2403233</v>
      </c>
      <c r="EC30" s="86">
        <f t="shared" si="113"/>
        <v>1.1948065875</v>
      </c>
      <c r="ED30" s="86">
        <f t="shared" si="113"/>
        <v>1.1256720375</v>
      </c>
      <c r="EE30" s="86">
        <f t="shared" si="113"/>
        <v>1.0325504999999999</v>
      </c>
      <c r="EF30" s="86">
        <f t="shared" si="113"/>
        <v>1.2144250125</v>
      </c>
      <c r="EG30" s="86">
        <f t="shared" si="113"/>
        <v>1.1108508374999999</v>
      </c>
      <c r="EH30" s="78">
        <f t="shared" si="113"/>
        <v>6.9186282750000005</v>
      </c>
      <c r="EI30" s="78">
        <f t="shared" si="113"/>
        <v>6.9186282750000005</v>
      </c>
      <c r="EJ30" s="42"/>
      <c r="EK30" s="86">
        <f t="shared" ref="EK30:EX30" si="114">SUM(EK32:EK35)</f>
        <v>4.348241475</v>
      </c>
      <c r="EL30" s="86">
        <f t="shared" si="114"/>
        <v>3.5793603591744274</v>
      </c>
      <c r="EM30" s="86">
        <f t="shared" si="114"/>
        <v>6.4243880000000004</v>
      </c>
      <c r="EN30" s="86">
        <f t="shared" si="114"/>
        <v>5.188644</v>
      </c>
      <c r="EO30" s="86">
        <f t="shared" si="114"/>
        <v>5.4163019999999999</v>
      </c>
      <c r="EP30" s="86">
        <f t="shared" si="114"/>
        <v>5.2878240000000005</v>
      </c>
      <c r="EQ30" s="86">
        <f t="shared" si="114"/>
        <v>1.975736332873788</v>
      </c>
      <c r="ER30" s="86">
        <f t="shared" si="114"/>
        <v>2.6424457126912806</v>
      </c>
      <c r="ES30" s="86">
        <f t="shared" si="114"/>
        <v>3.341677501280357</v>
      </c>
      <c r="ET30" s="86">
        <f t="shared" si="114"/>
        <v>3.6140526747423829</v>
      </c>
      <c r="EU30" s="86">
        <f t="shared" si="114"/>
        <v>4.3905251841639741</v>
      </c>
      <c r="EV30" s="86">
        <f t="shared" si="114"/>
        <v>3.740077008732273</v>
      </c>
      <c r="EW30" s="78">
        <f t="shared" si="114"/>
        <v>49.949274248658483</v>
      </c>
      <c r="EX30" s="78">
        <f t="shared" si="114"/>
        <v>19.704514414484056</v>
      </c>
      <c r="EY30" s="9"/>
    </row>
    <row r="31" spans="1:155" s="8" customFormat="1" ht="16" customHeight="1">
      <c r="A31" s="88"/>
      <c r="B31" s="89"/>
      <c r="C31" s="89" t="s">
        <v>108</v>
      </c>
      <c r="D31" s="88"/>
      <c r="E31" s="88"/>
      <c r="F31" s="90">
        <f t="shared" ref="F31:S31" si="115">IFERROR(F30/F3,0)</f>
        <v>3.3942426593024412E-2</v>
      </c>
      <c r="G31" s="90">
        <f t="shared" si="115"/>
        <v>6.106528292144283E-2</v>
      </c>
      <c r="H31" s="90">
        <f t="shared" si="115"/>
        <v>3.9626348452390069E-2</v>
      </c>
      <c r="I31" s="90">
        <f t="shared" si="115"/>
        <v>3.0263965946732689E-2</v>
      </c>
      <c r="J31" s="90">
        <f t="shared" si="115"/>
        <v>2.8791167789717412E-2</v>
      </c>
      <c r="K31" s="90">
        <f t="shared" si="115"/>
        <v>3.8862665166213069E-2</v>
      </c>
      <c r="L31" s="90">
        <f t="shared" si="115"/>
        <v>3.878016426751555E-2</v>
      </c>
      <c r="M31" s="90">
        <f t="shared" si="115"/>
        <v>3.8835226275617349E-2</v>
      </c>
      <c r="N31" s="90">
        <f t="shared" si="115"/>
        <v>3.887215379666753E-2</v>
      </c>
      <c r="O31" s="90">
        <f t="shared" si="115"/>
        <v>3.8888739161180616E-2</v>
      </c>
      <c r="P31" s="90">
        <f t="shared" si="115"/>
        <v>3.8891703775960663E-2</v>
      </c>
      <c r="Q31" s="90">
        <f t="shared" si="115"/>
        <v>3.8885061851883333E-2</v>
      </c>
      <c r="R31" s="83">
        <f t="shared" si="115"/>
        <v>3.8110179772039746E-2</v>
      </c>
      <c r="S31" s="83">
        <f t="shared" si="115"/>
        <v>3.8867552498111815E-2</v>
      </c>
      <c r="T31" s="84"/>
      <c r="U31" s="90">
        <f t="shared" ref="U31:AH31" si="116">IFERROR(U30/U3,0)</f>
        <v>3.717105039217846E-2</v>
      </c>
      <c r="V31" s="90">
        <f t="shared" si="116"/>
        <v>5.8192098413932365E-2</v>
      </c>
      <c r="W31" s="90">
        <f t="shared" si="116"/>
        <v>2.9889178343858701E-2</v>
      </c>
      <c r="X31" s="90">
        <f t="shared" si="116"/>
        <v>3.7973507416431997E-2</v>
      </c>
      <c r="Y31" s="90">
        <f t="shared" si="116"/>
        <v>2.7814566750619496E-2</v>
      </c>
      <c r="Z31" s="90">
        <f t="shared" si="116"/>
        <v>3.6233971814291707E-2</v>
      </c>
      <c r="AA31" s="90">
        <f t="shared" si="116"/>
        <v>3.6233971814291707E-2</v>
      </c>
      <c r="AB31" s="90">
        <f t="shared" si="116"/>
        <v>3.62339718142917E-2</v>
      </c>
      <c r="AC31" s="90">
        <f t="shared" si="116"/>
        <v>3.62339718142917E-2</v>
      </c>
      <c r="AD31" s="90">
        <f t="shared" si="116"/>
        <v>3.62339718142917E-2</v>
      </c>
      <c r="AE31" s="90">
        <f t="shared" si="116"/>
        <v>3.6233971814291707E-2</v>
      </c>
      <c r="AF31" s="90">
        <f t="shared" si="116"/>
        <v>3.6233971814291707E-2</v>
      </c>
      <c r="AG31" s="83">
        <f t="shared" si="116"/>
        <v>3.6183782700757561E-2</v>
      </c>
      <c r="AH31" s="83">
        <f t="shared" si="116"/>
        <v>3.62339718142917E-2</v>
      </c>
      <c r="AI31" s="84"/>
      <c r="AJ31" s="90">
        <f t="shared" ref="AJ31:AW31" si="117">IFERROR(AJ30/AJ3,0)</f>
        <v>0.14535231616226302</v>
      </c>
      <c r="AK31" s="90">
        <f t="shared" si="117"/>
        <v>0.11731589627698165</v>
      </c>
      <c r="AL31" s="90">
        <f t="shared" si="117"/>
        <v>8.2220664547800859E-2</v>
      </c>
      <c r="AM31" s="90">
        <f t="shared" si="117"/>
        <v>3.2990759312733361E-2</v>
      </c>
      <c r="AN31" s="90">
        <f t="shared" si="117"/>
        <v>2.7651947728524754E-2</v>
      </c>
      <c r="AO31" s="90">
        <f t="shared" si="117"/>
        <v>4.9128748322791453E-2</v>
      </c>
      <c r="AP31" s="90">
        <f t="shared" si="117"/>
        <v>4.9128748322791453E-2</v>
      </c>
      <c r="AQ31" s="90">
        <f t="shared" si="117"/>
        <v>4.912874832279146E-2</v>
      </c>
      <c r="AR31" s="90">
        <f t="shared" si="117"/>
        <v>4.9128748322791467E-2</v>
      </c>
      <c r="AS31" s="90">
        <f t="shared" si="117"/>
        <v>4.912874832279146E-2</v>
      </c>
      <c r="AT31" s="90">
        <f t="shared" si="117"/>
        <v>4.912874832279146E-2</v>
      </c>
      <c r="AU31" s="90">
        <f t="shared" si="117"/>
        <v>4.9128748322791453E-2</v>
      </c>
      <c r="AV31" s="83">
        <f t="shared" si="117"/>
        <v>5.008588883432747E-2</v>
      </c>
      <c r="AW31" s="83">
        <f t="shared" si="117"/>
        <v>4.912874832279146E-2</v>
      </c>
      <c r="AX31" s="84"/>
      <c r="AY31" s="90">
        <f t="shared" ref="AY31:BL31" si="118">IFERROR(AY30/AY3,0)</f>
        <v>3.4262502357937617E-2</v>
      </c>
      <c r="AZ31" s="90">
        <f t="shared" si="118"/>
        <v>4.9308047789733793E-2</v>
      </c>
      <c r="BA31" s="90">
        <f t="shared" si="118"/>
        <v>2.9048899955532632E-2</v>
      </c>
      <c r="BB31" s="90">
        <f t="shared" si="118"/>
        <v>3.0529748565712632E-2</v>
      </c>
      <c r="BC31" s="90">
        <f t="shared" si="118"/>
        <v>2.9169389365766029E-2</v>
      </c>
      <c r="BD31" s="90">
        <f t="shared" si="118"/>
        <v>3.2838462680039669E-2</v>
      </c>
      <c r="BE31" s="90">
        <f t="shared" si="118"/>
        <v>3.2838462680039669E-2</v>
      </c>
      <c r="BF31" s="90">
        <f t="shared" si="118"/>
        <v>3.2838462680039669E-2</v>
      </c>
      <c r="BG31" s="90">
        <f t="shared" si="118"/>
        <v>3.2838462680039662E-2</v>
      </c>
      <c r="BH31" s="90">
        <f t="shared" si="118"/>
        <v>3.2838462680039669E-2</v>
      </c>
      <c r="BI31" s="90">
        <f t="shared" si="118"/>
        <v>3.2838462680039669E-2</v>
      </c>
      <c r="BJ31" s="90">
        <f t="shared" si="118"/>
        <v>3.2838462680039669E-2</v>
      </c>
      <c r="BK31" s="83">
        <f t="shared" si="118"/>
        <v>3.2721300854127014E-2</v>
      </c>
      <c r="BL31" s="83">
        <f t="shared" si="118"/>
        <v>3.2838462680039669E-2</v>
      </c>
      <c r="BM31" s="84"/>
      <c r="BN31" s="90">
        <f t="shared" ref="BN31:CA31" si="119">IFERROR(BN30/BN3,0)</f>
        <v>0.15860986788914519</v>
      </c>
      <c r="BO31" s="90">
        <f t="shared" si="119"/>
        <v>0.15849623650028671</v>
      </c>
      <c r="BP31" s="90">
        <f t="shared" si="119"/>
        <v>0.14686903157478229</v>
      </c>
      <c r="BQ31" s="90">
        <f t="shared" si="119"/>
        <v>0.1051866849629529</v>
      </c>
      <c r="BR31" s="90">
        <f t="shared" si="119"/>
        <v>6.9672520100767868E-2</v>
      </c>
      <c r="BS31" s="90">
        <f t="shared" si="119"/>
        <v>8.7642166176060091E-2</v>
      </c>
      <c r="BT31" s="90">
        <f t="shared" si="119"/>
        <v>8.7642166176060105E-2</v>
      </c>
      <c r="BU31" s="90">
        <f t="shared" si="119"/>
        <v>8.7642166176060118E-2</v>
      </c>
      <c r="BV31" s="90">
        <f t="shared" si="119"/>
        <v>8.7642166176060105E-2</v>
      </c>
      <c r="BW31" s="90">
        <f t="shared" si="119"/>
        <v>8.7642166176060105E-2</v>
      </c>
      <c r="BX31" s="90">
        <f t="shared" si="119"/>
        <v>8.7642166176060105E-2</v>
      </c>
      <c r="BY31" s="90">
        <f t="shared" si="119"/>
        <v>8.7642166176060105E-2</v>
      </c>
      <c r="BZ31" s="83">
        <f t="shared" si="119"/>
        <v>8.8952753352960198E-2</v>
      </c>
      <c r="CA31" s="83">
        <f t="shared" si="119"/>
        <v>8.7642166176060105E-2</v>
      </c>
      <c r="CB31" s="84"/>
      <c r="CC31" s="90">
        <f t="shared" ref="CC31:CP31" si="120">IFERROR(CC30/CC3,0)</f>
        <v>4.3645836276079653E-2</v>
      </c>
      <c r="CD31" s="90">
        <f t="shared" si="120"/>
        <v>5.05632870084557E-2</v>
      </c>
      <c r="CE31" s="90">
        <f t="shared" si="120"/>
        <v>2.8416087480665972E-2</v>
      </c>
      <c r="CF31" s="90">
        <f t="shared" si="120"/>
        <v>3.4705831997635175E-2</v>
      </c>
      <c r="CG31" s="90">
        <f t="shared" si="120"/>
        <v>3.1403755939090214E-2</v>
      </c>
      <c r="CH31" s="90">
        <f t="shared" si="120"/>
        <v>3.5431190859164435E-2</v>
      </c>
      <c r="CI31" s="90">
        <f t="shared" si="120"/>
        <v>3.5431190859164428E-2</v>
      </c>
      <c r="CJ31" s="90">
        <f t="shared" si="120"/>
        <v>3.5431190859164428E-2</v>
      </c>
      <c r="CK31" s="90">
        <f t="shared" si="120"/>
        <v>3.5431190859164435E-2</v>
      </c>
      <c r="CL31" s="90">
        <f t="shared" si="120"/>
        <v>3.5431190859164435E-2</v>
      </c>
      <c r="CM31" s="90">
        <f t="shared" si="120"/>
        <v>3.5431190859164435E-2</v>
      </c>
      <c r="CN31" s="90">
        <f t="shared" si="120"/>
        <v>3.5431190859164428E-2</v>
      </c>
      <c r="CO31" s="83">
        <f t="shared" si="120"/>
        <v>3.539508317156375E-2</v>
      </c>
      <c r="CP31" s="83">
        <f t="shared" si="120"/>
        <v>3.5431190859164428E-2</v>
      </c>
      <c r="CQ31" s="84"/>
      <c r="CR31" s="90">
        <f t="shared" ref="CR31:DE31" si="121">IFERROR(CR30/CR3,0)</f>
        <v>2.9392323659487549E-2</v>
      </c>
      <c r="CS31" s="90">
        <f t="shared" si="121"/>
        <v>6.9546954252267104E-2</v>
      </c>
      <c r="CT31" s="90">
        <f t="shared" si="121"/>
        <v>0.24158460145410823</v>
      </c>
      <c r="CU31" s="90">
        <f t="shared" si="121"/>
        <v>2.3487328053741874E-2</v>
      </c>
      <c r="CV31" s="90">
        <f t="shared" si="121"/>
        <v>2.9485410101286764E-2</v>
      </c>
      <c r="CW31" s="90">
        <f t="shared" si="121"/>
        <v>4.0539295514302381E-2</v>
      </c>
      <c r="CX31" s="90">
        <f t="shared" si="121"/>
        <v>4.0539295514302388E-2</v>
      </c>
      <c r="CY31" s="90">
        <f t="shared" si="121"/>
        <v>4.0539295514302381E-2</v>
      </c>
      <c r="CZ31" s="90">
        <f t="shared" si="121"/>
        <v>4.0539295514302381E-2</v>
      </c>
      <c r="DA31" s="90">
        <f t="shared" si="121"/>
        <v>4.0539295514302388E-2</v>
      </c>
      <c r="DB31" s="90">
        <f t="shared" si="121"/>
        <v>4.0539295514302388E-2</v>
      </c>
      <c r="DC31" s="90">
        <f t="shared" si="121"/>
        <v>4.0539295514302388E-2</v>
      </c>
      <c r="DD31" s="83">
        <f t="shared" si="121"/>
        <v>4.0539295514302388E-2</v>
      </c>
      <c r="DE31" s="83">
        <f t="shared" si="121"/>
        <v>4.0539295514302388E-2</v>
      </c>
      <c r="DF31" s="84"/>
      <c r="DG31" s="90">
        <f t="shared" ref="DG31:DT31" si="122">IFERROR(DG30/DG3,0)</f>
        <v>3.6966709227872076E-2</v>
      </c>
      <c r="DH31" s="90">
        <f t="shared" si="122"/>
        <v>0.12360327289818809</v>
      </c>
      <c r="DI31" s="90">
        <f t="shared" si="122"/>
        <v>3.6476165381713076E-2</v>
      </c>
      <c r="DJ31" s="90">
        <f t="shared" si="122"/>
        <v>2.8967155100306067E-2</v>
      </c>
      <c r="DK31" s="90">
        <f t="shared" si="122"/>
        <v>2.9418964272072041E-2</v>
      </c>
      <c r="DL31" s="90">
        <f t="shared" si="122"/>
        <v>3.5429859403077489E-2</v>
      </c>
      <c r="DM31" s="90">
        <f t="shared" si="122"/>
        <v>3.5429859403077496E-2</v>
      </c>
      <c r="DN31" s="90">
        <f t="shared" si="122"/>
        <v>3.5429859403077496E-2</v>
      </c>
      <c r="DO31" s="90">
        <f t="shared" si="122"/>
        <v>3.5429859403077496E-2</v>
      </c>
      <c r="DP31" s="90">
        <f t="shared" si="122"/>
        <v>3.5429859403077489E-2</v>
      </c>
      <c r="DQ31" s="90">
        <f t="shared" si="122"/>
        <v>3.5429859403077496E-2</v>
      </c>
      <c r="DR31" s="90">
        <f t="shared" si="122"/>
        <v>3.5429859403077489E-2</v>
      </c>
      <c r="DS31" s="83">
        <f t="shared" si="122"/>
        <v>3.5366051124094258E-2</v>
      </c>
      <c r="DT31" s="83">
        <f t="shared" si="122"/>
        <v>3.5429859403077489E-2</v>
      </c>
      <c r="DU31" s="84"/>
      <c r="DV31" s="90">
        <f t="shared" ref="DV31:EI31" si="123">IFERROR(DV30/DV3,0)</f>
        <v>0</v>
      </c>
      <c r="DW31" s="90">
        <f t="shared" si="123"/>
        <v>0</v>
      </c>
      <c r="DX31" s="90">
        <f t="shared" si="123"/>
        <v>0</v>
      </c>
      <c r="DY31" s="90">
        <f t="shared" si="123"/>
        <v>0</v>
      </c>
      <c r="DZ31" s="90">
        <f t="shared" si="123"/>
        <v>0</v>
      </c>
      <c r="EA31" s="90">
        <f t="shared" si="123"/>
        <v>0</v>
      </c>
      <c r="EB31" s="90">
        <f t="shared" si="123"/>
        <v>3.4500000000000003E-2</v>
      </c>
      <c r="EC31" s="90">
        <f t="shared" si="123"/>
        <v>3.4500000000000003E-2</v>
      </c>
      <c r="ED31" s="90">
        <f t="shared" si="123"/>
        <v>3.4500000000000003E-2</v>
      </c>
      <c r="EE31" s="90">
        <f t="shared" si="123"/>
        <v>3.4499999999999996E-2</v>
      </c>
      <c r="EF31" s="90">
        <f t="shared" si="123"/>
        <v>3.4500000000000003E-2</v>
      </c>
      <c r="EG31" s="90">
        <f t="shared" si="123"/>
        <v>3.4499999999999996E-2</v>
      </c>
      <c r="EH31" s="83">
        <f t="shared" si="123"/>
        <v>2.1956636797001536E-2</v>
      </c>
      <c r="EI31" s="83">
        <f t="shared" si="123"/>
        <v>3.4500000000000003E-2</v>
      </c>
      <c r="EJ31" s="85"/>
      <c r="EK31" s="90">
        <f t="shared" ref="EK31:EX31" si="124">IFERROR(EK30/EK3,0)</f>
        <v>2.9079521835889695E-2</v>
      </c>
      <c r="EL31" s="90">
        <f t="shared" si="124"/>
        <v>4.1167228636588581E-2</v>
      </c>
      <c r="EM31" s="90">
        <f t="shared" si="124"/>
        <v>3.100125471737469E-2</v>
      </c>
      <c r="EN31" s="90">
        <f t="shared" si="124"/>
        <v>3.9196302963171864E-2</v>
      </c>
      <c r="EO31" s="90">
        <f t="shared" si="124"/>
        <v>3.2007433347364958E-2</v>
      </c>
      <c r="EP31" s="90">
        <f t="shared" si="124"/>
        <v>3.699972406019602E-2</v>
      </c>
      <c r="EQ31" s="90">
        <f t="shared" si="124"/>
        <v>3.6810330540271899E-2</v>
      </c>
      <c r="ER31" s="90">
        <f t="shared" si="124"/>
        <v>3.6810330540271899E-2</v>
      </c>
      <c r="ES31" s="90">
        <f t="shared" si="124"/>
        <v>3.6810330540271899E-2</v>
      </c>
      <c r="ET31" s="90">
        <f t="shared" si="124"/>
        <v>3.6810330540271899E-2</v>
      </c>
      <c r="EU31" s="90">
        <f t="shared" si="124"/>
        <v>3.6810330540271899E-2</v>
      </c>
      <c r="EV31" s="90">
        <f t="shared" si="124"/>
        <v>3.6810330540271892E-2</v>
      </c>
      <c r="EW31" s="83">
        <f t="shared" si="124"/>
        <v>3.5088668528462159E-2</v>
      </c>
      <c r="EX31" s="83">
        <f t="shared" si="124"/>
        <v>3.6810330540271892E-2</v>
      </c>
      <c r="EY31" s="7"/>
    </row>
    <row r="32" spans="1:155" ht="16" customHeight="1">
      <c r="A32" s="68"/>
      <c r="B32" s="68"/>
      <c r="C32" s="68"/>
      <c r="D32" s="68" t="s">
        <v>74</v>
      </c>
      <c r="E32" s="68" t="s">
        <v>75</v>
      </c>
      <c r="F32" s="91">
        <f t="shared" ref="F32:Q36" si="125">SUM(U32,AJ32,AY32,BN32,CC32,CR32,DG32,DV32,EK32)</f>
        <v>12.311970000000001</v>
      </c>
      <c r="G32" s="91">
        <f t="shared" si="125"/>
        <v>8.7406750000000013</v>
      </c>
      <c r="H32" s="91">
        <f t="shared" si="125"/>
        <v>19.758020000000002</v>
      </c>
      <c r="I32" s="91">
        <f t="shared" si="125"/>
        <v>10.679434000000001</v>
      </c>
      <c r="J32" s="91">
        <f t="shared" si="125"/>
        <v>13.419053</v>
      </c>
      <c r="K32" s="91">
        <f t="shared" si="125"/>
        <v>12.024451998469576</v>
      </c>
      <c r="L32" s="91">
        <f t="shared" si="125"/>
        <v>8.9886617165697658</v>
      </c>
      <c r="M32" s="91">
        <f t="shared" si="125"/>
        <v>12.021872666194135</v>
      </c>
      <c r="N32" s="91">
        <f t="shared" si="125"/>
        <v>15.203045125556271</v>
      </c>
      <c r="O32" s="91">
        <f t="shared" si="125"/>
        <v>16.442222769610133</v>
      </c>
      <c r="P32" s="91">
        <f t="shared" si="125"/>
        <v>19.974803814599486</v>
      </c>
      <c r="Q32" s="91">
        <f t="shared" si="125"/>
        <v>17.015573619844002</v>
      </c>
      <c r="R32" s="92">
        <f>SUM(F32:Q32)</f>
        <v>166.57978371084334</v>
      </c>
      <c r="S32" s="92">
        <f>SUM(L32:Q32)</f>
        <v>89.646179712373794</v>
      </c>
      <c r="T32" s="91"/>
      <c r="U32" s="91">
        <f>'测算-高个子抖音'!I$37</f>
        <v>6.5172500000000007</v>
      </c>
      <c r="V32" s="91">
        <f>'测算-高个子抖音'!J$37</f>
        <v>5.0262600000000006</v>
      </c>
      <c r="W32" s="91">
        <f>'测算-高个子抖音'!K$37</f>
        <v>8.8800899999999992</v>
      </c>
      <c r="X32" s="91">
        <f>'测算-高个子抖音'!L$37</f>
        <v>4.9522000000000004</v>
      </c>
      <c r="Y32" s="91">
        <f>'测算-高个子抖音'!M$37</f>
        <v>5.6709519999999998</v>
      </c>
      <c r="Z32" s="91">
        <f>'测算-高个子抖音'!N$37</f>
        <v>4.6395113997160315</v>
      </c>
      <c r="AA32" s="91">
        <f>'测算-高个子抖音'!O$37</f>
        <v>3.2095118848180446</v>
      </c>
      <c r="AB32" s="91">
        <f>'测算-高个子抖音'!P$37</f>
        <v>4.2925570475961505</v>
      </c>
      <c r="AC32" s="91">
        <f>'测算-高个子抖音'!Q$37</f>
        <v>5.4284336817292846</v>
      </c>
      <c r="AD32" s="91">
        <f>'测算-高个子抖音'!R$37</f>
        <v>5.8708972543276596</v>
      </c>
      <c r="AE32" s="91">
        <f>'测算-高个子抖音'!S$37</f>
        <v>7.1322486329289898</v>
      </c>
      <c r="AF32" s="91">
        <f>'测算-高个子抖音'!T$37</f>
        <v>6.0756192058283967</v>
      </c>
      <c r="AG32" s="92">
        <f>'测算-高个子抖音'!V$37</f>
        <v>67.695531106944557</v>
      </c>
      <c r="AH32" s="92">
        <f>'测算-高个子抖音'!W$37</f>
        <v>32.009267707228524</v>
      </c>
      <c r="AI32" s="91"/>
      <c r="AJ32" s="91">
        <f>'测算-高个子视频号'!I$37</f>
        <v>0.8985200000000001</v>
      </c>
      <c r="AK32" s="91">
        <f>'测算-高个子视频号'!J$37</f>
        <v>0.25691999999999998</v>
      </c>
      <c r="AL32" s="91">
        <f>'测算-高个子视频号'!K$37</f>
        <v>0.50636999999999999</v>
      </c>
      <c r="AM32" s="91">
        <f>'测算-高个子视频号'!L$37</f>
        <v>0.15040999999999999</v>
      </c>
      <c r="AN32" s="91">
        <f>'测算-高个子视频号'!M$37</f>
        <v>1.2647200000000003</v>
      </c>
      <c r="AO32" s="91">
        <f>'测算-高个子视频号'!N$37</f>
        <v>1.8385334260626347</v>
      </c>
      <c r="AP32" s="91">
        <f>'测算-高个子视频号'!O$37</f>
        <v>1.3782161442437</v>
      </c>
      <c r="AQ32" s="91">
        <f>'测算-高个子视频号'!P$37</f>
        <v>1.8432931970337549</v>
      </c>
      <c r="AR32" s="91">
        <f>'测算-高个子视频号'!Q$37</f>
        <v>2.3310569353257642</v>
      </c>
      <c r="AS32" s="91">
        <f>'测算-高个子视频号'!R$37</f>
        <v>2.5210579264046284</v>
      </c>
      <c r="AT32" s="91">
        <f>'测算-高个子视频号'!S$37</f>
        <v>3.0627025427637782</v>
      </c>
      <c r="AU32" s="91">
        <f>'测算-高个子视频号'!T$37</f>
        <v>2.6089688327246989</v>
      </c>
      <c r="AV32" s="92">
        <f>'测算-高个子视频号'!V$37</f>
        <v>18.660769004558958</v>
      </c>
      <c r="AW32" s="92">
        <f>'测算-高个子视频号'!W$37</f>
        <v>13.745295578496325</v>
      </c>
      <c r="AX32" s="91"/>
      <c r="AY32" s="91">
        <f>'测算-天猫淘宝'!I$36</f>
        <v>0.47173000000000004</v>
      </c>
      <c r="AZ32" s="91">
        <f>'测算-天猫淘宝'!J$36</f>
        <v>0.31828000000000001</v>
      </c>
      <c r="BA32" s="91">
        <f>'测算-天猫淘宝'!K$36</f>
        <v>0.61031000000000013</v>
      </c>
      <c r="BB32" s="91">
        <f>'测算-天猫淘宝'!L$36</f>
        <v>0.61673</v>
      </c>
      <c r="BC32" s="91">
        <f>'测算-天猫淘宝'!M$36</f>
        <v>0.57276000000000005</v>
      </c>
      <c r="BD32" s="91">
        <f>'测算-天猫淘宝'!N$36</f>
        <v>0.4846833118245456</v>
      </c>
      <c r="BE32" s="91">
        <f>'测算-天猫淘宝'!O$36</f>
        <v>0.44626838000622054</v>
      </c>
      <c r="BF32" s="91">
        <f>'测算-天猫淘宝'!P$36</f>
        <v>0.59686100206593284</v>
      </c>
      <c r="BG32" s="91">
        <f>'测算-天猫淘宝'!Q$36</f>
        <v>0.75479960568953341</v>
      </c>
      <c r="BH32" s="91">
        <f>'测算-天猫淘宝'!R$36</f>
        <v>0.81632220128709898</v>
      </c>
      <c r="BI32" s="91">
        <f>'测算-天猫淘宝'!S$36</f>
        <v>0.99170751112493449</v>
      </c>
      <c r="BJ32" s="91">
        <f>'测算-天猫淘宝'!T$36</f>
        <v>0.84478787984716652</v>
      </c>
      <c r="BK32" s="92">
        <f>'测算-天猫淘宝'!V$36</f>
        <v>7.5252398918454331</v>
      </c>
      <c r="BL32" s="92">
        <f>'测算-天猫淘宝'!W$36</f>
        <v>4.450746580020887</v>
      </c>
      <c r="BM32" s="91"/>
      <c r="BN32" s="91">
        <f>'测算-拼多多'!I$37</f>
        <v>1.0889999999999999E-2</v>
      </c>
      <c r="BO32" s="91">
        <f>'测算-拼多多'!J$37</f>
        <v>1.8669999999999999E-2</v>
      </c>
      <c r="BP32" s="91">
        <f>'测算-拼多多'!K$37</f>
        <v>3.5319999999999997E-2</v>
      </c>
      <c r="BQ32" s="91">
        <f>'测算-拼多多'!L$37</f>
        <v>6.6800000000000002E-3</v>
      </c>
      <c r="BR32" s="91">
        <f>'测算-拼多多'!M$37</f>
        <v>2.0389999999999998E-2</v>
      </c>
      <c r="BS32" s="91">
        <f>'测算-拼多多'!N$37</f>
        <v>0.25465981760767803</v>
      </c>
      <c r="BT32" s="91">
        <f>'测算-拼多多'!O$37</f>
        <v>0.15068324080376727</v>
      </c>
      <c r="BU32" s="91">
        <f>'测算-拼多多'!P$37</f>
        <v>0.20153108337952413</v>
      </c>
      <c r="BV32" s="91">
        <f>'测算-拼多多'!Q$37</f>
        <v>0.25485930851995198</v>
      </c>
      <c r="BW32" s="91">
        <f>'测算-拼多多'!R$37</f>
        <v>0.27563251249907228</v>
      </c>
      <c r="BX32" s="91">
        <f>'测算-拼多多'!S$37</f>
        <v>0.33485164623059394</v>
      </c>
      <c r="BY32" s="91">
        <f>'测算-拼多多'!T$37</f>
        <v>0.28524399493717267</v>
      </c>
      <c r="BZ32" s="92">
        <f>'测算-拼多多'!V$37</f>
        <v>1.8494116039777602</v>
      </c>
      <c r="CA32" s="92">
        <f>'测算-拼多多'!W$37</f>
        <v>1.5028017863700822</v>
      </c>
      <c r="CB32" s="91"/>
      <c r="CC32" s="91">
        <f>'测算-京东POP'!I$37</f>
        <v>0.28599999999999998</v>
      </c>
      <c r="CD32" s="91">
        <f>'测算-京东POP'!J$37</f>
        <v>0.21459000000000003</v>
      </c>
      <c r="CE32" s="91">
        <f>'测算-京东POP'!K$37</f>
        <v>0.43329500000000004</v>
      </c>
      <c r="CF32" s="91">
        <f>'测算-京东POP'!L$37</f>
        <v>0.391011</v>
      </c>
      <c r="CG32" s="91">
        <f>'测算-京东POP'!M$37</f>
        <v>0.38518000000000002</v>
      </c>
      <c r="CH32" s="91">
        <f>'测算-京东POP'!N$37</f>
        <v>0.34135275307737178</v>
      </c>
      <c r="CI32" s="91">
        <f>'测算-京东POP'!O$37</f>
        <v>0.51670198469767536</v>
      </c>
      <c r="CJ32" s="91">
        <f>'测算-京东POP'!P$37</f>
        <v>0.69106232521294042</v>
      </c>
      <c r="CK32" s="91">
        <f>'测算-京东POP'!Q$37</f>
        <v>0.87392804819236469</v>
      </c>
      <c r="CL32" s="91">
        <f>'测算-京东POP'!R$37</f>
        <v>0.94516062632969855</v>
      </c>
      <c r="CM32" s="91">
        <f>'测算-京东POP'!S$37</f>
        <v>1.1482266326615009</v>
      </c>
      <c r="CN32" s="91">
        <f>'测算-京东POP'!T$37</f>
        <v>0.97811898337831538</v>
      </c>
      <c r="CO32" s="92">
        <f>'测算-京东POP'!V$37</f>
        <v>7.2046273535498679</v>
      </c>
      <c r="CP32" s="92">
        <f>'测算-京东POP'!W$37</f>
        <v>5.1531986004724954</v>
      </c>
      <c r="CQ32" s="91"/>
      <c r="CR32" s="91">
        <f>'测算-京东自营'!I$38</f>
        <v>0</v>
      </c>
      <c r="CS32" s="91">
        <f>'测算-京东自营'!J$38</f>
        <v>0</v>
      </c>
      <c r="CT32" s="91">
        <f>'测算-京东自营'!K$38</f>
        <v>0</v>
      </c>
      <c r="CU32" s="91">
        <f>'测算-京东自营'!L$38</f>
        <v>0</v>
      </c>
      <c r="CV32" s="91">
        <f>'测算-京东自营'!M$38</f>
        <v>0</v>
      </c>
      <c r="CW32" s="91">
        <f>'测算-京东自营'!N$38</f>
        <v>0</v>
      </c>
      <c r="CX32" s="91">
        <f>'测算-京东自营'!O$38</f>
        <v>0</v>
      </c>
      <c r="CY32" s="91">
        <f>'测算-京东自营'!P$38</f>
        <v>0</v>
      </c>
      <c r="CZ32" s="91">
        <f>'测算-京东自营'!Q$38</f>
        <v>0</v>
      </c>
      <c r="DA32" s="91">
        <f>'测算-京东自营'!R$38</f>
        <v>0</v>
      </c>
      <c r="DB32" s="91">
        <f>'测算-京东自营'!S$38</f>
        <v>0</v>
      </c>
      <c r="DC32" s="91">
        <f>'测算-京东自营'!T$38</f>
        <v>0</v>
      </c>
      <c r="DD32" s="92">
        <f>'测算-京东自营'!V$38</f>
        <v>0</v>
      </c>
      <c r="DE32" s="92">
        <f>'测算-京东自营'!W$38</f>
        <v>0</v>
      </c>
      <c r="DF32" s="91"/>
      <c r="DG32" s="91">
        <f>'测算-达播'!I$38</f>
        <v>1.0383200000000001</v>
      </c>
      <c r="DH32" s="91">
        <f>'测算-达播'!J$38</f>
        <v>0.23013</v>
      </c>
      <c r="DI32" s="91">
        <f>'测算-达播'!K$38</f>
        <v>4.5380399999999996</v>
      </c>
      <c r="DJ32" s="91">
        <f>'测算-达播'!L$38</f>
        <v>0.73168000000000011</v>
      </c>
      <c r="DK32" s="91">
        <f>'测算-达播'!M$38</f>
        <v>1.5552500000000002</v>
      </c>
      <c r="DL32" s="91">
        <f>'测算-达播'!N$38</f>
        <v>0.61105629018131502</v>
      </c>
      <c r="DM32" s="91">
        <f>'测算-达播'!O$38</f>
        <v>1.9341554215825461</v>
      </c>
      <c r="DN32" s="91">
        <f>'测算-达播'!P$38</f>
        <v>2.5868333827750107</v>
      </c>
      <c r="DO32" s="91">
        <f>'测算-达播'!Q$38</f>
        <v>3.2713492932939361</v>
      </c>
      <c r="DP32" s="91">
        <f>'测算-达播'!R$38</f>
        <v>3.5379921189030537</v>
      </c>
      <c r="DQ32" s="91">
        <f>'测算-达播'!S$38</f>
        <v>4.2981231590723263</v>
      </c>
      <c r="DR32" s="91">
        <f>'测算-达播'!T$38</f>
        <v>3.6613641725430917</v>
      </c>
      <c r="DS32" s="92">
        <f>'测算-达播'!V$38</f>
        <v>27.994293838351279</v>
      </c>
      <c r="DT32" s="92">
        <f>'测算-达播'!W$38</f>
        <v>19.289817548169964</v>
      </c>
      <c r="DU32" s="91"/>
      <c r="DV32" s="91">
        <f>'测算-私域'!I$37</f>
        <v>0</v>
      </c>
      <c r="DW32" s="91">
        <f>'测算-私域'!J$37</f>
        <v>0</v>
      </c>
      <c r="DX32" s="91">
        <f>'测算-私域'!K$37</f>
        <v>0</v>
      </c>
      <c r="DY32" s="91">
        <f>'测算-私域'!L$37</f>
        <v>0</v>
      </c>
      <c r="DZ32" s="91">
        <f>'测算-私域'!M$37</f>
        <v>0</v>
      </c>
      <c r="EA32" s="91">
        <f>'测算-私域'!N$37</f>
        <v>0</v>
      </c>
      <c r="EB32" s="91">
        <f>'测算-私域'!O$37</f>
        <v>0</v>
      </c>
      <c r="EC32" s="91">
        <f>'测算-私域'!P$37</f>
        <v>0</v>
      </c>
      <c r="ED32" s="91">
        <f>'测算-私域'!Q$37</f>
        <v>0</v>
      </c>
      <c r="EE32" s="91">
        <f>'测算-私域'!R$37</f>
        <v>0</v>
      </c>
      <c r="EF32" s="91">
        <f>'测算-私域'!S$37</f>
        <v>0</v>
      </c>
      <c r="EG32" s="91">
        <f>'测算-私域'!T$37</f>
        <v>0</v>
      </c>
      <c r="EH32" s="92">
        <f>'测算-私域'!V$37</f>
        <v>0</v>
      </c>
      <c r="EI32" s="92">
        <f>'测算-私域'!W$37</f>
        <v>0</v>
      </c>
      <c r="EJ32" s="42"/>
      <c r="EK32" s="91">
        <f>'测算-外部分销'!I$37</f>
        <v>3.0892599999999999</v>
      </c>
      <c r="EL32" s="91">
        <f>'测算-外部分销'!J$37</f>
        <v>2.6758250000000001</v>
      </c>
      <c r="EM32" s="91">
        <f>'测算-外部分销'!K$37</f>
        <v>4.7545950000000001</v>
      </c>
      <c r="EN32" s="91">
        <f>'测算-外部分销'!L$37</f>
        <v>3.8307230000000003</v>
      </c>
      <c r="EO32" s="91">
        <f>'测算-外部分销'!M$37</f>
        <v>3.9498009999999995</v>
      </c>
      <c r="EP32" s="91">
        <f>'测算-外部分销'!N$37</f>
        <v>3.8546550000000002</v>
      </c>
      <c r="EQ32" s="91">
        <f>'测算-外部分销'!O$37</f>
        <v>1.3531246604178129</v>
      </c>
      <c r="ER32" s="91">
        <f>'测算-外部分销'!P$37</f>
        <v>1.80973462813082</v>
      </c>
      <c r="ES32" s="91">
        <f>'测算-外部分销'!Q$37</f>
        <v>2.2886182528054362</v>
      </c>
      <c r="ET32" s="91">
        <f>'测算-外部分销'!R$37</f>
        <v>2.4751601298589221</v>
      </c>
      <c r="EU32" s="91">
        <f>'测算-外部分销'!S$37</f>
        <v>3.0069436898173625</v>
      </c>
      <c r="EV32" s="91">
        <f>'测算-外部分销'!T$37</f>
        <v>2.56147055058516</v>
      </c>
      <c r="EW32" s="92">
        <f>'测算-外部分销'!V$37</f>
        <v>35.649910911615514</v>
      </c>
      <c r="EX32" s="92">
        <f>'测算-外部分销'!W$37</f>
        <v>13.495051911615514</v>
      </c>
      <c r="EY32" s="10"/>
    </row>
    <row r="33" spans="1:155" ht="16" customHeight="1">
      <c r="A33" s="68"/>
      <c r="B33" s="68"/>
      <c r="C33" s="68"/>
      <c r="D33" s="68" t="s">
        <v>74</v>
      </c>
      <c r="E33" s="68" t="s">
        <v>76</v>
      </c>
      <c r="F33" s="91">
        <f t="shared" si="125"/>
        <v>6.7513262425000011</v>
      </c>
      <c r="G33" s="91">
        <f t="shared" si="125"/>
        <v>3.6282589659367428</v>
      </c>
      <c r="H33" s="91">
        <f t="shared" si="125"/>
        <v>8.7247389999999996</v>
      </c>
      <c r="I33" s="91">
        <f t="shared" si="125"/>
        <v>4.8719980000000005</v>
      </c>
      <c r="J33" s="91">
        <f t="shared" si="125"/>
        <v>6.929850000000001</v>
      </c>
      <c r="K33" s="91">
        <f t="shared" si="125"/>
        <v>6.707675166766073</v>
      </c>
      <c r="L33" s="91">
        <f t="shared" si="125"/>
        <v>4.227930773200347</v>
      </c>
      <c r="M33" s="91">
        <f t="shared" si="125"/>
        <v>5.6546399230045807</v>
      </c>
      <c r="N33" s="91">
        <f t="shared" si="125"/>
        <v>7.1509446410919457</v>
      </c>
      <c r="O33" s="91">
        <f t="shared" si="125"/>
        <v>7.7338075254631891</v>
      </c>
      <c r="P33" s="91">
        <f t="shared" si="125"/>
        <v>9.3954017182229972</v>
      </c>
      <c r="Q33" s="91">
        <f t="shared" si="125"/>
        <v>8.0034903525603287</v>
      </c>
      <c r="R33" s="92">
        <f>SUM(F33:Q33)</f>
        <v>79.780062308746224</v>
      </c>
      <c r="S33" s="92">
        <f>SUM(L33:Q33)</f>
        <v>42.166214933543387</v>
      </c>
      <c r="T33" s="91"/>
      <c r="U33" s="91">
        <f>'测算-高个子抖音'!I$38</f>
        <v>3.2559472665000007</v>
      </c>
      <c r="V33" s="91">
        <f>'测算-高个子抖音'!J$38</f>
        <v>1.9615736123835903</v>
      </c>
      <c r="W33" s="91">
        <f>'测算-高个子抖音'!K$38</f>
        <v>3.6883519999999996</v>
      </c>
      <c r="X33" s="91">
        <f>'测算-高个子抖音'!L$38</f>
        <v>2.1935350000000002</v>
      </c>
      <c r="Y33" s="91">
        <f>'测算-高个子抖音'!M$38</f>
        <v>2.5830760000000001</v>
      </c>
      <c r="Z33" s="91">
        <f>'测算-高个子抖音'!N$38</f>
        <v>2.0393681470428562</v>
      </c>
      <c r="AA33" s="91">
        <f>'测算-高个子抖音'!O$38</f>
        <v>1.410790003846961</v>
      </c>
      <c r="AB33" s="91">
        <f>'测算-高个子抖音'!P$38</f>
        <v>1.8868590586430554</v>
      </c>
      <c r="AC33" s="91">
        <f>'测算-高个子抖音'!Q$38</f>
        <v>2.3861509941609094</v>
      </c>
      <c r="AD33" s="91">
        <f>'测算-高个子抖音'!R$38</f>
        <v>2.5806426202056563</v>
      </c>
      <c r="AE33" s="91">
        <f>'测算-高个子抖音'!S$38</f>
        <v>3.1350888974376923</v>
      </c>
      <c r="AF33" s="91">
        <f>'测算-高个子抖音'!T$38</f>
        <v>2.6706312830024777</v>
      </c>
      <c r="AG33" s="92">
        <f>'测算-高个子抖音'!V$38</f>
        <v>29.792014883223199</v>
      </c>
      <c r="AH33" s="92">
        <f>'测算-高个子抖音'!W$38</f>
        <v>14.070162857296751</v>
      </c>
      <c r="AI33" s="91"/>
      <c r="AJ33" s="91">
        <f>'测算-高个子视频号'!I$38</f>
        <v>0.82708319649999995</v>
      </c>
      <c r="AK33" s="91">
        <f>'测算-高个子视频号'!J$38</f>
        <v>0.18483495972816599</v>
      </c>
      <c r="AL33" s="91">
        <f>'测算-高个子视频号'!K$38</f>
        <v>0.39954600000000001</v>
      </c>
      <c r="AM33" s="91">
        <f>'测算-高个子视频号'!L$38</f>
        <v>6.6399E-2</v>
      </c>
      <c r="AN33" s="91">
        <f>'测算-高个子视频号'!M$38</f>
        <v>0.57774000000000003</v>
      </c>
      <c r="AO33" s="91">
        <f>'测算-高个子视频号'!N$38</f>
        <v>1.1222653391524167</v>
      </c>
      <c r="AP33" s="91">
        <f>'测算-高个子视频号'!O$38</f>
        <v>0.84128152723196581</v>
      </c>
      <c r="AQ33" s="91">
        <f>'测算-高个子视频号'!P$38</f>
        <v>1.1251707668740283</v>
      </c>
      <c r="AR33" s="91">
        <f>'测算-高个子视频号'!Q$38</f>
        <v>1.4229082621083866</v>
      </c>
      <c r="AS33" s="91">
        <f>'测算-高个子视频号'!R$38</f>
        <v>1.5388874026938637</v>
      </c>
      <c r="AT33" s="91">
        <f>'测算-高个子视频号'!S$38</f>
        <v>1.8695145049599244</v>
      </c>
      <c r="AU33" s="91">
        <f>'测算-高个子视频号'!T$38</f>
        <v>1.5925493931140093</v>
      </c>
      <c r="AV33" s="92">
        <f>'测算-高个子视频号'!V$38</f>
        <v>11.568180352362761</v>
      </c>
      <c r="AW33" s="92">
        <f>'测算-高个子视频号'!W$38</f>
        <v>8.3903118569821782</v>
      </c>
      <c r="AX33" s="91"/>
      <c r="AY33" s="91">
        <f>'测算-天猫淘宝'!I$37</f>
        <v>0.25069929099999999</v>
      </c>
      <c r="AZ33" s="91">
        <f>'测算-天猫淘宝'!J$37</f>
        <v>0.13865444718516701</v>
      </c>
      <c r="BA33" s="91">
        <f>'测算-天猫淘宝'!K$37</f>
        <v>0.26687300000000003</v>
      </c>
      <c r="BB33" s="91">
        <f>'测算-天猫淘宝'!L$37</f>
        <v>0.27612300000000001</v>
      </c>
      <c r="BC33" s="91">
        <f>'测算-天猫淘宝'!M$37</f>
        <v>0.27695799999999993</v>
      </c>
      <c r="BD33" s="91">
        <f>'测算-天猫淘宝'!N$37</f>
        <v>0.22595282147315063</v>
      </c>
      <c r="BE33" s="91">
        <f>'测算-天猫淘宝'!O$37</f>
        <v>0.20804429848651357</v>
      </c>
      <c r="BF33" s="91">
        <f>'测算-天猫淘宝'!P$37</f>
        <v>0.27824854735850579</v>
      </c>
      <c r="BG33" s="91">
        <f>'测算-天猫淘宝'!Q$37</f>
        <v>0.35187739373644883</v>
      </c>
      <c r="BH33" s="91">
        <f>'测算-天猫淘宝'!R$37</f>
        <v>0.3805583978487872</v>
      </c>
      <c r="BI33" s="91">
        <f>'测算-天猫淘宝'!S$37</f>
        <v>0.46232066330336347</v>
      </c>
      <c r="BJ33" s="91">
        <f>'测算-天猫淘宝'!T$37</f>
        <v>0.39382871318434665</v>
      </c>
      <c r="BK33" s="92">
        <f>'测算-天猫淘宝'!V$37</f>
        <v>3.5101385735762833</v>
      </c>
      <c r="BL33" s="92">
        <f>'测算-天猫淘宝'!W$37</f>
        <v>2.0748780139179654</v>
      </c>
      <c r="BM33" s="91"/>
      <c r="BN33" s="91">
        <f>'测算-拼多多'!I$38</f>
        <v>6.0311339999999996E-3</v>
      </c>
      <c r="BO33" s="91">
        <f>'测算-拼多多'!J$38</f>
        <v>7.2105967782532098E-3</v>
      </c>
      <c r="BP33" s="91">
        <f>'测算-拼多多'!K$38</f>
        <v>1.3076000000000001E-2</v>
      </c>
      <c r="BQ33" s="91">
        <f>'测算-拼多多'!L$38</f>
        <v>3.63E-3</v>
      </c>
      <c r="BR33" s="91">
        <f>'测算-拼多多'!M$38</f>
        <v>7.3529999999999993E-3</v>
      </c>
      <c r="BS33" s="91">
        <f>'测算-拼多多'!N$38</f>
        <v>8.8711403654089846E-2</v>
      </c>
      <c r="BT33" s="91">
        <f>'测算-拼多多'!O$38</f>
        <v>5.249089520453027E-2</v>
      </c>
      <c r="BU33" s="91">
        <f>'测算-拼多多'!P$38</f>
        <v>7.0203872187128966E-2</v>
      </c>
      <c r="BV33" s="91">
        <f>'测算-拼多多'!Q$38</f>
        <v>8.878089682741537E-2</v>
      </c>
      <c r="BW33" s="91">
        <f>'测算-拼多多'!R$38</f>
        <v>9.6017295960550253E-2</v>
      </c>
      <c r="BX33" s="91">
        <f>'测算-拼多多'!S$38</f>
        <v>0.11664643378784505</v>
      </c>
      <c r="BY33" s="91">
        <f>'测算-拼多多'!T$38</f>
        <v>9.9365480634090245E-2</v>
      </c>
      <c r="BZ33" s="92">
        <f>'测算-拼多多'!V$38</f>
        <v>0.64951700903390319</v>
      </c>
      <c r="CA33" s="92">
        <f>'测算-拼多多'!W$38</f>
        <v>0.52350487460156014</v>
      </c>
      <c r="CB33" s="91"/>
      <c r="CC33" s="91">
        <f>'测算-京东POP'!I$38</f>
        <v>0.17727616900000001</v>
      </c>
      <c r="CD33" s="91">
        <f>'测算-京东POP'!J$38</f>
        <v>7.6033862488463791E-2</v>
      </c>
      <c r="CE33" s="91">
        <f>'测算-京东POP'!K$38</f>
        <v>0.17615800000000001</v>
      </c>
      <c r="CF33" s="91">
        <f>'测算-京东POP'!L$38</f>
        <v>0.19633199999999998</v>
      </c>
      <c r="CG33" s="91">
        <f>'测算-京东POP'!M$38</f>
        <v>0.152529</v>
      </c>
      <c r="CH33" s="91">
        <f>'测算-京东POP'!N$38</f>
        <v>0.15076952595154286</v>
      </c>
      <c r="CI33" s="91">
        <f>'测算-京东POP'!O$38</f>
        <v>0.22821820708571297</v>
      </c>
      <c r="CJ33" s="91">
        <f>'测算-京东POP'!P$38</f>
        <v>0.30523011235743502</v>
      </c>
      <c r="CK33" s="91">
        <f>'测算-京东POP'!Q$38</f>
        <v>0.38599869593509478</v>
      </c>
      <c r="CL33" s="91">
        <f>'测算-京东POP'!R$38</f>
        <v>0.41746087674732274</v>
      </c>
      <c r="CM33" s="91">
        <f>'测算-京东POP'!S$38</f>
        <v>0.50715157130158439</v>
      </c>
      <c r="CN33" s="91">
        <f>'测算-京东POP'!T$38</f>
        <v>0.43201800518283107</v>
      </c>
      <c r="CO33" s="92">
        <f>'测算-京东POP'!V$38</f>
        <v>3.2051760260499877</v>
      </c>
      <c r="CP33" s="92">
        <f>'测算-京东POP'!W$38</f>
        <v>2.2760774686099809</v>
      </c>
      <c r="CQ33" s="91"/>
      <c r="CR33" s="91">
        <f>'测算-京东自营'!I$39</f>
        <v>0.57753563600000002</v>
      </c>
      <c r="CS33" s="91">
        <f>'测算-京东自营'!J$39</f>
        <v>0.279887273764578</v>
      </c>
      <c r="CT33" s="91">
        <f>'测算-京东自营'!K$39</f>
        <v>0.79141499999999998</v>
      </c>
      <c r="CU33" s="91">
        <f>'测算-京东自营'!L$39</f>
        <v>0.54709799999999997</v>
      </c>
      <c r="CV33" s="91">
        <f>'测算-京东自营'!M$39</f>
        <v>1.315472</v>
      </c>
      <c r="CW33" s="91">
        <f>'测算-京东自营'!N$39</f>
        <v>1.4245816163707117</v>
      </c>
      <c r="CX33" s="91">
        <f>'测算-京东自营'!O$39</f>
        <v>0.69582579452880977</v>
      </c>
      <c r="CY33" s="91">
        <f>'测算-京东自营'!P$39</f>
        <v>0.93063120667433441</v>
      </c>
      <c r="CZ33" s="91">
        <f>'测算-京东自营'!Q$39</f>
        <v>1.1768905413635427</v>
      </c>
      <c r="DA33" s="91">
        <f>'测算-京东自营'!R$39</f>
        <v>1.2728171426668975</v>
      </c>
      <c r="DB33" s="91">
        <f>'测算-京东自营'!S$39</f>
        <v>1.5462795433973555</v>
      </c>
      <c r="DC33" s="91">
        <f>'测算-京东自营'!T$39</f>
        <v>1.317201092523673</v>
      </c>
      <c r="DD33" s="92">
        <f>'测算-京东自营'!V$39</f>
        <v>11.875634847289902</v>
      </c>
      <c r="DE33" s="92">
        <f>'测算-京东自营'!W$39</f>
        <v>6.9396453211546127</v>
      </c>
      <c r="DF33" s="91"/>
      <c r="DG33" s="91">
        <f>'测算-达播'!I$39</f>
        <v>0.39777207450000002</v>
      </c>
      <c r="DH33" s="91">
        <f>'测算-达播'!J$39</f>
        <v>7.652885443409678E-2</v>
      </c>
      <c r="DI33" s="91">
        <f>'测算-达播'!K$39</f>
        <v>1.7195259999999997</v>
      </c>
      <c r="DJ33" s="91">
        <f>'测算-达播'!L$39</f>
        <v>0.23096</v>
      </c>
      <c r="DK33" s="91">
        <f>'测算-达播'!M$39</f>
        <v>0.55022100000000007</v>
      </c>
      <c r="DL33" s="91">
        <f>'测算-达播'!N$39</f>
        <v>0.22285731312130544</v>
      </c>
      <c r="DM33" s="91">
        <f>'测算-达播'!O$39</f>
        <v>0.70540257475296075</v>
      </c>
      <c r="DN33" s="91">
        <f>'测算-达播'!P$39</f>
        <v>0.94343965759140858</v>
      </c>
      <c r="DO33" s="91">
        <f>'测算-达播'!Q$39</f>
        <v>1.1930883054463657</v>
      </c>
      <c r="DP33" s="91">
        <f>'测算-达播'!R$39</f>
        <v>1.2903351624596344</v>
      </c>
      <c r="DQ33" s="91">
        <f>'测算-达播'!S$39</f>
        <v>1.5675612772288023</v>
      </c>
      <c r="DR33" s="91">
        <f>'测算-达播'!T$39</f>
        <v>1.3353299768986089</v>
      </c>
      <c r="DS33" s="92">
        <f>'测算-达播'!V$39</f>
        <v>10.233022196433183</v>
      </c>
      <c r="DT33" s="92">
        <f>'测算-达播'!W$39</f>
        <v>7.035156954377781</v>
      </c>
      <c r="DU33" s="91"/>
      <c r="DV33" s="91">
        <f>'测算-私域'!I$38</f>
        <v>0</v>
      </c>
      <c r="DW33" s="91">
        <f>'测算-私域'!J$38</f>
        <v>0</v>
      </c>
      <c r="DX33" s="91">
        <f>'测算-私域'!K$38</f>
        <v>0</v>
      </c>
      <c r="DY33" s="91">
        <f>'测算-私域'!L$38</f>
        <v>0</v>
      </c>
      <c r="DZ33" s="91">
        <f>'测算-私域'!M$38</f>
        <v>0</v>
      </c>
      <c r="EA33" s="91">
        <f>'测算-私域'!N$38</f>
        <v>0</v>
      </c>
      <c r="EB33" s="91">
        <f>'测算-私域'!O$38</f>
        <v>0</v>
      </c>
      <c r="EC33" s="91">
        <f>'测算-私域'!P$38</f>
        <v>0</v>
      </c>
      <c r="ED33" s="91">
        <f>'测算-私域'!Q$38</f>
        <v>0</v>
      </c>
      <c r="EE33" s="91">
        <f>'测算-私域'!R$38</f>
        <v>0</v>
      </c>
      <c r="EF33" s="91">
        <f>'测算-私域'!S$38</f>
        <v>0</v>
      </c>
      <c r="EG33" s="91">
        <f>'测算-私域'!T$38</f>
        <v>0</v>
      </c>
      <c r="EH33" s="92">
        <f>'测算-私域'!V$38</f>
        <v>0</v>
      </c>
      <c r="EI33" s="92">
        <f>'测算-私域'!W$38</f>
        <v>0</v>
      </c>
      <c r="EJ33" s="42"/>
      <c r="EK33" s="91">
        <f>'测算-外部分销'!I$38</f>
        <v>1.2589814750000001</v>
      </c>
      <c r="EL33" s="91">
        <f>'测算-外部分销'!J$38</f>
        <v>0.90353535917442729</v>
      </c>
      <c r="EM33" s="91">
        <f>'测算-外部分销'!K$38</f>
        <v>1.6697930000000001</v>
      </c>
      <c r="EN33" s="91">
        <f>'测算-外部分销'!L$38</f>
        <v>1.3579209999999999</v>
      </c>
      <c r="EO33" s="91">
        <f>'测算-外部分销'!M$38</f>
        <v>1.4665010000000001</v>
      </c>
      <c r="EP33" s="91">
        <f>'测算-外部分销'!N$38</f>
        <v>1.4331689999999999</v>
      </c>
      <c r="EQ33" s="91">
        <f>'测算-外部分销'!O$38</f>
        <v>8.5877472062893104E-2</v>
      </c>
      <c r="ER33" s="91">
        <f>'测算-外部分销'!P$38</f>
        <v>0.11485670131868422</v>
      </c>
      <c r="ES33" s="91">
        <f>'测算-外部分销'!Q$38</f>
        <v>0.14524955151378216</v>
      </c>
      <c r="ET33" s="91">
        <f>'测算-外部分销'!R$38</f>
        <v>0.15708862688047737</v>
      </c>
      <c r="EU33" s="91">
        <f>'测算-外部分销'!S$38</f>
        <v>0.19083882680642916</v>
      </c>
      <c r="EV33" s="91">
        <f>'测算-外部分销'!T$38</f>
        <v>0.16256640802029149</v>
      </c>
      <c r="EW33" s="92">
        <f>'测算-外部分销'!V$38</f>
        <v>8.9463784207769859</v>
      </c>
      <c r="EX33" s="92">
        <f>'测算-外部分销'!W$38</f>
        <v>0.85647758660255757</v>
      </c>
      <c r="EY33" s="10"/>
    </row>
    <row r="34" spans="1:155" ht="16" customHeight="1">
      <c r="A34" s="68"/>
      <c r="B34" s="68"/>
      <c r="C34" s="68"/>
      <c r="D34" s="68" t="s">
        <v>74</v>
      </c>
      <c r="E34" s="68" t="s">
        <v>77</v>
      </c>
      <c r="F34" s="91">
        <f t="shared" si="125"/>
        <v>2.5295560000000004</v>
      </c>
      <c r="G34" s="91">
        <f t="shared" si="125"/>
        <v>1.245344</v>
      </c>
      <c r="H34" s="91">
        <f t="shared" si="125"/>
        <v>3.9131589999999998</v>
      </c>
      <c r="I34" s="91">
        <f t="shared" si="125"/>
        <v>4.5977100000000002</v>
      </c>
      <c r="J34" s="91">
        <f t="shared" si="125"/>
        <v>4.8395519999999994</v>
      </c>
      <c r="K34" s="91">
        <f t="shared" si="125"/>
        <v>6.9477594452086731</v>
      </c>
      <c r="L34" s="91">
        <f t="shared" si="125"/>
        <v>5.1706364856909852</v>
      </c>
      <c r="M34" s="91">
        <f t="shared" si="125"/>
        <v>6.4513982967574934</v>
      </c>
      <c r="N34" s="91">
        <f t="shared" si="125"/>
        <v>7.773238783668706</v>
      </c>
      <c r="O34" s="91">
        <f t="shared" si="125"/>
        <v>8.2219505454306354</v>
      </c>
      <c r="P34" s="91">
        <f t="shared" si="125"/>
        <v>9.9484543140355264</v>
      </c>
      <c r="Q34" s="91">
        <f t="shared" si="125"/>
        <v>8.5509498721413735</v>
      </c>
      <c r="R34" s="92">
        <f>SUM(F34:Q34)</f>
        <v>70.189708742933391</v>
      </c>
      <c r="S34" s="92">
        <f>SUM(L34:Q34)</f>
        <v>46.116628297724716</v>
      </c>
      <c r="T34" s="91"/>
      <c r="U34" s="91">
        <f>'测算-高个子抖音'!I$39</f>
        <v>0</v>
      </c>
      <c r="V34" s="91">
        <f>'测算-高个子抖音'!J$39</f>
        <v>0</v>
      </c>
      <c r="W34" s="91">
        <f>'测算-高个子抖音'!K$39</f>
        <v>0</v>
      </c>
      <c r="X34" s="91">
        <f>'测算-高个子抖音'!L$39</f>
        <v>0</v>
      </c>
      <c r="Y34" s="91">
        <f>'测算-高个子抖音'!M$39</f>
        <v>0</v>
      </c>
      <c r="Z34" s="91">
        <f>'测算-高个子抖音'!N$39</f>
        <v>0</v>
      </c>
      <c r="AA34" s="91">
        <f>'测算-高个子抖音'!O$39</f>
        <v>0</v>
      </c>
      <c r="AB34" s="91">
        <f>'测算-高个子抖音'!P$39</f>
        <v>0</v>
      </c>
      <c r="AC34" s="91">
        <f>'测算-高个子抖音'!Q$39</f>
        <v>0</v>
      </c>
      <c r="AD34" s="91">
        <f>'测算-高个子抖音'!R$39</f>
        <v>0</v>
      </c>
      <c r="AE34" s="91">
        <f>'测算-高个子抖音'!S$39</f>
        <v>0</v>
      </c>
      <c r="AF34" s="91">
        <f>'测算-高个子抖音'!T$39</f>
        <v>0</v>
      </c>
      <c r="AG34" s="92">
        <f>'测算-高个子抖音'!V$39</f>
        <v>0</v>
      </c>
      <c r="AH34" s="92">
        <f>'测算-高个子抖音'!W$39</f>
        <v>0</v>
      </c>
      <c r="AI34" s="91"/>
      <c r="AJ34" s="91">
        <f>'测算-高个子视频号'!I$39</f>
        <v>0</v>
      </c>
      <c r="AK34" s="91">
        <f>'测算-高个子视频号'!J$39</f>
        <v>0</v>
      </c>
      <c r="AL34" s="91">
        <f>'测算-高个子视频号'!K$39</f>
        <v>0</v>
      </c>
      <c r="AM34" s="91">
        <f>'测算-高个子视频号'!L$39</f>
        <v>0</v>
      </c>
      <c r="AN34" s="91">
        <f>'测算-高个子视频号'!M$39</f>
        <v>0</v>
      </c>
      <c r="AO34" s="91">
        <f>'测算-高个子视频号'!N$39</f>
        <v>0</v>
      </c>
      <c r="AP34" s="91">
        <f>'测算-高个子视频号'!O$39</f>
        <v>0</v>
      </c>
      <c r="AQ34" s="91">
        <f>'测算-高个子视频号'!P$39</f>
        <v>0</v>
      </c>
      <c r="AR34" s="91">
        <f>'测算-高个子视频号'!Q$39</f>
        <v>0</v>
      </c>
      <c r="AS34" s="91">
        <f>'测算-高个子视频号'!R$39</f>
        <v>0</v>
      </c>
      <c r="AT34" s="91">
        <f>'测算-高个子视频号'!S$39</f>
        <v>0</v>
      </c>
      <c r="AU34" s="91">
        <f>'测算-高个子视频号'!T$39</f>
        <v>0</v>
      </c>
      <c r="AV34" s="92">
        <f>'测算-高个子视频号'!V$39</f>
        <v>0</v>
      </c>
      <c r="AW34" s="92">
        <f>'测算-高个子视频号'!W$39</f>
        <v>0</v>
      </c>
      <c r="AX34" s="91"/>
      <c r="AY34" s="91">
        <f>'测算-天猫淘宝'!I$38</f>
        <v>0</v>
      </c>
      <c r="AZ34" s="91">
        <f>'测算-天猫淘宝'!J$38</f>
        <v>0</v>
      </c>
      <c r="BA34" s="91">
        <f>'测算-天猫淘宝'!K$38</f>
        <v>0</v>
      </c>
      <c r="BB34" s="91">
        <f>'测算-天猫淘宝'!L$38</f>
        <v>0</v>
      </c>
      <c r="BC34" s="91">
        <f>'测算-天猫淘宝'!M$38</f>
        <v>0</v>
      </c>
      <c r="BD34" s="91">
        <f>'测算-天猫淘宝'!N$38</f>
        <v>0</v>
      </c>
      <c r="BE34" s="91">
        <f>'测算-天猫淘宝'!O$38</f>
        <v>0</v>
      </c>
      <c r="BF34" s="91">
        <f>'测算-天猫淘宝'!P$38</f>
        <v>0</v>
      </c>
      <c r="BG34" s="91">
        <f>'测算-天猫淘宝'!Q$38</f>
        <v>0</v>
      </c>
      <c r="BH34" s="91">
        <f>'测算-天猫淘宝'!R$38</f>
        <v>0</v>
      </c>
      <c r="BI34" s="91">
        <f>'测算-天猫淘宝'!S$38</f>
        <v>0</v>
      </c>
      <c r="BJ34" s="91">
        <f>'测算-天猫淘宝'!T$38</f>
        <v>0</v>
      </c>
      <c r="BK34" s="92">
        <f>'测算-天猫淘宝'!V$38</f>
        <v>0</v>
      </c>
      <c r="BL34" s="92">
        <f>'测算-天猫淘宝'!W$38</f>
        <v>0</v>
      </c>
      <c r="BM34" s="91"/>
      <c r="BN34" s="91">
        <f>'测算-拼多多'!I$39</f>
        <v>0</v>
      </c>
      <c r="BO34" s="91">
        <f>'测算-拼多多'!J$39</f>
        <v>0</v>
      </c>
      <c r="BP34" s="91">
        <f>'测算-拼多多'!K$39</f>
        <v>0</v>
      </c>
      <c r="BQ34" s="91">
        <f>'测算-拼多多'!L$39</f>
        <v>0</v>
      </c>
      <c r="BR34" s="91">
        <f>'测算-拼多多'!M$39</f>
        <v>0</v>
      </c>
      <c r="BS34" s="91">
        <f>'测算-拼多多'!N$39</f>
        <v>0</v>
      </c>
      <c r="BT34" s="91">
        <f>'测算-拼多多'!O$39</f>
        <v>0</v>
      </c>
      <c r="BU34" s="91">
        <f>'测算-拼多多'!P$39</f>
        <v>0</v>
      </c>
      <c r="BV34" s="91">
        <f>'测算-拼多多'!Q$39</f>
        <v>0</v>
      </c>
      <c r="BW34" s="91">
        <f>'测算-拼多多'!R$39</f>
        <v>0</v>
      </c>
      <c r="BX34" s="91">
        <f>'测算-拼多多'!S$39</f>
        <v>0</v>
      </c>
      <c r="BY34" s="91">
        <f>'测算-拼多多'!T$39</f>
        <v>0</v>
      </c>
      <c r="BZ34" s="92">
        <f>'测算-拼多多'!V$39</f>
        <v>0</v>
      </c>
      <c r="CA34" s="92">
        <f>'测算-拼多多'!W$39</f>
        <v>0</v>
      </c>
      <c r="CB34" s="91"/>
      <c r="CC34" s="91">
        <f>'测算-京东POP'!I$39</f>
        <v>0</v>
      </c>
      <c r="CD34" s="91">
        <f>'测算-京东POP'!J$39</f>
        <v>0</v>
      </c>
      <c r="CE34" s="91">
        <f>'测算-京东POP'!K$39</f>
        <v>0</v>
      </c>
      <c r="CF34" s="91">
        <f>'测算-京东POP'!L$39</f>
        <v>0</v>
      </c>
      <c r="CG34" s="91">
        <f>'测算-京东POP'!M$39</f>
        <v>0</v>
      </c>
      <c r="CH34" s="91">
        <f>'测算-京东POP'!N$39</f>
        <v>0</v>
      </c>
      <c r="CI34" s="91">
        <f>'测算-京东POP'!O$39</f>
        <v>0</v>
      </c>
      <c r="CJ34" s="91">
        <f>'测算-京东POP'!P$39</f>
        <v>0</v>
      </c>
      <c r="CK34" s="91">
        <f>'测算-京东POP'!Q$39</f>
        <v>0</v>
      </c>
      <c r="CL34" s="91">
        <f>'测算-京东POP'!R$39</f>
        <v>0</v>
      </c>
      <c r="CM34" s="91">
        <f>'测算-京东POP'!S$39</f>
        <v>0</v>
      </c>
      <c r="CN34" s="91">
        <f>'测算-京东POP'!T$39</f>
        <v>0</v>
      </c>
      <c r="CO34" s="92">
        <f>'测算-京东POP'!V$39</f>
        <v>0</v>
      </c>
      <c r="CP34" s="92">
        <f>'测算-京东POP'!W$39</f>
        <v>0</v>
      </c>
      <c r="CQ34" s="91"/>
      <c r="CR34" s="91">
        <f>'测算-京东自营'!I$40</f>
        <v>2.5295560000000004</v>
      </c>
      <c r="CS34" s="91">
        <f>'测算-京东自营'!J$40</f>
        <v>1.245344</v>
      </c>
      <c r="CT34" s="91">
        <f>'测算-京东自营'!K$40</f>
        <v>3.9131589999999998</v>
      </c>
      <c r="CU34" s="91">
        <f>'测算-京东自营'!L$40</f>
        <v>4.5977100000000002</v>
      </c>
      <c r="CV34" s="91">
        <f>'测算-京东自营'!M$40</f>
        <v>4.8395519999999994</v>
      </c>
      <c r="CW34" s="91">
        <f>'测算-京东自营'!N$40</f>
        <v>6.9477594452086731</v>
      </c>
      <c r="CX34" s="91">
        <f>'测算-京东自营'!O$40</f>
        <v>3.3935789852979039</v>
      </c>
      <c r="CY34" s="91">
        <f>'测算-京东自营'!P$40</f>
        <v>4.5387373260157169</v>
      </c>
      <c r="CZ34" s="91">
        <f>'测算-京东自营'!Q$40</f>
        <v>5.7397570492075669</v>
      </c>
      <c r="DA34" s="91">
        <f>'测算-京东自营'!R$40</f>
        <v>6.2075961274276512</v>
      </c>
      <c r="DB34" s="91">
        <f>'测算-京东自营'!S$40</f>
        <v>7.5412866339953446</v>
      </c>
      <c r="DC34" s="91">
        <f>'测算-京东自营'!T$40</f>
        <v>6.4240589845145522</v>
      </c>
      <c r="DD34" s="92">
        <f>'测算-京东自营'!V$40</f>
        <v>57.918095551667413</v>
      </c>
      <c r="DE34" s="92">
        <f>'测算-京东自营'!W$40</f>
        <v>33.845015106458732</v>
      </c>
      <c r="DF34" s="91"/>
      <c r="DG34" s="91">
        <f>'测算-达播'!I$40</f>
        <v>0</v>
      </c>
      <c r="DH34" s="91">
        <f>'测算-达播'!J$40</f>
        <v>0</v>
      </c>
      <c r="DI34" s="91">
        <f>'测算-达播'!K$40</f>
        <v>0</v>
      </c>
      <c r="DJ34" s="91">
        <f>'测算-达播'!L$40</f>
        <v>0</v>
      </c>
      <c r="DK34" s="91">
        <f>'测算-达播'!M$40</f>
        <v>0</v>
      </c>
      <c r="DL34" s="91">
        <f>'测算-达播'!N$40</f>
        <v>0</v>
      </c>
      <c r="DM34" s="91">
        <f>'测算-达播'!O$40</f>
        <v>0</v>
      </c>
      <c r="DN34" s="91">
        <f>'测算-达播'!P$40</f>
        <v>0</v>
      </c>
      <c r="DO34" s="91">
        <f>'测算-达播'!Q$40</f>
        <v>0</v>
      </c>
      <c r="DP34" s="91">
        <f>'测算-达播'!R$40</f>
        <v>0</v>
      </c>
      <c r="DQ34" s="91">
        <f>'测算-达播'!S$40</f>
        <v>0</v>
      </c>
      <c r="DR34" s="91">
        <f>'测算-达播'!T$40</f>
        <v>0</v>
      </c>
      <c r="DS34" s="92">
        <f>'测算-达播'!V$40</f>
        <v>0</v>
      </c>
      <c r="DT34" s="92">
        <f>'测算-达播'!W$40</f>
        <v>0</v>
      </c>
      <c r="DU34" s="91"/>
      <c r="DV34" s="91">
        <f>'测算-私域'!I$39</f>
        <v>0</v>
      </c>
      <c r="DW34" s="91">
        <f>'测算-私域'!J$39</f>
        <v>0</v>
      </c>
      <c r="DX34" s="91">
        <f>'测算-私域'!K$39</f>
        <v>0</v>
      </c>
      <c r="DY34" s="91">
        <f>'测算-私域'!L$39</f>
        <v>0</v>
      </c>
      <c r="DZ34" s="91">
        <f>'测算-私域'!M$39</f>
        <v>0</v>
      </c>
      <c r="EA34" s="91">
        <f>'测算-私域'!N$39</f>
        <v>0</v>
      </c>
      <c r="EB34" s="91">
        <f>'测算-私域'!O$39</f>
        <v>1.2403233</v>
      </c>
      <c r="EC34" s="91">
        <f>'测算-私域'!P$39</f>
        <v>1.1948065875</v>
      </c>
      <c r="ED34" s="91">
        <f>'测算-私域'!Q$39</f>
        <v>1.1256720375</v>
      </c>
      <c r="EE34" s="91">
        <f>'测算-私域'!R$39</f>
        <v>1.0325504999999999</v>
      </c>
      <c r="EF34" s="91">
        <f>'测算-私域'!S$39</f>
        <v>1.2144250125</v>
      </c>
      <c r="EG34" s="91">
        <f>'测算-私域'!T$39</f>
        <v>1.1108508374999999</v>
      </c>
      <c r="EH34" s="92">
        <f>'测算-私域'!V$39</f>
        <v>6.9186282750000005</v>
      </c>
      <c r="EI34" s="92">
        <f>'测算-私域'!W$39</f>
        <v>6.9186282750000005</v>
      </c>
      <c r="EJ34" s="42"/>
      <c r="EK34" s="91" t="str">
        <f>'测算-外部分销'!I$39</f>
        <v/>
      </c>
      <c r="EL34" s="91" t="str">
        <f>'测算-外部分销'!J$39</f>
        <v/>
      </c>
      <c r="EM34" s="91" t="str">
        <f>'测算-外部分销'!K$39</f>
        <v/>
      </c>
      <c r="EN34" s="91" t="str">
        <f>'测算-外部分销'!L$39</f>
        <v/>
      </c>
      <c r="EO34" s="91" t="str">
        <f>'测算-外部分销'!M$39</f>
        <v/>
      </c>
      <c r="EP34" s="91" t="str">
        <f>'测算-外部分销'!N$39</f>
        <v/>
      </c>
      <c r="EQ34" s="91">
        <f>'测算-外部分销'!O$39</f>
        <v>0.53673420039308195</v>
      </c>
      <c r="ER34" s="91">
        <f>'测算-外部分销'!P$39</f>
        <v>0.71785438324177631</v>
      </c>
      <c r="ES34" s="91">
        <f>'测算-外部分销'!Q$39</f>
        <v>0.90780969696113845</v>
      </c>
      <c r="ET34" s="91">
        <f>'测算-外部分销'!R$39</f>
        <v>0.9818039180029835</v>
      </c>
      <c r="EU34" s="91">
        <f>'测算-外部分销'!S$39</f>
        <v>1.1927426675401822</v>
      </c>
      <c r="EV34" s="91">
        <f>'测算-外部分销'!T$39</f>
        <v>1.0160400501268216</v>
      </c>
      <c r="EW34" s="92">
        <f>'测算-外部分销'!V$39</f>
        <v>5.352984916265985</v>
      </c>
      <c r="EX34" s="92">
        <f>'测算-外部分销'!W$39</f>
        <v>5.352984916265985</v>
      </c>
      <c r="EY34" s="10"/>
    </row>
    <row r="35" spans="1:155" ht="16" customHeight="1">
      <c r="A35" s="68"/>
      <c r="B35" s="68"/>
      <c r="C35" s="68"/>
      <c r="D35" s="68" t="s">
        <v>74</v>
      </c>
      <c r="E35" s="68" t="s">
        <v>78</v>
      </c>
      <c r="F35" s="91">
        <f t="shared" si="125"/>
        <v>15.626387346930901</v>
      </c>
      <c r="G35" s="91">
        <f t="shared" si="125"/>
        <v>26.991668750045534</v>
      </c>
      <c r="H35" s="91">
        <f t="shared" si="125"/>
        <v>7.7176272925520681</v>
      </c>
      <c r="I35" s="91">
        <f t="shared" si="125"/>
        <v>9.4444695652850346</v>
      </c>
      <c r="J35" s="91">
        <f t="shared" si="125"/>
        <v>9.8821581269418584</v>
      </c>
      <c r="K35" s="91">
        <f t="shared" si="125"/>
        <v>22.532769367591953</v>
      </c>
      <c r="L35" s="91">
        <f t="shared" si="125"/>
        <v>12.320607247062339</v>
      </c>
      <c r="M35" s="91">
        <f t="shared" si="125"/>
        <v>16.478178416852927</v>
      </c>
      <c r="N35" s="91">
        <f t="shared" si="125"/>
        <v>20.838557936389392</v>
      </c>
      <c r="O35" s="91">
        <f t="shared" si="125"/>
        <v>22.537077865511158</v>
      </c>
      <c r="P35" s="91">
        <f t="shared" si="125"/>
        <v>27.379127215694094</v>
      </c>
      <c r="Q35" s="91">
        <f t="shared" si="125"/>
        <v>23.322960220776444</v>
      </c>
      <c r="R35" s="92">
        <f>SUM(F35:Q35)</f>
        <v>215.07158935163369</v>
      </c>
      <c r="S35" s="92">
        <f>SUM(L35:Q35)</f>
        <v>122.87650890228636</v>
      </c>
      <c r="T35" s="91"/>
      <c r="U35" s="91">
        <f>'测算-高个子抖音'!I$40</f>
        <v>5.5686366592186003</v>
      </c>
      <c r="V35" s="91">
        <f>'测算-高个子抖音'!J$40</f>
        <v>6.7634738937470003</v>
      </c>
      <c r="W35" s="91">
        <f>'测算-高个子抖音'!K$40</f>
        <v>1.8072916968663899</v>
      </c>
      <c r="X35" s="91">
        <f>'测算-高个子抖音'!L$40</f>
        <v>3.8740774376061502</v>
      </c>
      <c r="Y35" s="91">
        <f>'测算-高个子抖音'!M$40</f>
        <v>2.4067638991418496</v>
      </c>
      <c r="Z35" s="91">
        <f>'测算-高个子抖音'!N$40</f>
        <v>3.1596039286064452</v>
      </c>
      <c r="AA35" s="91">
        <f>'测算-高个子抖音'!O$40</f>
        <v>2.1857444645573785</v>
      </c>
      <c r="AB35" s="91">
        <f>'测算-高个子抖音'!P$40</f>
        <v>2.9233207859306507</v>
      </c>
      <c r="AC35" s="91">
        <f>'测算-高个子抖音'!Q$40</f>
        <v>3.696876440053837</v>
      </c>
      <c r="AD35" s="91">
        <f>'测算-高个子抖音'!R$40</f>
        <v>3.9982033518343831</v>
      </c>
      <c r="AE35" s="91">
        <f>'测算-高个子抖音'!S$40</f>
        <v>4.8572099212386206</v>
      </c>
      <c r="AF35" s="91">
        <f>'测算-高个子抖音'!T$40</f>
        <v>4.1376232662403041</v>
      </c>
      <c r="AG35" s="92">
        <f>'测算-高个子抖音'!V$40</f>
        <v>45.37882574504161</v>
      </c>
      <c r="AH35" s="92">
        <f>'测算-高个子抖音'!W$40</f>
        <v>21.798978229855173</v>
      </c>
      <c r="AI35" s="91"/>
      <c r="AJ35" s="91">
        <f>'测算-高个子视频号'!I$40</f>
        <v>0.54671863252788999</v>
      </c>
      <c r="AK35" s="91">
        <f>'测算-高个子视频号'!J$40</f>
        <v>0.18444209982947901</v>
      </c>
      <c r="AL35" s="91">
        <f>'测算-高个子视频号'!K$40</f>
        <v>2.5500243163625199E-2</v>
      </c>
      <c r="AM35" s="91">
        <f>'测算-高个子视频号'!L$40</f>
        <v>3.0605199465843905E-2</v>
      </c>
      <c r="AN35" s="91">
        <f>'测算-高个子视频号'!M$40</f>
        <v>2.0908666906926304E-2</v>
      </c>
      <c r="AO35" s="91">
        <f>'测算-高个子视频号'!N$40</f>
        <v>0.50453935542661521</v>
      </c>
      <c r="AP35" s="91">
        <f>'测算-高个子视频号'!O$40</f>
        <v>0.37821683043557663</v>
      </c>
      <c r="AQ35" s="91">
        <f>'测算-高个子视频号'!P$40</f>
        <v>0.50584555510931029</v>
      </c>
      <c r="AR35" s="91">
        <f>'测算-高个子视频号'!Q$40</f>
        <v>0.63970007123054318</v>
      </c>
      <c r="AS35" s="91">
        <f>'测算-高个子视频号'!R$40</f>
        <v>0.6918410746033492</v>
      </c>
      <c r="AT35" s="91">
        <f>'测算-高个子视频号'!S$40</f>
        <v>0.84048184541239268</v>
      </c>
      <c r="AU35" s="91">
        <f>'测算-高个子视频号'!T$40</f>
        <v>0.71596601646240832</v>
      </c>
      <c r="AV35" s="92">
        <f>'测算-高个子视频号'!V$40</f>
        <v>5.0847655905739604</v>
      </c>
      <c r="AW35" s="92">
        <f>'测算-高个子视频号'!W$40</f>
        <v>3.7720513932535797</v>
      </c>
      <c r="AX35" s="91"/>
      <c r="AY35" s="91">
        <f>'测算-天猫淘宝'!I$39</f>
        <v>0.22668204291762598</v>
      </c>
      <c r="AZ35" s="91">
        <f>'测算-天猫淘宝'!J$39</f>
        <v>0.245773574772776</v>
      </c>
      <c r="BA35" s="91">
        <f>'测算-天猫淘宝'!K$39</f>
        <v>6.8710679073348116E-2</v>
      </c>
      <c r="BB35" s="91">
        <f>'测算-天猫淘宝'!L$39</f>
        <v>0.15278017243391098</v>
      </c>
      <c r="BC35" s="91">
        <f>'测算-天猫淘宝'!M$39</f>
        <v>0.101100541991724</v>
      </c>
      <c r="BD35" s="91">
        <f>'测算-天猫淘宝'!N$39</f>
        <v>0.15209950478627554</v>
      </c>
      <c r="BE35" s="91">
        <f>'测算-天猫淘宝'!O$39</f>
        <v>0.14004443302411657</v>
      </c>
      <c r="BF35" s="91">
        <f>'测算-天猫淘宝'!P$39</f>
        <v>0.18730222523801598</v>
      </c>
      <c r="BG35" s="91">
        <f>'测算-天猫淘宝'!Q$39</f>
        <v>0.23686527560869094</v>
      </c>
      <c r="BH35" s="91">
        <f>'测算-天猫淘宝'!R$39</f>
        <v>0.25617181267168648</v>
      </c>
      <c r="BI35" s="91">
        <f>'测算-天猫淘宝'!S$39</f>
        <v>0.31120985116470345</v>
      </c>
      <c r="BJ35" s="91">
        <f>'测算-天猫淘宝'!T$39</f>
        <v>0.26510468802919185</v>
      </c>
      <c r="BK35" s="92">
        <f>'测算-天猫淘宝'!V$39</f>
        <v>2.3438448017120659</v>
      </c>
      <c r="BL35" s="92">
        <f>'测算-天猫淘宝'!W$39</f>
        <v>1.3966982857364052</v>
      </c>
      <c r="BM35" s="91"/>
      <c r="BN35" s="91">
        <f>'测算-拼多多'!I$40</f>
        <v>7.5898005441169397E-3</v>
      </c>
      <c r="BO35" s="91">
        <f>'测算-拼多多'!J$40</f>
        <v>1.7906999983444499E-2</v>
      </c>
      <c r="BP35" s="91">
        <f>'测算-拼多多'!K$40</f>
        <v>5.4165194309370897E-3</v>
      </c>
      <c r="BQ35" s="91">
        <f>'测算-拼多多'!L$40</f>
        <v>2.08951161011785E-3</v>
      </c>
      <c r="BR35" s="91">
        <f>'测算-拼多多'!M$40</f>
        <v>3.6947041923885795E-3</v>
      </c>
      <c r="BS35" s="91">
        <f>'测算-拼多多'!N$40</f>
        <v>8.697591625838566E-2</v>
      </c>
      <c r="BT35" s="91">
        <f>'测算-拼多多'!O$40</f>
        <v>5.1464000315436811E-2</v>
      </c>
      <c r="BU35" s="91">
        <f>'测算-拼多多'!P$40</f>
        <v>6.8830453096777627E-2</v>
      </c>
      <c r="BV35" s="91">
        <f>'测算-拼多多'!Q$40</f>
        <v>8.7044049916232602E-2</v>
      </c>
      <c r="BW35" s="91">
        <f>'测算-拼多多'!R$40</f>
        <v>9.4138881235438954E-2</v>
      </c>
      <c r="BX35" s="91">
        <f>'测算-拼多多'!S$40</f>
        <v>0.11436444514541513</v>
      </c>
      <c r="BY35" s="91">
        <f>'测算-拼多多'!T$40</f>
        <v>9.7421564383131432E-2</v>
      </c>
      <c r="BZ35" s="92">
        <f>'测算-拼多多'!V$40</f>
        <v>0.63693684611182322</v>
      </c>
      <c r="CA35" s="92">
        <f>'测算-拼多多'!W$40</f>
        <v>0.5132633940924326</v>
      </c>
      <c r="CB35" s="91"/>
      <c r="CC35" s="91">
        <f>'测算-京东POP'!I$40</f>
        <v>0.13332749622498799</v>
      </c>
      <c r="CD35" s="91">
        <f>'测算-京东POP'!J$40</f>
        <v>0.14280832486797002</v>
      </c>
      <c r="CE35" s="91">
        <f>'测算-京东POP'!K$40</f>
        <v>5.1609084016119799E-2</v>
      </c>
      <c r="CF35" s="91">
        <f>'测算-京东POP'!L$40</f>
        <v>8.82511374155657E-2</v>
      </c>
      <c r="CG35" s="91">
        <f>'测算-京东POP'!M$40</f>
        <v>6.5916881614205294E-2</v>
      </c>
      <c r="CH35" s="91">
        <f>'测算-京东POP'!N$40</f>
        <v>9.8541785381019653E-2</v>
      </c>
      <c r="CI35" s="91">
        <f>'测算-京东POP'!O$40</f>
        <v>0.14916163887063871</v>
      </c>
      <c r="CJ35" s="91">
        <f>'测算-京东POP'!P$40</f>
        <v>0.19949601906566905</v>
      </c>
      <c r="CK35" s="91">
        <f>'测算-京东POP'!Q$40</f>
        <v>0.25228573487996919</v>
      </c>
      <c r="CL35" s="91">
        <f>'测算-京东POP'!R$40</f>
        <v>0.27284917069135356</v>
      </c>
      <c r="CM35" s="91">
        <f>'测算-京东POP'!S$40</f>
        <v>0.33147030860141935</v>
      </c>
      <c r="CN35" s="91">
        <f>'测算-京东POP'!T$40</f>
        <v>0.28236359621602386</v>
      </c>
      <c r="CO35" s="92">
        <f>'测算-京东POP'!V$40</f>
        <v>2.0680811778449422</v>
      </c>
      <c r="CP35" s="92">
        <f>'测算-京东POP'!W$40</f>
        <v>1.4876264683250735</v>
      </c>
      <c r="CQ35" s="91"/>
      <c r="CR35" s="91">
        <f>'测算-京东自营'!I$41</f>
        <v>8.6693231748418409</v>
      </c>
      <c r="CS35" s="91">
        <f>'测算-京东自营'!J$41</f>
        <v>19.420141482045601</v>
      </c>
      <c r="CT35" s="91">
        <f>'测算-京东自营'!K$41</f>
        <v>5.0850162698099712</v>
      </c>
      <c r="CU35" s="91">
        <f>'测算-京东自营'!L$41</f>
        <v>5.16404357573479</v>
      </c>
      <c r="CV35" s="91">
        <f>'测算-京东自营'!M$41</f>
        <v>7.0022201795247891</v>
      </c>
      <c r="CW35" s="91">
        <f>'测算-京东自营'!N$41</f>
        <v>18.394784373201624</v>
      </c>
      <c r="CX35" s="91">
        <f>'测算-京东自营'!O$41</f>
        <v>8.9847891511316469</v>
      </c>
      <c r="CY35" s="91">
        <f>'测算-京东自营'!P$41</f>
        <v>12.016693309126692</v>
      </c>
      <c r="CZ35" s="91">
        <f>'测算-京东自营'!Q$41</f>
        <v>15.196495230926368</v>
      </c>
      <c r="DA35" s="91">
        <f>'测算-京东自营'!R$41</f>
        <v>16.435139002790201</v>
      </c>
      <c r="DB35" s="91">
        <f>'测算-京东自营'!S$41</f>
        <v>19.966198113625889</v>
      </c>
      <c r="DC35" s="91">
        <f>'测算-京东自营'!T$41</f>
        <v>17.00824283753316</v>
      </c>
      <c r="DD35" s="92">
        <f>'测算-京东自营'!V$41</f>
        <v>153.34308670029259</v>
      </c>
      <c r="DE35" s="92">
        <f>'测算-京东自营'!W$41</f>
        <v>89.607557645133951</v>
      </c>
      <c r="DF35" s="91"/>
      <c r="DG35" s="91">
        <f>'测算-达播'!I$41</f>
        <v>0.47410954065583799</v>
      </c>
      <c r="DH35" s="91">
        <f>'测算-达播'!J$41</f>
        <v>0.21712237479926497</v>
      </c>
      <c r="DI35" s="91">
        <f>'测算-达播'!K$41</f>
        <v>0.67408280019167688</v>
      </c>
      <c r="DJ35" s="91">
        <f>'测算-达播'!L$41</f>
        <v>0.13262253101865698</v>
      </c>
      <c r="DK35" s="91">
        <f>'测算-达播'!M$41</f>
        <v>0.28155325356997501</v>
      </c>
      <c r="DL35" s="91">
        <f>'测算-达播'!N$41</f>
        <v>0.13622450393158617</v>
      </c>
      <c r="DM35" s="91">
        <f>'测算-达播'!O$41</f>
        <v>0.43118672872754421</v>
      </c>
      <c r="DN35" s="91">
        <f>'测算-达播'!P$41</f>
        <v>0.57669006928581024</v>
      </c>
      <c r="DO35" s="91">
        <f>'测算-达播'!Q$41</f>
        <v>0.72929113377374766</v>
      </c>
      <c r="DP35" s="91">
        <f>'测算-达播'!R$41</f>
        <v>0.78873457168474681</v>
      </c>
      <c r="DQ35" s="91">
        <f>'测算-达播'!S$41</f>
        <v>0.95819273050565412</v>
      </c>
      <c r="DR35" s="91">
        <f>'测算-达播'!T$41</f>
        <v>0.81623825191222366</v>
      </c>
      <c r="DS35" s="92">
        <f>'测算-达播'!V$41</f>
        <v>6.2160484900567239</v>
      </c>
      <c r="DT35" s="92">
        <f>'测算-达播'!W$41</f>
        <v>4.3003334858897269</v>
      </c>
      <c r="DU35" s="91"/>
      <c r="DV35" s="91">
        <f>'测算-私域'!I$40</f>
        <v>0</v>
      </c>
      <c r="DW35" s="91">
        <f>'测算-私域'!J$40</f>
        <v>0</v>
      </c>
      <c r="DX35" s="91">
        <f>'测算-私域'!K$40</f>
        <v>0</v>
      </c>
      <c r="DY35" s="91">
        <f>'测算-私域'!L$40</f>
        <v>0</v>
      </c>
      <c r="DZ35" s="91">
        <f>'测算-私域'!M$40</f>
        <v>0</v>
      </c>
      <c r="EA35" s="91">
        <f>'测算-私域'!N$40</f>
        <v>0</v>
      </c>
      <c r="EB35" s="91">
        <f>'测算-私域'!O$40</f>
        <v>0</v>
      </c>
      <c r="EC35" s="91">
        <f>'测算-私域'!P$40</f>
        <v>0</v>
      </c>
      <c r="ED35" s="91">
        <f>'测算-私域'!Q$40</f>
        <v>0</v>
      </c>
      <c r="EE35" s="91">
        <f>'测算-私域'!R$40</f>
        <v>0</v>
      </c>
      <c r="EF35" s="91">
        <f>'测算-私域'!S$40</f>
        <v>0</v>
      </c>
      <c r="EG35" s="91">
        <f>'测算-私域'!T$40</f>
        <v>0</v>
      </c>
      <c r="EH35" s="92">
        <f>'测算-私域'!V$40</f>
        <v>0</v>
      </c>
      <c r="EI35" s="92">
        <f>'测算-私域'!W$40</f>
        <v>0</v>
      </c>
      <c r="EJ35" s="42"/>
      <c r="EK35" s="91">
        <f>'测算-外部分销'!I$40</f>
        <v>0</v>
      </c>
      <c r="EL35" s="91">
        <f>'测算-外部分销'!J$40</f>
        <v>0</v>
      </c>
      <c r="EM35" s="91">
        <f>'测算-外部分销'!K$40</f>
        <v>0</v>
      </c>
      <c r="EN35" s="91">
        <f>'测算-外部分销'!L$40</f>
        <v>0</v>
      </c>
      <c r="EO35" s="91">
        <f>'测算-外部分销'!M$40</f>
        <v>0</v>
      </c>
      <c r="EP35" s="91">
        <f>'测算-外部分销'!N$40</f>
        <v>0</v>
      </c>
      <c r="EQ35" s="91">
        <f>'测算-外部分销'!O$40</f>
        <v>0</v>
      </c>
      <c r="ER35" s="91">
        <f>'测算-外部分销'!P$40</f>
        <v>0</v>
      </c>
      <c r="ES35" s="91">
        <f>'测算-外部分销'!Q$40</f>
        <v>0</v>
      </c>
      <c r="ET35" s="91">
        <f>'测算-外部分销'!R$40</f>
        <v>0</v>
      </c>
      <c r="EU35" s="91">
        <f>'测算-外部分销'!S$40</f>
        <v>0</v>
      </c>
      <c r="EV35" s="91">
        <f>'测算-外部分销'!T$40</f>
        <v>0</v>
      </c>
      <c r="EW35" s="92">
        <f>'测算-外部分销'!V$40</f>
        <v>0</v>
      </c>
      <c r="EX35" s="92">
        <f>'测算-外部分销'!W$40</f>
        <v>0</v>
      </c>
      <c r="EY35" s="10"/>
    </row>
    <row r="36" spans="1:155" ht="16" customHeight="1">
      <c r="A36" s="76"/>
      <c r="B36" s="48"/>
      <c r="C36" s="48" t="s">
        <v>79</v>
      </c>
      <c r="D36" s="76"/>
      <c r="E36" s="76"/>
      <c r="F36" s="86">
        <f t="shared" si="125"/>
        <v>41.826251285364073</v>
      </c>
      <c r="G36" s="86">
        <f t="shared" si="125"/>
        <v>33.846583008205201</v>
      </c>
      <c r="H36" s="86">
        <f t="shared" si="125"/>
        <v>47.037375417828947</v>
      </c>
      <c r="I36" s="86">
        <f t="shared" si="125"/>
        <v>45.168611247322694</v>
      </c>
      <c r="J36" s="86">
        <f t="shared" si="125"/>
        <v>50.566792531575949</v>
      </c>
      <c r="K36" s="86">
        <f t="shared" si="125"/>
        <v>52.90591175107221</v>
      </c>
      <c r="L36" s="86">
        <f t="shared" si="125"/>
        <v>55.408322712480675</v>
      </c>
      <c r="M36" s="86">
        <f t="shared" si="125"/>
        <v>57.795207359451858</v>
      </c>
      <c r="N36" s="86">
        <f t="shared" si="125"/>
        <v>59.95406993496411</v>
      </c>
      <c r="O36" s="86">
        <f t="shared" si="125"/>
        <v>60.63019875570064</v>
      </c>
      <c r="P36" s="86">
        <f t="shared" si="125"/>
        <v>63.137571961083914</v>
      </c>
      <c r="Q36" s="86">
        <f t="shared" si="125"/>
        <v>61.10785235186232</v>
      </c>
      <c r="R36" s="78">
        <f>SUM(F36:Q36)</f>
        <v>629.38474831691258</v>
      </c>
      <c r="S36" s="78">
        <f>SUM(L36:Q36)</f>
        <v>358.0332230755435</v>
      </c>
      <c r="T36" s="87"/>
      <c r="U36" s="86">
        <f t="shared" ref="U36:AH36" si="126">SUM(U38:U40)</f>
        <v>23.937452373129226</v>
      </c>
      <c r="V36" s="86">
        <f t="shared" si="126"/>
        <v>18.347079342286026</v>
      </c>
      <c r="W36" s="86">
        <f t="shared" si="126"/>
        <v>27.217739184185309</v>
      </c>
      <c r="X36" s="86">
        <f t="shared" si="126"/>
        <v>25.840820750628772</v>
      </c>
      <c r="Y36" s="86">
        <f t="shared" si="126"/>
        <v>26.729258729717099</v>
      </c>
      <c r="Z36" s="86">
        <f t="shared" si="126"/>
        <v>26.908604642179615</v>
      </c>
      <c r="AA36" s="86">
        <f t="shared" si="126"/>
        <v>26.287572236415478</v>
      </c>
      <c r="AB36" s="86">
        <f t="shared" si="126"/>
        <v>26.854488101728165</v>
      </c>
      <c r="AC36" s="86">
        <f t="shared" si="126"/>
        <v>27.442220747314241</v>
      </c>
      <c r="AD36" s="86">
        <f t="shared" si="126"/>
        <v>27.671163115071611</v>
      </c>
      <c r="AE36" s="86">
        <f t="shared" si="126"/>
        <v>28.323819715693361</v>
      </c>
      <c r="AF36" s="86">
        <f t="shared" si="126"/>
        <v>27.777091673287707</v>
      </c>
      <c r="AG36" s="78">
        <f t="shared" si="126"/>
        <v>313.33731061163655</v>
      </c>
      <c r="AH36" s="78">
        <f t="shared" si="126"/>
        <v>164.35635558951054</v>
      </c>
      <c r="AI36" s="87"/>
      <c r="AJ36" s="86">
        <f t="shared" ref="AJ36:AW36" si="127">SUM(AJ38:AJ40)</f>
        <v>2.2926135194802471</v>
      </c>
      <c r="AK36" s="86">
        <f t="shared" si="127"/>
        <v>2.3008361031801057</v>
      </c>
      <c r="AL36" s="86">
        <f t="shared" si="127"/>
        <v>2.4008573375018161</v>
      </c>
      <c r="AM36" s="86">
        <f t="shared" si="127"/>
        <v>3.5097245377046655</v>
      </c>
      <c r="AN36" s="86">
        <f t="shared" si="127"/>
        <v>7.3630311923959457</v>
      </c>
      <c r="AO36" s="86">
        <f t="shared" si="127"/>
        <v>8.3643753852936982</v>
      </c>
      <c r="AP36" s="86">
        <f t="shared" si="127"/>
        <v>8.2136543257967016</v>
      </c>
      <c r="AQ36" s="86">
        <f t="shared" si="127"/>
        <v>8.2835657509691316</v>
      </c>
      <c r="AR36" s="86">
        <f t="shared" si="127"/>
        <v>8.3570447846619356</v>
      </c>
      <c r="AS36" s="86">
        <f t="shared" si="127"/>
        <v>8.3862616443409017</v>
      </c>
      <c r="AT36" s="86">
        <f t="shared" si="127"/>
        <v>8.4695514980525797</v>
      </c>
      <c r="AU36" s="86">
        <f t="shared" si="127"/>
        <v>8.3997798928490788</v>
      </c>
      <c r="AV36" s="78">
        <f t="shared" si="127"/>
        <v>76.341295972226817</v>
      </c>
      <c r="AW36" s="78">
        <f t="shared" si="127"/>
        <v>50.109857896670327</v>
      </c>
      <c r="AX36" s="87"/>
      <c r="AY36" s="86">
        <f t="shared" ref="AY36:BL36" si="128">SUM(AY38:AY40)</f>
        <v>1.3394483747637091</v>
      </c>
      <c r="AZ36" s="86">
        <f t="shared" si="128"/>
        <v>1.11782610281144</v>
      </c>
      <c r="BA36" s="86">
        <f t="shared" si="128"/>
        <v>1.5085840944547571</v>
      </c>
      <c r="BB36" s="86">
        <f t="shared" si="128"/>
        <v>1.4572365303873145</v>
      </c>
      <c r="BC36" s="86">
        <f t="shared" si="128"/>
        <v>1.1993370310167792</v>
      </c>
      <c r="BD36" s="86">
        <f t="shared" si="128"/>
        <v>1.3569055659170015</v>
      </c>
      <c r="BE36" s="86">
        <f t="shared" si="128"/>
        <v>1.4259047970338103</v>
      </c>
      <c r="BF36" s="86">
        <f t="shared" si="128"/>
        <v>1.4511545453754882</v>
      </c>
      <c r="BG36" s="86">
        <f t="shared" si="128"/>
        <v>1.4776359887582233</v>
      </c>
      <c r="BH36" s="86">
        <f t="shared" si="128"/>
        <v>1.4879514347270797</v>
      </c>
      <c r="BI36" s="86">
        <f t="shared" si="128"/>
        <v>1.5173581538323262</v>
      </c>
      <c r="BJ36" s="86">
        <f t="shared" si="128"/>
        <v>1.4927242530111773</v>
      </c>
      <c r="BK36" s="78">
        <f t="shared" si="128"/>
        <v>16.832066872089104</v>
      </c>
      <c r="BL36" s="78">
        <f t="shared" si="128"/>
        <v>8.8527291727381048</v>
      </c>
      <c r="BM36" s="87"/>
      <c r="BN36" s="86">
        <f t="shared" ref="BN36:CA36" si="129">SUM(BN38:BN40)</f>
        <v>7.6694926048088443E-6</v>
      </c>
      <c r="BO36" s="86">
        <f t="shared" si="129"/>
        <v>0</v>
      </c>
      <c r="BP36" s="86">
        <f t="shared" si="129"/>
        <v>1.2264373400794303E-5</v>
      </c>
      <c r="BQ36" s="86">
        <f t="shared" si="129"/>
        <v>3.7684394204058258E-6</v>
      </c>
      <c r="BR36" s="86">
        <f t="shared" si="129"/>
        <v>4.9068224553533888E-5</v>
      </c>
      <c r="BS36" s="86">
        <f t="shared" si="129"/>
        <v>1.0889287421250013E-3</v>
      </c>
      <c r="BT36" s="86">
        <f t="shared" si="129"/>
        <v>2.1576732227503878E-4</v>
      </c>
      <c r="BU36" s="86">
        <f t="shared" si="129"/>
        <v>2.8857769440077206E-4</v>
      </c>
      <c r="BV36" s="86">
        <f t="shared" si="129"/>
        <v>3.6493979199605316E-4</v>
      </c>
      <c r="BW36" s="86">
        <f t="shared" si="129"/>
        <v>3.9468549280351754E-4</v>
      </c>
      <c r="BX36" s="86">
        <f t="shared" si="129"/>
        <v>4.7948293838897507E-4</v>
      </c>
      <c r="BY36" s="86">
        <f t="shared" si="129"/>
        <v>4.0844842899801588E-4</v>
      </c>
      <c r="BZ36" s="78">
        <f t="shared" si="129"/>
        <v>3.3136009409669167E-3</v>
      </c>
      <c r="CA36" s="78">
        <f t="shared" si="129"/>
        <v>2.1519016688623725E-3</v>
      </c>
      <c r="CB36" s="87"/>
      <c r="CC36" s="86">
        <f t="shared" ref="CC36:CP36" si="130">SUM(CC38:CC40)</f>
        <v>0.94082748740873756</v>
      </c>
      <c r="CD36" s="86">
        <f t="shared" si="130"/>
        <v>0.92175914468044207</v>
      </c>
      <c r="CE36" s="86">
        <f t="shared" si="130"/>
        <v>1.1147277779800682</v>
      </c>
      <c r="CF36" s="86">
        <f t="shared" si="130"/>
        <v>1.0498613985718412</v>
      </c>
      <c r="CG36" s="86">
        <f t="shared" si="130"/>
        <v>0.93933852832202924</v>
      </c>
      <c r="CH36" s="86">
        <f t="shared" si="130"/>
        <v>1.0455075524673769</v>
      </c>
      <c r="CI36" s="86">
        <f t="shared" si="130"/>
        <v>1.1149532601623602</v>
      </c>
      <c r="CJ36" s="86">
        <f t="shared" si="130"/>
        <v>1.1396351586378632</v>
      </c>
      <c r="CK36" s="86">
        <f t="shared" si="130"/>
        <v>1.1655210521609518</v>
      </c>
      <c r="CL36" s="86">
        <f t="shared" si="130"/>
        <v>1.1756045106844806</v>
      </c>
      <c r="CM36" s="86">
        <f t="shared" si="130"/>
        <v>1.2043498924455849</v>
      </c>
      <c r="CN36" s="86">
        <f t="shared" si="130"/>
        <v>1.1802699914938746</v>
      </c>
      <c r="CO36" s="78">
        <f t="shared" si="130"/>
        <v>12.992355755015613</v>
      </c>
      <c r="CP36" s="78">
        <f t="shared" si="130"/>
        <v>6.9803338655851155</v>
      </c>
      <c r="CQ36" s="87"/>
      <c r="CR36" s="86">
        <f t="shared" ref="CR36:DE36" si="131">SUM(CR38:CR40)</f>
        <v>9.0137658366956188</v>
      </c>
      <c r="CS36" s="86">
        <f t="shared" si="131"/>
        <v>7.8557242035232902</v>
      </c>
      <c r="CT36" s="86">
        <f t="shared" si="131"/>
        <v>8.5813425862361719</v>
      </c>
      <c r="CU36" s="86">
        <f t="shared" si="131"/>
        <v>9.4785494155170849</v>
      </c>
      <c r="CV36" s="86">
        <f t="shared" si="131"/>
        <v>9.4711913500438882</v>
      </c>
      <c r="CW36" s="86">
        <f t="shared" si="131"/>
        <v>10.937622367525382</v>
      </c>
      <c r="CX36" s="86">
        <f t="shared" si="131"/>
        <v>8.6235731446137347</v>
      </c>
      <c r="CY36" s="86">
        <f t="shared" si="131"/>
        <v>9.369160713489002</v>
      </c>
      <c r="CZ36" s="86">
        <f t="shared" si="131"/>
        <v>10.151118407675256</v>
      </c>
      <c r="DA36" s="86">
        <f t="shared" si="131"/>
        <v>10.455718207154785</v>
      </c>
      <c r="DB36" s="86">
        <f t="shared" si="131"/>
        <v>11.324054948954636</v>
      </c>
      <c r="DC36" s="86">
        <f t="shared" si="131"/>
        <v>10.596652442734865</v>
      </c>
      <c r="DD36" s="78">
        <f t="shared" si="131"/>
        <v>115.85847362416372</v>
      </c>
      <c r="DE36" s="78">
        <f t="shared" si="131"/>
        <v>60.52027786462228</v>
      </c>
      <c r="DF36" s="87"/>
      <c r="DG36" s="86">
        <f t="shared" ref="DG36:DT36" si="132">SUM(DG38:DG40)</f>
        <v>4.302136024393981</v>
      </c>
      <c r="DH36" s="86">
        <f t="shared" si="132"/>
        <v>3.3033581117240001</v>
      </c>
      <c r="DI36" s="86">
        <f t="shared" si="132"/>
        <v>6.2141121730974263</v>
      </c>
      <c r="DJ36" s="86">
        <f t="shared" si="132"/>
        <v>3.8324148460735925</v>
      </c>
      <c r="DK36" s="86">
        <f t="shared" si="132"/>
        <v>4.8645866318556434</v>
      </c>
      <c r="DL36" s="86">
        <f t="shared" si="132"/>
        <v>4.2918073089470159</v>
      </c>
      <c r="DM36" s="86">
        <f t="shared" si="132"/>
        <v>5.5462125144696497</v>
      </c>
      <c r="DN36" s="86">
        <f t="shared" si="132"/>
        <v>6.0453107615578237</v>
      </c>
      <c r="DO36" s="86">
        <f t="shared" si="132"/>
        <v>6.5687552646015179</v>
      </c>
      <c r="DP36" s="86">
        <f t="shared" si="132"/>
        <v>6.7726551582290035</v>
      </c>
      <c r="DQ36" s="86">
        <f t="shared" si="132"/>
        <v>7.3539220191670598</v>
      </c>
      <c r="DR36" s="86">
        <f t="shared" si="132"/>
        <v>6.8669969000566464</v>
      </c>
      <c r="DS36" s="78">
        <f t="shared" si="132"/>
        <v>65.96226771417335</v>
      </c>
      <c r="DT36" s="78">
        <f t="shared" si="132"/>
        <v>39.1538526180817</v>
      </c>
      <c r="DU36" s="87"/>
      <c r="DV36" s="86">
        <f t="shared" ref="DV36:EI36" si="133">SUM(DV38:DV40)</f>
        <v>0</v>
      </c>
      <c r="DW36" s="86">
        <f t="shared" si="133"/>
        <v>0</v>
      </c>
      <c r="DX36" s="86">
        <f t="shared" si="133"/>
        <v>0</v>
      </c>
      <c r="DY36" s="86">
        <f t="shared" si="133"/>
        <v>0</v>
      </c>
      <c r="DZ36" s="86">
        <f t="shared" si="133"/>
        <v>0</v>
      </c>
      <c r="EA36" s="86">
        <f t="shared" si="133"/>
        <v>0</v>
      </c>
      <c r="EB36" s="86">
        <f t="shared" si="133"/>
        <v>4.1962366666666702</v>
      </c>
      <c r="EC36" s="86">
        <f t="shared" si="133"/>
        <v>4.6516037499999996</v>
      </c>
      <c r="ED36" s="86">
        <f t="shared" si="133"/>
        <v>4.7914087500000004</v>
      </c>
      <c r="EE36" s="86">
        <f t="shared" si="133"/>
        <v>4.6804500000000004</v>
      </c>
      <c r="EF36" s="86">
        <f t="shared" si="133"/>
        <v>4.9440362499999999</v>
      </c>
      <c r="EG36" s="86">
        <f t="shared" si="133"/>
        <v>4.7939287500000001</v>
      </c>
      <c r="EH36" s="78">
        <f t="shared" si="133"/>
        <v>28.057664166666669</v>
      </c>
      <c r="EI36" s="78">
        <f t="shared" si="133"/>
        <v>28.057664166666669</v>
      </c>
      <c r="EJ36" s="42"/>
      <c r="EK36" s="86">
        <f t="shared" ref="EK36:EX36" si="134">SUM(EK38:EK40)</f>
        <v>-5.2386894822120697E-14</v>
      </c>
      <c r="EL36" s="86">
        <f t="shared" si="134"/>
        <v>-1.0477378964424129E-13</v>
      </c>
      <c r="EM36" s="86">
        <f t="shared" si="134"/>
        <v>0</v>
      </c>
      <c r="EN36" s="86">
        <f t="shared" si="134"/>
        <v>0</v>
      </c>
      <c r="EO36" s="86">
        <f t="shared" si="134"/>
        <v>0</v>
      </c>
      <c r="EP36" s="86">
        <f t="shared" si="134"/>
        <v>0</v>
      </c>
      <c r="EQ36" s="86">
        <f t="shared" si="134"/>
        <v>-9.5987068931279194E-15</v>
      </c>
      <c r="ER36" s="86">
        <f t="shared" si="134"/>
        <v>-1.2837776708915944E-14</v>
      </c>
      <c r="ES36" s="86">
        <f t="shared" si="134"/>
        <v>-1.6234849930352157E-14</v>
      </c>
      <c r="ET36" s="86">
        <f t="shared" si="134"/>
        <v>-1.7558128452655811E-14</v>
      </c>
      <c r="EU36" s="86">
        <f t="shared" si="134"/>
        <v>-2.133045976250649E-14</v>
      </c>
      <c r="EV36" s="86">
        <f t="shared" si="134"/>
        <v>-1.8170391649542562E-14</v>
      </c>
      <c r="EW36" s="78">
        <f t="shared" si="134"/>
        <v>-2.5289099786346287E-13</v>
      </c>
      <c r="EX36" s="78">
        <f t="shared" si="134"/>
        <v>-9.5730313397100892E-14</v>
      </c>
      <c r="EY36" s="9"/>
    </row>
    <row r="37" spans="1:155" s="8" customFormat="1" ht="16" customHeight="1">
      <c r="A37" s="88"/>
      <c r="B37" s="89"/>
      <c r="C37" s="89" t="s">
        <v>108</v>
      </c>
      <c r="D37" s="88"/>
      <c r="E37" s="88"/>
      <c r="F37" s="90">
        <f t="shared" ref="F37:S37" si="135">IFERROR(F36/F3,0)</f>
        <v>3.8143833124361003E-2</v>
      </c>
      <c r="G37" s="90">
        <f t="shared" si="135"/>
        <v>5.0900208823518173E-2</v>
      </c>
      <c r="H37" s="90">
        <f t="shared" si="135"/>
        <v>4.6466085582788239E-2</v>
      </c>
      <c r="I37" s="90">
        <f t="shared" si="135"/>
        <v>4.619177046487042E-2</v>
      </c>
      <c r="J37" s="90">
        <f t="shared" si="135"/>
        <v>4.1512733270294672E-2</v>
      </c>
      <c r="K37" s="90">
        <f t="shared" si="135"/>
        <v>4.2645747096608747E-2</v>
      </c>
      <c r="L37" s="90">
        <f t="shared" si="135"/>
        <v>6.9973795646384979E-2</v>
      </c>
      <c r="M37" s="90">
        <f t="shared" si="135"/>
        <v>5.5274713570983174E-2</v>
      </c>
      <c r="N37" s="90">
        <f t="shared" si="135"/>
        <v>4.5727614305647458E-2</v>
      </c>
      <c r="O37" s="90">
        <f t="shared" si="135"/>
        <v>4.2920350687507484E-2</v>
      </c>
      <c r="P37" s="90">
        <f t="shared" si="135"/>
        <v>3.6815730386091733E-2</v>
      </c>
      <c r="Q37" s="90">
        <f t="shared" si="135"/>
        <v>4.1765835894071679E-2</v>
      </c>
      <c r="R37" s="83">
        <f t="shared" si="135"/>
        <v>4.5118532567220364E-2</v>
      </c>
      <c r="S37" s="83">
        <f t="shared" si="135"/>
        <v>4.626203184682301E-2</v>
      </c>
      <c r="T37" s="84"/>
      <c r="U37" s="90">
        <f t="shared" ref="U37:AH37" si="136">IFERROR(U36/U3,0)</f>
        <v>5.7996993888087697E-2</v>
      </c>
      <c r="V37" s="90">
        <f t="shared" si="136"/>
        <v>7.7640256842380503E-2</v>
      </c>
      <c r="W37" s="90">
        <f t="shared" si="136"/>
        <v>5.6589519376675397E-2</v>
      </c>
      <c r="X37" s="90">
        <f t="shared" si="136"/>
        <v>8.9045671509982036E-2</v>
      </c>
      <c r="Y37" s="90">
        <f t="shared" si="136"/>
        <v>6.9738041804581222E-2</v>
      </c>
      <c r="Z37" s="90">
        <f t="shared" si="136"/>
        <v>9.91012105278197E-2</v>
      </c>
      <c r="AA37" s="90">
        <f t="shared" si="136"/>
        <v>0.1399495539770258</v>
      </c>
      <c r="AB37" s="90">
        <f t="shared" si="136"/>
        <v>0.1068958464351815</v>
      </c>
      <c r="AC37" s="90">
        <f t="shared" si="136"/>
        <v>8.6378318361561998E-2</v>
      </c>
      <c r="AD37" s="90">
        <f t="shared" si="136"/>
        <v>8.0534684623587954E-2</v>
      </c>
      <c r="AE37" s="90">
        <f t="shared" si="136"/>
        <v>6.785554996176657E-2</v>
      </c>
      <c r="AF37" s="90">
        <f t="shared" si="136"/>
        <v>7.8118924161046557E-2</v>
      </c>
      <c r="AG37" s="83">
        <f t="shared" si="136"/>
        <v>7.9358977354200236E-2</v>
      </c>
      <c r="AH37" s="83">
        <f t="shared" si="136"/>
        <v>8.7734578074303043E-2</v>
      </c>
      <c r="AI37" s="84"/>
      <c r="AJ37" s="90">
        <f t="shared" ref="AJ37:AW37" si="137">IFERROR(AJ36/AJ3,0)</f>
        <v>0.14665030316763344</v>
      </c>
      <c r="AK37" s="90">
        <f t="shared" si="137"/>
        <v>0.43105384401148544</v>
      </c>
      <c r="AL37" s="90">
        <f t="shared" si="137"/>
        <v>0.2119354125749181</v>
      </c>
      <c r="AM37" s="90">
        <f t="shared" si="137"/>
        <v>0.46799447132537708</v>
      </c>
      <c r="AN37" s="90">
        <f t="shared" si="137"/>
        <v>0.10926563125782113</v>
      </c>
      <c r="AO37" s="90">
        <f t="shared" si="137"/>
        <v>0.11858331824351817</v>
      </c>
      <c r="AP37" s="90">
        <f t="shared" si="137"/>
        <v>0.15533907051201465</v>
      </c>
      <c r="AQ37" s="90">
        <f t="shared" si="137"/>
        <v>0.11713441613854532</v>
      </c>
      <c r="AR37" s="90">
        <f t="shared" si="137"/>
        <v>9.3446160515712751E-2</v>
      </c>
      <c r="AS37" s="90">
        <f t="shared" si="137"/>
        <v>8.6705609783498047E-2</v>
      </c>
      <c r="AT37" s="90">
        <f t="shared" si="137"/>
        <v>7.208040323209991E-2</v>
      </c>
      <c r="AU37" s="90">
        <f t="shared" si="137"/>
        <v>8.3919063486316128E-2</v>
      </c>
      <c r="AV37" s="83">
        <f t="shared" si="137"/>
        <v>0.10827582623970299</v>
      </c>
      <c r="AW37" s="83">
        <f t="shared" si="137"/>
        <v>9.502342968814069E-2</v>
      </c>
      <c r="AX37" s="84"/>
      <c r="AY37" s="90">
        <f t="shared" ref="AY37:BL37" si="138">IFERROR(AY36/AY3,0)</f>
        <v>4.8353498118335989E-2</v>
      </c>
      <c r="AZ37" s="90">
        <f t="shared" si="138"/>
        <v>7.8436308076382188E-2</v>
      </c>
      <c r="BA37" s="90">
        <f t="shared" si="138"/>
        <v>4.6329423067141398E-2</v>
      </c>
      <c r="BB37" s="90">
        <f t="shared" si="138"/>
        <v>4.2547488016222136E-2</v>
      </c>
      <c r="BC37" s="90">
        <f t="shared" si="138"/>
        <v>3.6793486131673214E-2</v>
      </c>
      <c r="BD37" s="90">
        <f t="shared" si="138"/>
        <v>5.1648142049241022E-2</v>
      </c>
      <c r="BE37" s="90">
        <f t="shared" si="138"/>
        <v>5.8946437041737285E-2</v>
      </c>
      <c r="BF37" s="90">
        <f t="shared" si="138"/>
        <v>4.4854250976673567E-2</v>
      </c>
      <c r="BG37" s="90">
        <f t="shared" si="138"/>
        <v>3.6115941547331047E-2</v>
      </c>
      <c r="BH37" s="90">
        <f t="shared" si="138"/>
        <v>3.3627168064924197E-2</v>
      </c>
      <c r="BI37" s="90">
        <f t="shared" si="138"/>
        <v>2.8227189979174606E-2</v>
      </c>
      <c r="BJ37" s="90">
        <f t="shared" si="138"/>
        <v>3.2598308138274433E-2</v>
      </c>
      <c r="BK37" s="83">
        <f t="shared" si="138"/>
        <v>4.116585194234542E-2</v>
      </c>
      <c r="BL37" s="83">
        <f t="shared" si="138"/>
        <v>3.6695047774596021E-2</v>
      </c>
      <c r="BM37" s="84"/>
      <c r="BN37" s="90">
        <f t="shared" ref="BN37:CA37" si="139">IFERROR(BN36/BN3,0)</f>
        <v>4.9629164756489398E-5</v>
      </c>
      <c r="BO37" s="90">
        <f t="shared" si="139"/>
        <v>0</v>
      </c>
      <c r="BP37" s="90">
        <f t="shared" si="139"/>
        <v>3.3472817539381503E-5</v>
      </c>
      <c r="BQ37" s="90">
        <f t="shared" si="139"/>
        <v>3.1968166374613599E-5</v>
      </c>
      <c r="BR37" s="90">
        <f t="shared" si="139"/>
        <v>1.08745436390447E-4</v>
      </c>
      <c r="BS37" s="90">
        <f t="shared" si="139"/>
        <v>2.2176532722199902E-4</v>
      </c>
      <c r="BT37" s="90">
        <f t="shared" si="139"/>
        <v>7.4263485380488423E-5</v>
      </c>
      <c r="BU37" s="90">
        <f t="shared" si="139"/>
        <v>7.4263485380488423E-5</v>
      </c>
      <c r="BV37" s="90">
        <f t="shared" si="139"/>
        <v>7.4263485380488423E-5</v>
      </c>
      <c r="BW37" s="90">
        <f t="shared" si="139"/>
        <v>7.4263485380488423E-5</v>
      </c>
      <c r="BX37" s="90">
        <f t="shared" si="139"/>
        <v>7.4263485380488423E-5</v>
      </c>
      <c r="BY37" s="90">
        <f t="shared" si="139"/>
        <v>7.4263485380488423E-5</v>
      </c>
      <c r="BZ37" s="83">
        <f t="shared" si="139"/>
        <v>9.3994443018723873E-5</v>
      </c>
      <c r="CA37" s="83">
        <f t="shared" si="139"/>
        <v>7.4263485380488423E-5</v>
      </c>
      <c r="CB37" s="84"/>
      <c r="CC37" s="90">
        <f t="shared" ref="CC37:CP37" si="140">IFERROR(CC36/CC3,0)</f>
        <v>6.882827725168536E-2</v>
      </c>
      <c r="CD37" s="90">
        <f t="shared" si="140"/>
        <v>0.1075304823792847</v>
      </c>
      <c r="CE37" s="90">
        <f t="shared" si="140"/>
        <v>4.7917136411407914E-2</v>
      </c>
      <c r="CF37" s="90">
        <f t="shared" si="140"/>
        <v>5.3932252075219289E-2</v>
      </c>
      <c r="CG37" s="90">
        <f t="shared" si="140"/>
        <v>4.8869272816341389E-2</v>
      </c>
      <c r="CH37" s="90">
        <f t="shared" si="140"/>
        <v>6.2715136857319331E-2</v>
      </c>
      <c r="CI37" s="90">
        <f t="shared" si="140"/>
        <v>4.4184011357173716E-2</v>
      </c>
      <c r="CJ37" s="90">
        <f t="shared" si="140"/>
        <v>3.3767369630832697E-2</v>
      </c>
      <c r="CK37" s="90">
        <f t="shared" si="140"/>
        <v>2.7308198697443737E-2</v>
      </c>
      <c r="CL37" s="90">
        <f t="shared" si="140"/>
        <v>2.5468550712059789E-2</v>
      </c>
      <c r="CM37" s="90">
        <f t="shared" si="140"/>
        <v>2.1477002715912043E-2</v>
      </c>
      <c r="CN37" s="90">
        <f t="shared" si="140"/>
        <v>2.4708039518621223E-2</v>
      </c>
      <c r="CO37" s="83">
        <f t="shared" si="140"/>
        <v>3.6854445192710868E-2</v>
      </c>
      <c r="CP37" s="83">
        <f t="shared" si="140"/>
        <v>2.7736261601457417E-2</v>
      </c>
      <c r="CQ37" s="84"/>
      <c r="CR37" s="90">
        <f t="shared" ref="CR37:DE37" si="141">IFERROR(CR36/CR3,0)</f>
        <v>2.2497128975032279E-2</v>
      </c>
      <c r="CS37" s="90">
        <f t="shared" si="141"/>
        <v>2.608412359953385E-2</v>
      </c>
      <c r="CT37" s="90">
        <f t="shared" si="141"/>
        <v>0.2117678239333784</v>
      </c>
      <c r="CU37" s="90">
        <f t="shared" si="141"/>
        <v>2.159559655702821E-2</v>
      </c>
      <c r="CV37" s="90">
        <f t="shared" si="141"/>
        <v>2.1224958455843618E-2</v>
      </c>
      <c r="CW37" s="90">
        <f t="shared" si="141"/>
        <v>1.6565226866116892E-2</v>
      </c>
      <c r="CX37" s="90">
        <f t="shared" si="141"/>
        <v>2.6739207169850534E-2</v>
      </c>
      <c r="CY37" s="90">
        <f t="shared" si="141"/>
        <v>2.1721253094096397E-2</v>
      </c>
      <c r="CZ37" s="90">
        <f t="shared" si="141"/>
        <v>1.8609710625545277E-2</v>
      </c>
      <c r="DA37" s="90">
        <f t="shared" si="141"/>
        <v>1.7723506669536419E-2</v>
      </c>
      <c r="DB37" s="90">
        <f t="shared" si="141"/>
        <v>1.580067923032551E-2</v>
      </c>
      <c r="DC37" s="90">
        <f t="shared" si="141"/>
        <v>1.7357149609072156E-2</v>
      </c>
      <c r="DD37" s="83">
        <f t="shared" si="141"/>
        <v>2.1049062907430759E-2</v>
      </c>
      <c r="DE37" s="83">
        <f t="shared" si="141"/>
        <v>1.8815919118676305E-2</v>
      </c>
      <c r="DF37" s="84"/>
      <c r="DG37" s="90">
        <f t="shared" ref="DG37:DT37" si="142">IFERROR(DG36/DG3,0)</f>
        <v>8.32560344472075E-2</v>
      </c>
      <c r="DH37" s="90">
        <f t="shared" si="142"/>
        <v>0.77953514058051732</v>
      </c>
      <c r="DI37" s="90">
        <f t="shared" si="142"/>
        <v>3.2700298278261056E-2</v>
      </c>
      <c r="DJ37" s="90">
        <f t="shared" si="142"/>
        <v>0.1013584890479909</v>
      </c>
      <c r="DK37" s="90">
        <f t="shared" si="142"/>
        <v>5.9953768842912661E-2</v>
      </c>
      <c r="DL37" s="90">
        <f t="shared" si="142"/>
        <v>0.15673864206262325</v>
      </c>
      <c r="DM37" s="90">
        <f t="shared" si="142"/>
        <v>6.3991489752771247E-2</v>
      </c>
      <c r="DN37" s="90">
        <f t="shared" si="142"/>
        <v>5.2151554472580054E-2</v>
      </c>
      <c r="DO37" s="90">
        <f t="shared" si="142"/>
        <v>4.480982497624645E-2</v>
      </c>
      <c r="DP37" s="90">
        <f t="shared" si="142"/>
        <v>4.2718813913611854E-2</v>
      </c>
      <c r="DQ37" s="90">
        <f t="shared" si="142"/>
        <v>3.8181874736500816E-2</v>
      </c>
      <c r="DR37" s="90">
        <f t="shared" si="142"/>
        <v>4.1854389126167763E-2</v>
      </c>
      <c r="DS37" s="83">
        <f t="shared" si="142"/>
        <v>5.2489836383488406E-2</v>
      </c>
      <c r="DT37" s="83">
        <f t="shared" si="142"/>
        <v>4.5296376900803501E-2</v>
      </c>
      <c r="DU37" s="84"/>
      <c r="DV37" s="90">
        <f t="shared" ref="DV37:EI37" si="143">IFERROR(DV36/DV3,0)</f>
        <v>0</v>
      </c>
      <c r="DW37" s="90">
        <f t="shared" si="143"/>
        <v>0</v>
      </c>
      <c r="DX37" s="90">
        <f t="shared" si="143"/>
        <v>0</v>
      </c>
      <c r="DY37" s="90">
        <f t="shared" si="143"/>
        <v>0</v>
      </c>
      <c r="DZ37" s="90">
        <f t="shared" si="143"/>
        <v>0</v>
      </c>
      <c r="EA37" s="90">
        <f t="shared" si="143"/>
        <v>0</v>
      </c>
      <c r="EB37" s="90">
        <f t="shared" si="143"/>
        <v>0.11671970122628521</v>
      </c>
      <c r="EC37" s="90">
        <f t="shared" si="143"/>
        <v>0.13431490172044266</v>
      </c>
      <c r="ED37" s="90">
        <f t="shared" si="143"/>
        <v>0.14684881241442405</v>
      </c>
      <c r="EE37" s="90">
        <f t="shared" si="143"/>
        <v>0.15638511143038528</v>
      </c>
      <c r="EF37" s="90">
        <f t="shared" si="143"/>
        <v>0.14045268243764866</v>
      </c>
      <c r="EG37" s="90">
        <f t="shared" si="143"/>
        <v>0.1488863637598869</v>
      </c>
      <c r="EH37" s="83">
        <f t="shared" si="143"/>
        <v>8.9042497586668615E-2</v>
      </c>
      <c r="EI37" s="83">
        <f t="shared" si="143"/>
        <v>0.13991059719854657</v>
      </c>
      <c r="EJ37" s="85"/>
      <c r="EK37" s="90">
        <f t="shared" ref="EK37:EX37" si="144">IFERROR(EK36/EK3,0)</f>
        <v>-3.5034527421095344E-16</v>
      </c>
      <c r="EL37" s="90">
        <f t="shared" si="144"/>
        <v>-1.2050327769739172E-15</v>
      </c>
      <c r="EM37" s="90">
        <f t="shared" si="144"/>
        <v>0</v>
      </c>
      <c r="EN37" s="90">
        <f t="shared" si="144"/>
        <v>0</v>
      </c>
      <c r="EO37" s="90">
        <f t="shared" si="144"/>
        <v>0</v>
      </c>
      <c r="EP37" s="90">
        <f t="shared" si="144"/>
        <v>0</v>
      </c>
      <c r="EQ37" s="90">
        <f t="shared" si="144"/>
        <v>-1.78835387908917E-16</v>
      </c>
      <c r="ER37" s="90">
        <f t="shared" si="144"/>
        <v>-1.78835387908917E-16</v>
      </c>
      <c r="ES37" s="90">
        <f t="shared" si="144"/>
        <v>-1.7883538790891698E-16</v>
      </c>
      <c r="ET37" s="90">
        <f t="shared" si="144"/>
        <v>-1.7883538790891703E-16</v>
      </c>
      <c r="EU37" s="90">
        <f t="shared" si="144"/>
        <v>-1.78835387908917E-16</v>
      </c>
      <c r="EV37" s="90">
        <f t="shared" si="144"/>
        <v>-1.78835387908917E-16</v>
      </c>
      <c r="EW37" s="83">
        <f t="shared" si="144"/>
        <v>-1.7765239898558495E-16</v>
      </c>
      <c r="EX37" s="83">
        <f t="shared" si="144"/>
        <v>-1.78835387908917E-16</v>
      </c>
      <c r="EY37" s="7"/>
    </row>
    <row r="38" spans="1:155" ht="16" customHeight="1">
      <c r="A38" s="68"/>
      <c r="B38" s="68"/>
      <c r="C38" s="68"/>
      <c r="D38" s="68" t="s">
        <v>79</v>
      </c>
      <c r="E38" s="68" t="s">
        <v>80</v>
      </c>
      <c r="F38" s="91">
        <f t="shared" ref="F38:Q40" si="145">SUM(U38,AJ38,AY38,BN38,CC38,CR38,DG38,DV38,EK38)</f>
        <v>32.677612951440473</v>
      </c>
      <c r="G38" s="91">
        <f t="shared" si="145"/>
        <v>29.43701851606399</v>
      </c>
      <c r="H38" s="91">
        <f t="shared" si="145"/>
        <v>35.846201721166963</v>
      </c>
      <c r="I38" s="91">
        <f t="shared" si="145"/>
        <v>38.322002718433694</v>
      </c>
      <c r="J38" s="91">
        <f t="shared" si="145"/>
        <v>43.272249124118716</v>
      </c>
      <c r="K38" s="91">
        <f t="shared" si="145"/>
        <v>45.506153973838209</v>
      </c>
      <c r="L38" s="91">
        <f t="shared" si="145"/>
        <v>48.672820640504874</v>
      </c>
      <c r="M38" s="91">
        <f t="shared" si="145"/>
        <v>48.906153973838194</v>
      </c>
      <c r="N38" s="91">
        <f t="shared" si="145"/>
        <v>48.906153973838194</v>
      </c>
      <c r="O38" s="91">
        <f t="shared" si="145"/>
        <v>48.906153973838194</v>
      </c>
      <c r="P38" s="91">
        <f t="shared" si="145"/>
        <v>48.906153973838187</v>
      </c>
      <c r="Q38" s="91">
        <f t="shared" si="145"/>
        <v>48.906153973838187</v>
      </c>
      <c r="R38" s="92">
        <f>SUM(F38:Q38)</f>
        <v>518.26482951475782</v>
      </c>
      <c r="S38" s="92">
        <f>SUM(L38:Q38)</f>
        <v>293.2035905096958</v>
      </c>
      <c r="T38" s="91"/>
      <c r="U38" s="91">
        <f>'测算-高个子抖音'!I$42</f>
        <v>19.478591439444301</v>
      </c>
      <c r="V38" s="91">
        <f>'测算-高个子抖音'!J$42</f>
        <v>16.643368543976301</v>
      </c>
      <c r="W38" s="91">
        <f>'测算-高个子抖音'!K$42</f>
        <v>23.3120713740492</v>
      </c>
      <c r="X38" s="91">
        <f>'测算-高个子抖音'!L$42</f>
        <v>22.6077212279293</v>
      </c>
      <c r="Y38" s="91">
        <f>'测算-高个子抖音'!M$42</f>
        <v>23.5097553776056</v>
      </c>
      <c r="Z38" s="91">
        <f>'测算-高个子抖音'!N$42</f>
        <v>24.633405429455202</v>
      </c>
      <c r="AA38" s="91">
        <f>'测算-高个子抖音'!O$42</f>
        <v>24.633405429455202</v>
      </c>
      <c r="AB38" s="91">
        <f>'测算-高个子抖音'!P$42</f>
        <v>24.633405429455202</v>
      </c>
      <c r="AC38" s="91">
        <f>'测算-高个子抖音'!Q$42</f>
        <v>24.633405429455202</v>
      </c>
      <c r="AD38" s="91">
        <f>'测算-高个子抖音'!R$42</f>
        <v>24.633405429455202</v>
      </c>
      <c r="AE38" s="91">
        <f>'测算-高个子抖音'!S$42</f>
        <v>24.633405429455202</v>
      </c>
      <c r="AF38" s="91">
        <f>'测算-高个子抖音'!T$42</f>
        <v>24.633405429455202</v>
      </c>
      <c r="AG38" s="92">
        <f>'测算-高个子抖音'!V$42</f>
        <v>277.98534596919109</v>
      </c>
      <c r="AH38" s="92">
        <f>'测算-高个子抖音'!W$42</f>
        <v>147.8004325767312</v>
      </c>
      <c r="AI38" s="91"/>
      <c r="AJ38" s="91">
        <f>'测算-高个子视频号'!I$42</f>
        <v>2.2634218294260702</v>
      </c>
      <c r="AK38" s="91">
        <f>'测算-高个子视频号'!J$42</f>
        <v>2.2893171533486196</v>
      </c>
      <c r="AL38" s="91">
        <f>'测算-高个子视频号'!K$42</f>
        <v>2.3586043062672402</v>
      </c>
      <c r="AM38" s="91">
        <f>'测算-高个子视频号'!L$42</f>
        <v>3.4664224341929302</v>
      </c>
      <c r="AN38" s="91">
        <f>'测算-高个子视频号'!M$42</f>
        <v>7.0082156799792505</v>
      </c>
      <c r="AO38" s="91">
        <f>'测算-高个子视频号'!N$42</f>
        <v>7.9985931629289491</v>
      </c>
      <c r="AP38" s="91">
        <f>'测算-高个子视频号'!O$42</f>
        <v>7.9985931629289491</v>
      </c>
      <c r="AQ38" s="91">
        <f>'测算-高个子视频号'!P$42</f>
        <v>7.9985931629289491</v>
      </c>
      <c r="AR38" s="91">
        <f>'测算-高个子视频号'!Q$42</f>
        <v>7.9985931629289491</v>
      </c>
      <c r="AS38" s="91">
        <f>'测算-高个子视频号'!R$42</f>
        <v>7.9985931629289491</v>
      </c>
      <c r="AT38" s="91">
        <f>'测算-高个子视频号'!S$42</f>
        <v>7.9985931629289491</v>
      </c>
      <c r="AU38" s="91">
        <f>'测算-高个子视频号'!T$42</f>
        <v>7.9985931629289491</v>
      </c>
      <c r="AV38" s="92">
        <f>'测算-高个子视频号'!V$42</f>
        <v>73.376133543716762</v>
      </c>
      <c r="AW38" s="92">
        <f>'测算-高个子视频号'!W$42</f>
        <v>47.991558977573696</v>
      </c>
      <c r="AX38" s="91"/>
      <c r="AY38" s="91">
        <f>'测算-天猫淘宝'!I$41</f>
        <v>1.1998272539330899</v>
      </c>
      <c r="AZ38" s="91">
        <f>'测算-天猫淘宝'!J$41</f>
        <v>1.11782610281144</v>
      </c>
      <c r="BA38" s="91">
        <f>'测算-天猫淘宝'!K$41</f>
        <v>1.27545559665372</v>
      </c>
      <c r="BB38" s="91">
        <f>'测算-天猫淘宝'!L$41</f>
        <v>1.2507354359098102</v>
      </c>
      <c r="BC38" s="91">
        <f>'测算-天猫淘宝'!M$41</f>
        <v>1.1957923158367498</v>
      </c>
      <c r="BD38" s="91">
        <f>'测算-天猫淘宝'!N$41</f>
        <v>1.3510793232895699</v>
      </c>
      <c r="BE38" s="91">
        <f>'测算-天猫淘宝'!O$41</f>
        <v>1.3510793232895699</v>
      </c>
      <c r="BF38" s="91">
        <f>'测算-天猫淘宝'!P$41</f>
        <v>1.3510793232895699</v>
      </c>
      <c r="BG38" s="91">
        <f>'测算-天猫淘宝'!Q$41</f>
        <v>1.3510793232895699</v>
      </c>
      <c r="BH38" s="91">
        <f>'测算-天猫淘宝'!R$41</f>
        <v>1.3510793232895699</v>
      </c>
      <c r="BI38" s="91">
        <f>'测算-天猫淘宝'!S$41</f>
        <v>1.3510793232895699</v>
      </c>
      <c r="BJ38" s="91">
        <f>'测算-天猫淘宝'!T$41</f>
        <v>1.3510793232895699</v>
      </c>
      <c r="BK38" s="92">
        <f>'测算-天猫淘宝'!V$41</f>
        <v>15.497191968171798</v>
      </c>
      <c r="BL38" s="92">
        <f>'测算-天猫淘宝'!W$41</f>
        <v>8.10647593973742</v>
      </c>
      <c r="BM38" s="91"/>
      <c r="BN38" s="91">
        <f>'测算-拼多多'!I$42</f>
        <v>0</v>
      </c>
      <c r="BO38" s="91">
        <f>'测算-拼多多'!J$42</f>
        <v>0</v>
      </c>
      <c r="BP38" s="91">
        <f>'测算-拼多多'!K$42</f>
        <v>0</v>
      </c>
      <c r="BQ38" s="91">
        <f>'测算-拼多多'!L$42</f>
        <v>0</v>
      </c>
      <c r="BR38" s="91">
        <f>'测算-拼多多'!M$42</f>
        <v>0</v>
      </c>
      <c r="BS38" s="91">
        <f>'测算-拼多多'!N$42</f>
        <v>0</v>
      </c>
      <c r="BT38" s="91">
        <f>'测算-拼多多'!O$42</f>
        <v>0</v>
      </c>
      <c r="BU38" s="91">
        <f>'测算-拼多多'!P$42</f>
        <v>0</v>
      </c>
      <c r="BV38" s="91">
        <f>'测算-拼多多'!Q$42</f>
        <v>0</v>
      </c>
      <c r="BW38" s="91">
        <f>'测算-拼多多'!R$42</f>
        <v>0</v>
      </c>
      <c r="BX38" s="91">
        <f>'测算-拼多多'!S$42</f>
        <v>0</v>
      </c>
      <c r="BY38" s="91">
        <f>'测算-拼多多'!T$42</f>
        <v>0</v>
      </c>
      <c r="BZ38" s="92">
        <f>'测算-拼多多'!V$42</f>
        <v>0</v>
      </c>
      <c r="CA38" s="92">
        <f>'测算-拼多多'!W$42</f>
        <v>0</v>
      </c>
      <c r="CB38" s="91"/>
      <c r="CC38" s="91">
        <f>'测算-京东POP'!I$42</f>
        <v>0.89054088642984808</v>
      </c>
      <c r="CD38" s="91">
        <f>'测算-京东POP'!J$42</f>
        <v>0.89290108868044205</v>
      </c>
      <c r="CE38" s="91">
        <f>'测算-京东POP'!K$42</f>
        <v>0.98964975986748105</v>
      </c>
      <c r="CF38" s="91">
        <f>'测算-京东POP'!L$42</f>
        <v>0.95956018165474311</v>
      </c>
      <c r="CG38" s="91">
        <f>'测算-京东POP'!M$42</f>
        <v>0.93724828280999495</v>
      </c>
      <c r="CH38" s="91">
        <f>'测算-京东POP'!N$42</f>
        <v>1.04181056102154</v>
      </c>
      <c r="CI38" s="91">
        <f>'测算-京东POP'!O$42</f>
        <v>1.04181056102154</v>
      </c>
      <c r="CJ38" s="91">
        <f>'测算-京东POP'!P$42</f>
        <v>1.04181056102154</v>
      </c>
      <c r="CK38" s="91">
        <f>'测算-京东POP'!Q$42</f>
        <v>1.04181056102154</v>
      </c>
      <c r="CL38" s="91">
        <f>'测算-京东POP'!R$42</f>
        <v>1.04181056102154</v>
      </c>
      <c r="CM38" s="91">
        <f>'测算-京东POP'!S$42</f>
        <v>1.04181056102154</v>
      </c>
      <c r="CN38" s="91">
        <f>'测算-京东POP'!T$42</f>
        <v>1.04181056102154</v>
      </c>
      <c r="CO38" s="92">
        <f>'测算-京东POP'!V$42</f>
        <v>11.962574126593291</v>
      </c>
      <c r="CP38" s="92">
        <f>'测算-京东POP'!W$42</f>
        <v>6.2508633661292405</v>
      </c>
      <c r="CQ38" s="91"/>
      <c r="CR38" s="91">
        <f>'测算-京东自营'!I$43</f>
        <v>5.3207634936345398</v>
      </c>
      <c r="CS38" s="91">
        <f>'测算-京东自营'!J$43</f>
        <v>5.2326235155232901</v>
      </c>
      <c r="CT38" s="91">
        <f>'测算-京东自营'!K$43</f>
        <v>3.22292765099998</v>
      </c>
      <c r="CU38" s="91">
        <f>'测算-京东自营'!L$43</f>
        <v>6.50764066093212</v>
      </c>
      <c r="CV38" s="91">
        <f>'测算-京东自营'!M$43</f>
        <v>6.4140880319711799</v>
      </c>
      <c r="CW38" s="91">
        <f>'测算-京东自营'!N$43</f>
        <v>6.4140880319711799</v>
      </c>
      <c r="CX38" s="91">
        <f>'测算-京东自营'!O$43</f>
        <v>6.4140880319711799</v>
      </c>
      <c r="CY38" s="91">
        <f>'测算-京东自营'!P$43</f>
        <v>6.4140880319711799</v>
      </c>
      <c r="CZ38" s="91">
        <f>'测算-京东自营'!Q$43</f>
        <v>6.4140880319711799</v>
      </c>
      <c r="DA38" s="91">
        <f>'测算-京东自营'!R$43</f>
        <v>6.4140880319711799</v>
      </c>
      <c r="DB38" s="91">
        <f>'测算-京东自营'!S$43</f>
        <v>6.4140880319711799</v>
      </c>
      <c r="DC38" s="91">
        <f>'测算-京东自营'!T$43</f>
        <v>6.4140880319711799</v>
      </c>
      <c r="DD38" s="92">
        <f>'测算-京东自营'!V$43</f>
        <v>71.596659576859381</v>
      </c>
      <c r="DE38" s="92">
        <f>'测算-京东自营'!W$43</f>
        <v>38.484528191827081</v>
      </c>
      <c r="DF38" s="91"/>
      <c r="DG38" s="91">
        <f>'测算-达播'!I$43</f>
        <v>3.5244680485726696</v>
      </c>
      <c r="DH38" s="91">
        <f>'测算-达播'!J$43</f>
        <v>3.2609821117240001</v>
      </c>
      <c r="DI38" s="91">
        <f>'测算-达播'!K$43</f>
        <v>4.6874930333293401</v>
      </c>
      <c r="DJ38" s="91">
        <f>'测算-达播'!L$43</f>
        <v>3.5299227778147899</v>
      </c>
      <c r="DK38" s="91">
        <f>'测算-达播'!M$43</f>
        <v>4.20714943591594</v>
      </c>
      <c r="DL38" s="91">
        <f>'测算-达播'!N$43</f>
        <v>4.0671774651717696</v>
      </c>
      <c r="DM38" s="91">
        <f>'测算-达播'!O$43</f>
        <v>4.0671774651717696</v>
      </c>
      <c r="DN38" s="91">
        <f>'测算-达播'!P$43</f>
        <v>4.0671774651717696</v>
      </c>
      <c r="DO38" s="91">
        <f>'测算-达播'!Q$43</f>
        <v>4.0671774651717696</v>
      </c>
      <c r="DP38" s="91">
        <f>'测算-达播'!R$43</f>
        <v>4.0671774651717696</v>
      </c>
      <c r="DQ38" s="91">
        <f>'测算-达播'!S$43</f>
        <v>4.0671774651717696</v>
      </c>
      <c r="DR38" s="91">
        <f>'测算-达播'!T$43</f>
        <v>4.0671774651717696</v>
      </c>
      <c r="DS38" s="92">
        <f>'测算-达播'!V$43</f>
        <v>47.680257663559118</v>
      </c>
      <c r="DT38" s="92">
        <f>'测算-达播'!W$43</f>
        <v>24.403064791030619</v>
      </c>
      <c r="DU38" s="91"/>
      <c r="DV38" s="91">
        <f>'测算-私域'!I$42</f>
        <v>0</v>
      </c>
      <c r="DW38" s="91">
        <f>'测算-私域'!J$42</f>
        <v>0</v>
      </c>
      <c r="DX38" s="91">
        <f>'测算-私域'!K$42</f>
        <v>0</v>
      </c>
      <c r="DY38" s="91">
        <f>'测算-私域'!L$42</f>
        <v>0</v>
      </c>
      <c r="DZ38" s="91">
        <f>'测算-私域'!M$42</f>
        <v>0</v>
      </c>
      <c r="EA38" s="91">
        <f>'测算-私域'!N$42</f>
        <v>0</v>
      </c>
      <c r="EB38" s="91">
        <f>'测算-私域'!O$42</f>
        <v>3.1666666666666701</v>
      </c>
      <c r="EC38" s="91">
        <f>'测算-私域'!P$42</f>
        <v>3.4</v>
      </c>
      <c r="ED38" s="91">
        <f>'测算-私域'!Q$42</f>
        <v>3.4</v>
      </c>
      <c r="EE38" s="91">
        <f>'测算-私域'!R$42</f>
        <v>3.4</v>
      </c>
      <c r="EF38" s="91">
        <f>'测算-私域'!S$42</f>
        <v>3.4</v>
      </c>
      <c r="EG38" s="91">
        <f>'测算-私域'!T$42</f>
        <v>3.4</v>
      </c>
      <c r="EH38" s="92">
        <f>'测算-私域'!V$42</f>
        <v>20.166666666666668</v>
      </c>
      <c r="EI38" s="92">
        <f>'测算-私域'!W$42</f>
        <v>20.166666666666668</v>
      </c>
      <c r="EJ38" s="42"/>
      <c r="EK38" s="91">
        <f>'测算-外部分销'!I$42</f>
        <v>-5.2386894822120697E-14</v>
      </c>
      <c r="EL38" s="91">
        <f>'测算-外部分销'!J$42</f>
        <v>-1.0477378964424129E-13</v>
      </c>
      <c r="EM38" s="91">
        <f>'测算-外部分销'!K$42</f>
        <v>0</v>
      </c>
      <c r="EN38" s="91">
        <f>'测算-外部分销'!L$42</f>
        <v>0</v>
      </c>
      <c r="EO38" s="91">
        <f>'测算-外部分销'!M$42</f>
        <v>0</v>
      </c>
      <c r="EP38" s="91">
        <f>'测算-外部分销'!N$42</f>
        <v>0</v>
      </c>
      <c r="EQ38" s="91">
        <f>'测算-外部分销'!O$42</f>
        <v>-9.5987068931279194E-15</v>
      </c>
      <c r="ER38" s="91">
        <f>'测算-外部分销'!P$42</f>
        <v>-1.2837776708915944E-14</v>
      </c>
      <c r="ES38" s="91">
        <f>'测算-外部分销'!Q$42</f>
        <v>-1.6234849930352157E-14</v>
      </c>
      <c r="ET38" s="91">
        <f>'测算-外部分销'!R$42</f>
        <v>-1.7558128452655811E-14</v>
      </c>
      <c r="EU38" s="91">
        <f>'测算-外部分销'!S$42</f>
        <v>-2.133045976250649E-14</v>
      </c>
      <c r="EV38" s="91">
        <f>'测算-外部分销'!T$42</f>
        <v>-1.8170391649542562E-14</v>
      </c>
      <c r="EW38" s="92">
        <f>'测算-外部分销'!V$42</f>
        <v>-2.5289099786346287E-13</v>
      </c>
      <c r="EX38" s="92">
        <f>'测算-外部分销'!W$42</f>
        <v>-9.5730313397100892E-14</v>
      </c>
      <c r="EY38" s="10"/>
    </row>
    <row r="39" spans="1:155" ht="16" customHeight="1">
      <c r="A39" s="68"/>
      <c r="B39" s="68"/>
      <c r="C39" s="68"/>
      <c r="D39" s="68" t="s">
        <v>79</v>
      </c>
      <c r="E39" s="68" t="s">
        <v>81</v>
      </c>
      <c r="F39" s="91">
        <f t="shared" si="145"/>
        <v>9.1486383339236035</v>
      </c>
      <c r="G39" s="91">
        <f t="shared" si="145"/>
        <v>4.4095644921412109</v>
      </c>
      <c r="H39" s="91">
        <f t="shared" si="145"/>
        <v>11.191173696661988</v>
      </c>
      <c r="I39" s="91">
        <f t="shared" si="145"/>
        <v>6.8466085288889991</v>
      </c>
      <c r="J39" s="91">
        <f t="shared" si="145"/>
        <v>7.2945434074572235</v>
      </c>
      <c r="K39" s="91">
        <f t="shared" si="145"/>
        <v>7.3997577772340071</v>
      </c>
      <c r="L39" s="91">
        <f t="shared" si="145"/>
        <v>6.0854688563211976</v>
      </c>
      <c r="M39" s="91">
        <f t="shared" si="145"/>
        <v>8.0196673975982495</v>
      </c>
      <c r="N39" s="91">
        <f t="shared" si="145"/>
        <v>9.9484770655125718</v>
      </c>
      <c r="O39" s="91">
        <f t="shared" si="145"/>
        <v>10.534992253638299</v>
      </c>
      <c r="P39" s="91">
        <f t="shared" si="145"/>
        <v>12.786899730235499</v>
      </c>
      <c r="Q39" s="91">
        <f t="shared" si="145"/>
        <v>10.971182825756165</v>
      </c>
      <c r="R39" s="92">
        <f>SUM(F39:Q39)</f>
        <v>104.63697436536901</v>
      </c>
      <c r="S39" s="92">
        <f>SUM(L39:Q39)</f>
        <v>58.346688129061981</v>
      </c>
      <c r="T39" s="91"/>
      <c r="U39" s="91">
        <f>SUM('测算-高个子抖音'!I$43:I$44)</f>
        <v>4.4588609336849228</v>
      </c>
      <c r="V39" s="91">
        <f>SUM('测算-高个子抖音'!J$43:J$44)</f>
        <v>1.703710798309725</v>
      </c>
      <c r="W39" s="91">
        <f>SUM('测算-高个子抖音'!K$43:K$44)</f>
        <v>3.9056678101361078</v>
      </c>
      <c r="X39" s="91">
        <f>SUM('测算-高个子抖音'!L$43:L$44)</f>
        <v>3.2330995226994732</v>
      </c>
      <c r="Y39" s="91">
        <f>SUM('测算-高个子抖音'!M$43:M$44)</f>
        <v>3.2195033521114995</v>
      </c>
      <c r="Z39" s="91">
        <f>SUM('测算-高个子抖音'!N$43:N$44)</f>
        <v>2.2751992127244143</v>
      </c>
      <c r="AA39" s="91">
        <f>SUM('测算-高个子抖音'!O$43:O$44)</f>
        <v>1.6541668069602751</v>
      </c>
      <c r="AB39" s="91">
        <f>SUM('测算-高个子抖音'!P$43:P$44)</f>
        <v>2.2210826722729653</v>
      </c>
      <c r="AC39" s="91">
        <f>SUM('测算-高个子抖音'!Q$43:Q$44)</f>
        <v>2.8088153178590409</v>
      </c>
      <c r="AD39" s="91">
        <f>SUM('测算-高个子抖音'!R$43:R$44)</f>
        <v>3.0377576856164099</v>
      </c>
      <c r="AE39" s="91">
        <f>SUM('测算-高个子抖音'!S$43:S$44)</f>
        <v>3.6904142862381577</v>
      </c>
      <c r="AF39" s="91">
        <f>SUM('测算-高个子抖音'!T$43:T$44)</f>
        <v>3.1436862438325033</v>
      </c>
      <c r="AG39" s="92">
        <f>SUM('测算-高个子抖音'!V$43:V$44)</f>
        <v>35.351964642445495</v>
      </c>
      <c r="AH39" s="92">
        <f>SUM('测算-高个子抖音'!W$43:W$44)</f>
        <v>16.555923012779353</v>
      </c>
      <c r="AI39" s="91"/>
      <c r="AJ39" s="91">
        <f>SUM('测算-高个子视频号'!I$43:I$44)</f>
        <v>2.9191690054176905E-2</v>
      </c>
      <c r="AK39" s="91">
        <f>SUM('测算-高个子视频号'!J$43:J$44)</f>
        <v>1.1518949831485988E-2</v>
      </c>
      <c r="AL39" s="91">
        <f>SUM('测算-高个子视频号'!K$43:K$44)</f>
        <v>4.2253031234575897E-2</v>
      </c>
      <c r="AM39" s="91">
        <f>SUM('测算-高个子视频号'!L$43:L$44)</f>
        <v>4.3302103511735544E-2</v>
      </c>
      <c r="AN39" s="91">
        <f>SUM('测算-高个子视频号'!M$43:M$44)</f>
        <v>0.35481551241669518</v>
      </c>
      <c r="AO39" s="91">
        <f>SUM('测算-高个子视频号'!N$43:N$44)</f>
        <v>0.36578222236474967</v>
      </c>
      <c r="AP39" s="91">
        <f>SUM('测算-高个子视频号'!O$43:O$44)</f>
        <v>0.21506116286775279</v>
      </c>
      <c r="AQ39" s="91">
        <f>SUM('测算-高个子视频号'!P$43:P$44)</f>
        <v>0.28497258804018177</v>
      </c>
      <c r="AR39" s="91">
        <f>SUM('测算-高个子视频号'!Q$43:Q$44)</f>
        <v>0.35845162173298584</v>
      </c>
      <c r="AS39" s="91">
        <f>SUM('测算-高个子视频号'!R$43:R$44)</f>
        <v>0.38766848141195193</v>
      </c>
      <c r="AT39" s="91">
        <f>SUM('测算-高个子视频号'!S$43:S$44)</f>
        <v>0.47095833512363117</v>
      </c>
      <c r="AU39" s="91">
        <f>SUM('测算-高个子视频号'!T$43:T$44)</f>
        <v>0.4011867299201301</v>
      </c>
      <c r="AV39" s="92">
        <f>SUM('测算-高个子视频号'!V$43:V$44)</f>
        <v>2.9651624285100526</v>
      </c>
      <c r="AW39" s="92">
        <f>SUM('测算-高个子视频号'!W$43:W$44)</f>
        <v>2.1182989190966337</v>
      </c>
      <c r="AX39" s="91"/>
      <c r="AY39" s="91">
        <f>SUM('测算-天猫淘宝'!I$42:I$43)</f>
        <v>0.13962112083061926</v>
      </c>
      <c r="AZ39" s="91">
        <f>SUM('测算-天猫淘宝'!J$42:J$43)</f>
        <v>0</v>
      </c>
      <c r="BA39" s="91">
        <f>SUM('测算-天猫淘宝'!K$42:K$43)</f>
        <v>0.23312849780103703</v>
      </c>
      <c r="BB39" s="91">
        <f>SUM('测算-天猫淘宝'!L$42:L$43)</f>
        <v>0.2065010944775042</v>
      </c>
      <c r="BC39" s="91">
        <f>SUM('测算-天猫淘宝'!M$42:M$43)</f>
        <v>3.5447151800293859E-3</v>
      </c>
      <c r="BD39" s="91">
        <f>SUM('测算-天猫淘宝'!N$42:N$43)</f>
        <v>5.8262426274316983E-3</v>
      </c>
      <c r="BE39" s="91">
        <f>SUM('测算-天猫淘宝'!O$42:O$43)</f>
        <v>7.4825473744240367E-2</v>
      </c>
      <c r="BF39" s="91">
        <f>SUM('测算-天猫淘宝'!P$42:P$43)</f>
        <v>0.10007522208591821</v>
      </c>
      <c r="BG39" s="91">
        <f>SUM('测算-天猫淘宝'!Q$42:Q$43)</f>
        <v>0.12655666546865346</v>
      </c>
      <c r="BH39" s="91">
        <f>SUM('测算-天猫淘宝'!R$42:R$43)</f>
        <v>0.13687211143750969</v>
      </c>
      <c r="BI39" s="91">
        <f>SUM('测算-天猫淘宝'!S$42:S$43)</f>
        <v>0.16627883054275638</v>
      </c>
      <c r="BJ39" s="91">
        <f>SUM('测算-天猫淘宝'!T$42:T$43)</f>
        <v>0.1416449297216073</v>
      </c>
      <c r="BK39" s="92">
        <f>SUM('测算-天猫淘宝'!V$42:V$43)</f>
        <v>1.3348749039173071</v>
      </c>
      <c r="BL39" s="92">
        <f>SUM('测算-天猫淘宝'!W$42:W$43)</f>
        <v>0.74625323300068547</v>
      </c>
      <c r="BM39" s="91"/>
      <c r="BN39" s="91">
        <f>SUM('测算-拼多多'!I$43:I$44)</f>
        <v>7.6694926048088443E-6</v>
      </c>
      <c r="BO39" s="91">
        <f>SUM('测算-拼多多'!J$43:J$44)</f>
        <v>0</v>
      </c>
      <c r="BP39" s="91">
        <f>SUM('测算-拼多多'!K$43:K$44)</f>
        <v>1.2264373400794303E-5</v>
      </c>
      <c r="BQ39" s="91">
        <f>SUM('测算-拼多多'!L$43:L$44)</f>
        <v>3.7684394204058258E-6</v>
      </c>
      <c r="BR39" s="91">
        <f>SUM('测算-拼多多'!M$43:M$44)</f>
        <v>4.9068224553533888E-5</v>
      </c>
      <c r="BS39" s="91">
        <f>SUM('测算-拼多多'!N$43:N$44)</f>
        <v>1.0889287421250013E-3</v>
      </c>
      <c r="BT39" s="91">
        <f>SUM('测算-拼多多'!O$43:O$44)</f>
        <v>2.1576732227503878E-4</v>
      </c>
      <c r="BU39" s="91">
        <f>SUM('测算-拼多多'!P$43:P$44)</f>
        <v>2.8857769440077206E-4</v>
      </c>
      <c r="BV39" s="91">
        <f>SUM('测算-拼多多'!Q$43:Q$44)</f>
        <v>3.6493979199605316E-4</v>
      </c>
      <c r="BW39" s="91">
        <f>SUM('测算-拼多多'!R$43:R$44)</f>
        <v>3.9468549280351754E-4</v>
      </c>
      <c r="BX39" s="91">
        <f>SUM('测算-拼多多'!S$43:S$44)</f>
        <v>4.7948293838897507E-4</v>
      </c>
      <c r="BY39" s="91">
        <f>SUM('测算-拼多多'!T$43:T$44)</f>
        <v>4.0844842899801588E-4</v>
      </c>
      <c r="BZ39" s="92">
        <f>SUM('测算-拼多多'!V$43:V$44)</f>
        <v>3.3136009409669167E-3</v>
      </c>
      <c r="CA39" s="92">
        <f>SUM('测算-拼多多'!W$43:W$44)</f>
        <v>2.1519016688623725E-3</v>
      </c>
      <c r="CB39" s="91"/>
      <c r="CC39" s="91">
        <f>SUM('测算-京东POP'!I$43:I$44)</f>
        <v>5.0286600978889449E-2</v>
      </c>
      <c r="CD39" s="91">
        <f>SUM('测算-京东POP'!J$43:J$44)</f>
        <v>2.8858056000000045E-2</v>
      </c>
      <c r="CE39" s="91">
        <f>SUM('测算-京东POP'!K$43:K$44)</f>
        <v>0.12507801811258701</v>
      </c>
      <c r="CF39" s="91">
        <f>SUM('测算-京东POP'!L$43:L$44)</f>
        <v>9.0301216917098179E-2</v>
      </c>
      <c r="CG39" s="91">
        <f>SUM('测算-京东POP'!M$43:M$44)</f>
        <v>2.0902455120343395E-3</v>
      </c>
      <c r="CH39" s="91">
        <f>SUM('测算-京东POP'!N$43:N$44)</f>
        <v>3.6969914458368858E-3</v>
      </c>
      <c r="CI39" s="91">
        <f>SUM('测算-京东POP'!O$43:O$44)</f>
        <v>7.3142699140820167E-2</v>
      </c>
      <c r="CJ39" s="91">
        <f>SUM('测算-京东POP'!P$43:P$44)</f>
        <v>9.7824597616323269E-2</v>
      </c>
      <c r="CK39" s="91">
        <f>SUM('测算-京东POP'!Q$43:Q$44)</f>
        <v>0.12371049113941189</v>
      </c>
      <c r="CL39" s="91">
        <f>SUM('测算-京东POP'!R$43:R$44)</f>
        <v>0.13379394966294061</v>
      </c>
      <c r="CM39" s="91">
        <f>SUM('测算-京东POP'!S$43:S$44)</f>
        <v>0.16253933142404484</v>
      </c>
      <c r="CN39" s="91">
        <f>SUM('测算-京东POP'!T$43:T$44)</f>
        <v>0.13845943047233444</v>
      </c>
      <c r="CO39" s="92">
        <f>SUM('测算-京东POP'!V$43:V$44)</f>
        <v>1.0297816284223211</v>
      </c>
      <c r="CP39" s="92">
        <f>SUM('测算-京东POP'!W$43:W$44)</f>
        <v>0.72947049945587528</v>
      </c>
      <c r="CQ39" s="91"/>
      <c r="CR39" s="91">
        <f>SUM('测算-京东自营'!I$44:I$45)</f>
        <v>3.693002343061079</v>
      </c>
      <c r="CS39" s="91">
        <f>SUM('测算-京东自营'!J$44:J$45)</f>
        <v>2.6231006880000001</v>
      </c>
      <c r="CT39" s="91">
        <f>SUM('测算-京东自营'!K$44:K$45)</f>
        <v>5.3584149352361914</v>
      </c>
      <c r="CU39" s="91">
        <f>SUM('测算-京东自营'!L$44:L$45)</f>
        <v>2.9709087545849648</v>
      </c>
      <c r="CV39" s="91">
        <f>SUM('测算-京东自营'!M$44:M$45)</f>
        <v>3.0571033180727083</v>
      </c>
      <c r="CW39" s="91">
        <f>SUM('测算-京东自营'!N$44:N$45)</f>
        <v>4.5235343355542028</v>
      </c>
      <c r="CX39" s="91">
        <f>SUM('测算-京东自营'!O$44:O$45)</f>
        <v>2.2094851126425548</v>
      </c>
      <c r="CY39" s="91">
        <f>SUM('测算-京东自营'!P$44:P$45)</f>
        <v>2.9550726815178212</v>
      </c>
      <c r="CZ39" s="91">
        <f>SUM('测算-京东自营'!Q$44:Q$45)</f>
        <v>3.7370303757040748</v>
      </c>
      <c r="DA39" s="91">
        <f>SUM('测算-京东自营'!R$44:R$45)</f>
        <v>4.0416301751836059</v>
      </c>
      <c r="DB39" s="91">
        <f>SUM('测算-京东自营'!S$44:S$45)</f>
        <v>4.909966916983457</v>
      </c>
      <c r="DC39" s="91">
        <f>SUM('测算-京东自营'!T$44:T$45)</f>
        <v>4.1825644107636846</v>
      </c>
      <c r="DD39" s="92">
        <f>SUM('测算-京东自营'!V$44:V$45)</f>
        <v>44.261814047304341</v>
      </c>
      <c r="DE39" s="92">
        <f>SUM('测算-京东自营'!W$44:W$45)</f>
        <v>22.035749672795198</v>
      </c>
      <c r="DF39" s="91"/>
      <c r="DG39" s="91">
        <f>SUM('测算-达播'!I$44:I$45)</f>
        <v>0.77766797582131153</v>
      </c>
      <c r="DH39" s="91">
        <f>SUM('测算-达播'!J$44:J$45)</f>
        <v>4.2375999999999997E-2</v>
      </c>
      <c r="DI39" s="91">
        <f>SUM('测算-达播'!K$44:K$45)</f>
        <v>1.5266191397680866</v>
      </c>
      <c r="DJ39" s="91">
        <f>SUM('测算-达播'!L$44:L$45)</f>
        <v>0.3024920682588027</v>
      </c>
      <c r="DK39" s="91">
        <f>SUM('测算-达播'!M$44:M$45)</f>
        <v>0.65743719593970373</v>
      </c>
      <c r="DL39" s="91">
        <f>SUM('测算-达播'!N$44:N$45)</f>
        <v>0.22462984377524639</v>
      </c>
      <c r="DM39" s="91">
        <f>SUM('测算-达播'!O$44:O$45)</f>
        <v>0.82900183364327862</v>
      </c>
      <c r="DN39" s="91">
        <f>SUM('测算-达播'!P$44:P$45)</f>
        <v>1.1087473083706403</v>
      </c>
      <c r="DO39" s="91">
        <f>SUM('测算-达播'!Q$44:Q$45)</f>
        <v>1.4021389038164096</v>
      </c>
      <c r="DP39" s="91">
        <f>SUM('测算-达播'!R$44:R$45)</f>
        <v>1.516425164833076</v>
      </c>
      <c r="DQ39" s="91">
        <f>SUM('测算-达播'!S$44:S$45)</f>
        <v>1.8422262969850642</v>
      </c>
      <c r="DR39" s="91">
        <f>SUM('测算-达播'!T$44:T$45)</f>
        <v>1.5693038826169061</v>
      </c>
      <c r="DS39" s="92">
        <f>SUM('测算-达播'!V$44:V$45)</f>
        <v>11.799065613828526</v>
      </c>
      <c r="DT39" s="92">
        <f>SUM('测算-达播'!W$44:W$45)</f>
        <v>8.2678433902653747</v>
      </c>
      <c r="DU39" s="91"/>
      <c r="DV39" s="91">
        <f>SUM('测算-私域'!I$43:I$44)</f>
        <v>0</v>
      </c>
      <c r="DW39" s="91">
        <f>SUM('测算-私域'!J$43:J$44)</f>
        <v>0</v>
      </c>
      <c r="DX39" s="91">
        <f>SUM('测算-私域'!K$43:K$44)</f>
        <v>0</v>
      </c>
      <c r="DY39" s="91">
        <f>SUM('测算-私域'!L$43:L$44)</f>
        <v>0</v>
      </c>
      <c r="DZ39" s="91">
        <f>SUM('测算-私域'!M$43:M$44)</f>
        <v>0</v>
      </c>
      <c r="EA39" s="91">
        <f>SUM('测算-私域'!N$43:N$44)</f>
        <v>0</v>
      </c>
      <c r="EB39" s="91">
        <f>SUM('测算-私域'!O$43:O$44)</f>
        <v>1.0295700000000001</v>
      </c>
      <c r="EC39" s="91">
        <f>SUM('测算-私域'!P$43:P$44)</f>
        <v>1.2516037499999999</v>
      </c>
      <c r="ED39" s="91">
        <f>SUM('测算-私域'!Q$43:Q$44)</f>
        <v>1.3914087500000001</v>
      </c>
      <c r="EE39" s="91">
        <f>SUM('测算-私域'!R$43:R$44)</f>
        <v>1.2804500000000001</v>
      </c>
      <c r="EF39" s="91">
        <f>SUM('测算-私域'!S$43:S$44)</f>
        <v>1.54403625</v>
      </c>
      <c r="EG39" s="91">
        <f>SUM('测算-私域'!T$43:T$44)</f>
        <v>1.3939287499999999</v>
      </c>
      <c r="EH39" s="92">
        <f>SUM('测算-私域'!V$43:V$44)</f>
        <v>7.8909975000000001</v>
      </c>
      <c r="EI39" s="92">
        <f>SUM('测算-私域'!W$43:W$44)</f>
        <v>7.8909975000000001</v>
      </c>
      <c r="EJ39" s="42"/>
      <c r="EK39" s="91">
        <f>SUM('测算-外部分销'!I$43:I$44)</f>
        <v>0</v>
      </c>
      <c r="EL39" s="91">
        <f>SUM('测算-外部分销'!J$43:J$44)</f>
        <v>0</v>
      </c>
      <c r="EM39" s="91">
        <f>SUM('测算-外部分销'!K$43:K$44)</f>
        <v>0</v>
      </c>
      <c r="EN39" s="91">
        <f>SUM('测算-外部分销'!L$43:L$44)</f>
        <v>0</v>
      </c>
      <c r="EO39" s="91">
        <f>SUM('测算-外部分销'!M$43:M$44)</f>
        <v>0</v>
      </c>
      <c r="EP39" s="91">
        <f>SUM('测算-外部分销'!N$43:N$44)</f>
        <v>0</v>
      </c>
      <c r="EQ39" s="91">
        <f>SUM('测算-外部分销'!O$43:O$44)</f>
        <v>0</v>
      </c>
      <c r="ER39" s="91">
        <f>SUM('测算-外部分销'!P$43:P$44)</f>
        <v>0</v>
      </c>
      <c r="ES39" s="91">
        <f>SUM('测算-外部分销'!Q$43:Q$44)</f>
        <v>0</v>
      </c>
      <c r="ET39" s="91">
        <f>SUM('测算-外部分销'!R$43:R$44)</f>
        <v>0</v>
      </c>
      <c r="EU39" s="91">
        <f>SUM('测算-外部分销'!S$43:S$44)</f>
        <v>0</v>
      </c>
      <c r="EV39" s="91">
        <f>SUM('测算-外部分销'!T$43:T$44)</f>
        <v>0</v>
      </c>
      <c r="EW39" s="92">
        <f>SUM('测算-外部分销'!V$43:V$44)</f>
        <v>0</v>
      </c>
      <c r="EX39" s="92">
        <f>SUM('测算-外部分销'!W$43:W$44)</f>
        <v>0</v>
      </c>
      <c r="EY39" s="10"/>
    </row>
    <row r="40" spans="1:155" ht="16" customHeight="1">
      <c r="A40" s="68"/>
      <c r="B40" s="68"/>
      <c r="C40" s="68"/>
      <c r="D40" s="68" t="s">
        <v>79</v>
      </c>
      <c r="E40" s="68" t="s">
        <v>82</v>
      </c>
      <c r="F40" s="91">
        <f t="shared" si="145"/>
        <v>0</v>
      </c>
      <c r="G40" s="91">
        <f t="shared" si="145"/>
        <v>0</v>
      </c>
      <c r="H40" s="91">
        <f t="shared" si="145"/>
        <v>0</v>
      </c>
      <c r="I40" s="91">
        <f t="shared" si="145"/>
        <v>0</v>
      </c>
      <c r="J40" s="91">
        <f t="shared" si="145"/>
        <v>0</v>
      </c>
      <c r="K40" s="91">
        <f t="shared" si="145"/>
        <v>0</v>
      </c>
      <c r="L40" s="91">
        <f t="shared" si="145"/>
        <v>0.65003321565460148</v>
      </c>
      <c r="M40" s="91">
        <f t="shared" si="145"/>
        <v>0.86938598801541367</v>
      </c>
      <c r="N40" s="91">
        <f t="shared" si="145"/>
        <v>1.0994388956133383</v>
      </c>
      <c r="O40" s="91">
        <f t="shared" si="145"/>
        <v>1.1890525282241584</v>
      </c>
      <c r="P40" s="91">
        <f t="shared" si="145"/>
        <v>1.4445182570102262</v>
      </c>
      <c r="Q40" s="91">
        <f t="shared" si="145"/>
        <v>1.23051555226797</v>
      </c>
      <c r="R40" s="92">
        <f>SUM(F40:Q40)</f>
        <v>6.4829444367857079</v>
      </c>
      <c r="S40" s="92">
        <f>SUM(L40:Q40)</f>
        <v>6.4829444367857079</v>
      </c>
      <c r="T40" s="91"/>
      <c r="U40" s="91">
        <f>'测算-高个子抖音'!I$45</f>
        <v>0</v>
      </c>
      <c r="V40" s="91">
        <f>'测算-高个子抖音'!J$45</f>
        <v>0</v>
      </c>
      <c r="W40" s="91">
        <f>'测算-高个子抖音'!K$45</f>
        <v>0</v>
      </c>
      <c r="X40" s="91">
        <f>'测算-高个子抖音'!L$45</f>
        <v>0</v>
      </c>
      <c r="Y40" s="91">
        <f>'测算-高个子抖音'!M$45</f>
        <v>0</v>
      </c>
      <c r="Z40" s="91">
        <f>'测算-高个子抖音'!N$45</f>
        <v>0</v>
      </c>
      <c r="AA40" s="91">
        <f>'测算-高个子抖音'!O$45</f>
        <v>0</v>
      </c>
      <c r="AB40" s="91">
        <f>'测算-高个子抖音'!P$45</f>
        <v>0</v>
      </c>
      <c r="AC40" s="91">
        <f>'测算-高个子抖音'!Q$45</f>
        <v>0</v>
      </c>
      <c r="AD40" s="91">
        <f>'测算-高个子抖音'!R$45</f>
        <v>0</v>
      </c>
      <c r="AE40" s="91">
        <f>'测算-高个子抖音'!S$45</f>
        <v>0</v>
      </c>
      <c r="AF40" s="91">
        <f>'测算-高个子抖音'!T$45</f>
        <v>0</v>
      </c>
      <c r="AG40" s="92">
        <f>'测算-高个子抖音'!V$45</f>
        <v>0</v>
      </c>
      <c r="AH40" s="92">
        <f>'测算-高个子抖音'!W$45</f>
        <v>0</v>
      </c>
      <c r="AI40" s="91"/>
      <c r="AJ40" s="91">
        <f>'测算-高个子视频号'!I$45</f>
        <v>0</v>
      </c>
      <c r="AK40" s="91">
        <f>'测算-高个子视频号'!J$45</f>
        <v>0</v>
      </c>
      <c r="AL40" s="91">
        <f>'测算-高个子视频号'!K$45</f>
        <v>0</v>
      </c>
      <c r="AM40" s="91">
        <f>'测算-高个子视频号'!L$45</f>
        <v>0</v>
      </c>
      <c r="AN40" s="91">
        <f>'测算-高个子视频号'!M$45</f>
        <v>0</v>
      </c>
      <c r="AO40" s="91">
        <f>'测算-高个子视频号'!N$45</f>
        <v>0</v>
      </c>
      <c r="AP40" s="91">
        <f>'测算-高个子视频号'!O$45</f>
        <v>0</v>
      </c>
      <c r="AQ40" s="91">
        <f>'测算-高个子视频号'!P$45</f>
        <v>0</v>
      </c>
      <c r="AR40" s="91">
        <f>'测算-高个子视频号'!Q$45</f>
        <v>0</v>
      </c>
      <c r="AS40" s="91">
        <f>'测算-高个子视频号'!R$45</f>
        <v>0</v>
      </c>
      <c r="AT40" s="91">
        <f>'测算-高个子视频号'!S$45</f>
        <v>0</v>
      </c>
      <c r="AU40" s="91">
        <f>'测算-高个子视频号'!T$45</f>
        <v>0</v>
      </c>
      <c r="AV40" s="92">
        <f>'测算-高个子视频号'!V$45</f>
        <v>0</v>
      </c>
      <c r="AW40" s="92">
        <f>'测算-高个子视频号'!W$45</f>
        <v>0</v>
      </c>
      <c r="AX40" s="91"/>
      <c r="AY40" s="91">
        <f>'测算-天猫淘宝'!I$44</f>
        <v>0</v>
      </c>
      <c r="AZ40" s="91">
        <f>'测算-天猫淘宝'!J$44</f>
        <v>0</v>
      </c>
      <c r="BA40" s="91">
        <f>'测算-天猫淘宝'!K$44</f>
        <v>0</v>
      </c>
      <c r="BB40" s="91">
        <f>'测算-天猫淘宝'!L$44</f>
        <v>0</v>
      </c>
      <c r="BC40" s="91">
        <f>'测算-天猫淘宝'!M$44</f>
        <v>0</v>
      </c>
      <c r="BD40" s="91">
        <f>'测算-天猫淘宝'!N$44</f>
        <v>0</v>
      </c>
      <c r="BE40" s="91">
        <f>'测算-天猫淘宝'!O$44</f>
        <v>0</v>
      </c>
      <c r="BF40" s="91">
        <f>'测算-天猫淘宝'!P$44</f>
        <v>0</v>
      </c>
      <c r="BG40" s="91">
        <f>'测算-天猫淘宝'!Q$44</f>
        <v>0</v>
      </c>
      <c r="BH40" s="91">
        <f>'测算-天猫淘宝'!R$44</f>
        <v>0</v>
      </c>
      <c r="BI40" s="91">
        <f>'测算-天猫淘宝'!S$44</f>
        <v>0</v>
      </c>
      <c r="BJ40" s="91">
        <f>'测算-天猫淘宝'!T$44</f>
        <v>0</v>
      </c>
      <c r="BK40" s="92">
        <f>'测算-天猫淘宝'!V$44</f>
        <v>0</v>
      </c>
      <c r="BL40" s="92">
        <f>'测算-天猫淘宝'!W$44</f>
        <v>0</v>
      </c>
      <c r="BM40" s="91"/>
      <c r="BN40" s="91">
        <f>'测算-拼多多'!I$45</f>
        <v>0</v>
      </c>
      <c r="BO40" s="91">
        <f>'测算-拼多多'!J$45</f>
        <v>0</v>
      </c>
      <c r="BP40" s="91">
        <f>'测算-拼多多'!K$45</f>
        <v>0</v>
      </c>
      <c r="BQ40" s="91">
        <f>'测算-拼多多'!L$45</f>
        <v>0</v>
      </c>
      <c r="BR40" s="91">
        <f>'测算-拼多多'!M$45</f>
        <v>0</v>
      </c>
      <c r="BS40" s="91">
        <f>'测算-拼多多'!N$45</f>
        <v>0</v>
      </c>
      <c r="BT40" s="91">
        <f>'测算-拼多多'!O$45</f>
        <v>0</v>
      </c>
      <c r="BU40" s="91">
        <f>'测算-拼多多'!P$45</f>
        <v>0</v>
      </c>
      <c r="BV40" s="91">
        <f>'测算-拼多多'!Q$45</f>
        <v>0</v>
      </c>
      <c r="BW40" s="91">
        <f>'测算-拼多多'!R$45</f>
        <v>0</v>
      </c>
      <c r="BX40" s="91">
        <f>'测算-拼多多'!S$45</f>
        <v>0</v>
      </c>
      <c r="BY40" s="91">
        <f>'测算-拼多多'!T$45</f>
        <v>0</v>
      </c>
      <c r="BZ40" s="92">
        <f>'测算-拼多多'!V$45</f>
        <v>0</v>
      </c>
      <c r="CA40" s="92">
        <f>'测算-拼多多'!W$45</f>
        <v>0</v>
      </c>
      <c r="CB40" s="91"/>
      <c r="CC40" s="91">
        <f>'测算-京东POP'!I$45</f>
        <v>0</v>
      </c>
      <c r="CD40" s="91">
        <f>'测算-京东POP'!J$45</f>
        <v>0</v>
      </c>
      <c r="CE40" s="91">
        <f>'测算-京东POP'!K$45</f>
        <v>0</v>
      </c>
      <c r="CF40" s="91">
        <f>'测算-京东POP'!L$45</f>
        <v>0</v>
      </c>
      <c r="CG40" s="91">
        <f>'测算-京东POP'!M$45</f>
        <v>0</v>
      </c>
      <c r="CH40" s="91">
        <f>'测算-京东POP'!N$45</f>
        <v>0</v>
      </c>
      <c r="CI40" s="91">
        <f>'测算-京东POP'!O$45</f>
        <v>0</v>
      </c>
      <c r="CJ40" s="91">
        <f>'测算-京东POP'!P$45</f>
        <v>0</v>
      </c>
      <c r="CK40" s="91">
        <f>'测算-京东POP'!Q$45</f>
        <v>0</v>
      </c>
      <c r="CL40" s="91">
        <f>'测算-京东POP'!R$45</f>
        <v>0</v>
      </c>
      <c r="CM40" s="91">
        <f>'测算-京东POP'!S$45</f>
        <v>0</v>
      </c>
      <c r="CN40" s="91">
        <f>'测算-京东POP'!T$45</f>
        <v>0</v>
      </c>
      <c r="CO40" s="92">
        <f>'测算-京东POP'!V$45</f>
        <v>0</v>
      </c>
      <c r="CP40" s="92">
        <f>'测算-京东POP'!W$45</f>
        <v>0</v>
      </c>
      <c r="CQ40" s="91"/>
      <c r="CR40" s="91">
        <f>'测算-京东自营'!I$46</f>
        <v>0</v>
      </c>
      <c r="CS40" s="91">
        <f>'测算-京东自营'!J$46</f>
        <v>0</v>
      </c>
      <c r="CT40" s="91">
        <f>'测算-京东自营'!K$46</f>
        <v>0</v>
      </c>
      <c r="CU40" s="91">
        <f>'测算-京东自营'!L$46</f>
        <v>0</v>
      </c>
      <c r="CV40" s="91">
        <f>'测算-京东自营'!M$46</f>
        <v>0</v>
      </c>
      <c r="CW40" s="91">
        <f>'测算-京东自营'!N$46</f>
        <v>0</v>
      </c>
      <c r="CX40" s="91">
        <f>'测算-京东自营'!O$46</f>
        <v>0</v>
      </c>
      <c r="CY40" s="91">
        <f>'测算-京东自营'!P$46</f>
        <v>0</v>
      </c>
      <c r="CZ40" s="91">
        <f>'测算-京东自营'!Q$46</f>
        <v>0</v>
      </c>
      <c r="DA40" s="91">
        <f>'测算-京东自营'!R$46</f>
        <v>0</v>
      </c>
      <c r="DB40" s="91">
        <f>'测算-京东自营'!S$46</f>
        <v>0</v>
      </c>
      <c r="DC40" s="91">
        <f>'测算-京东自营'!T$46</f>
        <v>0</v>
      </c>
      <c r="DD40" s="92">
        <f>'测算-京东自营'!V$46</f>
        <v>0</v>
      </c>
      <c r="DE40" s="92">
        <f>'测算-京东自营'!W$46</f>
        <v>0</v>
      </c>
      <c r="DF40" s="91"/>
      <c r="DG40" s="91">
        <f>'测算-达播'!I$46</f>
        <v>0</v>
      </c>
      <c r="DH40" s="91">
        <f>'测算-达播'!J$46</f>
        <v>0</v>
      </c>
      <c r="DI40" s="91">
        <f>'测算-达播'!K$46</f>
        <v>0</v>
      </c>
      <c r="DJ40" s="91">
        <f>'测算-达播'!L$46</f>
        <v>0</v>
      </c>
      <c r="DK40" s="91">
        <f>'测算-达播'!M$46</f>
        <v>0</v>
      </c>
      <c r="DL40" s="91">
        <f>'测算-达播'!N$46</f>
        <v>0</v>
      </c>
      <c r="DM40" s="91">
        <f>'测算-达播'!O$46</f>
        <v>0.65003321565460148</v>
      </c>
      <c r="DN40" s="91">
        <f>'测算-达播'!P$46</f>
        <v>0.86938598801541367</v>
      </c>
      <c r="DO40" s="91">
        <f>'测算-达播'!Q$46</f>
        <v>1.0994388956133383</v>
      </c>
      <c r="DP40" s="91">
        <f>'测算-达播'!R$46</f>
        <v>1.1890525282241584</v>
      </c>
      <c r="DQ40" s="91">
        <f>'测算-达播'!S$46</f>
        <v>1.4445182570102262</v>
      </c>
      <c r="DR40" s="91">
        <f>'测算-达播'!T$46</f>
        <v>1.23051555226797</v>
      </c>
      <c r="DS40" s="92">
        <f>'测算-达播'!V$46</f>
        <v>6.4829444367857079</v>
      </c>
      <c r="DT40" s="92">
        <f>'测算-达播'!W$46</f>
        <v>6.4829444367857079</v>
      </c>
      <c r="DU40" s="91"/>
      <c r="DV40" s="91">
        <f>'测算-私域'!I$45</f>
        <v>0</v>
      </c>
      <c r="DW40" s="91">
        <f>'测算-私域'!J$45</f>
        <v>0</v>
      </c>
      <c r="DX40" s="91">
        <f>'测算-私域'!K$45</f>
        <v>0</v>
      </c>
      <c r="DY40" s="91">
        <f>'测算-私域'!L$45</f>
        <v>0</v>
      </c>
      <c r="DZ40" s="91">
        <f>'测算-私域'!M$45</f>
        <v>0</v>
      </c>
      <c r="EA40" s="91">
        <f>'测算-私域'!N$45</f>
        <v>0</v>
      </c>
      <c r="EB40" s="91">
        <f>'测算-私域'!O$45</f>
        <v>0</v>
      </c>
      <c r="EC40" s="91">
        <f>'测算-私域'!P$45</f>
        <v>0</v>
      </c>
      <c r="ED40" s="91">
        <f>'测算-私域'!Q$45</f>
        <v>0</v>
      </c>
      <c r="EE40" s="91">
        <f>'测算-私域'!R$45</f>
        <v>0</v>
      </c>
      <c r="EF40" s="91">
        <f>'测算-私域'!S$45</f>
        <v>0</v>
      </c>
      <c r="EG40" s="91">
        <f>'测算-私域'!T$45</f>
        <v>0</v>
      </c>
      <c r="EH40" s="92">
        <f>'测算-私域'!V$45</f>
        <v>0</v>
      </c>
      <c r="EI40" s="92">
        <f>'测算-私域'!W$45</f>
        <v>0</v>
      </c>
      <c r="EJ40" s="42"/>
      <c r="EK40" s="91" t="str">
        <f>'测算-外部分销'!I$45</f>
        <v/>
      </c>
      <c r="EL40" s="91" t="str">
        <f>'测算-外部分销'!J$45</f>
        <v/>
      </c>
      <c r="EM40" s="91" t="str">
        <f>'测算-外部分销'!K$45</f>
        <v/>
      </c>
      <c r="EN40" s="91" t="str">
        <f>'测算-外部分销'!L$45</f>
        <v/>
      </c>
      <c r="EO40" s="91" t="str">
        <f>'测算-外部分销'!M$45</f>
        <v/>
      </c>
      <c r="EP40" s="91" t="str">
        <f>'测算-外部分销'!N$45</f>
        <v/>
      </c>
      <c r="EQ40" s="91">
        <f>'测算-外部分销'!O$45</f>
        <v>0</v>
      </c>
      <c r="ER40" s="91">
        <f>'测算-外部分销'!P$45</f>
        <v>0</v>
      </c>
      <c r="ES40" s="91">
        <f>'测算-外部分销'!Q$45</f>
        <v>0</v>
      </c>
      <c r="ET40" s="91">
        <f>'测算-外部分销'!R$45</f>
        <v>0</v>
      </c>
      <c r="EU40" s="91">
        <f>'测算-外部分销'!S$45</f>
        <v>0</v>
      </c>
      <c r="EV40" s="91">
        <f>'测算-外部分销'!T$45</f>
        <v>0</v>
      </c>
      <c r="EW40" s="92">
        <f>'测算-外部分销'!V$45</f>
        <v>0</v>
      </c>
      <c r="EX40" s="92">
        <f>'测算-外部分销'!W$45</f>
        <v>0</v>
      </c>
      <c r="EY40" s="10"/>
    </row>
    <row r="41" spans="1:155" ht="16" customHeight="1">
      <c r="A41" s="93"/>
      <c r="B41" s="94" t="s">
        <v>84</v>
      </c>
      <c r="C41" s="93"/>
      <c r="D41" s="93"/>
      <c r="E41" s="93"/>
      <c r="F41" s="95">
        <f t="shared" ref="F41:S41" si="146">F5-F7</f>
        <v>183.67913815111632</v>
      </c>
      <c r="G41" s="95">
        <f t="shared" si="146"/>
        <v>92.361541807843196</v>
      </c>
      <c r="H41" s="95">
        <f t="shared" si="146"/>
        <v>-86.347656047296596</v>
      </c>
      <c r="I41" s="95">
        <f t="shared" si="146"/>
        <v>178.03117521378647</v>
      </c>
      <c r="J41" s="95">
        <f t="shared" si="146"/>
        <v>187.97912861344105</v>
      </c>
      <c r="K41" s="95">
        <f t="shared" si="146"/>
        <v>131.4136749018918</v>
      </c>
      <c r="L41" s="95">
        <f t="shared" si="146"/>
        <v>50.165234353443623</v>
      </c>
      <c r="M41" s="95">
        <f t="shared" si="146"/>
        <v>75.806573645028493</v>
      </c>
      <c r="N41" s="95">
        <f t="shared" si="146"/>
        <v>105.00362716129689</v>
      </c>
      <c r="O41" s="95">
        <f t="shared" si="146"/>
        <v>116.9367008135888</v>
      </c>
      <c r="P41" s="95">
        <f t="shared" si="146"/>
        <v>151.51271319769808</v>
      </c>
      <c r="Q41" s="95">
        <f t="shared" si="146"/>
        <v>122.61234909972347</v>
      </c>
      <c r="R41" s="96">
        <f t="shared" si="146"/>
        <v>1309.1542009115628</v>
      </c>
      <c r="S41" s="96">
        <f t="shared" si="146"/>
        <v>622.0371982707793</v>
      </c>
      <c r="T41" s="97"/>
      <c r="U41" s="95">
        <f t="shared" ref="U41:AH41" si="147">U5-U7</f>
        <v>47.182555712724053</v>
      </c>
      <c r="V41" s="95">
        <f t="shared" si="147"/>
        <v>11.315596172820534</v>
      </c>
      <c r="W41" s="95">
        <f t="shared" si="147"/>
        <v>45.011699271941325</v>
      </c>
      <c r="X41" s="95">
        <f t="shared" si="147"/>
        <v>22.470184291139816</v>
      </c>
      <c r="Y41" s="95">
        <f t="shared" si="147"/>
        <v>39.003657335112393</v>
      </c>
      <c r="Z41" s="95">
        <f t="shared" si="147"/>
        <v>44.131830181838154</v>
      </c>
      <c r="AA41" s="95">
        <f t="shared" si="147"/>
        <v>23.867390970965516</v>
      </c>
      <c r="AB41" s="95">
        <f t="shared" si="147"/>
        <v>36.418815467822611</v>
      </c>
      <c r="AC41" s="95">
        <f t="shared" si="147"/>
        <v>52.574172382179171</v>
      </c>
      <c r="AD41" s="95">
        <f t="shared" si="147"/>
        <v>58.86724745928322</v>
      </c>
      <c r="AE41" s="95">
        <f t="shared" si="147"/>
        <v>76.807207753714067</v>
      </c>
      <c r="AF41" s="95">
        <f t="shared" si="147"/>
        <v>61.778968763614898</v>
      </c>
      <c r="AG41" s="96">
        <f t="shared" si="147"/>
        <v>519.42932576315616</v>
      </c>
      <c r="AH41" s="96">
        <f t="shared" si="147"/>
        <v>310.31380279757968</v>
      </c>
      <c r="AI41" s="97"/>
      <c r="AJ41" s="95">
        <f t="shared" ref="AJ41:AW41" si="148">AJ5-AJ7</f>
        <v>-6.8239295936135633</v>
      </c>
      <c r="AK41" s="95">
        <f t="shared" si="148"/>
        <v>-2.5553454642398243</v>
      </c>
      <c r="AL41" s="95">
        <f t="shared" si="148"/>
        <v>-3.4878840287888595</v>
      </c>
      <c r="AM41" s="95">
        <f t="shared" si="148"/>
        <v>-5.3656707887071846</v>
      </c>
      <c r="AN41" s="95">
        <f t="shared" si="148"/>
        <v>-25.803011939201085</v>
      </c>
      <c r="AO41" s="95">
        <f t="shared" si="148"/>
        <v>-15.222946528044218</v>
      </c>
      <c r="AP41" s="95">
        <f t="shared" si="148"/>
        <v>-14.867650421193787</v>
      </c>
      <c r="AQ41" s="95">
        <f t="shared" si="148"/>
        <v>-16.021491695212916</v>
      </c>
      <c r="AR41" s="95">
        <f t="shared" si="148"/>
        <v>-17.300438999850968</v>
      </c>
      <c r="AS41" s="95">
        <f t="shared" si="148"/>
        <v>-18.058618648359229</v>
      </c>
      <c r="AT41" s="95">
        <f t="shared" si="148"/>
        <v>-20.219996452315542</v>
      </c>
      <c r="AU41" s="95">
        <f t="shared" si="148"/>
        <v>-18.409418187221235</v>
      </c>
      <c r="AV41" s="96">
        <f t="shared" si="148"/>
        <v>-164.13640274674833</v>
      </c>
      <c r="AW41" s="96">
        <f t="shared" si="148"/>
        <v>-104.87761440415363</v>
      </c>
      <c r="AX41" s="97"/>
      <c r="AY41" s="95">
        <f t="shared" ref="AY41:BL41" si="149">AY5-AY7</f>
        <v>8.9345600405621415</v>
      </c>
      <c r="AZ41" s="95">
        <f t="shared" si="149"/>
        <v>3.0905371706219205</v>
      </c>
      <c r="BA41" s="95">
        <f t="shared" si="149"/>
        <v>9.777158219758844</v>
      </c>
      <c r="BB41" s="95">
        <f t="shared" si="149"/>
        <v>6.9496352649760809</v>
      </c>
      <c r="BC41" s="95">
        <f t="shared" si="149"/>
        <v>9.1483669981190587</v>
      </c>
      <c r="BD41" s="95">
        <f t="shared" si="149"/>
        <v>5.5417208164197831</v>
      </c>
      <c r="BE41" s="95">
        <f t="shared" si="149"/>
        <v>5.9504487339249277</v>
      </c>
      <c r="BF41" s="95">
        <f t="shared" si="149"/>
        <v>8.4143388602277653</v>
      </c>
      <c r="BG41" s="95">
        <f t="shared" si="149"/>
        <v>10.99841874878927</v>
      </c>
      <c r="BH41" s="95">
        <f t="shared" si="149"/>
        <v>12.005008007705676</v>
      </c>
      <c r="BI41" s="95">
        <f t="shared" si="149"/>
        <v>14.874538581631533</v>
      </c>
      <c r="BJ41" s="95">
        <f t="shared" si="149"/>
        <v>12.470743336458039</v>
      </c>
      <c r="BK41" s="96">
        <f t="shared" si="149"/>
        <v>108.15547477919503</v>
      </c>
      <c r="BL41" s="96">
        <f t="shared" si="149"/>
        <v>64.713496268737202</v>
      </c>
      <c r="BM41" s="97"/>
      <c r="BN41" s="95">
        <f t="shared" ref="BN41:CA41" si="150">BN5-BN7</f>
        <v>4.4005758710905118E-2</v>
      </c>
      <c r="BO41" s="95">
        <f t="shared" si="150"/>
        <v>3.1784773635193247E-2</v>
      </c>
      <c r="BP41" s="95">
        <f t="shared" si="150"/>
        <v>9.5446687410960462E-2</v>
      </c>
      <c r="BQ41" s="95">
        <f t="shared" si="150"/>
        <v>4.9109671647569859E-2</v>
      </c>
      <c r="BR41" s="95">
        <f t="shared" si="150"/>
        <v>1.9681615144518161E-2</v>
      </c>
      <c r="BS41" s="95">
        <f t="shared" si="150"/>
        <v>1.4672422347416976</v>
      </c>
      <c r="BT41" s="95">
        <f t="shared" si="150"/>
        <v>0.86860170205864118</v>
      </c>
      <c r="BU41" s="95">
        <f t="shared" si="150"/>
        <v>1.1617100953459196</v>
      </c>
      <c r="BV41" s="95">
        <f t="shared" si="150"/>
        <v>1.4691164590374548</v>
      </c>
      <c r="BW41" s="95">
        <f t="shared" si="150"/>
        <v>1.5888619611731118</v>
      </c>
      <c r="BX41" s="95">
        <f t="shared" si="150"/>
        <v>1.9302260045747586</v>
      </c>
      <c r="BY41" s="95">
        <f t="shared" si="150"/>
        <v>1.6442665964896093</v>
      </c>
      <c r="BZ41" s="96">
        <f t="shared" si="150"/>
        <v>10.370053559970341</v>
      </c>
      <c r="CA41" s="96">
        <f t="shared" si="150"/>
        <v>8.6627828186794957</v>
      </c>
      <c r="CB41" s="97"/>
      <c r="CC41" s="95">
        <f t="shared" ref="CC41:CP41" si="151">CC5-CC7</f>
        <v>3.7744250942543696</v>
      </c>
      <c r="CD41" s="95">
        <f t="shared" si="151"/>
        <v>1.6751338948458301</v>
      </c>
      <c r="CE41" s="95">
        <f t="shared" si="151"/>
        <v>7.6987208665540763</v>
      </c>
      <c r="CF41" s="95">
        <f t="shared" si="151"/>
        <v>6.4203104349116904</v>
      </c>
      <c r="CG41" s="95">
        <f t="shared" si="151"/>
        <v>5.7892662245683315</v>
      </c>
      <c r="CH41" s="95">
        <f t="shared" si="151"/>
        <v>4.0188637631383024</v>
      </c>
      <c r="CI41" s="95">
        <f t="shared" si="151"/>
        <v>6.5593416001068157</v>
      </c>
      <c r="CJ41" s="95">
        <f t="shared" si="151"/>
        <v>9.1243394487180325</v>
      </c>
      <c r="CK41" s="95">
        <f t="shared" si="151"/>
        <v>11.814459143602971</v>
      </c>
      <c r="CL41" s="95">
        <f t="shared" si="151"/>
        <v>12.86235460614536</v>
      </c>
      <c r="CM41" s="95">
        <f t="shared" si="151"/>
        <v>15.849638685930366</v>
      </c>
      <c r="CN41" s="95">
        <f t="shared" si="151"/>
        <v>13.347201760456009</v>
      </c>
      <c r="CO41" s="96">
        <f t="shared" si="151"/>
        <v>98.934055523232161</v>
      </c>
      <c r="CP41" s="96">
        <f t="shared" si="151"/>
        <v>69.557335244959575</v>
      </c>
      <c r="CQ41" s="97"/>
      <c r="CR41" s="95">
        <f t="shared" ref="CR41:DE41" si="152">CR5-CR7</f>
        <v>76.422200591593082</v>
      </c>
      <c r="CS41" s="95">
        <f t="shared" si="152"/>
        <v>61.400739518927509</v>
      </c>
      <c r="CT41" s="95">
        <f t="shared" si="152"/>
        <v>-239.30808973648089</v>
      </c>
      <c r="CU41" s="95">
        <f t="shared" si="152"/>
        <v>109.87981638918308</v>
      </c>
      <c r="CV41" s="95">
        <f t="shared" si="152"/>
        <v>96.493390068257582</v>
      </c>
      <c r="CW41" s="95">
        <f t="shared" si="152"/>
        <v>49.628920630270784</v>
      </c>
      <c r="CX41" s="95">
        <f t="shared" si="152"/>
        <v>20.959683033204271</v>
      </c>
      <c r="CY41" s="95">
        <f t="shared" si="152"/>
        <v>30.196922651905481</v>
      </c>
      <c r="CZ41" s="95">
        <f t="shared" si="152"/>
        <v>39.88475932517747</v>
      </c>
      <c r="DA41" s="95">
        <f t="shared" si="152"/>
        <v>43.658509657207901</v>
      </c>
      <c r="DB41" s="95">
        <f t="shared" si="152"/>
        <v>54.416514335085424</v>
      </c>
      <c r="DC41" s="95">
        <f t="shared" si="152"/>
        <v>45.404573243669631</v>
      </c>
      <c r="DD41" s="96">
        <f t="shared" si="152"/>
        <v>389.03793970800098</v>
      </c>
      <c r="DE41" s="96">
        <f t="shared" si="152"/>
        <v>234.52096224625052</v>
      </c>
      <c r="DF41" s="97"/>
      <c r="DG41" s="95">
        <f t="shared" ref="DG41:DT41" si="153">DG5-DG7</f>
        <v>12.309499021885426</v>
      </c>
      <c r="DH41" s="95">
        <f t="shared" si="153"/>
        <v>-3.0006358995937026</v>
      </c>
      <c r="DI41" s="95">
        <f t="shared" si="153"/>
        <v>53.252552672307722</v>
      </c>
      <c r="DJ41" s="95">
        <f t="shared" si="153"/>
        <v>5.2962049506354489</v>
      </c>
      <c r="DK41" s="95">
        <f t="shared" si="153"/>
        <v>23.483059311440034</v>
      </c>
      <c r="DL41" s="95">
        <f t="shared" si="153"/>
        <v>4.5261488035272492</v>
      </c>
      <c r="DM41" s="95">
        <f t="shared" si="153"/>
        <v>-5.1468112350182054</v>
      </c>
      <c r="DN41" s="95">
        <f t="shared" si="153"/>
        <v>-5.5111320956248164</v>
      </c>
      <c r="DO41" s="95">
        <f t="shared" si="153"/>
        <v>-5.8932247055293203</v>
      </c>
      <c r="DP41" s="95">
        <f t="shared" si="153"/>
        <v>-6.0420631058991034</v>
      </c>
      <c r="DQ41" s="95">
        <f t="shared" si="153"/>
        <v>-6.4663636203860619</v>
      </c>
      <c r="DR41" s="95">
        <f t="shared" si="153"/>
        <v>-6.1109286344283902</v>
      </c>
      <c r="DS41" s="96">
        <f t="shared" si="153"/>
        <v>60.696305463316207</v>
      </c>
      <c r="DT41" s="96">
        <f t="shared" si="153"/>
        <v>-35.170523396885869</v>
      </c>
      <c r="DU41" s="97"/>
      <c r="DV41" s="95">
        <f t="shared" ref="DV41:EI41" si="154">DV5-DV7</f>
        <v>24.7803</v>
      </c>
      <c r="DW41" s="95">
        <f t="shared" si="154"/>
        <v>7.8601000000000001</v>
      </c>
      <c r="DX41" s="95">
        <f t="shared" si="154"/>
        <v>26.021881</v>
      </c>
      <c r="DY41" s="95">
        <f t="shared" si="154"/>
        <v>17.22148</v>
      </c>
      <c r="DZ41" s="95">
        <f t="shared" si="154"/>
        <v>18.578579999999999</v>
      </c>
      <c r="EA41" s="95">
        <f t="shared" si="154"/>
        <v>20.101900000000001</v>
      </c>
      <c r="EB41" s="95">
        <f t="shared" si="154"/>
        <v>8.0329930692112299</v>
      </c>
      <c r="EC41" s="95">
        <f t="shared" si="154"/>
        <v>6.7518692963740019</v>
      </c>
      <c r="ED41" s="95">
        <f t="shared" si="154"/>
        <v>4.7903221495546973</v>
      </c>
      <c r="EE41" s="95">
        <f t="shared" si="154"/>
        <v>4.8460189745547009</v>
      </c>
      <c r="EF41" s="95">
        <f t="shared" si="154"/>
        <v>5.5626436868320965</v>
      </c>
      <c r="EG41" s="95">
        <f t="shared" si="154"/>
        <v>5.0261645495546965</v>
      </c>
      <c r="EH41" s="96">
        <f t="shared" si="154"/>
        <v>149.57425272608145</v>
      </c>
      <c r="EI41" s="96">
        <f t="shared" si="154"/>
        <v>35.010011726081444</v>
      </c>
      <c r="EJ41" s="42"/>
      <c r="EK41" s="95">
        <f t="shared" ref="EK41:EX41" si="155">EK5-EK7</f>
        <v>17.05552152500006</v>
      </c>
      <c r="EL41" s="95">
        <f t="shared" si="155"/>
        <v>12.543631640825676</v>
      </c>
      <c r="EM41" s="95">
        <f t="shared" si="155"/>
        <v>14.590859000000012</v>
      </c>
      <c r="EN41" s="95">
        <f t="shared" si="155"/>
        <v>15.110105000000004</v>
      </c>
      <c r="EO41" s="95">
        <f t="shared" si="155"/>
        <v>21.266139000000006</v>
      </c>
      <c r="EP41" s="95">
        <f t="shared" si="155"/>
        <v>17.219995000000019</v>
      </c>
      <c r="EQ41" s="95">
        <f t="shared" si="155"/>
        <v>3.9412369001841387</v>
      </c>
      <c r="ER41" s="95">
        <f t="shared" si="155"/>
        <v>5.2712016154726165</v>
      </c>
      <c r="ES41" s="95">
        <f t="shared" si="155"/>
        <v>6.6660426583361341</v>
      </c>
      <c r="ET41" s="95">
        <f t="shared" si="155"/>
        <v>7.2093819017771725</v>
      </c>
      <c r="EU41" s="95">
        <f t="shared" si="155"/>
        <v>8.7583042226314287</v>
      </c>
      <c r="EV41" s="95">
        <f t="shared" si="155"/>
        <v>7.4607776711304785</v>
      </c>
      <c r="EW41" s="96">
        <f t="shared" si="155"/>
        <v>137.09319613535766</v>
      </c>
      <c r="EX41" s="96">
        <f t="shared" si="155"/>
        <v>39.306944969531997</v>
      </c>
      <c r="EY41" s="11"/>
    </row>
    <row r="42" spans="1:155" ht="16" customHeight="1">
      <c r="A42" s="98"/>
      <c r="B42" s="89" t="s">
        <v>108</v>
      </c>
      <c r="C42" s="98"/>
      <c r="D42" s="98"/>
      <c r="E42" s="98"/>
      <c r="F42" s="90">
        <f t="shared" ref="F42:S42" si="156">IFERROR(F41/F3,0)</f>
        <v>0.16750787313598589</v>
      </c>
      <c r="G42" s="90">
        <f t="shared" si="156"/>
        <v>0.13889797277738899</v>
      </c>
      <c r="H42" s="90">
        <f t="shared" si="156"/>
        <v>-8.5298925378520504E-2</v>
      </c>
      <c r="I42" s="90">
        <f t="shared" si="156"/>
        <v>0.18206393674664492</v>
      </c>
      <c r="J42" s="90">
        <f t="shared" si="156"/>
        <v>0.15432118660955918</v>
      </c>
      <c r="K42" s="90">
        <f t="shared" si="156"/>
        <v>0.10592831990629969</v>
      </c>
      <c r="L42" s="90">
        <f t="shared" si="156"/>
        <v>6.335242947915827E-2</v>
      </c>
      <c r="M42" s="90">
        <f t="shared" si="156"/>
        <v>7.2500590212716431E-2</v>
      </c>
      <c r="N42" s="90">
        <f t="shared" si="156"/>
        <v>8.0087396380835313E-2</v>
      </c>
      <c r="O42" s="90">
        <f t="shared" si="156"/>
        <v>8.2779939867630312E-2</v>
      </c>
      <c r="P42" s="90">
        <f t="shared" si="156"/>
        <v>8.8347572228305471E-2</v>
      </c>
      <c r="Q42" s="90">
        <f t="shared" si="156"/>
        <v>8.380276926766532E-2</v>
      </c>
      <c r="R42" s="90">
        <f t="shared" si="156"/>
        <v>9.3848979669904187E-2</v>
      </c>
      <c r="S42" s="90">
        <f t="shared" si="156"/>
        <v>8.0374397741964823E-2</v>
      </c>
      <c r="T42" s="97"/>
      <c r="U42" s="90">
        <f t="shared" ref="U42:AH42" si="157">IFERROR(U41/U3,0)</f>
        <v>0.11431652594605213</v>
      </c>
      <c r="V42" s="90">
        <f t="shared" si="157"/>
        <v>4.7884776469984909E-2</v>
      </c>
      <c r="W42" s="90">
        <f t="shared" si="157"/>
        <v>9.3585672597180217E-2</v>
      </c>
      <c r="X42" s="90">
        <f t="shared" si="157"/>
        <v>7.7430692641947463E-2</v>
      </c>
      <c r="Y42" s="90">
        <f t="shared" si="157"/>
        <v>0.10176259331664668</v>
      </c>
      <c r="Z42" s="90">
        <f t="shared" si="157"/>
        <v>0.16253231455089201</v>
      </c>
      <c r="AA42" s="90">
        <f t="shared" si="157"/>
        <v>0.12706501349541832</v>
      </c>
      <c r="AB42" s="90">
        <f t="shared" si="157"/>
        <v>0.14496720588574732</v>
      </c>
      <c r="AC42" s="90">
        <f t="shared" si="157"/>
        <v>0.16548473395936678</v>
      </c>
      <c r="AD42" s="90">
        <f t="shared" si="157"/>
        <v>0.17132836769734081</v>
      </c>
      <c r="AE42" s="90">
        <f t="shared" si="157"/>
        <v>0.18400750235916216</v>
      </c>
      <c r="AF42" s="90">
        <f t="shared" si="157"/>
        <v>0.17374412815988222</v>
      </c>
      <c r="AG42" s="90">
        <f t="shared" si="157"/>
        <v>0.13155592616749467</v>
      </c>
      <c r="AH42" s="90">
        <f t="shared" si="157"/>
        <v>0.16564768950629913</v>
      </c>
      <c r="AI42" s="97"/>
      <c r="AJ42" s="90">
        <f t="shared" ref="AJ42:AW42" si="158">IFERROR(AJ41/AJ3,0)</f>
        <v>-0.4365024175225522</v>
      </c>
      <c r="AK42" s="90">
        <f t="shared" si="158"/>
        <v>-0.4787353100098965</v>
      </c>
      <c r="AL42" s="90">
        <f t="shared" si="158"/>
        <v>-0.30789257200263581</v>
      </c>
      <c r="AM42" s="90">
        <f t="shared" si="158"/>
        <v>-0.71547046985894847</v>
      </c>
      <c r="AN42" s="90">
        <f t="shared" si="158"/>
        <v>-0.38291055873857693</v>
      </c>
      <c r="AO42" s="90">
        <f t="shared" si="158"/>
        <v>-0.21581856738675556</v>
      </c>
      <c r="AP42" s="90">
        <f t="shared" si="158"/>
        <v>-0.28118142126729789</v>
      </c>
      <c r="AQ42" s="90">
        <f t="shared" si="158"/>
        <v>-0.22655316946904874</v>
      </c>
      <c r="AR42" s="90">
        <f t="shared" si="158"/>
        <v>-0.19344871798934229</v>
      </c>
      <c r="AS42" s="90">
        <f t="shared" si="158"/>
        <v>-0.18670816725712774</v>
      </c>
      <c r="AT42" s="90">
        <f t="shared" si="158"/>
        <v>-0.17208296070572943</v>
      </c>
      <c r="AU42" s="90">
        <f t="shared" si="158"/>
        <v>-0.18392162095994571</v>
      </c>
      <c r="AV42" s="90">
        <f t="shared" si="158"/>
        <v>-0.23279673729775738</v>
      </c>
      <c r="AW42" s="90">
        <f t="shared" si="158"/>
        <v>-0.19887964237981262</v>
      </c>
      <c r="AX42" s="97"/>
      <c r="AY42" s="90">
        <f t="shared" ref="AY42:BL42" si="159">IFERROR(AY41/AY3,0)</f>
        <v>0.32253369390641368</v>
      </c>
      <c r="AZ42" s="90">
        <f t="shared" si="159"/>
        <v>0.21685870908428984</v>
      </c>
      <c r="BA42" s="90">
        <f t="shared" si="159"/>
        <v>0.30026174955881535</v>
      </c>
      <c r="BB42" s="90">
        <f t="shared" si="159"/>
        <v>0.20291113830031021</v>
      </c>
      <c r="BC42" s="90">
        <f t="shared" si="159"/>
        <v>0.28065531670225008</v>
      </c>
      <c r="BD42" s="90">
        <f t="shared" si="159"/>
        <v>0.21093552205326585</v>
      </c>
      <c r="BE42" s="90">
        <f t="shared" si="159"/>
        <v>0.24598960070408832</v>
      </c>
      <c r="BF42" s="90">
        <f t="shared" si="159"/>
        <v>0.26008178676915211</v>
      </c>
      <c r="BG42" s="90">
        <f t="shared" si="159"/>
        <v>0.26882009619849451</v>
      </c>
      <c r="BH42" s="90">
        <f t="shared" si="159"/>
        <v>0.2713088696809014</v>
      </c>
      <c r="BI42" s="90">
        <f t="shared" si="159"/>
        <v>0.27670884776665094</v>
      </c>
      <c r="BJ42" s="90">
        <f t="shared" si="159"/>
        <v>0.27233772960755115</v>
      </c>
      <c r="BK42" s="90">
        <f t="shared" si="159"/>
        <v>0.26451369848685852</v>
      </c>
      <c r="BL42" s="90">
        <f t="shared" si="159"/>
        <v>0.26824098997122953</v>
      </c>
      <c r="BM42" s="97"/>
      <c r="BN42" s="90">
        <f t="shared" ref="BN42:CA42" si="160">IFERROR(BN41/BN3,0)</f>
        <v>0.28476056524631882</v>
      </c>
      <c r="BO42" s="90">
        <f t="shared" si="160"/>
        <v>0.1150500911618504</v>
      </c>
      <c r="BP42" s="90">
        <f t="shared" si="160"/>
        <v>0.26050002295580343</v>
      </c>
      <c r="BQ42" s="90">
        <f t="shared" si="160"/>
        <v>0.41660379236322953</v>
      </c>
      <c r="BR42" s="90">
        <f t="shared" si="160"/>
        <v>4.3618570821212135E-2</v>
      </c>
      <c r="BS42" s="90">
        <f t="shared" si="160"/>
        <v>0.29881060322317943</v>
      </c>
      <c r="BT42" s="90">
        <f t="shared" si="160"/>
        <v>0.29895810506502085</v>
      </c>
      <c r="BU42" s="90">
        <f t="shared" si="160"/>
        <v>0.29895810506502091</v>
      </c>
      <c r="BV42" s="90">
        <f t="shared" si="160"/>
        <v>0.29895810506502091</v>
      </c>
      <c r="BW42" s="90">
        <f t="shared" si="160"/>
        <v>0.29895810506502096</v>
      </c>
      <c r="BX42" s="90">
        <f t="shared" si="160"/>
        <v>0.29895810506502091</v>
      </c>
      <c r="BY42" s="90">
        <f t="shared" si="160"/>
        <v>0.29895810506502085</v>
      </c>
      <c r="BZ42" s="90">
        <f t="shared" si="160"/>
        <v>0.29415956411435562</v>
      </c>
      <c r="CA42" s="90">
        <f t="shared" si="160"/>
        <v>0.29895810506502096</v>
      </c>
      <c r="CB42" s="90"/>
      <c r="CC42" s="90">
        <f t="shared" ref="CC42:CP42" si="161">IFERROR(CC41/CC3,0)</f>
        <v>0.27612626154086339</v>
      </c>
      <c r="CD42" s="90">
        <f t="shared" si="161"/>
        <v>0.19541759558578539</v>
      </c>
      <c r="CE42" s="90">
        <f t="shared" si="161"/>
        <v>0.33093340387057285</v>
      </c>
      <c r="CF42" s="90">
        <f t="shared" si="161"/>
        <v>0.32981667984731</v>
      </c>
      <c r="CG42" s="90">
        <f t="shared" si="161"/>
        <v>0.30118772093831253</v>
      </c>
      <c r="CH42" s="90">
        <f t="shared" si="161"/>
        <v>0.24107295095221662</v>
      </c>
      <c r="CI42" s="90">
        <f t="shared" si="161"/>
        <v>0.25993737505417769</v>
      </c>
      <c r="CJ42" s="90">
        <f t="shared" si="161"/>
        <v>0.27035401678051874</v>
      </c>
      <c r="CK42" s="90">
        <f t="shared" si="161"/>
        <v>0.27681318771390784</v>
      </c>
      <c r="CL42" s="90">
        <f t="shared" si="161"/>
        <v>0.27865283569929178</v>
      </c>
      <c r="CM42" s="90">
        <f t="shared" si="161"/>
        <v>0.28264438369543943</v>
      </c>
      <c r="CN42" s="90">
        <f t="shared" si="161"/>
        <v>0.27941334689273034</v>
      </c>
      <c r="CO42" s="90">
        <f t="shared" si="161"/>
        <v>0.28063884608193534</v>
      </c>
      <c r="CP42" s="90">
        <f t="shared" si="161"/>
        <v>0.27638512480989413</v>
      </c>
      <c r="CQ42" s="97"/>
      <c r="CR42" s="90">
        <f t="shared" ref="CR42:DE42" si="162">IFERROR(CR41/CR3,0)</f>
        <v>0.19073937956825526</v>
      </c>
      <c r="CS42" s="90">
        <f t="shared" si="162"/>
        <v>0.20387483537115236</v>
      </c>
      <c r="CT42" s="90">
        <f t="shared" si="162"/>
        <v>-5.9055739709578203</v>
      </c>
      <c r="CU42" s="90">
        <f t="shared" si="162"/>
        <v>0.25034634314576537</v>
      </c>
      <c r="CV42" s="90">
        <f t="shared" si="162"/>
        <v>0.21624187705306894</v>
      </c>
      <c r="CW42" s="90">
        <f t="shared" si="162"/>
        <v>7.5163897759156814E-2</v>
      </c>
      <c r="CX42" s="90">
        <f t="shared" si="162"/>
        <v>6.4989917455423124E-2</v>
      </c>
      <c r="CY42" s="90">
        <f t="shared" si="162"/>
        <v>7.0007871531177296E-2</v>
      </c>
      <c r="CZ42" s="90">
        <f t="shared" si="162"/>
        <v>7.3119413999728447E-2</v>
      </c>
      <c r="DA42" s="90">
        <f t="shared" si="162"/>
        <v>7.4005617955737388E-2</v>
      </c>
      <c r="DB42" s="90">
        <f t="shared" si="162"/>
        <v>7.5928445394948169E-2</v>
      </c>
      <c r="DC42" s="90">
        <f t="shared" si="162"/>
        <v>7.4371975016201547E-2</v>
      </c>
      <c r="DD42" s="90">
        <f t="shared" si="162"/>
        <v>7.0680061717842912E-2</v>
      </c>
      <c r="DE42" s="90">
        <f t="shared" si="162"/>
        <v>7.2913205506597509E-2</v>
      </c>
      <c r="DF42" s="97"/>
      <c r="DG42" s="90">
        <f t="shared" ref="DG42:DT42" si="163">IFERROR(DG41/DG3,0)</f>
        <v>0.23821656702226743</v>
      </c>
      <c r="DH42" s="90">
        <f t="shared" si="163"/>
        <v>-0.70809795629453065</v>
      </c>
      <c r="DI42" s="90">
        <f t="shared" si="163"/>
        <v>0.28022898653200234</v>
      </c>
      <c r="DJ42" s="90">
        <f t="shared" si="163"/>
        <v>0.14007234421265208</v>
      </c>
      <c r="DK42" s="90">
        <f t="shared" si="163"/>
        <v>0.28941778947113278</v>
      </c>
      <c r="DL42" s="90">
        <f t="shared" si="163"/>
        <v>0.16529689386550839</v>
      </c>
      <c r="DM42" s="90">
        <f t="shared" si="163"/>
        <v>-5.9383248937154964E-2</v>
      </c>
      <c r="DN42" s="90">
        <f t="shared" si="163"/>
        <v>-4.754331365696373E-2</v>
      </c>
      <c r="DO42" s="90">
        <f t="shared" si="163"/>
        <v>-4.020158416063016E-2</v>
      </c>
      <c r="DP42" s="90">
        <f t="shared" si="163"/>
        <v>-3.8110573097995606E-2</v>
      </c>
      <c r="DQ42" s="90">
        <f t="shared" si="163"/>
        <v>-3.3573633920884485E-2</v>
      </c>
      <c r="DR42" s="90">
        <f t="shared" si="163"/>
        <v>-3.7246148310551438E-2</v>
      </c>
      <c r="DS42" s="90">
        <f t="shared" si="163"/>
        <v>4.8299418034822003E-2</v>
      </c>
      <c r="DT42" s="90">
        <f t="shared" si="163"/>
        <v>-4.068813608518717E-2</v>
      </c>
      <c r="DU42" s="97"/>
      <c r="DV42" s="90">
        <f t="shared" ref="DV42:EI42" si="164">IFERROR(DV41/DV3,0)</f>
        <v>1</v>
      </c>
      <c r="DW42" s="90">
        <f t="shared" si="164"/>
        <v>1</v>
      </c>
      <c r="DX42" s="90">
        <f t="shared" si="164"/>
        <v>1</v>
      </c>
      <c r="DY42" s="90">
        <f t="shared" si="164"/>
        <v>1</v>
      </c>
      <c r="DZ42" s="90">
        <f t="shared" si="164"/>
        <v>1</v>
      </c>
      <c r="EA42" s="90">
        <f t="shared" si="164"/>
        <v>1</v>
      </c>
      <c r="EB42" s="90">
        <f t="shared" si="164"/>
        <v>0.22344034082709519</v>
      </c>
      <c r="EC42" s="90">
        <f t="shared" si="164"/>
        <v>0.19495999868255084</v>
      </c>
      <c r="ED42" s="90">
        <f t="shared" si="164"/>
        <v>0.14681550989458336</v>
      </c>
      <c r="EE42" s="90">
        <f t="shared" si="164"/>
        <v>0.16191716978698589</v>
      </c>
      <c r="EF42" s="90">
        <f t="shared" si="164"/>
        <v>0.15802639538907498</v>
      </c>
      <c r="EG42" s="90">
        <f t="shared" si="164"/>
        <v>0.15609897486316388</v>
      </c>
      <c r="EH42" s="90">
        <f t="shared" si="164"/>
        <v>0.47468188935031158</v>
      </c>
      <c r="EI42" s="90">
        <f t="shared" si="164"/>
        <v>0.17457873967796164</v>
      </c>
      <c r="EJ42" s="42"/>
      <c r="EK42" s="90">
        <f t="shared" ref="EK42:EX42" si="165">IFERROR(EK41/EK3,0)</f>
        <v>0.11406137710158472</v>
      </c>
      <c r="EL42" s="90">
        <f t="shared" si="165"/>
        <v>0.14426782996784401</v>
      </c>
      <c r="EM42" s="90">
        <f t="shared" si="165"/>
        <v>7.040903139790114E-2</v>
      </c>
      <c r="EN42" s="90">
        <f t="shared" si="165"/>
        <v>0.1141454787388262</v>
      </c>
      <c r="EO42" s="90">
        <f t="shared" si="165"/>
        <v>0.12567145011454284</v>
      </c>
      <c r="EP42" s="90">
        <f t="shared" si="165"/>
        <v>0.12049097385199579</v>
      </c>
      <c r="EQ42" s="90">
        <f t="shared" si="165"/>
        <v>7.3429956527788609E-2</v>
      </c>
      <c r="ER42" s="90">
        <f t="shared" si="165"/>
        <v>7.3429956527788637E-2</v>
      </c>
      <c r="ES42" s="90">
        <f t="shared" si="165"/>
        <v>7.3429956527788609E-2</v>
      </c>
      <c r="ET42" s="90">
        <f t="shared" si="165"/>
        <v>7.342995652778872E-2</v>
      </c>
      <c r="EU42" s="90">
        <f t="shared" si="165"/>
        <v>7.3429956527788678E-2</v>
      </c>
      <c r="EV42" s="90">
        <f t="shared" si="165"/>
        <v>7.342995652778872E-2</v>
      </c>
      <c r="EW42" s="90">
        <f t="shared" si="165"/>
        <v>9.6306058277317433E-2</v>
      </c>
      <c r="EX42" s="90">
        <f t="shared" si="165"/>
        <v>7.342995652778872E-2</v>
      </c>
      <c r="EY42" s="11"/>
    </row>
    <row r="43" spans="1:155" ht="16" customHeight="1">
      <c r="A43" s="98"/>
      <c r="B43" s="99"/>
      <c r="C43" s="98"/>
      <c r="D43" s="98"/>
      <c r="E43" s="98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87"/>
      <c r="S43" s="87"/>
      <c r="T43" s="97"/>
      <c r="U43" s="84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87"/>
      <c r="AH43" s="87"/>
      <c r="AI43" s="97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87"/>
      <c r="AW43" s="87"/>
      <c r="AX43" s="97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87"/>
      <c r="BL43" s="87"/>
      <c r="BM43" s="97"/>
      <c r="BN43" s="91"/>
      <c r="BO43" s="91"/>
      <c r="BP43" s="91"/>
      <c r="BQ43" s="91"/>
      <c r="BR43" s="91"/>
      <c r="BS43" s="91"/>
      <c r="BT43" s="91"/>
      <c r="BU43" s="91"/>
      <c r="BV43" s="91"/>
      <c r="BW43" s="91"/>
      <c r="BX43" s="91"/>
      <c r="BY43" s="91"/>
      <c r="BZ43" s="87"/>
      <c r="CA43" s="87"/>
      <c r="CB43" s="97"/>
      <c r="CC43" s="91"/>
      <c r="CD43" s="91"/>
      <c r="CE43" s="91"/>
      <c r="CF43" s="91"/>
      <c r="CG43" s="91"/>
      <c r="CH43" s="91"/>
      <c r="CI43" s="91"/>
      <c r="CJ43" s="91"/>
      <c r="CK43" s="91"/>
      <c r="CL43" s="91"/>
      <c r="CM43" s="91"/>
      <c r="CN43" s="91"/>
      <c r="CO43" s="87"/>
      <c r="CP43" s="87"/>
      <c r="CQ43" s="97"/>
      <c r="CR43" s="91"/>
      <c r="CS43" s="91"/>
      <c r="CT43" s="91"/>
      <c r="CU43" s="91"/>
      <c r="CV43" s="91"/>
      <c r="CW43" s="91"/>
      <c r="CX43" s="91"/>
      <c r="CY43" s="91"/>
      <c r="CZ43" s="91"/>
      <c r="DA43" s="91"/>
      <c r="DB43" s="91"/>
      <c r="DC43" s="91"/>
      <c r="DD43" s="87"/>
      <c r="DE43" s="87"/>
      <c r="DF43" s="97"/>
      <c r="DG43" s="91"/>
      <c r="DH43" s="91"/>
      <c r="DI43" s="91"/>
      <c r="DJ43" s="91"/>
      <c r="DK43" s="91"/>
      <c r="DL43" s="91"/>
      <c r="DM43" s="91"/>
      <c r="DN43" s="91"/>
      <c r="DO43" s="91"/>
      <c r="DP43" s="91"/>
      <c r="DQ43" s="91"/>
      <c r="DR43" s="91"/>
      <c r="DS43" s="87"/>
      <c r="DT43" s="87"/>
      <c r="DU43" s="97"/>
      <c r="DV43" s="91"/>
      <c r="DW43" s="91"/>
      <c r="DX43" s="91"/>
      <c r="DY43" s="91"/>
      <c r="DZ43" s="91"/>
      <c r="EA43" s="91"/>
      <c r="EB43" s="91"/>
      <c r="EC43" s="91"/>
      <c r="ED43" s="91"/>
      <c r="EE43" s="91"/>
      <c r="EF43" s="91"/>
      <c r="EG43" s="91"/>
      <c r="EH43" s="87"/>
      <c r="EI43" s="87"/>
      <c r="EJ43" s="42"/>
      <c r="EK43" s="91"/>
      <c r="EL43" s="91"/>
      <c r="EM43" s="91"/>
      <c r="EN43" s="91"/>
      <c r="EO43" s="91"/>
      <c r="EP43" s="91"/>
      <c r="EQ43" s="91"/>
      <c r="ER43" s="91"/>
      <c r="ES43" s="91"/>
      <c r="ET43" s="91"/>
      <c r="EU43" s="91"/>
      <c r="EV43" s="91"/>
      <c r="EW43" s="87"/>
      <c r="EX43" s="87"/>
      <c r="EY43" s="11"/>
    </row>
    <row r="44" spans="1:155" ht="16" customHeight="1">
      <c r="A44" s="76"/>
      <c r="B44" s="48" t="s">
        <v>85</v>
      </c>
      <c r="C44" s="76"/>
      <c r="D44" s="76"/>
      <c r="E44" s="76"/>
      <c r="F44" s="100">
        <f>SUMIFS('辅助-汇总损益长表'!$C$2:$C$242,'辅助-汇总损益长表'!$A$2:$A$242,"管理费用",'辅助-汇总损益长表'!$B$2:$B$242,F$2)</f>
        <v>34.597010095459758</v>
      </c>
      <c r="G44" s="100">
        <f>SUMIFS('辅助-汇总损益长表'!$C$2:$C$242,'辅助-汇总损益长表'!$A$2:$A$242,"管理费用",'辅助-汇总损益长表'!$B$2:$B$242,G$2)</f>
        <v>29.895113461900383</v>
      </c>
      <c r="H44" s="100">
        <f>SUMIFS('辅助-汇总损益长表'!$C$2:$C$242,'辅助-汇总损益长表'!$A$2:$A$242,"管理费用",'辅助-汇总损益长表'!$B$2:$B$242,H$2)</f>
        <v>32.620715705373705</v>
      </c>
      <c r="I44" s="100">
        <f>SUMIFS('辅助-汇总损益长表'!$C$2:$C$242,'辅助-汇总损益长表'!$A$2:$A$242,"管理费用",'辅助-汇总损益长表'!$B$2:$B$242,I$2)</f>
        <v>37.711028838462177</v>
      </c>
      <c r="J44" s="100">
        <f>SUMIFS('辅助-汇总损益长表'!$C$2:$C$242,'辅助-汇总损益长表'!$A$2:$A$242,"管理费用",'辅助-汇总损益长表'!$B$2:$B$242,J$2)</f>
        <v>40.027496246035497</v>
      </c>
      <c r="K44" s="100">
        <f>SUMIFS('辅助-汇总损益长表'!$C$2:$C$242,'辅助-汇总损益长表'!$A$2:$A$242,"管理费用",'辅助-汇总损益长表'!$B$2:$B$242,K$2)</f>
        <v>37.205519660616893</v>
      </c>
      <c r="L44" s="100">
        <f>SUMIFS('辅助-汇总损益长表'!$C$2:$C$242,'辅助-汇总损益长表'!$A$2:$A$242,"管理费用",'辅助-汇总损益长表'!$B$2:$B$242,L$2)</f>
        <v>31.889738578672684</v>
      </c>
      <c r="M44" s="100">
        <f>SUMIFS('辅助-汇总损益长表'!$C$2:$C$242,'辅助-汇总损益长表'!$A$2:$A$242,"管理费用",'辅助-汇总损益长表'!$B$2:$B$242,M$2)</f>
        <v>34.784908132545979</v>
      </c>
      <c r="N44" s="100">
        <f>SUMIFS('辅助-汇总损益长表'!$C$2:$C$242,'辅助-汇总损益长表'!$A$2:$A$242,"管理费用",'辅助-汇总损益长表'!$B$2:$B$242,N$2)</f>
        <v>37.815103292705778</v>
      </c>
      <c r="O44" s="100">
        <f>SUMIFS('辅助-汇总损益长表'!$C$2:$C$242,'辅助-汇总损益长表'!$A$2:$A$242,"管理费用",'辅助-汇总损益长表'!$B$2:$B$242,O$2)</f>
        <v>38.976284151605242</v>
      </c>
      <c r="P44" s="100">
        <f>SUMIFS('辅助-汇总损益长表'!$C$2:$C$242,'辅助-汇总损益长表'!$A$2:$A$242,"管理费用",'辅助-汇总损益长表'!$B$2:$B$242,P$2)</f>
        <v>42.416180032945476</v>
      </c>
      <c r="Q44" s="100">
        <f>SUMIFS('辅助-汇总损益长表'!$C$2:$C$242,'辅助-汇总损益长表'!$A$2:$A$242,"管理费用",'辅助-汇总损益长表'!$B$2:$B$242,Q$2)</f>
        <v>39.548731407215428</v>
      </c>
      <c r="R44" s="78">
        <f>SUMIFS('辅助-汇总损益长表'!$C$2:$C$242,'辅助-汇总损益长表'!$A$2:$A$242,"管理费用",'辅助-汇总损益长表'!$B$2:$B$242,R$2)</f>
        <v>437.48782960353896</v>
      </c>
      <c r="S44" s="78">
        <f>SUMIFS('辅助-汇总损益长表'!$C$2:$C$242,'辅助-汇总损益长表'!$A$2:$A$242,"管理费用",'辅助-汇总损益长表'!$B$2:$B$242,S$2)</f>
        <v>225.43094559569056</v>
      </c>
      <c r="T44" s="97"/>
      <c r="U44" s="100">
        <f>SUMIFS('辅助-汇总损益长表'!$D$2:$D$242,'辅助-汇总损益长表'!$A$2:$A$242,"管理费用",'辅助-汇总损益长表'!$B$2:$B$242,U$2)</f>
        <v>0</v>
      </c>
      <c r="V44" s="100">
        <f>SUMIFS('辅助-汇总损益长表'!$D$2:$D$242,'辅助-汇总损益长表'!$A$2:$A$242,"管理费用",'辅助-汇总损益长表'!$B$2:$B$242,V$2)</f>
        <v>0</v>
      </c>
      <c r="W44" s="100">
        <f>SUMIFS('辅助-汇总损益长表'!$D$2:$D$242,'辅助-汇总损益长表'!$A$2:$A$242,"管理费用",'辅助-汇总损益长表'!$B$2:$B$242,W$2)</f>
        <v>0</v>
      </c>
      <c r="X44" s="100">
        <f>SUMIFS('辅助-汇总损益长表'!$D$2:$D$242,'辅助-汇总损益长表'!$A$2:$A$242,"管理费用",'辅助-汇总损益长表'!$B$2:$B$242,X$2)</f>
        <v>0</v>
      </c>
      <c r="Y44" s="100">
        <f>SUMIFS('辅助-汇总损益长表'!$D$2:$D$242,'辅助-汇总损益长表'!$A$2:$A$242,"管理费用",'辅助-汇总损益长表'!$B$2:$B$242,Y$2)</f>
        <v>0</v>
      </c>
      <c r="Z44" s="100">
        <f>SUMIFS('辅助-汇总损益长表'!$D$2:$D$242,'辅助-汇总损益长表'!$A$2:$A$242,"管理费用",'辅助-汇总损益长表'!$B$2:$B$242,Z$2)</f>
        <v>0</v>
      </c>
      <c r="AA44" s="100">
        <f>SUMIFS('辅助-汇总损益长表'!$D$2:$D$242,'辅助-汇总损益长表'!$A$2:$A$242,"管理费用",'辅助-汇总损益长表'!$B$2:$B$242,AA$2)</f>
        <v>0</v>
      </c>
      <c r="AB44" s="100">
        <f>SUMIFS('辅助-汇总损益长表'!$D$2:$D$242,'辅助-汇总损益长表'!$A$2:$A$242,"管理费用",'辅助-汇总损益长表'!$B$2:$B$242,AB$2)</f>
        <v>0</v>
      </c>
      <c r="AC44" s="100">
        <f>SUMIFS('辅助-汇总损益长表'!$D$2:$D$242,'辅助-汇总损益长表'!$A$2:$A$242,"管理费用",'辅助-汇总损益长表'!$B$2:$B$242,AC$2)</f>
        <v>0</v>
      </c>
      <c r="AD44" s="100">
        <f>SUMIFS('辅助-汇总损益长表'!$D$2:$D$242,'辅助-汇总损益长表'!$A$2:$A$242,"管理费用",'辅助-汇总损益长表'!$B$2:$B$242,AD$2)</f>
        <v>0</v>
      </c>
      <c r="AE44" s="100">
        <f>SUMIFS('辅助-汇总损益长表'!$D$2:$D$242,'辅助-汇总损益长表'!$A$2:$A$242,"管理费用",'辅助-汇总损益长表'!$B$2:$B$242,AE$2)</f>
        <v>0</v>
      </c>
      <c r="AF44" s="100">
        <f>SUMIFS('辅助-汇总损益长表'!$D$2:$D$242,'辅助-汇总损益长表'!$A$2:$A$242,"管理费用",'辅助-汇总损益长表'!$B$2:$B$242,AF$2)</f>
        <v>0</v>
      </c>
      <c r="AG44" s="78">
        <f>SUMIFS('辅助-汇总损益长表'!$D$2:$D$242,'辅助-汇总损益长表'!$A$2:$A$242,"管理费用",'辅助-汇总损益长表'!$B$2:$B$242,AG$2)</f>
        <v>0</v>
      </c>
      <c r="AH44" s="78">
        <f>SUMIFS('辅助-汇总损益长表'!$D$2:$D$242,'辅助-汇总损益长表'!$A$2:$A$242,"管理费用",'辅助-汇总损益长表'!$B$2:$B$242,AH$2)</f>
        <v>0</v>
      </c>
      <c r="AI44" s="97"/>
      <c r="AJ44" s="100">
        <f>SUMIFS('辅助-汇总损益长表'!$E$2:$E$242,'辅助-汇总损益长表'!$A$2:$A$242,"管理费用",'辅助-汇总损益长表'!$B$2:$B$242,AJ$2)</f>
        <v>0</v>
      </c>
      <c r="AK44" s="100">
        <f>SUMIFS('辅助-汇总损益长表'!$E$2:$E$242,'辅助-汇总损益长表'!$A$2:$A$242,"管理费用",'辅助-汇总损益长表'!$B$2:$B$242,AK$2)</f>
        <v>0</v>
      </c>
      <c r="AL44" s="100">
        <f>SUMIFS('辅助-汇总损益长表'!$E$2:$E$242,'辅助-汇总损益长表'!$A$2:$A$242,"管理费用",'辅助-汇总损益长表'!$B$2:$B$242,AL$2)</f>
        <v>0</v>
      </c>
      <c r="AM44" s="100">
        <f>SUMIFS('辅助-汇总损益长表'!$E$2:$E$242,'辅助-汇总损益长表'!$A$2:$A$242,"管理费用",'辅助-汇总损益长表'!$B$2:$B$242,AM$2)</f>
        <v>0</v>
      </c>
      <c r="AN44" s="100">
        <f>SUMIFS('辅助-汇总损益长表'!$E$2:$E$242,'辅助-汇总损益长表'!$A$2:$A$242,"管理费用",'辅助-汇总损益长表'!$B$2:$B$242,AN$2)</f>
        <v>0</v>
      </c>
      <c r="AO44" s="100">
        <f>SUMIFS('辅助-汇总损益长表'!$E$2:$E$242,'辅助-汇总损益长表'!$A$2:$A$242,"管理费用",'辅助-汇总损益长表'!$B$2:$B$242,AO$2)</f>
        <v>0</v>
      </c>
      <c r="AP44" s="100">
        <f>SUMIFS('辅助-汇总损益长表'!$E$2:$E$242,'辅助-汇总损益长表'!$A$2:$A$242,"管理费用",'辅助-汇总损益长表'!$B$2:$B$242,AP$2)</f>
        <v>0</v>
      </c>
      <c r="AQ44" s="100">
        <f>SUMIFS('辅助-汇总损益长表'!$E$2:$E$242,'辅助-汇总损益长表'!$A$2:$A$242,"管理费用",'辅助-汇总损益长表'!$B$2:$B$242,AQ$2)</f>
        <v>0</v>
      </c>
      <c r="AR44" s="100">
        <f>SUMIFS('辅助-汇总损益长表'!$E$2:$E$242,'辅助-汇总损益长表'!$A$2:$A$242,"管理费用",'辅助-汇总损益长表'!$B$2:$B$242,AR$2)</f>
        <v>0</v>
      </c>
      <c r="AS44" s="100">
        <f>SUMIFS('辅助-汇总损益长表'!$E$2:$E$242,'辅助-汇总损益长表'!$A$2:$A$242,"管理费用",'辅助-汇总损益长表'!$B$2:$B$242,AS$2)</f>
        <v>0</v>
      </c>
      <c r="AT44" s="100">
        <f>SUMIFS('辅助-汇总损益长表'!$E$2:$E$242,'辅助-汇总损益长表'!$A$2:$A$242,"管理费用",'辅助-汇总损益长表'!$B$2:$B$242,AT$2)</f>
        <v>0</v>
      </c>
      <c r="AU44" s="100">
        <f>SUMIFS('辅助-汇总损益长表'!$E$2:$E$242,'辅助-汇总损益长表'!$A$2:$A$242,"管理费用",'辅助-汇总损益长表'!$B$2:$B$242,AU$2)</f>
        <v>0</v>
      </c>
      <c r="AV44" s="78">
        <f>SUMIFS('辅助-汇总损益长表'!$E$2:$E$242,'辅助-汇总损益长表'!$A$2:$A$242,"管理费用",'辅助-汇总损益长表'!$B$2:$B$242,AV$2)</f>
        <v>0</v>
      </c>
      <c r="AW44" s="78">
        <f>SUMIFS('辅助-汇总损益长表'!$E$2:$E$242,'辅助-汇总损益长表'!$A$2:$A$242,"管理费用",'辅助-汇总损益长表'!$B$2:$B$242,AW$2)</f>
        <v>0</v>
      </c>
      <c r="AX44" s="97"/>
      <c r="AY44" s="100">
        <f>SUMIFS('辅助-汇总损益长表'!$F$2:$F$242,'辅助-汇总损益长表'!$A$2:$A$242,"管理费用",'辅助-汇总损益长表'!$B$2:$B$242,AY$2)</f>
        <v>0</v>
      </c>
      <c r="AZ44" s="100">
        <f>SUMIFS('辅助-汇总损益长表'!$F$2:$F$242,'辅助-汇总损益长表'!$A$2:$A$242,"管理费用",'辅助-汇总损益长表'!$B$2:$B$242,AZ$2)</f>
        <v>0</v>
      </c>
      <c r="BA44" s="100">
        <f>SUMIFS('辅助-汇总损益长表'!$F$2:$F$242,'辅助-汇总损益长表'!$A$2:$A$242,"管理费用",'辅助-汇总损益长表'!$B$2:$B$242,BA$2)</f>
        <v>0</v>
      </c>
      <c r="BB44" s="100">
        <f>SUMIFS('辅助-汇总损益长表'!$F$2:$F$242,'辅助-汇总损益长表'!$A$2:$A$242,"管理费用",'辅助-汇总损益长表'!$B$2:$B$242,BB$2)</f>
        <v>0</v>
      </c>
      <c r="BC44" s="100">
        <f>SUMIFS('辅助-汇总损益长表'!$F$2:$F$242,'辅助-汇总损益长表'!$A$2:$A$242,"管理费用",'辅助-汇总损益长表'!$B$2:$B$242,BC$2)</f>
        <v>0</v>
      </c>
      <c r="BD44" s="100">
        <f>SUMIFS('辅助-汇总损益长表'!$F$2:$F$242,'辅助-汇总损益长表'!$A$2:$A$242,"管理费用",'辅助-汇总损益长表'!$B$2:$B$242,BD$2)</f>
        <v>0</v>
      </c>
      <c r="BE44" s="100">
        <f>SUMIFS('辅助-汇总损益长表'!$F$2:$F$242,'辅助-汇总损益长表'!$A$2:$A$242,"管理费用",'辅助-汇总损益长表'!$B$2:$B$242,BE$2)</f>
        <v>0</v>
      </c>
      <c r="BF44" s="100">
        <f>SUMIFS('辅助-汇总损益长表'!$F$2:$F$242,'辅助-汇总损益长表'!$A$2:$A$242,"管理费用",'辅助-汇总损益长表'!$B$2:$B$242,BF$2)</f>
        <v>0</v>
      </c>
      <c r="BG44" s="100">
        <f>SUMIFS('辅助-汇总损益长表'!$F$2:$F$242,'辅助-汇总损益长表'!$A$2:$A$242,"管理费用",'辅助-汇总损益长表'!$B$2:$B$242,BG$2)</f>
        <v>0</v>
      </c>
      <c r="BH44" s="100">
        <f>SUMIFS('辅助-汇总损益长表'!$F$2:$F$242,'辅助-汇总损益长表'!$A$2:$A$242,"管理费用",'辅助-汇总损益长表'!$B$2:$B$242,BH$2)</f>
        <v>0</v>
      </c>
      <c r="BI44" s="100">
        <f>SUMIFS('辅助-汇总损益长表'!$F$2:$F$242,'辅助-汇总损益长表'!$A$2:$A$242,"管理费用",'辅助-汇总损益长表'!$B$2:$B$242,BI$2)</f>
        <v>0</v>
      </c>
      <c r="BJ44" s="100">
        <f>SUMIFS('辅助-汇总损益长表'!$F$2:$F$242,'辅助-汇总损益长表'!$A$2:$A$242,"管理费用",'辅助-汇总损益长表'!$B$2:$B$242,BJ$2)</f>
        <v>0</v>
      </c>
      <c r="BK44" s="78">
        <f>SUMIFS('辅助-汇总损益长表'!$F$2:$F$242,'辅助-汇总损益长表'!$A$2:$A$242,"管理费用",'辅助-汇总损益长表'!$B$2:$B$242,BK$2)</f>
        <v>0</v>
      </c>
      <c r="BL44" s="78">
        <f>SUMIFS('辅助-汇总损益长表'!$F$2:$F$242,'辅助-汇总损益长表'!$A$2:$A$242,"管理费用",'辅助-汇总损益长表'!$B$2:$B$242,BL$2)</f>
        <v>0</v>
      </c>
      <c r="BM44" s="97"/>
      <c r="BN44" s="100">
        <f>SUMIFS('辅助-汇总损益长表'!$G$2:$G$242,'辅助-汇总损益长表'!$A$2:$A$242,"管理费用",'辅助-汇总损益长表'!$B$2:$B$242,BN$2)</f>
        <v>0</v>
      </c>
      <c r="BO44" s="100">
        <f>SUMIFS('辅助-汇总损益长表'!$G$2:$G$242,'辅助-汇总损益长表'!$A$2:$A$242,"管理费用",'辅助-汇总损益长表'!$B$2:$B$242,BO$2)</f>
        <v>0</v>
      </c>
      <c r="BP44" s="100">
        <f>SUMIFS('辅助-汇总损益长表'!$G$2:$G$242,'辅助-汇总损益长表'!$A$2:$A$242,"管理费用",'辅助-汇总损益长表'!$B$2:$B$242,BP$2)</f>
        <v>0</v>
      </c>
      <c r="BQ44" s="100">
        <f>SUMIFS('辅助-汇总损益长表'!$G$2:$G$242,'辅助-汇总损益长表'!$A$2:$A$242,"管理费用",'辅助-汇总损益长表'!$B$2:$B$242,BQ$2)</f>
        <v>0</v>
      </c>
      <c r="BR44" s="100">
        <f>SUMIFS('辅助-汇总损益长表'!$G$2:$G$242,'辅助-汇总损益长表'!$A$2:$A$242,"管理费用",'辅助-汇总损益长表'!$B$2:$B$242,BR$2)</f>
        <v>0</v>
      </c>
      <c r="BS44" s="100">
        <f>SUMIFS('辅助-汇总损益长表'!$G$2:$G$242,'辅助-汇总损益长表'!$A$2:$A$242,"管理费用",'辅助-汇总损益长表'!$B$2:$B$242,BS$2)</f>
        <v>0</v>
      </c>
      <c r="BT44" s="100">
        <f>SUMIFS('辅助-汇总损益长表'!$G$2:$G$242,'辅助-汇总损益长表'!$A$2:$A$242,"管理费用",'辅助-汇总损益长表'!$B$2:$B$242,BT$2)</f>
        <v>0</v>
      </c>
      <c r="BU44" s="100">
        <f>SUMIFS('辅助-汇总损益长表'!$G$2:$G$242,'辅助-汇总损益长表'!$A$2:$A$242,"管理费用",'辅助-汇总损益长表'!$B$2:$B$242,BU$2)</f>
        <v>0</v>
      </c>
      <c r="BV44" s="100">
        <f>SUMIFS('辅助-汇总损益长表'!$G$2:$G$242,'辅助-汇总损益长表'!$A$2:$A$242,"管理费用",'辅助-汇总损益长表'!$B$2:$B$242,BV$2)</f>
        <v>0</v>
      </c>
      <c r="BW44" s="100">
        <f>SUMIFS('辅助-汇总损益长表'!$G$2:$G$242,'辅助-汇总损益长表'!$A$2:$A$242,"管理费用",'辅助-汇总损益长表'!$B$2:$B$242,BW$2)</f>
        <v>0</v>
      </c>
      <c r="BX44" s="100">
        <f>SUMIFS('辅助-汇总损益长表'!$G$2:$G$242,'辅助-汇总损益长表'!$A$2:$A$242,"管理费用",'辅助-汇总损益长表'!$B$2:$B$242,BX$2)</f>
        <v>0</v>
      </c>
      <c r="BY44" s="100">
        <f>SUMIFS('辅助-汇总损益长表'!$G$2:$G$242,'辅助-汇总损益长表'!$A$2:$A$242,"管理费用",'辅助-汇总损益长表'!$B$2:$B$242,BY$2)</f>
        <v>0</v>
      </c>
      <c r="BZ44" s="78">
        <f>SUMIFS('辅助-汇总损益长表'!$G$2:$G$242,'辅助-汇总损益长表'!$A$2:$A$242,"管理费用",'辅助-汇总损益长表'!$B$2:$B$242,BZ$2)</f>
        <v>0</v>
      </c>
      <c r="CA44" s="78">
        <f>SUMIFS('辅助-汇总损益长表'!$G$2:$G$242,'辅助-汇总损益长表'!$A$2:$A$242,"管理费用",'辅助-汇总损益长表'!$B$2:$B$242,CA$2)</f>
        <v>0</v>
      </c>
      <c r="CB44" s="97"/>
      <c r="CC44" s="100">
        <f>SUMIFS('辅助-汇总损益长表'!$H$2:$H$242,'辅助-汇总损益长表'!$A$2:$A$242,"管理费用",'辅助-汇总损益长表'!$B$2:$B$242,CC$2)</f>
        <v>0</v>
      </c>
      <c r="CD44" s="100">
        <f>SUMIFS('辅助-汇总损益长表'!$H$2:$H$242,'辅助-汇总损益长表'!$A$2:$A$242,"管理费用",'辅助-汇总损益长表'!$B$2:$B$242,CD$2)</f>
        <v>0</v>
      </c>
      <c r="CE44" s="100">
        <f>SUMIFS('辅助-汇总损益长表'!$H$2:$H$242,'辅助-汇总损益长表'!$A$2:$A$242,"管理费用",'辅助-汇总损益长表'!$B$2:$B$242,CE$2)</f>
        <v>0</v>
      </c>
      <c r="CF44" s="100">
        <f>SUMIFS('辅助-汇总损益长表'!$H$2:$H$242,'辅助-汇总损益长表'!$A$2:$A$242,"管理费用",'辅助-汇总损益长表'!$B$2:$B$242,CF$2)</f>
        <v>0</v>
      </c>
      <c r="CG44" s="100">
        <f>SUMIFS('辅助-汇总损益长表'!$H$2:$H$242,'辅助-汇总损益长表'!$A$2:$A$242,"管理费用",'辅助-汇总损益长表'!$B$2:$B$242,CG$2)</f>
        <v>0</v>
      </c>
      <c r="CH44" s="100">
        <f>SUMIFS('辅助-汇总损益长表'!$H$2:$H$242,'辅助-汇总损益长表'!$A$2:$A$242,"管理费用",'辅助-汇总损益长表'!$B$2:$B$242,CH$2)</f>
        <v>0</v>
      </c>
      <c r="CI44" s="100">
        <f>SUMIFS('辅助-汇总损益长表'!$H$2:$H$242,'辅助-汇总损益长表'!$A$2:$A$242,"管理费用",'辅助-汇总损益长表'!$B$2:$B$242,CI$2)</f>
        <v>0</v>
      </c>
      <c r="CJ44" s="100">
        <f>SUMIFS('辅助-汇总损益长表'!$H$2:$H$242,'辅助-汇总损益长表'!$A$2:$A$242,"管理费用",'辅助-汇总损益长表'!$B$2:$B$242,CJ$2)</f>
        <v>0</v>
      </c>
      <c r="CK44" s="100">
        <f>SUMIFS('辅助-汇总损益长表'!$H$2:$H$242,'辅助-汇总损益长表'!$A$2:$A$242,"管理费用",'辅助-汇总损益长表'!$B$2:$B$242,CK$2)</f>
        <v>0</v>
      </c>
      <c r="CL44" s="100">
        <f>SUMIFS('辅助-汇总损益长表'!$H$2:$H$242,'辅助-汇总损益长表'!$A$2:$A$242,"管理费用",'辅助-汇总损益长表'!$B$2:$B$242,CL$2)</f>
        <v>0</v>
      </c>
      <c r="CM44" s="100">
        <f>SUMIFS('辅助-汇总损益长表'!$H$2:$H$242,'辅助-汇总损益长表'!$A$2:$A$242,"管理费用",'辅助-汇总损益长表'!$B$2:$B$242,CM$2)</f>
        <v>0</v>
      </c>
      <c r="CN44" s="100">
        <f>SUMIFS('辅助-汇总损益长表'!$H$2:$H$242,'辅助-汇总损益长表'!$A$2:$A$242,"管理费用",'辅助-汇总损益长表'!$B$2:$B$242,CN$2)</f>
        <v>0</v>
      </c>
      <c r="CO44" s="78">
        <f>SUMIFS('辅助-汇总损益长表'!$H$2:$H$242,'辅助-汇总损益长表'!$A$2:$A$242,"管理费用",'辅助-汇总损益长表'!$B$2:$B$242,CO$2)</f>
        <v>0</v>
      </c>
      <c r="CP44" s="78">
        <f>SUMIFS('辅助-汇总损益长表'!$H$2:$H$242,'辅助-汇总损益长表'!$A$2:$A$242,"管理费用",'辅助-汇总损益长表'!$B$2:$B$242,CP$2)</f>
        <v>0</v>
      </c>
      <c r="CQ44" s="97"/>
      <c r="CR44" s="100">
        <f>SUMIFS('辅助-汇总损益长表'!$I$2:$I$242,'辅助-汇总损益长表'!$A$2:$A$242,"管理费用",'辅助-汇总损益长表'!$B$2:$B$242,CR$2)</f>
        <v>0</v>
      </c>
      <c r="CS44" s="100">
        <f>SUMIFS('辅助-汇总损益长表'!$I$2:$I$242,'辅助-汇总损益长表'!$A$2:$A$242,"管理费用",'辅助-汇总损益长表'!$B$2:$B$242,CS$2)</f>
        <v>0</v>
      </c>
      <c r="CT44" s="100">
        <f>SUMIFS('辅助-汇总损益长表'!$I$2:$I$242,'辅助-汇总损益长表'!$A$2:$A$242,"管理费用",'辅助-汇总损益长表'!$B$2:$B$242,CT$2)</f>
        <v>0</v>
      </c>
      <c r="CU44" s="100">
        <f>SUMIFS('辅助-汇总损益长表'!$I$2:$I$242,'辅助-汇总损益长表'!$A$2:$A$242,"管理费用",'辅助-汇总损益长表'!$B$2:$B$242,CU$2)</f>
        <v>0</v>
      </c>
      <c r="CV44" s="100">
        <f>SUMIFS('辅助-汇总损益长表'!$I$2:$I$242,'辅助-汇总损益长表'!$A$2:$A$242,"管理费用",'辅助-汇总损益长表'!$B$2:$B$242,CV$2)</f>
        <v>0</v>
      </c>
      <c r="CW44" s="100">
        <f>SUMIFS('辅助-汇总损益长表'!$I$2:$I$242,'辅助-汇总损益长表'!$A$2:$A$242,"管理费用",'辅助-汇总损益长表'!$B$2:$B$242,CW$2)</f>
        <v>0</v>
      </c>
      <c r="CX44" s="100">
        <f>SUMIFS('辅助-汇总损益长表'!$I$2:$I$242,'辅助-汇总损益长表'!$A$2:$A$242,"管理费用",'辅助-汇总损益长表'!$B$2:$B$242,CX$2)</f>
        <v>0</v>
      </c>
      <c r="CY44" s="100">
        <f>SUMIFS('辅助-汇总损益长表'!$I$2:$I$242,'辅助-汇总损益长表'!$A$2:$A$242,"管理费用",'辅助-汇总损益长表'!$B$2:$B$242,CY$2)</f>
        <v>0</v>
      </c>
      <c r="CZ44" s="100">
        <f>SUMIFS('辅助-汇总损益长表'!$I$2:$I$242,'辅助-汇总损益长表'!$A$2:$A$242,"管理费用",'辅助-汇总损益长表'!$B$2:$B$242,CZ$2)</f>
        <v>0</v>
      </c>
      <c r="DA44" s="100">
        <f>SUMIFS('辅助-汇总损益长表'!$I$2:$I$242,'辅助-汇总损益长表'!$A$2:$A$242,"管理费用",'辅助-汇总损益长表'!$B$2:$B$242,DA$2)</f>
        <v>0</v>
      </c>
      <c r="DB44" s="100">
        <f>SUMIFS('辅助-汇总损益长表'!$I$2:$I$242,'辅助-汇总损益长表'!$A$2:$A$242,"管理费用",'辅助-汇总损益长表'!$B$2:$B$242,DB$2)</f>
        <v>0</v>
      </c>
      <c r="DC44" s="100">
        <f>SUMIFS('辅助-汇总损益长表'!$I$2:$I$242,'辅助-汇总损益长表'!$A$2:$A$242,"管理费用",'辅助-汇总损益长表'!$B$2:$B$242,DC$2)</f>
        <v>0</v>
      </c>
      <c r="DD44" s="78">
        <f>SUMIFS('辅助-汇总损益长表'!$I$2:$I$242,'辅助-汇总损益长表'!$A$2:$A$242,"管理费用",'辅助-汇总损益长表'!$B$2:$B$242,DD$2)</f>
        <v>0</v>
      </c>
      <c r="DE44" s="78">
        <f>SUMIFS('辅助-汇总损益长表'!$I$2:$I$242,'辅助-汇总损益长表'!$A$2:$A$242,"管理费用",'辅助-汇总损益长表'!$B$2:$B$242,DE$2)</f>
        <v>0</v>
      </c>
      <c r="DF44" s="97"/>
      <c r="DG44" s="100">
        <f>SUMIFS('辅助-汇总损益长表'!$J$2:$J$242,'辅助-汇总损益长表'!$A$2:$A$242,"管理费用",'辅助-汇总损益长表'!$B$2:$B$242,DG$2)</f>
        <v>0</v>
      </c>
      <c r="DH44" s="100">
        <f>SUMIFS('辅助-汇总损益长表'!$J$2:$J$242,'辅助-汇总损益长表'!$A$2:$A$242,"管理费用",'辅助-汇总损益长表'!$B$2:$B$242,DH$2)</f>
        <v>0</v>
      </c>
      <c r="DI44" s="100">
        <f>SUMIFS('辅助-汇总损益长表'!$J$2:$J$242,'辅助-汇总损益长表'!$A$2:$A$242,"管理费用",'辅助-汇总损益长表'!$B$2:$B$242,DI$2)</f>
        <v>0</v>
      </c>
      <c r="DJ44" s="100">
        <f>SUMIFS('辅助-汇总损益长表'!$J$2:$J$242,'辅助-汇总损益长表'!$A$2:$A$242,"管理费用",'辅助-汇总损益长表'!$B$2:$B$242,DJ$2)</f>
        <v>0</v>
      </c>
      <c r="DK44" s="100">
        <f>SUMIFS('辅助-汇总损益长表'!$J$2:$J$242,'辅助-汇总损益长表'!$A$2:$A$242,"管理费用",'辅助-汇总损益长表'!$B$2:$B$242,DK$2)</f>
        <v>0</v>
      </c>
      <c r="DL44" s="100">
        <f>SUMIFS('辅助-汇总损益长表'!$J$2:$J$242,'辅助-汇总损益长表'!$A$2:$A$242,"管理费用",'辅助-汇总损益长表'!$B$2:$B$242,DL$2)</f>
        <v>0</v>
      </c>
      <c r="DM44" s="100">
        <f>SUMIFS('辅助-汇总损益长表'!$J$2:$J$242,'辅助-汇总损益长表'!$A$2:$A$242,"管理费用",'辅助-汇总损益长表'!$B$2:$B$242,DM$2)</f>
        <v>0</v>
      </c>
      <c r="DN44" s="100">
        <f>SUMIFS('辅助-汇总损益长表'!$J$2:$J$242,'辅助-汇总损益长表'!$A$2:$A$242,"管理费用",'辅助-汇总损益长表'!$B$2:$B$242,DN$2)</f>
        <v>0</v>
      </c>
      <c r="DO44" s="100">
        <f>SUMIFS('辅助-汇总损益长表'!$J$2:$J$242,'辅助-汇总损益长表'!$A$2:$A$242,"管理费用",'辅助-汇总损益长表'!$B$2:$B$242,DO$2)</f>
        <v>0</v>
      </c>
      <c r="DP44" s="100">
        <f>SUMIFS('辅助-汇总损益长表'!$J$2:$J$242,'辅助-汇总损益长表'!$A$2:$A$242,"管理费用",'辅助-汇总损益长表'!$B$2:$B$242,DP$2)</f>
        <v>0</v>
      </c>
      <c r="DQ44" s="100">
        <f>SUMIFS('辅助-汇总损益长表'!$J$2:$J$242,'辅助-汇总损益长表'!$A$2:$A$242,"管理费用",'辅助-汇总损益长表'!$B$2:$B$242,DQ$2)</f>
        <v>0</v>
      </c>
      <c r="DR44" s="100">
        <f>SUMIFS('辅助-汇总损益长表'!$J$2:$J$242,'辅助-汇总损益长表'!$A$2:$A$242,"管理费用",'辅助-汇总损益长表'!$B$2:$B$242,DR$2)</f>
        <v>0</v>
      </c>
      <c r="DS44" s="78">
        <f>SUMIFS('辅助-汇总损益长表'!$J$2:$J$242,'辅助-汇总损益长表'!$A$2:$A$242,"管理费用",'辅助-汇总损益长表'!$B$2:$B$242,DS$2)</f>
        <v>0</v>
      </c>
      <c r="DT44" s="78">
        <f>SUMIFS('辅助-汇总损益长表'!$J$2:$J$242,'辅助-汇总损益长表'!$A$2:$A$242,"管理费用",'辅助-汇总损益长表'!$B$2:$B$242,DT$2)</f>
        <v>0</v>
      </c>
      <c r="DU44" s="97"/>
      <c r="DV44" s="100">
        <f>SUMIFS('辅助-汇总损益长表'!$K$2:$K$242,'辅助-汇总损益长表'!$A$2:$A$242,"管理费用",'辅助-汇总损益长表'!$B$2:$B$242,DV$2)</f>
        <v>0</v>
      </c>
      <c r="DW44" s="100">
        <f>SUMIFS('辅助-汇总损益长表'!$K$2:$K$242,'辅助-汇总损益长表'!$A$2:$A$242,"管理费用",'辅助-汇总损益长表'!$B$2:$B$242,DW$2)</f>
        <v>0</v>
      </c>
      <c r="DX44" s="100">
        <f>SUMIFS('辅助-汇总损益长表'!$K$2:$K$242,'辅助-汇总损益长表'!$A$2:$A$242,"管理费用",'辅助-汇总损益长表'!$B$2:$B$242,DX$2)</f>
        <v>0</v>
      </c>
      <c r="DY44" s="100">
        <f>SUMIFS('辅助-汇总损益长表'!$K$2:$K$242,'辅助-汇总损益长表'!$A$2:$A$242,"管理费用",'辅助-汇总损益长表'!$B$2:$B$242,DY$2)</f>
        <v>0</v>
      </c>
      <c r="DZ44" s="100">
        <f>SUMIFS('辅助-汇总损益长表'!$K$2:$K$242,'辅助-汇总损益长表'!$A$2:$A$242,"管理费用",'辅助-汇总损益长表'!$B$2:$B$242,DZ$2)</f>
        <v>0</v>
      </c>
      <c r="EA44" s="100">
        <f>SUMIFS('辅助-汇总损益长表'!$K$2:$K$242,'辅助-汇总损益长表'!$A$2:$A$242,"管理费用",'辅助-汇总损益长表'!$B$2:$B$242,EA$2)</f>
        <v>0</v>
      </c>
      <c r="EB44" s="100">
        <f>SUMIFS('辅助-汇总损益长表'!$K$2:$K$242,'辅助-汇总损益长表'!$A$2:$A$242,"管理费用",'辅助-汇总损益长表'!$B$2:$B$242,EB$2)</f>
        <v>0</v>
      </c>
      <c r="EC44" s="100">
        <f>SUMIFS('辅助-汇总损益长表'!$K$2:$K$242,'辅助-汇总损益长表'!$A$2:$A$242,"管理费用",'辅助-汇总损益长表'!$B$2:$B$242,EC$2)</f>
        <v>0</v>
      </c>
      <c r="ED44" s="100">
        <f>SUMIFS('辅助-汇总损益长表'!$K$2:$K$242,'辅助-汇总损益长表'!$A$2:$A$242,"管理费用",'辅助-汇总损益长表'!$B$2:$B$242,ED$2)</f>
        <v>0</v>
      </c>
      <c r="EE44" s="100">
        <f>SUMIFS('辅助-汇总损益长表'!$K$2:$K$242,'辅助-汇总损益长表'!$A$2:$A$242,"管理费用",'辅助-汇总损益长表'!$B$2:$B$242,EE$2)</f>
        <v>0</v>
      </c>
      <c r="EF44" s="100">
        <f>SUMIFS('辅助-汇总损益长表'!$K$2:$K$242,'辅助-汇总损益长表'!$A$2:$A$242,"管理费用",'辅助-汇总损益长表'!$B$2:$B$242,EF$2)</f>
        <v>0</v>
      </c>
      <c r="EG44" s="100">
        <f>SUMIFS('辅助-汇总损益长表'!$K$2:$K$242,'辅助-汇总损益长表'!$A$2:$A$242,"管理费用",'辅助-汇总损益长表'!$B$2:$B$242,EG$2)</f>
        <v>0</v>
      </c>
      <c r="EH44" s="78">
        <f>SUMIFS('辅助-汇总损益长表'!$K$2:$K$242,'辅助-汇总损益长表'!$A$2:$A$242,"管理费用",'辅助-汇总损益长表'!$B$2:$B$242,EH$2)</f>
        <v>0</v>
      </c>
      <c r="EI44" s="78">
        <f>SUMIFS('辅助-汇总损益长表'!$K$2:$K$242,'辅助-汇总损益长表'!$A$2:$A$242,"管理费用",'辅助-汇总损益长表'!$B$2:$B$242,EI$2)</f>
        <v>0</v>
      </c>
      <c r="EJ44" s="42"/>
      <c r="EK44" s="100">
        <f>SUMIFS('辅助-汇总损益长表'!$L$2:$L$242,'辅助-汇总损益长表'!$A$2:$A$242,"管理费用",'辅助-汇总损益长表'!$B$2:$B$242,EK$2)</f>
        <v>0</v>
      </c>
      <c r="EL44" s="100">
        <f>SUMIFS('辅助-汇总损益长表'!$L$2:$L$242,'辅助-汇总损益长表'!$A$2:$A$242,"管理费用",'辅助-汇总损益长表'!$B$2:$B$242,EL$2)</f>
        <v>0</v>
      </c>
      <c r="EM44" s="100">
        <f>SUMIFS('辅助-汇总损益长表'!$L$2:$L$242,'辅助-汇总损益长表'!$A$2:$A$242,"管理费用",'辅助-汇总损益长表'!$B$2:$B$242,EM$2)</f>
        <v>0</v>
      </c>
      <c r="EN44" s="100">
        <f>SUMIFS('辅助-汇总损益长表'!$L$2:$L$242,'辅助-汇总损益长表'!$A$2:$A$242,"管理费用",'辅助-汇总损益长表'!$B$2:$B$242,EN$2)</f>
        <v>0</v>
      </c>
      <c r="EO44" s="100">
        <f>SUMIFS('辅助-汇总损益长表'!$L$2:$L$242,'辅助-汇总损益长表'!$A$2:$A$242,"管理费用",'辅助-汇总损益长表'!$B$2:$B$242,EO$2)</f>
        <v>0</v>
      </c>
      <c r="EP44" s="100">
        <f>SUMIFS('辅助-汇总损益长表'!$L$2:$L$242,'辅助-汇总损益长表'!$A$2:$A$242,"管理费用",'辅助-汇总损益长表'!$B$2:$B$242,EP$2)</f>
        <v>0</v>
      </c>
      <c r="EQ44" s="100">
        <f>SUMIFS('辅助-汇总损益长表'!$L$2:$L$242,'辅助-汇总损益长表'!$A$2:$A$242,"管理费用",'辅助-汇总损益长表'!$B$2:$B$242,EQ$2)</f>
        <v>0</v>
      </c>
      <c r="ER44" s="100">
        <f>SUMIFS('辅助-汇总损益长表'!$L$2:$L$242,'辅助-汇总损益长表'!$A$2:$A$242,"管理费用",'辅助-汇总损益长表'!$B$2:$B$242,ER$2)</f>
        <v>0</v>
      </c>
      <c r="ES44" s="100">
        <f>SUMIFS('辅助-汇总损益长表'!$L$2:$L$242,'辅助-汇总损益长表'!$A$2:$A$242,"管理费用",'辅助-汇总损益长表'!$B$2:$B$242,ES$2)</f>
        <v>0</v>
      </c>
      <c r="ET44" s="100">
        <f>SUMIFS('辅助-汇总损益长表'!$L$2:$L$242,'辅助-汇总损益长表'!$A$2:$A$242,"管理费用",'辅助-汇总损益长表'!$B$2:$B$242,ET$2)</f>
        <v>0</v>
      </c>
      <c r="EU44" s="100">
        <f>SUMIFS('辅助-汇总损益长表'!$L$2:$L$242,'辅助-汇总损益长表'!$A$2:$A$242,"管理费用",'辅助-汇总损益长表'!$B$2:$B$242,EU$2)</f>
        <v>0</v>
      </c>
      <c r="EV44" s="100">
        <f>SUMIFS('辅助-汇总损益长表'!$L$2:$L$242,'辅助-汇总损益长表'!$A$2:$A$242,"管理费用",'辅助-汇总损益长表'!$B$2:$B$242,EV$2)</f>
        <v>0</v>
      </c>
      <c r="EW44" s="78">
        <f>SUMIFS('辅助-汇总损益长表'!$L$2:$L$242,'辅助-汇总损益长表'!$A$2:$A$242,"管理费用",'辅助-汇总损益长表'!$B$2:$B$242,EW$2)</f>
        <v>0</v>
      </c>
      <c r="EX44" s="78">
        <f>SUMIFS('辅助-汇总损益长表'!$L$2:$L$242,'辅助-汇总损益长表'!$A$2:$A$242,"管理费用",'辅助-汇总损益长表'!$B$2:$B$242,EX$2)</f>
        <v>0</v>
      </c>
      <c r="EY44" s="11"/>
    </row>
    <row r="45" spans="1:155" s="8" customFormat="1" ht="16" customHeight="1">
      <c r="A45" s="80"/>
      <c r="B45" s="81" t="s">
        <v>89</v>
      </c>
      <c r="C45" s="80"/>
      <c r="D45" s="80"/>
      <c r="E45" s="80"/>
      <c r="F45" s="82">
        <f>SUMIFS('辅助-汇总损益长表'!$C$2:$C$242,'辅助-汇总损益长表'!$A$2:$A$242,"管理费用率",'辅助-汇总损益长表'!$B$2:$B$242,F$2)</f>
        <v>3.0351155820623543E-2</v>
      </c>
      <c r="G45" s="82">
        <f>SUMIFS('辅助-汇总损益长表'!$C$2:$C$242,'辅助-汇总损益长表'!$A$2:$A$242,"管理费用率",'辅助-汇总损益长表'!$B$2:$B$242,G$2)</f>
        <v>4.0145632538176851E-2</v>
      </c>
      <c r="H45" s="82">
        <f>SUMIFS('辅助-汇总损益长表'!$C$2:$C$242,'辅助-汇总损益长表'!$A$2:$A$242,"管理费用率",'辅助-汇总损益长表'!$B$2:$B$242,H$2)</f>
        <v>2.9448587363372851E-2</v>
      </c>
      <c r="I45" s="82">
        <f>SUMIFS('辅助-汇总损益长表'!$C$2:$C$242,'辅助-汇总损益长表'!$A$2:$A$242,"管理费用率",'辅助-汇总损益长表'!$B$2:$B$242,I$2)</f>
        <v>3.4267821479262169E-2</v>
      </c>
      <c r="J45" s="82">
        <f>SUMIFS('辅助-汇总损益长表'!$C$2:$C$242,'辅助-汇总损益长表'!$A$2:$A$242,"管理费用率",'辅助-汇总损益长表'!$B$2:$B$242,J$2)</f>
        <v>2.9492867209148687E-2</v>
      </c>
      <c r="K45" s="82">
        <f>SUMIFS('辅助-汇总损益长表'!$C$2:$C$242,'辅助-汇总损益长表'!$A$2:$A$242,"管理费用率",'辅助-汇总损益长表'!$B$2:$B$242,K$2)</f>
        <v>2.7252498959618239E-2</v>
      </c>
      <c r="L45" s="82">
        <f>SUMIFS('辅助-汇总损益长表'!$C$2:$C$242,'辅助-汇总损益长表'!$A$2:$A$242,"管理费用率",'辅助-汇总损益长表'!$B$2:$B$242,L$2)</f>
        <v>3.6634818079722992E-2</v>
      </c>
      <c r="M45" s="82">
        <f>SUMIFS('辅助-汇总损益长表'!$C$2:$C$242,'辅助-汇总损益长表'!$A$2:$A$242,"管理费用率",'辅助-汇总损益长表'!$B$2:$B$242,M$2)</f>
        <v>3.1359475399738976E-2</v>
      </c>
      <c r="N45" s="82">
        <f>SUMIFS('辅助-汇总损益长表'!$C$2:$C$242,'辅助-汇总损益长表'!$A$2:$A$242,"管理费用率",'辅助-汇总损益长表'!$B$2:$B$242,N$2)</f>
        <v>2.7178322572990469E-2</v>
      </c>
      <c r="O45" s="82">
        <f>SUMIFS('辅助-汇总损益长表'!$C$2:$C$242,'辅助-汇总损益长表'!$A$2:$A$242,"管理费用率",'辅助-汇总损益长表'!$B$2:$B$242,O$2)</f>
        <v>2.6029984005232567E-2</v>
      </c>
      <c r="P45" s="82">
        <f>SUMIFS('辅助-汇总损益长表'!$C$2:$C$242,'辅助-汇总损益长表'!$A$2:$A$242,"管理费用率",'辅助-汇总损益长表'!$B$2:$B$242,P$2)</f>
        <v>2.3397827617331883E-2</v>
      </c>
      <c r="Q45" s="82">
        <f>SUMIFS('辅助-汇总损益长表'!$C$2:$C$242,'辅助-汇总损益长表'!$A$2:$A$242,"管理费用率",'辅助-汇总损益长表'!$B$2:$B$242,Q$2)</f>
        <v>2.4237289491922352E-2</v>
      </c>
      <c r="R45" s="83">
        <f>SUMIFS('辅助-汇总损益长表'!$C$2:$C$242,'辅助-汇总损益长表'!$A$2:$A$242,"管理费用率",'辅助-汇总损益长表'!$B$2:$B$242,R$2)</f>
        <v>2.8918779531411431E-2</v>
      </c>
      <c r="S45" s="83">
        <f>SUMIFS('辅助-汇总损益长表'!$C$2:$C$242,'辅助-汇总损益长表'!$A$2:$A$242,"管理费用率",'辅助-汇总损益长表'!$B$2:$B$242,S$2)</f>
        <v>2.7117897920893509E-2</v>
      </c>
      <c r="T45" s="84"/>
      <c r="U45" s="82">
        <f>SUMIFS('辅助-汇总损益长表'!$D$2:$D$242,'辅助-汇总损益长表'!$A$2:$A$242,"管理费用率",'辅助-汇总损益长表'!$B$2:$B$242,U$2)</f>
        <v>0</v>
      </c>
      <c r="V45" s="82">
        <f>SUMIFS('辅助-汇总损益长表'!$D$2:$D$242,'辅助-汇总损益长表'!$A$2:$A$242,"管理费用率",'辅助-汇总损益长表'!$B$2:$B$242,V$2)</f>
        <v>0</v>
      </c>
      <c r="W45" s="82">
        <f>SUMIFS('辅助-汇总损益长表'!$D$2:$D$242,'辅助-汇总损益长表'!$A$2:$A$242,"管理费用率",'辅助-汇总损益长表'!$B$2:$B$242,W$2)</f>
        <v>0</v>
      </c>
      <c r="X45" s="82">
        <f>SUMIFS('辅助-汇总损益长表'!$D$2:$D$242,'辅助-汇总损益长表'!$A$2:$A$242,"管理费用率",'辅助-汇总损益长表'!$B$2:$B$242,X$2)</f>
        <v>0</v>
      </c>
      <c r="Y45" s="82">
        <f>SUMIFS('辅助-汇总损益长表'!$D$2:$D$242,'辅助-汇总损益长表'!$A$2:$A$242,"管理费用率",'辅助-汇总损益长表'!$B$2:$B$242,Y$2)</f>
        <v>0</v>
      </c>
      <c r="Z45" s="82">
        <f>SUMIFS('辅助-汇总损益长表'!$D$2:$D$242,'辅助-汇总损益长表'!$A$2:$A$242,"管理费用率",'辅助-汇总损益长表'!$B$2:$B$242,Z$2)</f>
        <v>0</v>
      </c>
      <c r="AA45" s="82">
        <f>SUMIFS('辅助-汇总损益长表'!$D$2:$D$242,'辅助-汇总损益长表'!$A$2:$A$242,"管理费用率",'辅助-汇总损益长表'!$B$2:$B$242,AA$2)</f>
        <v>0</v>
      </c>
      <c r="AB45" s="82">
        <f>SUMIFS('辅助-汇总损益长表'!$D$2:$D$242,'辅助-汇总损益长表'!$A$2:$A$242,"管理费用率",'辅助-汇总损益长表'!$B$2:$B$242,AB$2)</f>
        <v>0</v>
      </c>
      <c r="AC45" s="82">
        <f>SUMIFS('辅助-汇总损益长表'!$D$2:$D$242,'辅助-汇总损益长表'!$A$2:$A$242,"管理费用率",'辅助-汇总损益长表'!$B$2:$B$242,AC$2)</f>
        <v>0</v>
      </c>
      <c r="AD45" s="82">
        <f>SUMIFS('辅助-汇总损益长表'!$D$2:$D$242,'辅助-汇总损益长表'!$A$2:$A$242,"管理费用率",'辅助-汇总损益长表'!$B$2:$B$242,AD$2)</f>
        <v>0</v>
      </c>
      <c r="AE45" s="82">
        <f>SUMIFS('辅助-汇总损益长表'!$D$2:$D$242,'辅助-汇总损益长表'!$A$2:$A$242,"管理费用率",'辅助-汇总损益长表'!$B$2:$B$242,AE$2)</f>
        <v>0</v>
      </c>
      <c r="AF45" s="82">
        <f>SUMIFS('辅助-汇总损益长表'!$D$2:$D$242,'辅助-汇总损益长表'!$A$2:$A$242,"管理费用率",'辅助-汇总损益长表'!$B$2:$B$242,AF$2)</f>
        <v>0</v>
      </c>
      <c r="AG45" s="83">
        <f>SUMIFS('辅助-汇总损益长表'!$D$2:$D$242,'辅助-汇总损益长表'!$A$2:$A$242,"管理费用率",'辅助-汇总损益长表'!$B$2:$B$242,AG$2)</f>
        <v>0</v>
      </c>
      <c r="AH45" s="83">
        <f>SUMIFS('辅助-汇总损益长表'!$D$2:$D$242,'辅助-汇总损益长表'!$A$2:$A$242,"管理费用率",'辅助-汇总损益长表'!$B$2:$B$242,AH$2)</f>
        <v>0</v>
      </c>
      <c r="AI45" s="84"/>
      <c r="AJ45" s="82">
        <f>SUMIFS('辅助-汇总损益长表'!$E$2:$E$242,'辅助-汇总损益长表'!$A$2:$A$242,"管理费用率",'辅助-汇总损益长表'!$B$2:$B$242,AJ$2)</f>
        <v>0</v>
      </c>
      <c r="AK45" s="82">
        <f>SUMIFS('辅助-汇总损益长表'!$E$2:$E$242,'辅助-汇总损益长表'!$A$2:$A$242,"管理费用率",'辅助-汇总损益长表'!$B$2:$B$242,AK$2)</f>
        <v>0</v>
      </c>
      <c r="AL45" s="82">
        <f>SUMIFS('辅助-汇总损益长表'!$E$2:$E$242,'辅助-汇总损益长表'!$A$2:$A$242,"管理费用率",'辅助-汇总损益长表'!$B$2:$B$242,AL$2)</f>
        <v>0</v>
      </c>
      <c r="AM45" s="82">
        <f>SUMIFS('辅助-汇总损益长表'!$E$2:$E$242,'辅助-汇总损益长表'!$A$2:$A$242,"管理费用率",'辅助-汇总损益长表'!$B$2:$B$242,AM$2)</f>
        <v>0</v>
      </c>
      <c r="AN45" s="82">
        <f>SUMIFS('辅助-汇总损益长表'!$E$2:$E$242,'辅助-汇总损益长表'!$A$2:$A$242,"管理费用率",'辅助-汇总损益长表'!$B$2:$B$242,AN$2)</f>
        <v>0</v>
      </c>
      <c r="AO45" s="82">
        <f>SUMIFS('辅助-汇总损益长表'!$E$2:$E$242,'辅助-汇总损益长表'!$A$2:$A$242,"管理费用率",'辅助-汇总损益长表'!$B$2:$B$242,AO$2)</f>
        <v>0</v>
      </c>
      <c r="AP45" s="82">
        <f>SUMIFS('辅助-汇总损益长表'!$E$2:$E$242,'辅助-汇总损益长表'!$A$2:$A$242,"管理费用率",'辅助-汇总损益长表'!$B$2:$B$242,AP$2)</f>
        <v>0</v>
      </c>
      <c r="AQ45" s="82">
        <f>SUMIFS('辅助-汇总损益长表'!$E$2:$E$242,'辅助-汇总损益长表'!$A$2:$A$242,"管理费用率",'辅助-汇总损益长表'!$B$2:$B$242,AQ$2)</f>
        <v>0</v>
      </c>
      <c r="AR45" s="82">
        <f>SUMIFS('辅助-汇总损益长表'!$E$2:$E$242,'辅助-汇总损益长表'!$A$2:$A$242,"管理费用率",'辅助-汇总损益长表'!$B$2:$B$242,AR$2)</f>
        <v>0</v>
      </c>
      <c r="AS45" s="82">
        <f>SUMIFS('辅助-汇总损益长表'!$E$2:$E$242,'辅助-汇总损益长表'!$A$2:$A$242,"管理费用率",'辅助-汇总损益长表'!$B$2:$B$242,AS$2)</f>
        <v>0</v>
      </c>
      <c r="AT45" s="82">
        <f>SUMIFS('辅助-汇总损益长表'!$E$2:$E$242,'辅助-汇总损益长表'!$A$2:$A$242,"管理费用率",'辅助-汇总损益长表'!$B$2:$B$242,AT$2)</f>
        <v>0</v>
      </c>
      <c r="AU45" s="82">
        <f>SUMIFS('辅助-汇总损益长表'!$E$2:$E$242,'辅助-汇总损益长表'!$A$2:$A$242,"管理费用率",'辅助-汇总损益长表'!$B$2:$B$242,AU$2)</f>
        <v>0</v>
      </c>
      <c r="AV45" s="83">
        <f>SUMIFS('辅助-汇总损益长表'!$E$2:$E$242,'辅助-汇总损益长表'!$A$2:$A$242,"管理费用率",'辅助-汇总损益长表'!$B$2:$B$242,AV$2)</f>
        <v>0</v>
      </c>
      <c r="AW45" s="83">
        <f>SUMIFS('辅助-汇总损益长表'!$E$2:$E$242,'辅助-汇总损益长表'!$A$2:$A$242,"管理费用率",'辅助-汇总损益长表'!$B$2:$B$242,AW$2)</f>
        <v>0</v>
      </c>
      <c r="AX45" s="84"/>
      <c r="AY45" s="82">
        <f>SUMIFS('辅助-汇总损益长表'!$F$2:$F$242,'辅助-汇总损益长表'!$A$2:$A$242,"管理费用率",'辅助-汇总损益长表'!$B$2:$B$242,AY$2)</f>
        <v>0</v>
      </c>
      <c r="AZ45" s="82">
        <f>SUMIFS('辅助-汇总损益长表'!$F$2:$F$242,'辅助-汇总损益长表'!$A$2:$A$242,"管理费用率",'辅助-汇总损益长表'!$B$2:$B$242,AZ$2)</f>
        <v>0</v>
      </c>
      <c r="BA45" s="82">
        <f>SUMIFS('辅助-汇总损益长表'!$F$2:$F$242,'辅助-汇总损益长表'!$A$2:$A$242,"管理费用率",'辅助-汇总损益长表'!$B$2:$B$242,BA$2)</f>
        <v>0</v>
      </c>
      <c r="BB45" s="82">
        <f>SUMIFS('辅助-汇总损益长表'!$F$2:$F$242,'辅助-汇总损益长表'!$A$2:$A$242,"管理费用率",'辅助-汇总损益长表'!$B$2:$B$242,BB$2)</f>
        <v>0</v>
      </c>
      <c r="BC45" s="82">
        <f>SUMIFS('辅助-汇总损益长表'!$F$2:$F$242,'辅助-汇总损益长表'!$A$2:$A$242,"管理费用率",'辅助-汇总损益长表'!$B$2:$B$242,BC$2)</f>
        <v>0</v>
      </c>
      <c r="BD45" s="82">
        <f>SUMIFS('辅助-汇总损益长表'!$F$2:$F$242,'辅助-汇总损益长表'!$A$2:$A$242,"管理费用率",'辅助-汇总损益长表'!$B$2:$B$242,BD$2)</f>
        <v>0</v>
      </c>
      <c r="BE45" s="82">
        <f>SUMIFS('辅助-汇总损益长表'!$F$2:$F$242,'辅助-汇总损益长表'!$A$2:$A$242,"管理费用率",'辅助-汇总损益长表'!$B$2:$B$242,BE$2)</f>
        <v>0</v>
      </c>
      <c r="BF45" s="82">
        <f>SUMIFS('辅助-汇总损益长表'!$F$2:$F$242,'辅助-汇总损益长表'!$A$2:$A$242,"管理费用率",'辅助-汇总损益长表'!$B$2:$B$242,BF$2)</f>
        <v>0</v>
      </c>
      <c r="BG45" s="82">
        <f>SUMIFS('辅助-汇总损益长表'!$F$2:$F$242,'辅助-汇总损益长表'!$A$2:$A$242,"管理费用率",'辅助-汇总损益长表'!$B$2:$B$242,BG$2)</f>
        <v>0</v>
      </c>
      <c r="BH45" s="82">
        <f>SUMIFS('辅助-汇总损益长表'!$F$2:$F$242,'辅助-汇总损益长表'!$A$2:$A$242,"管理费用率",'辅助-汇总损益长表'!$B$2:$B$242,BH$2)</f>
        <v>0</v>
      </c>
      <c r="BI45" s="82">
        <f>SUMIFS('辅助-汇总损益长表'!$F$2:$F$242,'辅助-汇总损益长表'!$A$2:$A$242,"管理费用率",'辅助-汇总损益长表'!$B$2:$B$242,BI$2)</f>
        <v>0</v>
      </c>
      <c r="BJ45" s="82">
        <f>SUMIFS('辅助-汇总损益长表'!$F$2:$F$242,'辅助-汇总损益长表'!$A$2:$A$242,"管理费用率",'辅助-汇总损益长表'!$B$2:$B$242,BJ$2)</f>
        <v>0</v>
      </c>
      <c r="BK45" s="83">
        <f>SUMIFS('辅助-汇总损益长表'!$F$2:$F$242,'辅助-汇总损益长表'!$A$2:$A$242,"管理费用率",'辅助-汇总损益长表'!$B$2:$B$242,BK$2)</f>
        <v>0</v>
      </c>
      <c r="BL45" s="83">
        <f>SUMIFS('辅助-汇总损益长表'!$F$2:$F$242,'辅助-汇总损益长表'!$A$2:$A$242,"管理费用率",'辅助-汇总损益长表'!$B$2:$B$242,BL$2)</f>
        <v>0</v>
      </c>
      <c r="BM45" s="84"/>
      <c r="BN45" s="82">
        <f>SUMIFS('辅助-汇总损益长表'!$G$2:$G$242,'辅助-汇总损益长表'!$A$2:$A$242,"管理费用率",'辅助-汇总损益长表'!$B$2:$B$242,BN$2)</f>
        <v>0</v>
      </c>
      <c r="BO45" s="82">
        <f>SUMIFS('辅助-汇总损益长表'!$G$2:$G$242,'辅助-汇总损益长表'!$A$2:$A$242,"管理费用率",'辅助-汇总损益长表'!$B$2:$B$242,BO$2)</f>
        <v>0</v>
      </c>
      <c r="BP45" s="82">
        <f>SUMIFS('辅助-汇总损益长表'!$G$2:$G$242,'辅助-汇总损益长表'!$A$2:$A$242,"管理费用率",'辅助-汇总损益长表'!$B$2:$B$242,BP$2)</f>
        <v>0</v>
      </c>
      <c r="BQ45" s="82">
        <f>SUMIFS('辅助-汇总损益长表'!$G$2:$G$242,'辅助-汇总损益长表'!$A$2:$A$242,"管理费用率",'辅助-汇总损益长表'!$B$2:$B$242,BQ$2)</f>
        <v>0</v>
      </c>
      <c r="BR45" s="82">
        <f>SUMIFS('辅助-汇总损益长表'!$G$2:$G$242,'辅助-汇总损益长表'!$A$2:$A$242,"管理费用率",'辅助-汇总损益长表'!$B$2:$B$242,BR$2)</f>
        <v>0</v>
      </c>
      <c r="BS45" s="82">
        <f>SUMIFS('辅助-汇总损益长表'!$G$2:$G$242,'辅助-汇总损益长表'!$A$2:$A$242,"管理费用率",'辅助-汇总损益长表'!$B$2:$B$242,BS$2)</f>
        <v>0</v>
      </c>
      <c r="BT45" s="82">
        <f>SUMIFS('辅助-汇总损益长表'!$G$2:$G$242,'辅助-汇总损益长表'!$A$2:$A$242,"管理费用率",'辅助-汇总损益长表'!$B$2:$B$242,BT$2)</f>
        <v>0</v>
      </c>
      <c r="BU45" s="82">
        <f>SUMIFS('辅助-汇总损益长表'!$G$2:$G$242,'辅助-汇总损益长表'!$A$2:$A$242,"管理费用率",'辅助-汇总损益长表'!$B$2:$B$242,BU$2)</f>
        <v>0</v>
      </c>
      <c r="BV45" s="82">
        <f>SUMIFS('辅助-汇总损益长表'!$G$2:$G$242,'辅助-汇总损益长表'!$A$2:$A$242,"管理费用率",'辅助-汇总损益长表'!$B$2:$B$242,BV$2)</f>
        <v>0</v>
      </c>
      <c r="BW45" s="82">
        <f>SUMIFS('辅助-汇总损益长表'!$G$2:$G$242,'辅助-汇总损益长表'!$A$2:$A$242,"管理费用率",'辅助-汇总损益长表'!$B$2:$B$242,BW$2)</f>
        <v>0</v>
      </c>
      <c r="BX45" s="82">
        <f>SUMIFS('辅助-汇总损益长表'!$G$2:$G$242,'辅助-汇总损益长表'!$A$2:$A$242,"管理费用率",'辅助-汇总损益长表'!$B$2:$B$242,BX$2)</f>
        <v>0</v>
      </c>
      <c r="BY45" s="82">
        <f>SUMIFS('辅助-汇总损益长表'!$G$2:$G$242,'辅助-汇总损益长表'!$A$2:$A$242,"管理费用率",'辅助-汇总损益长表'!$B$2:$B$242,BY$2)</f>
        <v>0</v>
      </c>
      <c r="BZ45" s="83">
        <f>SUMIFS('辅助-汇总损益长表'!$G$2:$G$242,'辅助-汇总损益长表'!$A$2:$A$242,"管理费用率",'辅助-汇总损益长表'!$B$2:$B$242,BZ$2)</f>
        <v>0</v>
      </c>
      <c r="CA45" s="83">
        <f>SUMIFS('辅助-汇总损益长表'!$G$2:$G$242,'辅助-汇总损益长表'!$A$2:$A$242,"管理费用率",'辅助-汇总损益长表'!$B$2:$B$242,CA$2)</f>
        <v>0</v>
      </c>
      <c r="CB45" s="84"/>
      <c r="CC45" s="82">
        <f>SUMIFS('辅助-汇总损益长表'!$H$2:$H$242,'辅助-汇总损益长表'!$A$2:$A$242,"管理费用率",'辅助-汇总损益长表'!$B$2:$B$242,CC$2)</f>
        <v>0</v>
      </c>
      <c r="CD45" s="82">
        <f>SUMIFS('辅助-汇总损益长表'!$H$2:$H$242,'辅助-汇总损益长表'!$A$2:$A$242,"管理费用率",'辅助-汇总损益长表'!$B$2:$B$242,CD$2)</f>
        <v>0</v>
      </c>
      <c r="CE45" s="82">
        <f>SUMIFS('辅助-汇总损益长表'!$H$2:$H$242,'辅助-汇总损益长表'!$A$2:$A$242,"管理费用率",'辅助-汇总损益长表'!$B$2:$B$242,CE$2)</f>
        <v>0</v>
      </c>
      <c r="CF45" s="82">
        <f>SUMIFS('辅助-汇总损益长表'!$H$2:$H$242,'辅助-汇总损益长表'!$A$2:$A$242,"管理费用率",'辅助-汇总损益长表'!$B$2:$B$242,CF$2)</f>
        <v>0</v>
      </c>
      <c r="CG45" s="82">
        <f>SUMIFS('辅助-汇总损益长表'!$H$2:$H$242,'辅助-汇总损益长表'!$A$2:$A$242,"管理费用率",'辅助-汇总损益长表'!$B$2:$B$242,CG$2)</f>
        <v>0</v>
      </c>
      <c r="CH45" s="82">
        <f>SUMIFS('辅助-汇总损益长表'!$H$2:$H$242,'辅助-汇总损益长表'!$A$2:$A$242,"管理费用率",'辅助-汇总损益长表'!$B$2:$B$242,CH$2)</f>
        <v>0</v>
      </c>
      <c r="CI45" s="82">
        <f>SUMIFS('辅助-汇总损益长表'!$H$2:$H$242,'辅助-汇总损益长表'!$A$2:$A$242,"管理费用率",'辅助-汇总损益长表'!$B$2:$B$242,CI$2)</f>
        <v>0</v>
      </c>
      <c r="CJ45" s="82">
        <f>SUMIFS('辅助-汇总损益长表'!$H$2:$H$242,'辅助-汇总损益长表'!$A$2:$A$242,"管理费用率",'辅助-汇总损益长表'!$B$2:$B$242,CJ$2)</f>
        <v>0</v>
      </c>
      <c r="CK45" s="82">
        <f>SUMIFS('辅助-汇总损益长表'!$H$2:$H$242,'辅助-汇总损益长表'!$A$2:$A$242,"管理费用率",'辅助-汇总损益长表'!$B$2:$B$242,CK$2)</f>
        <v>0</v>
      </c>
      <c r="CL45" s="82">
        <f>SUMIFS('辅助-汇总损益长表'!$H$2:$H$242,'辅助-汇总损益长表'!$A$2:$A$242,"管理费用率",'辅助-汇总损益长表'!$B$2:$B$242,CL$2)</f>
        <v>0</v>
      </c>
      <c r="CM45" s="82">
        <f>SUMIFS('辅助-汇总损益长表'!$H$2:$H$242,'辅助-汇总损益长表'!$A$2:$A$242,"管理费用率",'辅助-汇总损益长表'!$B$2:$B$242,CM$2)</f>
        <v>0</v>
      </c>
      <c r="CN45" s="82">
        <f>SUMIFS('辅助-汇总损益长表'!$H$2:$H$242,'辅助-汇总损益长表'!$A$2:$A$242,"管理费用率",'辅助-汇总损益长表'!$B$2:$B$242,CN$2)</f>
        <v>0</v>
      </c>
      <c r="CO45" s="83">
        <f>SUMIFS('辅助-汇总损益长表'!$H$2:$H$242,'辅助-汇总损益长表'!$A$2:$A$242,"管理费用率",'辅助-汇总损益长表'!$B$2:$B$242,CO$2)</f>
        <v>0</v>
      </c>
      <c r="CP45" s="83">
        <f>SUMIFS('辅助-汇总损益长表'!$H$2:$H$242,'辅助-汇总损益长表'!$A$2:$A$242,"管理费用率",'辅助-汇总损益长表'!$B$2:$B$242,CP$2)</f>
        <v>0</v>
      </c>
      <c r="CQ45" s="84"/>
      <c r="CR45" s="82">
        <f>SUMIFS('辅助-汇总损益长表'!$I$2:$I$242,'辅助-汇总损益长表'!$A$2:$A$242,"管理费用率",'辅助-汇总损益长表'!$B$2:$B$242,CR$2)</f>
        <v>0</v>
      </c>
      <c r="CS45" s="82">
        <f>SUMIFS('辅助-汇总损益长表'!$I$2:$I$242,'辅助-汇总损益长表'!$A$2:$A$242,"管理费用率",'辅助-汇总损益长表'!$B$2:$B$242,CS$2)</f>
        <v>0</v>
      </c>
      <c r="CT45" s="82">
        <f>SUMIFS('辅助-汇总损益长表'!$I$2:$I$242,'辅助-汇总损益长表'!$A$2:$A$242,"管理费用率",'辅助-汇总损益长表'!$B$2:$B$242,CT$2)</f>
        <v>0</v>
      </c>
      <c r="CU45" s="82">
        <f>SUMIFS('辅助-汇总损益长表'!$I$2:$I$242,'辅助-汇总损益长表'!$A$2:$A$242,"管理费用率",'辅助-汇总损益长表'!$B$2:$B$242,CU$2)</f>
        <v>0</v>
      </c>
      <c r="CV45" s="82">
        <f>SUMIFS('辅助-汇总损益长表'!$I$2:$I$242,'辅助-汇总损益长表'!$A$2:$A$242,"管理费用率",'辅助-汇总损益长表'!$B$2:$B$242,CV$2)</f>
        <v>0</v>
      </c>
      <c r="CW45" s="82">
        <f>SUMIFS('辅助-汇总损益长表'!$I$2:$I$242,'辅助-汇总损益长表'!$A$2:$A$242,"管理费用率",'辅助-汇总损益长表'!$B$2:$B$242,CW$2)</f>
        <v>0</v>
      </c>
      <c r="CX45" s="82">
        <f>SUMIFS('辅助-汇总损益长表'!$I$2:$I$242,'辅助-汇总损益长表'!$A$2:$A$242,"管理费用率",'辅助-汇总损益长表'!$B$2:$B$242,CX$2)</f>
        <v>0</v>
      </c>
      <c r="CY45" s="82">
        <f>SUMIFS('辅助-汇总损益长表'!$I$2:$I$242,'辅助-汇总损益长表'!$A$2:$A$242,"管理费用率",'辅助-汇总损益长表'!$B$2:$B$242,CY$2)</f>
        <v>0</v>
      </c>
      <c r="CZ45" s="82">
        <f>SUMIFS('辅助-汇总损益长表'!$I$2:$I$242,'辅助-汇总损益长表'!$A$2:$A$242,"管理费用率",'辅助-汇总损益长表'!$B$2:$B$242,CZ$2)</f>
        <v>0</v>
      </c>
      <c r="DA45" s="82">
        <f>SUMIFS('辅助-汇总损益长表'!$I$2:$I$242,'辅助-汇总损益长表'!$A$2:$A$242,"管理费用率",'辅助-汇总损益长表'!$B$2:$B$242,DA$2)</f>
        <v>0</v>
      </c>
      <c r="DB45" s="82">
        <f>SUMIFS('辅助-汇总损益长表'!$I$2:$I$242,'辅助-汇总损益长表'!$A$2:$A$242,"管理费用率",'辅助-汇总损益长表'!$B$2:$B$242,DB$2)</f>
        <v>0</v>
      </c>
      <c r="DC45" s="82">
        <f>SUMIFS('辅助-汇总损益长表'!$I$2:$I$242,'辅助-汇总损益长表'!$A$2:$A$242,"管理费用率",'辅助-汇总损益长表'!$B$2:$B$242,DC$2)</f>
        <v>0</v>
      </c>
      <c r="DD45" s="83">
        <f>SUMIFS('辅助-汇总损益长表'!$I$2:$I$242,'辅助-汇总损益长表'!$A$2:$A$242,"管理费用率",'辅助-汇总损益长表'!$B$2:$B$242,DD$2)</f>
        <v>0</v>
      </c>
      <c r="DE45" s="83">
        <f>SUMIFS('辅助-汇总损益长表'!$I$2:$I$242,'辅助-汇总损益长表'!$A$2:$A$242,"管理费用率",'辅助-汇总损益长表'!$B$2:$B$242,DE$2)</f>
        <v>0</v>
      </c>
      <c r="DF45" s="84"/>
      <c r="DG45" s="82">
        <f>SUMIFS('辅助-汇总损益长表'!$J$2:$J$242,'辅助-汇总损益长表'!$A$2:$A$242,"管理费用率",'辅助-汇总损益长表'!$B$2:$B$242,DG$2)</f>
        <v>0</v>
      </c>
      <c r="DH45" s="82">
        <f>SUMIFS('辅助-汇总损益长表'!$J$2:$J$242,'辅助-汇总损益长表'!$A$2:$A$242,"管理费用率",'辅助-汇总损益长表'!$B$2:$B$242,DH$2)</f>
        <v>0</v>
      </c>
      <c r="DI45" s="82">
        <f>SUMIFS('辅助-汇总损益长表'!$J$2:$J$242,'辅助-汇总损益长表'!$A$2:$A$242,"管理费用率",'辅助-汇总损益长表'!$B$2:$B$242,DI$2)</f>
        <v>0</v>
      </c>
      <c r="DJ45" s="82">
        <f>SUMIFS('辅助-汇总损益长表'!$J$2:$J$242,'辅助-汇总损益长表'!$A$2:$A$242,"管理费用率",'辅助-汇总损益长表'!$B$2:$B$242,DJ$2)</f>
        <v>0</v>
      </c>
      <c r="DK45" s="82">
        <f>SUMIFS('辅助-汇总损益长表'!$J$2:$J$242,'辅助-汇总损益长表'!$A$2:$A$242,"管理费用率",'辅助-汇总损益长表'!$B$2:$B$242,DK$2)</f>
        <v>0</v>
      </c>
      <c r="DL45" s="82">
        <f>SUMIFS('辅助-汇总损益长表'!$J$2:$J$242,'辅助-汇总损益长表'!$A$2:$A$242,"管理费用率",'辅助-汇总损益长表'!$B$2:$B$242,DL$2)</f>
        <v>0</v>
      </c>
      <c r="DM45" s="82">
        <f>SUMIFS('辅助-汇总损益长表'!$J$2:$J$242,'辅助-汇总损益长表'!$A$2:$A$242,"管理费用率",'辅助-汇总损益长表'!$B$2:$B$242,DM$2)</f>
        <v>0</v>
      </c>
      <c r="DN45" s="82">
        <f>SUMIFS('辅助-汇总损益长表'!$J$2:$J$242,'辅助-汇总损益长表'!$A$2:$A$242,"管理费用率",'辅助-汇总损益长表'!$B$2:$B$242,DN$2)</f>
        <v>0</v>
      </c>
      <c r="DO45" s="82">
        <f>SUMIFS('辅助-汇总损益长表'!$J$2:$J$242,'辅助-汇总损益长表'!$A$2:$A$242,"管理费用率",'辅助-汇总损益长表'!$B$2:$B$242,DO$2)</f>
        <v>0</v>
      </c>
      <c r="DP45" s="82">
        <f>SUMIFS('辅助-汇总损益长表'!$J$2:$J$242,'辅助-汇总损益长表'!$A$2:$A$242,"管理费用率",'辅助-汇总损益长表'!$B$2:$B$242,DP$2)</f>
        <v>0</v>
      </c>
      <c r="DQ45" s="82">
        <f>SUMIFS('辅助-汇总损益长表'!$J$2:$J$242,'辅助-汇总损益长表'!$A$2:$A$242,"管理费用率",'辅助-汇总损益长表'!$B$2:$B$242,DQ$2)</f>
        <v>0</v>
      </c>
      <c r="DR45" s="82">
        <f>SUMIFS('辅助-汇总损益长表'!$J$2:$J$242,'辅助-汇总损益长表'!$A$2:$A$242,"管理费用率",'辅助-汇总损益长表'!$B$2:$B$242,DR$2)</f>
        <v>0</v>
      </c>
      <c r="DS45" s="83">
        <f>SUMIFS('辅助-汇总损益长表'!$J$2:$J$242,'辅助-汇总损益长表'!$A$2:$A$242,"管理费用率",'辅助-汇总损益长表'!$B$2:$B$242,DS$2)</f>
        <v>0</v>
      </c>
      <c r="DT45" s="83">
        <f>SUMIFS('辅助-汇总损益长表'!$J$2:$J$242,'辅助-汇总损益长表'!$A$2:$A$242,"管理费用率",'辅助-汇总损益长表'!$B$2:$B$242,DT$2)</f>
        <v>0</v>
      </c>
      <c r="DU45" s="84"/>
      <c r="DV45" s="82">
        <f>SUMIFS('辅助-汇总损益长表'!$K$2:$K$242,'辅助-汇总损益长表'!$A$2:$A$242,"管理费用率",'辅助-汇总损益长表'!$B$2:$B$242,DV$2)</f>
        <v>0</v>
      </c>
      <c r="DW45" s="82">
        <f>SUMIFS('辅助-汇总损益长表'!$K$2:$K$242,'辅助-汇总损益长表'!$A$2:$A$242,"管理费用率",'辅助-汇总损益长表'!$B$2:$B$242,DW$2)</f>
        <v>0</v>
      </c>
      <c r="DX45" s="82">
        <f>SUMIFS('辅助-汇总损益长表'!$K$2:$K$242,'辅助-汇总损益长表'!$A$2:$A$242,"管理费用率",'辅助-汇总损益长表'!$B$2:$B$242,DX$2)</f>
        <v>0</v>
      </c>
      <c r="DY45" s="82">
        <f>SUMIFS('辅助-汇总损益长表'!$K$2:$K$242,'辅助-汇总损益长表'!$A$2:$A$242,"管理费用率",'辅助-汇总损益长表'!$B$2:$B$242,DY$2)</f>
        <v>0</v>
      </c>
      <c r="DZ45" s="82">
        <f>SUMIFS('辅助-汇总损益长表'!$K$2:$K$242,'辅助-汇总损益长表'!$A$2:$A$242,"管理费用率",'辅助-汇总损益长表'!$B$2:$B$242,DZ$2)</f>
        <v>0</v>
      </c>
      <c r="EA45" s="82">
        <f>SUMIFS('辅助-汇总损益长表'!$K$2:$K$242,'辅助-汇总损益长表'!$A$2:$A$242,"管理费用率",'辅助-汇总损益长表'!$B$2:$B$242,EA$2)</f>
        <v>0</v>
      </c>
      <c r="EB45" s="82">
        <f>SUMIFS('辅助-汇总损益长表'!$K$2:$K$242,'辅助-汇总损益长表'!$A$2:$A$242,"管理费用率",'辅助-汇总损益长表'!$B$2:$B$242,EB$2)</f>
        <v>0</v>
      </c>
      <c r="EC45" s="82">
        <f>SUMIFS('辅助-汇总损益长表'!$K$2:$K$242,'辅助-汇总损益长表'!$A$2:$A$242,"管理费用率",'辅助-汇总损益长表'!$B$2:$B$242,EC$2)</f>
        <v>0</v>
      </c>
      <c r="ED45" s="82">
        <f>SUMIFS('辅助-汇总损益长表'!$K$2:$K$242,'辅助-汇总损益长表'!$A$2:$A$242,"管理费用率",'辅助-汇总损益长表'!$B$2:$B$242,ED$2)</f>
        <v>0</v>
      </c>
      <c r="EE45" s="82">
        <f>SUMIFS('辅助-汇总损益长表'!$K$2:$K$242,'辅助-汇总损益长表'!$A$2:$A$242,"管理费用率",'辅助-汇总损益长表'!$B$2:$B$242,EE$2)</f>
        <v>0</v>
      </c>
      <c r="EF45" s="82">
        <f>SUMIFS('辅助-汇总损益长表'!$K$2:$K$242,'辅助-汇总损益长表'!$A$2:$A$242,"管理费用率",'辅助-汇总损益长表'!$B$2:$B$242,EF$2)</f>
        <v>0</v>
      </c>
      <c r="EG45" s="82">
        <f>SUMIFS('辅助-汇总损益长表'!$K$2:$K$242,'辅助-汇总损益长表'!$A$2:$A$242,"管理费用率",'辅助-汇总损益长表'!$B$2:$B$242,EG$2)</f>
        <v>0</v>
      </c>
      <c r="EH45" s="83">
        <f>SUMIFS('辅助-汇总损益长表'!$K$2:$K$242,'辅助-汇总损益长表'!$A$2:$A$242,"管理费用率",'辅助-汇总损益长表'!$B$2:$B$242,EH$2)</f>
        <v>0</v>
      </c>
      <c r="EI45" s="83">
        <f>SUMIFS('辅助-汇总损益长表'!$K$2:$K$242,'辅助-汇总损益长表'!$A$2:$A$242,"管理费用率",'辅助-汇总损益长表'!$B$2:$B$242,EI$2)</f>
        <v>0</v>
      </c>
      <c r="EJ45" s="85"/>
      <c r="EK45" s="82">
        <f>SUMIFS('辅助-汇总损益长表'!$L$2:$L$242,'辅助-汇总损益长表'!$A$2:$A$242,"管理费用率",'辅助-汇总损益长表'!$B$2:$B$242,EK$2)</f>
        <v>0</v>
      </c>
      <c r="EL45" s="82">
        <f>SUMIFS('辅助-汇总损益长表'!$L$2:$L$242,'辅助-汇总损益长表'!$A$2:$A$242,"管理费用率",'辅助-汇总损益长表'!$B$2:$B$242,EL$2)</f>
        <v>0</v>
      </c>
      <c r="EM45" s="82">
        <f>SUMIFS('辅助-汇总损益长表'!$L$2:$L$242,'辅助-汇总损益长表'!$A$2:$A$242,"管理费用率",'辅助-汇总损益长表'!$B$2:$B$242,EM$2)</f>
        <v>0</v>
      </c>
      <c r="EN45" s="82">
        <f>SUMIFS('辅助-汇总损益长表'!$L$2:$L$242,'辅助-汇总损益长表'!$A$2:$A$242,"管理费用率",'辅助-汇总损益长表'!$B$2:$B$242,EN$2)</f>
        <v>0</v>
      </c>
      <c r="EO45" s="82">
        <f>SUMIFS('辅助-汇总损益长表'!$L$2:$L$242,'辅助-汇总损益长表'!$A$2:$A$242,"管理费用率",'辅助-汇总损益长表'!$B$2:$B$242,EO$2)</f>
        <v>0</v>
      </c>
      <c r="EP45" s="82">
        <f>SUMIFS('辅助-汇总损益长表'!$L$2:$L$242,'辅助-汇总损益长表'!$A$2:$A$242,"管理费用率",'辅助-汇总损益长表'!$B$2:$B$242,EP$2)</f>
        <v>0</v>
      </c>
      <c r="EQ45" s="82">
        <f>SUMIFS('辅助-汇总损益长表'!$L$2:$L$242,'辅助-汇总损益长表'!$A$2:$A$242,"管理费用率",'辅助-汇总损益长表'!$B$2:$B$242,EQ$2)</f>
        <v>0</v>
      </c>
      <c r="ER45" s="82">
        <f>SUMIFS('辅助-汇总损益长表'!$L$2:$L$242,'辅助-汇总损益长表'!$A$2:$A$242,"管理费用率",'辅助-汇总损益长表'!$B$2:$B$242,ER$2)</f>
        <v>0</v>
      </c>
      <c r="ES45" s="82">
        <f>SUMIFS('辅助-汇总损益长表'!$L$2:$L$242,'辅助-汇总损益长表'!$A$2:$A$242,"管理费用率",'辅助-汇总损益长表'!$B$2:$B$242,ES$2)</f>
        <v>0</v>
      </c>
      <c r="ET45" s="82">
        <f>SUMIFS('辅助-汇总损益长表'!$L$2:$L$242,'辅助-汇总损益长表'!$A$2:$A$242,"管理费用率",'辅助-汇总损益长表'!$B$2:$B$242,ET$2)</f>
        <v>0</v>
      </c>
      <c r="EU45" s="82">
        <f>SUMIFS('辅助-汇总损益长表'!$L$2:$L$242,'辅助-汇总损益长表'!$A$2:$A$242,"管理费用率",'辅助-汇总损益长表'!$B$2:$B$242,EU$2)</f>
        <v>0</v>
      </c>
      <c r="EV45" s="82">
        <f>SUMIFS('辅助-汇总损益长表'!$L$2:$L$242,'辅助-汇总损益长表'!$A$2:$A$242,"管理费用率",'辅助-汇总损益长表'!$B$2:$B$242,EV$2)</f>
        <v>0</v>
      </c>
      <c r="EW45" s="83">
        <f>SUMIFS('辅助-汇总损益长表'!$L$2:$L$242,'辅助-汇总损益长表'!$A$2:$A$242,"管理费用率",'辅助-汇总损益长表'!$B$2:$B$242,EW$2)</f>
        <v>0</v>
      </c>
      <c r="EX45" s="83">
        <f>SUMIFS('辅助-汇总损益长表'!$L$2:$L$242,'辅助-汇总损益长表'!$A$2:$A$242,"管理费用率",'辅助-汇总损益长表'!$B$2:$B$242,EX$2)</f>
        <v>0</v>
      </c>
      <c r="EY45" s="7"/>
    </row>
    <row r="46" spans="1:155" ht="16" customHeight="1">
      <c r="A46" s="76"/>
      <c r="B46" s="48"/>
      <c r="C46" s="48" t="s">
        <v>79</v>
      </c>
      <c r="D46" s="76"/>
      <c r="E46" s="76"/>
      <c r="F46" s="86">
        <f t="shared" ref="F46:S46" si="166">SUM(F48:F49)</f>
        <v>23.631606815459758</v>
      </c>
      <c r="G46" s="86">
        <f t="shared" si="166"/>
        <v>23.245517361900383</v>
      </c>
      <c r="H46" s="86">
        <f t="shared" si="166"/>
        <v>22.4977680053737</v>
      </c>
      <c r="I46" s="86">
        <f t="shared" si="166"/>
        <v>27.932531328462176</v>
      </c>
      <c r="J46" s="86">
        <f t="shared" si="166"/>
        <v>27.846464416035499</v>
      </c>
      <c r="K46" s="86">
        <f t="shared" si="166"/>
        <v>24.799613948326215</v>
      </c>
      <c r="L46" s="86">
        <f t="shared" si="166"/>
        <v>23.971299654409012</v>
      </c>
      <c r="M46" s="86">
        <f t="shared" si="166"/>
        <v>24.328914129929959</v>
      </c>
      <c r="N46" s="86">
        <f t="shared" si="166"/>
        <v>24.703973214012901</v>
      </c>
      <c r="O46" s="86">
        <f t="shared" si="166"/>
        <v>24.85007181071963</v>
      </c>
      <c r="P46" s="86">
        <f t="shared" si="166"/>
        <v>25.266561840137314</v>
      </c>
      <c r="Q46" s="86">
        <f t="shared" si="166"/>
        <v>24.917669668897368</v>
      </c>
      <c r="R46" s="78">
        <f t="shared" si="166"/>
        <v>297.99199219366398</v>
      </c>
      <c r="S46" s="78">
        <f t="shared" si="166"/>
        <v>148.0384903181062</v>
      </c>
      <c r="T46" s="87"/>
      <c r="U46" s="86">
        <f t="shared" ref="U46:AH46" si="167">SUM(U48:U49)</f>
        <v>0</v>
      </c>
      <c r="V46" s="86">
        <f t="shared" si="167"/>
        <v>0</v>
      </c>
      <c r="W46" s="86">
        <f t="shared" si="167"/>
        <v>0</v>
      </c>
      <c r="X46" s="86">
        <f t="shared" si="167"/>
        <v>0</v>
      </c>
      <c r="Y46" s="86">
        <f t="shared" si="167"/>
        <v>0</v>
      </c>
      <c r="Z46" s="86">
        <f t="shared" si="167"/>
        <v>0</v>
      </c>
      <c r="AA46" s="86">
        <f t="shared" si="167"/>
        <v>0</v>
      </c>
      <c r="AB46" s="86">
        <f t="shared" si="167"/>
        <v>0</v>
      </c>
      <c r="AC46" s="86">
        <f t="shared" si="167"/>
        <v>0</v>
      </c>
      <c r="AD46" s="86">
        <f t="shared" si="167"/>
        <v>0</v>
      </c>
      <c r="AE46" s="86">
        <f t="shared" si="167"/>
        <v>0</v>
      </c>
      <c r="AF46" s="86">
        <f t="shared" si="167"/>
        <v>0</v>
      </c>
      <c r="AG46" s="78">
        <f t="shared" si="167"/>
        <v>0</v>
      </c>
      <c r="AH46" s="78">
        <f t="shared" si="167"/>
        <v>0</v>
      </c>
      <c r="AI46" s="87"/>
      <c r="AJ46" s="86">
        <f t="shared" ref="AJ46:AW46" si="168">SUM(AJ48:AJ49)</f>
        <v>0</v>
      </c>
      <c r="AK46" s="86">
        <f t="shared" si="168"/>
        <v>0</v>
      </c>
      <c r="AL46" s="86">
        <f t="shared" si="168"/>
        <v>0</v>
      </c>
      <c r="AM46" s="86">
        <f t="shared" si="168"/>
        <v>0</v>
      </c>
      <c r="AN46" s="86">
        <f t="shared" si="168"/>
        <v>0</v>
      </c>
      <c r="AO46" s="86">
        <f t="shared" si="168"/>
        <v>0</v>
      </c>
      <c r="AP46" s="86">
        <f t="shared" si="168"/>
        <v>0</v>
      </c>
      <c r="AQ46" s="86">
        <f t="shared" si="168"/>
        <v>0</v>
      </c>
      <c r="AR46" s="86">
        <f t="shared" si="168"/>
        <v>0</v>
      </c>
      <c r="AS46" s="86">
        <f t="shared" si="168"/>
        <v>0</v>
      </c>
      <c r="AT46" s="86">
        <f t="shared" si="168"/>
        <v>0</v>
      </c>
      <c r="AU46" s="86">
        <f t="shared" si="168"/>
        <v>0</v>
      </c>
      <c r="AV46" s="78">
        <f t="shared" si="168"/>
        <v>0</v>
      </c>
      <c r="AW46" s="78">
        <f t="shared" si="168"/>
        <v>0</v>
      </c>
      <c r="AX46" s="87"/>
      <c r="AY46" s="86">
        <f t="shared" ref="AY46:BL46" si="169">SUM(AY48:AY49)</f>
        <v>0</v>
      </c>
      <c r="AZ46" s="86">
        <f t="shared" si="169"/>
        <v>0</v>
      </c>
      <c r="BA46" s="86">
        <f t="shared" si="169"/>
        <v>0</v>
      </c>
      <c r="BB46" s="86">
        <f t="shared" si="169"/>
        <v>0</v>
      </c>
      <c r="BC46" s="86">
        <f t="shared" si="169"/>
        <v>0</v>
      </c>
      <c r="BD46" s="86">
        <f t="shared" si="169"/>
        <v>0</v>
      </c>
      <c r="BE46" s="86">
        <f t="shared" si="169"/>
        <v>0</v>
      </c>
      <c r="BF46" s="86">
        <f t="shared" si="169"/>
        <v>0</v>
      </c>
      <c r="BG46" s="86">
        <f t="shared" si="169"/>
        <v>0</v>
      </c>
      <c r="BH46" s="86">
        <f t="shared" si="169"/>
        <v>0</v>
      </c>
      <c r="BI46" s="86">
        <f t="shared" si="169"/>
        <v>0</v>
      </c>
      <c r="BJ46" s="86">
        <f t="shared" si="169"/>
        <v>0</v>
      </c>
      <c r="BK46" s="78">
        <f t="shared" si="169"/>
        <v>0</v>
      </c>
      <c r="BL46" s="78">
        <f t="shared" si="169"/>
        <v>0</v>
      </c>
      <c r="BM46" s="87"/>
      <c r="BN46" s="86">
        <f t="shared" ref="BN46:CA46" si="170">SUM(BN48:BN49)</f>
        <v>0</v>
      </c>
      <c r="BO46" s="86">
        <f t="shared" si="170"/>
        <v>0</v>
      </c>
      <c r="BP46" s="86">
        <f t="shared" si="170"/>
        <v>0</v>
      </c>
      <c r="BQ46" s="86">
        <f t="shared" si="170"/>
        <v>0</v>
      </c>
      <c r="BR46" s="86">
        <f t="shared" si="170"/>
        <v>0</v>
      </c>
      <c r="BS46" s="86">
        <f t="shared" si="170"/>
        <v>0</v>
      </c>
      <c r="BT46" s="86">
        <f t="shared" si="170"/>
        <v>0</v>
      </c>
      <c r="BU46" s="86">
        <f t="shared" si="170"/>
        <v>0</v>
      </c>
      <c r="BV46" s="86">
        <f t="shared" si="170"/>
        <v>0</v>
      </c>
      <c r="BW46" s="86">
        <f t="shared" si="170"/>
        <v>0</v>
      </c>
      <c r="BX46" s="86">
        <f t="shared" si="170"/>
        <v>0</v>
      </c>
      <c r="BY46" s="86">
        <f t="shared" si="170"/>
        <v>0</v>
      </c>
      <c r="BZ46" s="78">
        <f t="shared" si="170"/>
        <v>0</v>
      </c>
      <c r="CA46" s="78">
        <f t="shared" si="170"/>
        <v>0</v>
      </c>
      <c r="CB46" s="87"/>
      <c r="CC46" s="86">
        <f t="shared" ref="CC46:CP46" si="171">SUM(CC48:CC49)</f>
        <v>0</v>
      </c>
      <c r="CD46" s="86">
        <f t="shared" si="171"/>
        <v>0</v>
      </c>
      <c r="CE46" s="86">
        <f t="shared" si="171"/>
        <v>0</v>
      </c>
      <c r="CF46" s="86">
        <f t="shared" si="171"/>
        <v>0</v>
      </c>
      <c r="CG46" s="86">
        <f t="shared" si="171"/>
        <v>0</v>
      </c>
      <c r="CH46" s="86">
        <f t="shared" si="171"/>
        <v>0</v>
      </c>
      <c r="CI46" s="86">
        <f t="shared" si="171"/>
        <v>0</v>
      </c>
      <c r="CJ46" s="86">
        <f t="shared" si="171"/>
        <v>0</v>
      </c>
      <c r="CK46" s="86">
        <f t="shared" si="171"/>
        <v>0</v>
      </c>
      <c r="CL46" s="86">
        <f t="shared" si="171"/>
        <v>0</v>
      </c>
      <c r="CM46" s="86">
        <f t="shared" si="171"/>
        <v>0</v>
      </c>
      <c r="CN46" s="86">
        <f t="shared" si="171"/>
        <v>0</v>
      </c>
      <c r="CO46" s="78">
        <f t="shared" si="171"/>
        <v>0</v>
      </c>
      <c r="CP46" s="78">
        <f t="shared" si="171"/>
        <v>0</v>
      </c>
      <c r="CQ46" s="87"/>
      <c r="CR46" s="86">
        <f t="shared" ref="CR46:DE46" si="172">SUM(CR48:CR49)</f>
        <v>0</v>
      </c>
      <c r="CS46" s="86">
        <f t="shared" si="172"/>
        <v>0</v>
      </c>
      <c r="CT46" s="86">
        <f t="shared" si="172"/>
        <v>0</v>
      </c>
      <c r="CU46" s="86">
        <f t="shared" si="172"/>
        <v>0</v>
      </c>
      <c r="CV46" s="86">
        <f t="shared" si="172"/>
        <v>0</v>
      </c>
      <c r="CW46" s="86">
        <f t="shared" si="172"/>
        <v>0</v>
      </c>
      <c r="CX46" s="86">
        <f t="shared" si="172"/>
        <v>0</v>
      </c>
      <c r="CY46" s="86">
        <f t="shared" si="172"/>
        <v>0</v>
      </c>
      <c r="CZ46" s="86">
        <f t="shared" si="172"/>
        <v>0</v>
      </c>
      <c r="DA46" s="86">
        <f t="shared" si="172"/>
        <v>0</v>
      </c>
      <c r="DB46" s="86">
        <f t="shared" si="172"/>
        <v>0</v>
      </c>
      <c r="DC46" s="86">
        <f t="shared" si="172"/>
        <v>0</v>
      </c>
      <c r="DD46" s="78">
        <f t="shared" si="172"/>
        <v>0</v>
      </c>
      <c r="DE46" s="78">
        <f t="shared" si="172"/>
        <v>0</v>
      </c>
      <c r="DF46" s="87"/>
      <c r="DG46" s="86">
        <f t="shared" ref="DG46:DT46" si="173">SUM(DG48:DG49)</f>
        <v>0</v>
      </c>
      <c r="DH46" s="86">
        <f t="shared" si="173"/>
        <v>0</v>
      </c>
      <c r="DI46" s="86">
        <f t="shared" si="173"/>
        <v>0</v>
      </c>
      <c r="DJ46" s="86">
        <f t="shared" si="173"/>
        <v>0</v>
      </c>
      <c r="DK46" s="86">
        <f t="shared" si="173"/>
        <v>0</v>
      </c>
      <c r="DL46" s="86">
        <f t="shared" si="173"/>
        <v>0</v>
      </c>
      <c r="DM46" s="86">
        <f t="shared" si="173"/>
        <v>0</v>
      </c>
      <c r="DN46" s="86">
        <f t="shared" si="173"/>
        <v>0</v>
      </c>
      <c r="DO46" s="86">
        <f t="shared" si="173"/>
        <v>0</v>
      </c>
      <c r="DP46" s="86">
        <f t="shared" si="173"/>
        <v>0</v>
      </c>
      <c r="DQ46" s="86">
        <f t="shared" si="173"/>
        <v>0</v>
      </c>
      <c r="DR46" s="86">
        <f t="shared" si="173"/>
        <v>0</v>
      </c>
      <c r="DS46" s="78">
        <f t="shared" si="173"/>
        <v>0</v>
      </c>
      <c r="DT46" s="78">
        <f t="shared" si="173"/>
        <v>0</v>
      </c>
      <c r="DU46" s="87"/>
      <c r="DV46" s="86">
        <f t="shared" ref="DV46:EI46" si="174">SUM(DV48:DV49)</f>
        <v>0</v>
      </c>
      <c r="DW46" s="86">
        <f t="shared" si="174"/>
        <v>0</v>
      </c>
      <c r="DX46" s="86">
        <f t="shared" si="174"/>
        <v>0</v>
      </c>
      <c r="DY46" s="86">
        <f t="shared" si="174"/>
        <v>0</v>
      </c>
      <c r="DZ46" s="86">
        <f t="shared" si="174"/>
        <v>0</v>
      </c>
      <c r="EA46" s="86">
        <f t="shared" si="174"/>
        <v>0</v>
      </c>
      <c r="EB46" s="86">
        <f t="shared" si="174"/>
        <v>0</v>
      </c>
      <c r="EC46" s="86">
        <f t="shared" si="174"/>
        <v>0</v>
      </c>
      <c r="ED46" s="86">
        <f t="shared" si="174"/>
        <v>0</v>
      </c>
      <c r="EE46" s="86">
        <f t="shared" si="174"/>
        <v>0</v>
      </c>
      <c r="EF46" s="86">
        <f t="shared" si="174"/>
        <v>0</v>
      </c>
      <c r="EG46" s="86">
        <f t="shared" si="174"/>
        <v>0</v>
      </c>
      <c r="EH46" s="78">
        <f t="shared" si="174"/>
        <v>0</v>
      </c>
      <c r="EI46" s="78">
        <f t="shared" si="174"/>
        <v>0</v>
      </c>
      <c r="EJ46" s="42"/>
      <c r="EK46" s="86">
        <f t="shared" ref="EK46:EX46" si="175">SUM(EK48:EK49)</f>
        <v>0</v>
      </c>
      <c r="EL46" s="86">
        <f t="shared" si="175"/>
        <v>0</v>
      </c>
      <c r="EM46" s="86">
        <f t="shared" si="175"/>
        <v>0</v>
      </c>
      <c r="EN46" s="86">
        <f t="shared" si="175"/>
        <v>0</v>
      </c>
      <c r="EO46" s="86">
        <f t="shared" si="175"/>
        <v>0</v>
      </c>
      <c r="EP46" s="86">
        <f t="shared" si="175"/>
        <v>0</v>
      </c>
      <c r="EQ46" s="86">
        <f t="shared" si="175"/>
        <v>0</v>
      </c>
      <c r="ER46" s="86">
        <f t="shared" si="175"/>
        <v>0</v>
      </c>
      <c r="ES46" s="86">
        <f t="shared" si="175"/>
        <v>0</v>
      </c>
      <c r="ET46" s="86">
        <f t="shared" si="175"/>
        <v>0</v>
      </c>
      <c r="EU46" s="86">
        <f t="shared" si="175"/>
        <v>0</v>
      </c>
      <c r="EV46" s="86">
        <f t="shared" si="175"/>
        <v>0</v>
      </c>
      <c r="EW46" s="78">
        <f t="shared" si="175"/>
        <v>0</v>
      </c>
      <c r="EX46" s="78">
        <f t="shared" si="175"/>
        <v>0</v>
      </c>
      <c r="EY46" s="9"/>
    </row>
    <row r="47" spans="1:155" s="8" customFormat="1" ht="16" customHeight="1">
      <c r="A47" s="88"/>
      <c r="B47" s="89"/>
      <c r="C47" s="89" t="s">
        <v>108</v>
      </c>
      <c r="D47" s="88"/>
      <c r="E47" s="88"/>
      <c r="F47" s="90">
        <f t="shared" ref="F47:S47" si="176">IFERROR(F46/F$3,0)</f>
        <v>2.1551060377835701E-2</v>
      </c>
      <c r="G47" s="90">
        <f t="shared" si="176"/>
        <v>3.4957788431541556E-2</v>
      </c>
      <c r="H47" s="90">
        <f t="shared" si="176"/>
        <v>2.2224522611505437E-2</v>
      </c>
      <c r="I47" s="90">
        <f t="shared" si="176"/>
        <v>2.8565258926432122E-2</v>
      </c>
      <c r="J47" s="90">
        <f t="shared" si="176"/>
        <v>2.2860513628618843E-2</v>
      </c>
      <c r="K47" s="90">
        <f t="shared" si="176"/>
        <v>1.9990168008255083E-2</v>
      </c>
      <c r="L47" s="90">
        <f t="shared" si="176"/>
        <v>3.0272759420996709E-2</v>
      </c>
      <c r="M47" s="90">
        <f t="shared" si="176"/>
        <v>2.3267911328031576E-2</v>
      </c>
      <c r="N47" s="90">
        <f t="shared" si="176"/>
        <v>1.8841986209990971E-2</v>
      </c>
      <c r="O47" s="90">
        <f t="shared" si="176"/>
        <v>1.759146132809845E-2</v>
      </c>
      <c r="P47" s="90">
        <f t="shared" si="176"/>
        <v>1.4733017117974707E-2</v>
      </c>
      <c r="Q47" s="90">
        <f t="shared" si="176"/>
        <v>1.7030664017799315E-2</v>
      </c>
      <c r="R47" s="83">
        <f t="shared" si="176"/>
        <v>2.1362070562585028E-2</v>
      </c>
      <c r="S47" s="83">
        <f t="shared" si="176"/>
        <v>1.9128284506175035E-2</v>
      </c>
      <c r="T47" s="84"/>
      <c r="U47" s="90">
        <f t="shared" ref="U47:AH47" si="177">IFERROR(U46/U$3,0)</f>
        <v>0</v>
      </c>
      <c r="V47" s="90">
        <f t="shared" si="177"/>
        <v>0</v>
      </c>
      <c r="W47" s="90">
        <f t="shared" si="177"/>
        <v>0</v>
      </c>
      <c r="X47" s="90">
        <f t="shared" si="177"/>
        <v>0</v>
      </c>
      <c r="Y47" s="90">
        <f t="shared" si="177"/>
        <v>0</v>
      </c>
      <c r="Z47" s="90">
        <f t="shared" si="177"/>
        <v>0</v>
      </c>
      <c r="AA47" s="90">
        <f t="shared" si="177"/>
        <v>0</v>
      </c>
      <c r="AB47" s="90">
        <f t="shared" si="177"/>
        <v>0</v>
      </c>
      <c r="AC47" s="90">
        <f t="shared" si="177"/>
        <v>0</v>
      </c>
      <c r="AD47" s="90">
        <f t="shared" si="177"/>
        <v>0</v>
      </c>
      <c r="AE47" s="90">
        <f t="shared" si="177"/>
        <v>0</v>
      </c>
      <c r="AF47" s="90">
        <f t="shared" si="177"/>
        <v>0</v>
      </c>
      <c r="AG47" s="83">
        <f t="shared" si="177"/>
        <v>0</v>
      </c>
      <c r="AH47" s="83">
        <f t="shared" si="177"/>
        <v>0</v>
      </c>
      <c r="AI47" s="84"/>
      <c r="AJ47" s="90">
        <f t="shared" ref="AJ47:AW47" si="178">IFERROR(AJ46/AJ$3,0)</f>
        <v>0</v>
      </c>
      <c r="AK47" s="90">
        <f t="shared" si="178"/>
        <v>0</v>
      </c>
      <c r="AL47" s="90">
        <f t="shared" si="178"/>
        <v>0</v>
      </c>
      <c r="AM47" s="90">
        <f t="shared" si="178"/>
        <v>0</v>
      </c>
      <c r="AN47" s="90">
        <f t="shared" si="178"/>
        <v>0</v>
      </c>
      <c r="AO47" s="90">
        <f t="shared" si="178"/>
        <v>0</v>
      </c>
      <c r="AP47" s="90">
        <f t="shared" si="178"/>
        <v>0</v>
      </c>
      <c r="AQ47" s="90">
        <f t="shared" si="178"/>
        <v>0</v>
      </c>
      <c r="AR47" s="90">
        <f t="shared" si="178"/>
        <v>0</v>
      </c>
      <c r="AS47" s="90">
        <f t="shared" si="178"/>
        <v>0</v>
      </c>
      <c r="AT47" s="90">
        <f t="shared" si="178"/>
        <v>0</v>
      </c>
      <c r="AU47" s="90">
        <f t="shared" si="178"/>
        <v>0</v>
      </c>
      <c r="AV47" s="83">
        <f t="shared" si="178"/>
        <v>0</v>
      </c>
      <c r="AW47" s="83">
        <f t="shared" si="178"/>
        <v>0</v>
      </c>
      <c r="AX47" s="84"/>
      <c r="AY47" s="90">
        <f t="shared" ref="AY47:BL47" si="179">IFERROR(AY46/AY$3,0)</f>
        <v>0</v>
      </c>
      <c r="AZ47" s="90">
        <f t="shared" si="179"/>
        <v>0</v>
      </c>
      <c r="BA47" s="90">
        <f t="shared" si="179"/>
        <v>0</v>
      </c>
      <c r="BB47" s="90">
        <f t="shared" si="179"/>
        <v>0</v>
      </c>
      <c r="BC47" s="90">
        <f t="shared" si="179"/>
        <v>0</v>
      </c>
      <c r="BD47" s="90">
        <f t="shared" si="179"/>
        <v>0</v>
      </c>
      <c r="BE47" s="90">
        <f t="shared" si="179"/>
        <v>0</v>
      </c>
      <c r="BF47" s="90">
        <f t="shared" si="179"/>
        <v>0</v>
      </c>
      <c r="BG47" s="90">
        <f t="shared" si="179"/>
        <v>0</v>
      </c>
      <c r="BH47" s="90">
        <f t="shared" si="179"/>
        <v>0</v>
      </c>
      <c r="BI47" s="90">
        <f t="shared" si="179"/>
        <v>0</v>
      </c>
      <c r="BJ47" s="90">
        <f t="shared" si="179"/>
        <v>0</v>
      </c>
      <c r="BK47" s="83">
        <f t="shared" si="179"/>
        <v>0</v>
      </c>
      <c r="BL47" s="83">
        <f t="shared" si="179"/>
        <v>0</v>
      </c>
      <c r="BM47" s="84"/>
      <c r="BN47" s="90">
        <f t="shared" ref="BN47:CA47" si="180">IFERROR(BN46/BN$3,0)</f>
        <v>0</v>
      </c>
      <c r="BO47" s="90">
        <f t="shared" si="180"/>
        <v>0</v>
      </c>
      <c r="BP47" s="90">
        <f t="shared" si="180"/>
        <v>0</v>
      </c>
      <c r="BQ47" s="90">
        <f t="shared" si="180"/>
        <v>0</v>
      </c>
      <c r="BR47" s="90">
        <f t="shared" si="180"/>
        <v>0</v>
      </c>
      <c r="BS47" s="90">
        <f t="shared" si="180"/>
        <v>0</v>
      </c>
      <c r="BT47" s="90">
        <f t="shared" si="180"/>
        <v>0</v>
      </c>
      <c r="BU47" s="90">
        <f t="shared" si="180"/>
        <v>0</v>
      </c>
      <c r="BV47" s="90">
        <f t="shared" si="180"/>
        <v>0</v>
      </c>
      <c r="BW47" s="90">
        <f t="shared" si="180"/>
        <v>0</v>
      </c>
      <c r="BX47" s="90">
        <f t="shared" si="180"/>
        <v>0</v>
      </c>
      <c r="BY47" s="90">
        <f t="shared" si="180"/>
        <v>0</v>
      </c>
      <c r="BZ47" s="83">
        <f t="shared" si="180"/>
        <v>0</v>
      </c>
      <c r="CA47" s="83">
        <f t="shared" si="180"/>
        <v>0</v>
      </c>
      <c r="CB47" s="84"/>
      <c r="CC47" s="90">
        <f t="shared" ref="CC47:CP47" si="181">IFERROR(CC46/CC$3,0)</f>
        <v>0</v>
      </c>
      <c r="CD47" s="90">
        <f t="shared" si="181"/>
        <v>0</v>
      </c>
      <c r="CE47" s="90">
        <f t="shared" si="181"/>
        <v>0</v>
      </c>
      <c r="CF47" s="90">
        <f t="shared" si="181"/>
        <v>0</v>
      </c>
      <c r="CG47" s="90">
        <f t="shared" si="181"/>
        <v>0</v>
      </c>
      <c r="CH47" s="90">
        <f t="shared" si="181"/>
        <v>0</v>
      </c>
      <c r="CI47" s="90">
        <f t="shared" si="181"/>
        <v>0</v>
      </c>
      <c r="CJ47" s="90">
        <f t="shared" si="181"/>
        <v>0</v>
      </c>
      <c r="CK47" s="90">
        <f t="shared" si="181"/>
        <v>0</v>
      </c>
      <c r="CL47" s="90">
        <f t="shared" si="181"/>
        <v>0</v>
      </c>
      <c r="CM47" s="90">
        <f t="shared" si="181"/>
        <v>0</v>
      </c>
      <c r="CN47" s="90">
        <f t="shared" si="181"/>
        <v>0</v>
      </c>
      <c r="CO47" s="83">
        <f t="shared" si="181"/>
        <v>0</v>
      </c>
      <c r="CP47" s="83">
        <f t="shared" si="181"/>
        <v>0</v>
      </c>
      <c r="CQ47" s="84"/>
      <c r="CR47" s="90">
        <f t="shared" ref="CR47:DE47" si="182">IFERROR(CR46/CR$3,0)</f>
        <v>0</v>
      </c>
      <c r="CS47" s="90">
        <f t="shared" si="182"/>
        <v>0</v>
      </c>
      <c r="CT47" s="90">
        <f t="shared" si="182"/>
        <v>0</v>
      </c>
      <c r="CU47" s="90">
        <f t="shared" si="182"/>
        <v>0</v>
      </c>
      <c r="CV47" s="90">
        <f t="shared" si="182"/>
        <v>0</v>
      </c>
      <c r="CW47" s="90">
        <f t="shared" si="182"/>
        <v>0</v>
      </c>
      <c r="CX47" s="90">
        <f t="shared" si="182"/>
        <v>0</v>
      </c>
      <c r="CY47" s="90">
        <f t="shared" si="182"/>
        <v>0</v>
      </c>
      <c r="CZ47" s="90">
        <f t="shared" si="182"/>
        <v>0</v>
      </c>
      <c r="DA47" s="90">
        <f t="shared" si="182"/>
        <v>0</v>
      </c>
      <c r="DB47" s="90">
        <f t="shared" si="182"/>
        <v>0</v>
      </c>
      <c r="DC47" s="90">
        <f t="shared" si="182"/>
        <v>0</v>
      </c>
      <c r="DD47" s="83">
        <f t="shared" si="182"/>
        <v>0</v>
      </c>
      <c r="DE47" s="83">
        <f t="shared" si="182"/>
        <v>0</v>
      </c>
      <c r="DF47" s="84"/>
      <c r="DG47" s="90">
        <f t="shared" ref="DG47:DT47" si="183">IFERROR(DG46/DG$3,0)</f>
        <v>0</v>
      </c>
      <c r="DH47" s="90">
        <f t="shared" si="183"/>
        <v>0</v>
      </c>
      <c r="DI47" s="90">
        <f t="shared" si="183"/>
        <v>0</v>
      </c>
      <c r="DJ47" s="90">
        <f t="shared" si="183"/>
        <v>0</v>
      </c>
      <c r="DK47" s="90">
        <f t="shared" si="183"/>
        <v>0</v>
      </c>
      <c r="DL47" s="90">
        <f t="shared" si="183"/>
        <v>0</v>
      </c>
      <c r="DM47" s="90">
        <f t="shared" si="183"/>
        <v>0</v>
      </c>
      <c r="DN47" s="90">
        <f t="shared" si="183"/>
        <v>0</v>
      </c>
      <c r="DO47" s="90">
        <f t="shared" si="183"/>
        <v>0</v>
      </c>
      <c r="DP47" s="90">
        <f t="shared" si="183"/>
        <v>0</v>
      </c>
      <c r="DQ47" s="90">
        <f t="shared" si="183"/>
        <v>0</v>
      </c>
      <c r="DR47" s="90">
        <f t="shared" si="183"/>
        <v>0</v>
      </c>
      <c r="DS47" s="83">
        <f t="shared" si="183"/>
        <v>0</v>
      </c>
      <c r="DT47" s="83">
        <f t="shared" si="183"/>
        <v>0</v>
      </c>
      <c r="DU47" s="84"/>
      <c r="DV47" s="90">
        <f t="shared" ref="DV47:EI47" si="184">IFERROR(DV46/DV$3,0)</f>
        <v>0</v>
      </c>
      <c r="DW47" s="90">
        <f t="shared" si="184"/>
        <v>0</v>
      </c>
      <c r="DX47" s="90">
        <f t="shared" si="184"/>
        <v>0</v>
      </c>
      <c r="DY47" s="90">
        <f t="shared" si="184"/>
        <v>0</v>
      </c>
      <c r="DZ47" s="90">
        <f t="shared" si="184"/>
        <v>0</v>
      </c>
      <c r="EA47" s="90">
        <f t="shared" si="184"/>
        <v>0</v>
      </c>
      <c r="EB47" s="90">
        <f t="shared" si="184"/>
        <v>0</v>
      </c>
      <c r="EC47" s="90">
        <f t="shared" si="184"/>
        <v>0</v>
      </c>
      <c r="ED47" s="90">
        <f t="shared" si="184"/>
        <v>0</v>
      </c>
      <c r="EE47" s="90">
        <f t="shared" si="184"/>
        <v>0</v>
      </c>
      <c r="EF47" s="90">
        <f t="shared" si="184"/>
        <v>0</v>
      </c>
      <c r="EG47" s="90">
        <f t="shared" si="184"/>
        <v>0</v>
      </c>
      <c r="EH47" s="83">
        <f t="shared" si="184"/>
        <v>0</v>
      </c>
      <c r="EI47" s="83">
        <f t="shared" si="184"/>
        <v>0</v>
      </c>
      <c r="EJ47" s="85"/>
      <c r="EK47" s="90">
        <f t="shared" ref="EK47:EX47" si="185">IFERROR(EK46/EK$3,0)</f>
        <v>0</v>
      </c>
      <c r="EL47" s="90">
        <f t="shared" si="185"/>
        <v>0</v>
      </c>
      <c r="EM47" s="90">
        <f t="shared" si="185"/>
        <v>0</v>
      </c>
      <c r="EN47" s="90">
        <f t="shared" si="185"/>
        <v>0</v>
      </c>
      <c r="EO47" s="90">
        <f t="shared" si="185"/>
        <v>0</v>
      </c>
      <c r="EP47" s="90">
        <f t="shared" si="185"/>
        <v>0</v>
      </c>
      <c r="EQ47" s="90">
        <f t="shared" si="185"/>
        <v>0</v>
      </c>
      <c r="ER47" s="90">
        <f t="shared" si="185"/>
        <v>0</v>
      </c>
      <c r="ES47" s="90">
        <f t="shared" si="185"/>
        <v>0</v>
      </c>
      <c r="ET47" s="90">
        <f t="shared" si="185"/>
        <v>0</v>
      </c>
      <c r="EU47" s="90">
        <f t="shared" si="185"/>
        <v>0</v>
      </c>
      <c r="EV47" s="90">
        <f t="shared" si="185"/>
        <v>0</v>
      </c>
      <c r="EW47" s="83">
        <f t="shared" si="185"/>
        <v>0</v>
      </c>
      <c r="EX47" s="83">
        <f t="shared" si="185"/>
        <v>0</v>
      </c>
      <c r="EY47" s="7"/>
    </row>
    <row r="48" spans="1:155" ht="16" customHeight="1">
      <c r="A48" s="68"/>
      <c r="B48" s="68"/>
      <c r="C48" s="68"/>
      <c r="D48" s="68" t="s">
        <v>79</v>
      </c>
      <c r="E48" s="68" t="s">
        <v>80</v>
      </c>
      <c r="F48" s="91">
        <f>'总表-汇总损益表'!H$50</f>
        <v>21.070903996495101</v>
      </c>
      <c r="G48" s="91">
        <f>'总表-汇总损益表'!I$50</f>
        <v>21.3107790612139</v>
      </c>
      <c r="H48" s="91">
        <f>'总表-汇总损益表'!J$50</f>
        <v>22.4977680053737</v>
      </c>
      <c r="I48" s="91">
        <f>'总表-汇总损益表'!K$50</f>
        <v>24.4276477788374</v>
      </c>
      <c r="J48" s="91">
        <f>'总表-汇总损益表'!L$50</f>
        <v>24.677211704044201</v>
      </c>
      <c r="K48" s="91">
        <f>'总表-汇总损益表'!M$50</f>
        <v>23.144494704925499</v>
      </c>
      <c r="L48" s="91">
        <f>'总表-汇总损益表'!N$50</f>
        <v>23.144494704925499</v>
      </c>
      <c r="M48" s="91">
        <f>'总表-汇总损益表'!O$50</f>
        <v>23.144494704925499</v>
      </c>
      <c r="N48" s="91">
        <f>'总表-汇总损益表'!P$50</f>
        <v>23.144494704925499</v>
      </c>
      <c r="O48" s="91">
        <f>'总表-汇总损益表'!Q$50</f>
        <v>23.144494704925499</v>
      </c>
      <c r="P48" s="91">
        <f>'总表-汇总损益表'!R$50</f>
        <v>23.144494704925499</v>
      </c>
      <c r="Q48" s="91">
        <f>'总表-汇总损益表'!S$50</f>
        <v>23.144494704925499</v>
      </c>
      <c r="R48" s="92">
        <f>'总表-汇总损益表'!U$50</f>
        <v>275.99577348044284</v>
      </c>
      <c r="S48" s="92">
        <f>'总表-汇总损益表'!V$50</f>
        <v>138.86696822955301</v>
      </c>
      <c r="T48" s="91"/>
      <c r="U48" s="91">
        <f>0</f>
        <v>0</v>
      </c>
      <c r="V48" s="91">
        <f>0</f>
        <v>0</v>
      </c>
      <c r="W48" s="91">
        <f>0</f>
        <v>0</v>
      </c>
      <c r="X48" s="91">
        <f>0</f>
        <v>0</v>
      </c>
      <c r="Y48" s="91">
        <f>0</f>
        <v>0</v>
      </c>
      <c r="Z48" s="91">
        <f>0</f>
        <v>0</v>
      </c>
      <c r="AA48" s="91">
        <f>0</f>
        <v>0</v>
      </c>
      <c r="AB48" s="91">
        <f>0</f>
        <v>0</v>
      </c>
      <c r="AC48" s="91">
        <f>0</f>
        <v>0</v>
      </c>
      <c r="AD48" s="91">
        <f>0</f>
        <v>0</v>
      </c>
      <c r="AE48" s="91">
        <f>0</f>
        <v>0</v>
      </c>
      <c r="AF48" s="91">
        <f>0</f>
        <v>0</v>
      </c>
      <c r="AG48" s="92">
        <f>0</f>
        <v>0</v>
      </c>
      <c r="AH48" s="92">
        <f>0</f>
        <v>0</v>
      </c>
      <c r="AI48" s="91"/>
      <c r="AJ48" s="91">
        <f>0</f>
        <v>0</v>
      </c>
      <c r="AK48" s="91">
        <f>0</f>
        <v>0</v>
      </c>
      <c r="AL48" s="91">
        <f>0</f>
        <v>0</v>
      </c>
      <c r="AM48" s="91">
        <f>0</f>
        <v>0</v>
      </c>
      <c r="AN48" s="91">
        <f>0</f>
        <v>0</v>
      </c>
      <c r="AO48" s="91">
        <f>0</f>
        <v>0</v>
      </c>
      <c r="AP48" s="91">
        <f>0</f>
        <v>0</v>
      </c>
      <c r="AQ48" s="91">
        <f>0</f>
        <v>0</v>
      </c>
      <c r="AR48" s="91">
        <f>0</f>
        <v>0</v>
      </c>
      <c r="AS48" s="91">
        <f>0</f>
        <v>0</v>
      </c>
      <c r="AT48" s="91">
        <f>0</f>
        <v>0</v>
      </c>
      <c r="AU48" s="91">
        <f>0</f>
        <v>0</v>
      </c>
      <c r="AV48" s="92">
        <f>0</f>
        <v>0</v>
      </c>
      <c r="AW48" s="92">
        <f>0</f>
        <v>0</v>
      </c>
      <c r="AX48" s="91"/>
      <c r="AY48" s="91">
        <f>0</f>
        <v>0</v>
      </c>
      <c r="AZ48" s="91">
        <f>0</f>
        <v>0</v>
      </c>
      <c r="BA48" s="91">
        <f>0</f>
        <v>0</v>
      </c>
      <c r="BB48" s="91">
        <f>0</f>
        <v>0</v>
      </c>
      <c r="BC48" s="91">
        <f>0</f>
        <v>0</v>
      </c>
      <c r="BD48" s="91">
        <f>0</f>
        <v>0</v>
      </c>
      <c r="BE48" s="91">
        <f>0</f>
        <v>0</v>
      </c>
      <c r="BF48" s="91">
        <f>0</f>
        <v>0</v>
      </c>
      <c r="BG48" s="91">
        <f>0</f>
        <v>0</v>
      </c>
      <c r="BH48" s="91">
        <f>0</f>
        <v>0</v>
      </c>
      <c r="BI48" s="91">
        <f>0</f>
        <v>0</v>
      </c>
      <c r="BJ48" s="91">
        <f>0</f>
        <v>0</v>
      </c>
      <c r="BK48" s="92">
        <f>0</f>
        <v>0</v>
      </c>
      <c r="BL48" s="92">
        <f>0</f>
        <v>0</v>
      </c>
      <c r="BM48" s="91"/>
      <c r="BN48" s="91">
        <f>0</f>
        <v>0</v>
      </c>
      <c r="BO48" s="91">
        <f>0</f>
        <v>0</v>
      </c>
      <c r="BP48" s="91">
        <f>0</f>
        <v>0</v>
      </c>
      <c r="BQ48" s="91">
        <f>0</f>
        <v>0</v>
      </c>
      <c r="BR48" s="91">
        <f>0</f>
        <v>0</v>
      </c>
      <c r="BS48" s="91">
        <f>0</f>
        <v>0</v>
      </c>
      <c r="BT48" s="91">
        <f>0</f>
        <v>0</v>
      </c>
      <c r="BU48" s="91">
        <f>0</f>
        <v>0</v>
      </c>
      <c r="BV48" s="91">
        <f>0</f>
        <v>0</v>
      </c>
      <c r="BW48" s="91">
        <f>0</f>
        <v>0</v>
      </c>
      <c r="BX48" s="91">
        <f>0</f>
        <v>0</v>
      </c>
      <c r="BY48" s="91">
        <f>0</f>
        <v>0</v>
      </c>
      <c r="BZ48" s="92">
        <f>0</f>
        <v>0</v>
      </c>
      <c r="CA48" s="92">
        <f>0</f>
        <v>0</v>
      </c>
      <c r="CB48" s="91"/>
      <c r="CC48" s="91">
        <f>0</f>
        <v>0</v>
      </c>
      <c r="CD48" s="91">
        <f>0</f>
        <v>0</v>
      </c>
      <c r="CE48" s="91">
        <f>0</f>
        <v>0</v>
      </c>
      <c r="CF48" s="91">
        <f>0</f>
        <v>0</v>
      </c>
      <c r="CG48" s="91">
        <f>0</f>
        <v>0</v>
      </c>
      <c r="CH48" s="91">
        <f>0</f>
        <v>0</v>
      </c>
      <c r="CI48" s="91">
        <f>0</f>
        <v>0</v>
      </c>
      <c r="CJ48" s="91">
        <f>0</f>
        <v>0</v>
      </c>
      <c r="CK48" s="91">
        <f>0</f>
        <v>0</v>
      </c>
      <c r="CL48" s="91">
        <f>0</f>
        <v>0</v>
      </c>
      <c r="CM48" s="91">
        <f>0</f>
        <v>0</v>
      </c>
      <c r="CN48" s="91">
        <f>0</f>
        <v>0</v>
      </c>
      <c r="CO48" s="92">
        <f>0</f>
        <v>0</v>
      </c>
      <c r="CP48" s="92">
        <f>0</f>
        <v>0</v>
      </c>
      <c r="CQ48" s="91"/>
      <c r="CR48" s="91">
        <f>0</f>
        <v>0</v>
      </c>
      <c r="CS48" s="91">
        <f>0</f>
        <v>0</v>
      </c>
      <c r="CT48" s="91">
        <f>0</f>
        <v>0</v>
      </c>
      <c r="CU48" s="91">
        <f>0</f>
        <v>0</v>
      </c>
      <c r="CV48" s="91">
        <f>0</f>
        <v>0</v>
      </c>
      <c r="CW48" s="91">
        <f>0</f>
        <v>0</v>
      </c>
      <c r="CX48" s="91">
        <f>0</f>
        <v>0</v>
      </c>
      <c r="CY48" s="91">
        <f>0</f>
        <v>0</v>
      </c>
      <c r="CZ48" s="91">
        <f>0</f>
        <v>0</v>
      </c>
      <c r="DA48" s="91">
        <f>0</f>
        <v>0</v>
      </c>
      <c r="DB48" s="91">
        <f>0</f>
        <v>0</v>
      </c>
      <c r="DC48" s="91">
        <f>0</f>
        <v>0</v>
      </c>
      <c r="DD48" s="92">
        <f>0</f>
        <v>0</v>
      </c>
      <c r="DE48" s="92">
        <f>0</f>
        <v>0</v>
      </c>
      <c r="DF48" s="91"/>
      <c r="DG48" s="91">
        <f>0</f>
        <v>0</v>
      </c>
      <c r="DH48" s="91">
        <f>0</f>
        <v>0</v>
      </c>
      <c r="DI48" s="91">
        <f>0</f>
        <v>0</v>
      </c>
      <c r="DJ48" s="91">
        <f>0</f>
        <v>0</v>
      </c>
      <c r="DK48" s="91">
        <f>0</f>
        <v>0</v>
      </c>
      <c r="DL48" s="91">
        <f>0</f>
        <v>0</v>
      </c>
      <c r="DM48" s="91">
        <f>0</f>
        <v>0</v>
      </c>
      <c r="DN48" s="91">
        <f>0</f>
        <v>0</v>
      </c>
      <c r="DO48" s="91">
        <f>0</f>
        <v>0</v>
      </c>
      <c r="DP48" s="91">
        <f>0</f>
        <v>0</v>
      </c>
      <c r="DQ48" s="91">
        <f>0</f>
        <v>0</v>
      </c>
      <c r="DR48" s="91">
        <f>0</f>
        <v>0</v>
      </c>
      <c r="DS48" s="92">
        <f>0</f>
        <v>0</v>
      </c>
      <c r="DT48" s="92">
        <f>0</f>
        <v>0</v>
      </c>
      <c r="DU48" s="91"/>
      <c r="DV48" s="91">
        <v>0</v>
      </c>
      <c r="DW48" s="91">
        <v>0</v>
      </c>
      <c r="DX48" s="91">
        <v>0</v>
      </c>
      <c r="DY48" s="91">
        <v>0</v>
      </c>
      <c r="DZ48" s="91">
        <v>0</v>
      </c>
      <c r="EA48" s="91">
        <v>0</v>
      </c>
      <c r="EB48" s="91">
        <v>0</v>
      </c>
      <c r="EC48" s="91">
        <v>0</v>
      </c>
      <c r="ED48" s="91">
        <v>0</v>
      </c>
      <c r="EE48" s="91">
        <v>0</v>
      </c>
      <c r="EF48" s="91">
        <v>0</v>
      </c>
      <c r="EG48" s="91">
        <v>0</v>
      </c>
      <c r="EH48" s="92">
        <v>0</v>
      </c>
      <c r="EI48" s="92">
        <v>0</v>
      </c>
      <c r="EJ48" s="42"/>
      <c r="EK48" s="91">
        <v>0</v>
      </c>
      <c r="EL48" s="91">
        <v>0</v>
      </c>
      <c r="EM48" s="91">
        <v>0</v>
      </c>
      <c r="EN48" s="91">
        <v>0</v>
      </c>
      <c r="EO48" s="91">
        <v>0</v>
      </c>
      <c r="EP48" s="91">
        <v>0</v>
      </c>
      <c r="EQ48" s="91">
        <v>0</v>
      </c>
      <c r="ER48" s="91">
        <v>0</v>
      </c>
      <c r="ES48" s="91">
        <v>0</v>
      </c>
      <c r="ET48" s="91">
        <v>0</v>
      </c>
      <c r="EU48" s="91">
        <v>0</v>
      </c>
      <c r="EV48" s="91">
        <v>0</v>
      </c>
      <c r="EW48" s="92">
        <v>0</v>
      </c>
      <c r="EX48" s="92">
        <v>0</v>
      </c>
      <c r="EY48" s="10"/>
    </row>
    <row r="49" spans="1:155" ht="16" customHeight="1">
      <c r="A49" s="68"/>
      <c r="B49" s="68"/>
      <c r="C49" s="68"/>
      <c r="D49" s="68" t="s">
        <v>79</v>
      </c>
      <c r="E49" s="68" t="s">
        <v>87</v>
      </c>
      <c r="F49" s="91">
        <f>'总表-汇总损益表'!H$51</f>
        <v>2.5607028189646566</v>
      </c>
      <c r="G49" s="91">
        <f>'总表-汇总损益表'!I$51</f>
        <v>1.9347383006864827</v>
      </c>
      <c r="H49" s="91">
        <f>'总表-汇总损益表'!J$51</f>
        <v>0</v>
      </c>
      <c r="I49" s="91">
        <f>'总表-汇总损益表'!K$51</f>
        <v>3.5048835496247746</v>
      </c>
      <c r="J49" s="91">
        <f>'总表-汇总损益表'!L$51</f>
        <v>3.169252711991299</v>
      </c>
      <c r="K49" s="91">
        <f>'总表-汇总损益表'!M$51</f>
        <v>1.6551192434007169</v>
      </c>
      <c r="L49" s="91">
        <f>'总表-汇总损益表'!N$51</f>
        <v>0.82680494948351402</v>
      </c>
      <c r="M49" s="91">
        <f>'总表-汇总损益表'!O$51</f>
        <v>1.18441942500446</v>
      </c>
      <c r="N49" s="91">
        <f>'总表-汇总损益表'!P$51</f>
        <v>1.5594785090874024</v>
      </c>
      <c r="O49" s="91">
        <f>'总表-汇总损益表'!Q$51</f>
        <v>1.705577105794132</v>
      </c>
      <c r="P49" s="91">
        <f>'总表-汇总损益表'!R$51</f>
        <v>2.1220671352118154</v>
      </c>
      <c r="Q49" s="91">
        <f>'总表-汇总损益表'!S$51</f>
        <v>1.773174963971869</v>
      </c>
      <c r="R49" s="92">
        <f>'总表-汇总损益表'!U$51</f>
        <v>21.996218713221122</v>
      </c>
      <c r="S49" s="92">
        <f>'总表-汇总损益表'!V$51</f>
        <v>9.1715220885531927</v>
      </c>
      <c r="T49" s="91"/>
      <c r="U49" s="91">
        <f>0</f>
        <v>0</v>
      </c>
      <c r="V49" s="91">
        <f>0</f>
        <v>0</v>
      </c>
      <c r="W49" s="91">
        <f>0</f>
        <v>0</v>
      </c>
      <c r="X49" s="91">
        <f>0</f>
        <v>0</v>
      </c>
      <c r="Y49" s="91">
        <f>0</f>
        <v>0</v>
      </c>
      <c r="Z49" s="91">
        <f>0</f>
        <v>0</v>
      </c>
      <c r="AA49" s="91">
        <f>0</f>
        <v>0</v>
      </c>
      <c r="AB49" s="91">
        <f>0</f>
        <v>0</v>
      </c>
      <c r="AC49" s="91">
        <f>0</f>
        <v>0</v>
      </c>
      <c r="AD49" s="91">
        <f>0</f>
        <v>0</v>
      </c>
      <c r="AE49" s="91">
        <f>0</f>
        <v>0</v>
      </c>
      <c r="AF49" s="91">
        <f>0</f>
        <v>0</v>
      </c>
      <c r="AG49" s="92">
        <f>0</f>
        <v>0</v>
      </c>
      <c r="AH49" s="92">
        <f>0</f>
        <v>0</v>
      </c>
      <c r="AI49" s="91"/>
      <c r="AJ49" s="91">
        <f>0</f>
        <v>0</v>
      </c>
      <c r="AK49" s="91">
        <f>0</f>
        <v>0</v>
      </c>
      <c r="AL49" s="91">
        <f>0</f>
        <v>0</v>
      </c>
      <c r="AM49" s="91">
        <f>0</f>
        <v>0</v>
      </c>
      <c r="AN49" s="91">
        <f>0</f>
        <v>0</v>
      </c>
      <c r="AO49" s="91">
        <f>0</f>
        <v>0</v>
      </c>
      <c r="AP49" s="91">
        <f>0</f>
        <v>0</v>
      </c>
      <c r="AQ49" s="91">
        <f>0</f>
        <v>0</v>
      </c>
      <c r="AR49" s="91">
        <f>0</f>
        <v>0</v>
      </c>
      <c r="AS49" s="91">
        <f>0</f>
        <v>0</v>
      </c>
      <c r="AT49" s="91">
        <f>0</f>
        <v>0</v>
      </c>
      <c r="AU49" s="91">
        <f>0</f>
        <v>0</v>
      </c>
      <c r="AV49" s="92">
        <f>0</f>
        <v>0</v>
      </c>
      <c r="AW49" s="92">
        <f>0</f>
        <v>0</v>
      </c>
      <c r="AX49" s="91"/>
      <c r="AY49" s="91">
        <f>0</f>
        <v>0</v>
      </c>
      <c r="AZ49" s="91">
        <f>0</f>
        <v>0</v>
      </c>
      <c r="BA49" s="91">
        <f>0</f>
        <v>0</v>
      </c>
      <c r="BB49" s="91">
        <f>0</f>
        <v>0</v>
      </c>
      <c r="BC49" s="91">
        <f>0</f>
        <v>0</v>
      </c>
      <c r="BD49" s="91">
        <f>0</f>
        <v>0</v>
      </c>
      <c r="BE49" s="91">
        <f>0</f>
        <v>0</v>
      </c>
      <c r="BF49" s="91">
        <f>0</f>
        <v>0</v>
      </c>
      <c r="BG49" s="91">
        <f>0</f>
        <v>0</v>
      </c>
      <c r="BH49" s="91">
        <f>0</f>
        <v>0</v>
      </c>
      <c r="BI49" s="91">
        <f>0</f>
        <v>0</v>
      </c>
      <c r="BJ49" s="91">
        <f>0</f>
        <v>0</v>
      </c>
      <c r="BK49" s="92">
        <f>0</f>
        <v>0</v>
      </c>
      <c r="BL49" s="92">
        <f>0</f>
        <v>0</v>
      </c>
      <c r="BM49" s="91"/>
      <c r="BN49" s="91">
        <f>0</f>
        <v>0</v>
      </c>
      <c r="BO49" s="91">
        <f>0</f>
        <v>0</v>
      </c>
      <c r="BP49" s="91">
        <f>0</f>
        <v>0</v>
      </c>
      <c r="BQ49" s="91">
        <f>0</f>
        <v>0</v>
      </c>
      <c r="BR49" s="91">
        <f>0</f>
        <v>0</v>
      </c>
      <c r="BS49" s="91">
        <f>0</f>
        <v>0</v>
      </c>
      <c r="BT49" s="91">
        <f>0</f>
        <v>0</v>
      </c>
      <c r="BU49" s="91">
        <f>0</f>
        <v>0</v>
      </c>
      <c r="BV49" s="91">
        <f>0</f>
        <v>0</v>
      </c>
      <c r="BW49" s="91">
        <f>0</f>
        <v>0</v>
      </c>
      <c r="BX49" s="91">
        <f>0</f>
        <v>0</v>
      </c>
      <c r="BY49" s="91">
        <f>0</f>
        <v>0</v>
      </c>
      <c r="BZ49" s="92">
        <f>0</f>
        <v>0</v>
      </c>
      <c r="CA49" s="92">
        <f>0</f>
        <v>0</v>
      </c>
      <c r="CB49" s="91"/>
      <c r="CC49" s="91">
        <f>0</f>
        <v>0</v>
      </c>
      <c r="CD49" s="91">
        <f>0</f>
        <v>0</v>
      </c>
      <c r="CE49" s="91">
        <f>0</f>
        <v>0</v>
      </c>
      <c r="CF49" s="91">
        <f>0</f>
        <v>0</v>
      </c>
      <c r="CG49" s="91">
        <f>0</f>
        <v>0</v>
      </c>
      <c r="CH49" s="91">
        <f>0</f>
        <v>0</v>
      </c>
      <c r="CI49" s="91">
        <f>0</f>
        <v>0</v>
      </c>
      <c r="CJ49" s="91">
        <f>0</f>
        <v>0</v>
      </c>
      <c r="CK49" s="91">
        <f>0</f>
        <v>0</v>
      </c>
      <c r="CL49" s="91">
        <f>0</f>
        <v>0</v>
      </c>
      <c r="CM49" s="91">
        <f>0</f>
        <v>0</v>
      </c>
      <c r="CN49" s="91">
        <f>0</f>
        <v>0</v>
      </c>
      <c r="CO49" s="92">
        <f>0</f>
        <v>0</v>
      </c>
      <c r="CP49" s="92">
        <f>0</f>
        <v>0</v>
      </c>
      <c r="CQ49" s="91"/>
      <c r="CR49" s="91">
        <f>0</f>
        <v>0</v>
      </c>
      <c r="CS49" s="91">
        <f>0</f>
        <v>0</v>
      </c>
      <c r="CT49" s="91">
        <f>0</f>
        <v>0</v>
      </c>
      <c r="CU49" s="91">
        <f>0</f>
        <v>0</v>
      </c>
      <c r="CV49" s="91">
        <f>0</f>
        <v>0</v>
      </c>
      <c r="CW49" s="91">
        <f>0</f>
        <v>0</v>
      </c>
      <c r="CX49" s="91">
        <f>0</f>
        <v>0</v>
      </c>
      <c r="CY49" s="91">
        <f>0</f>
        <v>0</v>
      </c>
      <c r="CZ49" s="91">
        <f>0</f>
        <v>0</v>
      </c>
      <c r="DA49" s="91">
        <f>0</f>
        <v>0</v>
      </c>
      <c r="DB49" s="91">
        <f>0</f>
        <v>0</v>
      </c>
      <c r="DC49" s="91">
        <f>0</f>
        <v>0</v>
      </c>
      <c r="DD49" s="92">
        <f>0</f>
        <v>0</v>
      </c>
      <c r="DE49" s="92">
        <f>0</f>
        <v>0</v>
      </c>
      <c r="DF49" s="91"/>
      <c r="DG49" s="91">
        <f>0</f>
        <v>0</v>
      </c>
      <c r="DH49" s="91">
        <f>0</f>
        <v>0</v>
      </c>
      <c r="DI49" s="91">
        <f>0</f>
        <v>0</v>
      </c>
      <c r="DJ49" s="91">
        <f>0</f>
        <v>0</v>
      </c>
      <c r="DK49" s="91">
        <f>0</f>
        <v>0</v>
      </c>
      <c r="DL49" s="91">
        <f>0</f>
        <v>0</v>
      </c>
      <c r="DM49" s="91">
        <f>0</f>
        <v>0</v>
      </c>
      <c r="DN49" s="91">
        <f>0</f>
        <v>0</v>
      </c>
      <c r="DO49" s="91">
        <f>0</f>
        <v>0</v>
      </c>
      <c r="DP49" s="91">
        <f>0</f>
        <v>0</v>
      </c>
      <c r="DQ49" s="91">
        <f>0</f>
        <v>0</v>
      </c>
      <c r="DR49" s="91">
        <f>0</f>
        <v>0</v>
      </c>
      <c r="DS49" s="92">
        <f>0</f>
        <v>0</v>
      </c>
      <c r="DT49" s="92">
        <f>0</f>
        <v>0</v>
      </c>
      <c r="DU49" s="91"/>
      <c r="DV49" s="91">
        <v>0</v>
      </c>
      <c r="DW49" s="91">
        <v>0</v>
      </c>
      <c r="DX49" s="91">
        <v>0</v>
      </c>
      <c r="DY49" s="91">
        <v>0</v>
      </c>
      <c r="DZ49" s="91">
        <v>0</v>
      </c>
      <c r="EA49" s="91">
        <v>0</v>
      </c>
      <c r="EB49" s="91">
        <v>0</v>
      </c>
      <c r="EC49" s="91">
        <v>0</v>
      </c>
      <c r="ED49" s="91">
        <v>0</v>
      </c>
      <c r="EE49" s="91">
        <v>0</v>
      </c>
      <c r="EF49" s="91">
        <v>0</v>
      </c>
      <c r="EG49" s="91">
        <v>0</v>
      </c>
      <c r="EH49" s="92">
        <v>0</v>
      </c>
      <c r="EI49" s="92">
        <v>0</v>
      </c>
      <c r="EJ49" s="42"/>
      <c r="EK49" s="91">
        <v>0</v>
      </c>
      <c r="EL49" s="91">
        <v>0</v>
      </c>
      <c r="EM49" s="91">
        <v>0</v>
      </c>
      <c r="EN49" s="91">
        <v>0</v>
      </c>
      <c r="EO49" s="91">
        <v>0</v>
      </c>
      <c r="EP49" s="91">
        <v>0</v>
      </c>
      <c r="EQ49" s="91">
        <v>0</v>
      </c>
      <c r="ER49" s="91">
        <v>0</v>
      </c>
      <c r="ES49" s="91">
        <v>0</v>
      </c>
      <c r="ET49" s="91">
        <v>0</v>
      </c>
      <c r="EU49" s="91">
        <v>0</v>
      </c>
      <c r="EV49" s="91">
        <v>0</v>
      </c>
      <c r="EW49" s="92">
        <v>0</v>
      </c>
      <c r="EX49" s="92">
        <v>0</v>
      </c>
      <c r="EY49" s="10"/>
    </row>
    <row r="50" spans="1:155" ht="16" customHeight="1">
      <c r="A50" s="76"/>
      <c r="B50" s="48"/>
      <c r="C50" s="48" t="s">
        <v>88</v>
      </c>
      <c r="D50" s="76"/>
      <c r="E50" s="76"/>
      <c r="F50" s="86">
        <f t="shared" ref="F50:S50" si="186">SUM(F52)</f>
        <v>10.965403279999999</v>
      </c>
      <c r="G50" s="86">
        <f t="shared" si="186"/>
        <v>6.6495961000000001</v>
      </c>
      <c r="H50" s="86">
        <f t="shared" si="186"/>
        <v>10.122947700000003</v>
      </c>
      <c r="I50" s="86">
        <f t="shared" si="186"/>
        <v>9.7784975099999993</v>
      </c>
      <c r="J50" s="86">
        <f t="shared" si="186"/>
        <v>12.181031830000002</v>
      </c>
      <c r="K50" s="86">
        <f t="shared" si="186"/>
        <v>12.40590571229068</v>
      </c>
      <c r="L50" s="86">
        <f t="shared" si="186"/>
        <v>7.9184389242636728</v>
      </c>
      <c r="M50" s="86">
        <f t="shared" si="186"/>
        <v>10.455994002616023</v>
      </c>
      <c r="N50" s="86">
        <f t="shared" si="186"/>
        <v>13.111130078692877</v>
      </c>
      <c r="O50" s="86">
        <f t="shared" si="186"/>
        <v>14.126212340885612</v>
      </c>
      <c r="P50" s="86">
        <f t="shared" si="186"/>
        <v>17.149618192808163</v>
      </c>
      <c r="Q50" s="86">
        <f t="shared" si="186"/>
        <v>14.63106173831806</v>
      </c>
      <c r="R50" s="78">
        <f t="shared" si="186"/>
        <v>139.49583740987509</v>
      </c>
      <c r="S50" s="78">
        <f t="shared" si="186"/>
        <v>77.392455277584418</v>
      </c>
      <c r="T50" s="87"/>
      <c r="U50" s="86">
        <f t="shared" ref="U50:AH50" si="187">SUM(U52)</f>
        <v>0</v>
      </c>
      <c r="V50" s="86">
        <f t="shared" si="187"/>
        <v>0</v>
      </c>
      <c r="W50" s="86">
        <f t="shared" si="187"/>
        <v>0</v>
      </c>
      <c r="X50" s="86">
        <f t="shared" si="187"/>
        <v>0</v>
      </c>
      <c r="Y50" s="86">
        <f t="shared" si="187"/>
        <v>0</v>
      </c>
      <c r="Z50" s="86">
        <f t="shared" si="187"/>
        <v>0</v>
      </c>
      <c r="AA50" s="86">
        <f t="shared" si="187"/>
        <v>0</v>
      </c>
      <c r="AB50" s="86">
        <f t="shared" si="187"/>
        <v>0</v>
      </c>
      <c r="AC50" s="86">
        <f t="shared" si="187"/>
        <v>0</v>
      </c>
      <c r="AD50" s="86">
        <f t="shared" si="187"/>
        <v>0</v>
      </c>
      <c r="AE50" s="86">
        <f t="shared" si="187"/>
        <v>0</v>
      </c>
      <c r="AF50" s="86">
        <f t="shared" si="187"/>
        <v>0</v>
      </c>
      <c r="AG50" s="78">
        <f t="shared" si="187"/>
        <v>0</v>
      </c>
      <c r="AH50" s="78">
        <f t="shared" si="187"/>
        <v>0</v>
      </c>
      <c r="AI50" s="87"/>
      <c r="AJ50" s="86">
        <f t="shared" ref="AJ50:AW50" si="188">SUM(AJ52)</f>
        <v>0</v>
      </c>
      <c r="AK50" s="86">
        <f t="shared" si="188"/>
        <v>0</v>
      </c>
      <c r="AL50" s="86">
        <f t="shared" si="188"/>
        <v>0</v>
      </c>
      <c r="AM50" s="86">
        <f t="shared" si="188"/>
        <v>0</v>
      </c>
      <c r="AN50" s="86">
        <f t="shared" si="188"/>
        <v>0</v>
      </c>
      <c r="AO50" s="86">
        <f t="shared" si="188"/>
        <v>0</v>
      </c>
      <c r="AP50" s="86">
        <f t="shared" si="188"/>
        <v>0</v>
      </c>
      <c r="AQ50" s="86">
        <f t="shared" si="188"/>
        <v>0</v>
      </c>
      <c r="AR50" s="86">
        <f t="shared" si="188"/>
        <v>0</v>
      </c>
      <c r="AS50" s="86">
        <f t="shared" si="188"/>
        <v>0</v>
      </c>
      <c r="AT50" s="86">
        <f t="shared" si="188"/>
        <v>0</v>
      </c>
      <c r="AU50" s="86">
        <f t="shared" si="188"/>
        <v>0</v>
      </c>
      <c r="AV50" s="78">
        <f t="shared" si="188"/>
        <v>0</v>
      </c>
      <c r="AW50" s="78">
        <f t="shared" si="188"/>
        <v>0</v>
      </c>
      <c r="AX50" s="87"/>
      <c r="AY50" s="86">
        <f t="shared" ref="AY50:BL50" si="189">SUM(AY52)</f>
        <v>0</v>
      </c>
      <c r="AZ50" s="86">
        <f t="shared" si="189"/>
        <v>0</v>
      </c>
      <c r="BA50" s="86">
        <f t="shared" si="189"/>
        <v>0</v>
      </c>
      <c r="BB50" s="86">
        <f t="shared" si="189"/>
        <v>0</v>
      </c>
      <c r="BC50" s="86">
        <f t="shared" si="189"/>
        <v>0</v>
      </c>
      <c r="BD50" s="86">
        <f t="shared" si="189"/>
        <v>0</v>
      </c>
      <c r="BE50" s="86">
        <f t="shared" si="189"/>
        <v>0</v>
      </c>
      <c r="BF50" s="86">
        <f t="shared" si="189"/>
        <v>0</v>
      </c>
      <c r="BG50" s="86">
        <f t="shared" si="189"/>
        <v>0</v>
      </c>
      <c r="BH50" s="86">
        <f t="shared" si="189"/>
        <v>0</v>
      </c>
      <c r="BI50" s="86">
        <f t="shared" si="189"/>
        <v>0</v>
      </c>
      <c r="BJ50" s="86">
        <f t="shared" si="189"/>
        <v>0</v>
      </c>
      <c r="BK50" s="78">
        <f t="shared" si="189"/>
        <v>0</v>
      </c>
      <c r="BL50" s="78">
        <f t="shared" si="189"/>
        <v>0</v>
      </c>
      <c r="BM50" s="87"/>
      <c r="BN50" s="86">
        <f t="shared" ref="BN50:CA50" si="190">SUM(BN52)</f>
        <v>0</v>
      </c>
      <c r="BO50" s="86">
        <f t="shared" si="190"/>
        <v>0</v>
      </c>
      <c r="BP50" s="86">
        <f t="shared" si="190"/>
        <v>0</v>
      </c>
      <c r="BQ50" s="86">
        <f t="shared" si="190"/>
        <v>0</v>
      </c>
      <c r="BR50" s="86">
        <f t="shared" si="190"/>
        <v>0</v>
      </c>
      <c r="BS50" s="86">
        <f t="shared" si="190"/>
        <v>0</v>
      </c>
      <c r="BT50" s="86">
        <f t="shared" si="190"/>
        <v>0</v>
      </c>
      <c r="BU50" s="86">
        <f t="shared" si="190"/>
        <v>0</v>
      </c>
      <c r="BV50" s="86">
        <f t="shared" si="190"/>
        <v>0</v>
      </c>
      <c r="BW50" s="86">
        <f t="shared" si="190"/>
        <v>0</v>
      </c>
      <c r="BX50" s="86">
        <f t="shared" si="190"/>
        <v>0</v>
      </c>
      <c r="BY50" s="86">
        <f t="shared" si="190"/>
        <v>0</v>
      </c>
      <c r="BZ50" s="78">
        <f t="shared" si="190"/>
        <v>0</v>
      </c>
      <c r="CA50" s="78">
        <f t="shared" si="190"/>
        <v>0</v>
      </c>
      <c r="CB50" s="87"/>
      <c r="CC50" s="86">
        <f t="shared" ref="CC50:CP50" si="191">SUM(CC52)</f>
        <v>0</v>
      </c>
      <c r="CD50" s="86">
        <f t="shared" si="191"/>
        <v>0</v>
      </c>
      <c r="CE50" s="86">
        <f t="shared" si="191"/>
        <v>0</v>
      </c>
      <c r="CF50" s="86">
        <f t="shared" si="191"/>
        <v>0</v>
      </c>
      <c r="CG50" s="86">
        <f t="shared" si="191"/>
        <v>0</v>
      </c>
      <c r="CH50" s="86">
        <f t="shared" si="191"/>
        <v>0</v>
      </c>
      <c r="CI50" s="86">
        <f t="shared" si="191"/>
        <v>0</v>
      </c>
      <c r="CJ50" s="86">
        <f t="shared" si="191"/>
        <v>0</v>
      </c>
      <c r="CK50" s="86">
        <f t="shared" si="191"/>
        <v>0</v>
      </c>
      <c r="CL50" s="86">
        <f t="shared" si="191"/>
        <v>0</v>
      </c>
      <c r="CM50" s="86">
        <f t="shared" si="191"/>
        <v>0</v>
      </c>
      <c r="CN50" s="86">
        <f t="shared" si="191"/>
        <v>0</v>
      </c>
      <c r="CO50" s="78">
        <f t="shared" si="191"/>
        <v>0</v>
      </c>
      <c r="CP50" s="78">
        <f t="shared" si="191"/>
        <v>0</v>
      </c>
      <c r="CQ50" s="87"/>
      <c r="CR50" s="86">
        <f t="shared" ref="CR50:DE50" si="192">SUM(CR52)</f>
        <v>0</v>
      </c>
      <c r="CS50" s="86">
        <f t="shared" si="192"/>
        <v>0</v>
      </c>
      <c r="CT50" s="86">
        <f t="shared" si="192"/>
        <v>0</v>
      </c>
      <c r="CU50" s="86">
        <f t="shared" si="192"/>
        <v>0</v>
      </c>
      <c r="CV50" s="86">
        <f t="shared" si="192"/>
        <v>0</v>
      </c>
      <c r="CW50" s="86">
        <f t="shared" si="192"/>
        <v>0</v>
      </c>
      <c r="CX50" s="86">
        <f t="shared" si="192"/>
        <v>0</v>
      </c>
      <c r="CY50" s="86">
        <f t="shared" si="192"/>
        <v>0</v>
      </c>
      <c r="CZ50" s="86">
        <f t="shared" si="192"/>
        <v>0</v>
      </c>
      <c r="DA50" s="86">
        <f t="shared" si="192"/>
        <v>0</v>
      </c>
      <c r="DB50" s="86">
        <f t="shared" si="192"/>
        <v>0</v>
      </c>
      <c r="DC50" s="86">
        <f t="shared" si="192"/>
        <v>0</v>
      </c>
      <c r="DD50" s="78">
        <f t="shared" si="192"/>
        <v>0</v>
      </c>
      <c r="DE50" s="78">
        <f t="shared" si="192"/>
        <v>0</v>
      </c>
      <c r="DF50" s="87"/>
      <c r="DG50" s="86">
        <f t="shared" ref="DG50:DT50" si="193">SUM(DG52)</f>
        <v>0</v>
      </c>
      <c r="DH50" s="86">
        <f t="shared" si="193"/>
        <v>0</v>
      </c>
      <c r="DI50" s="86">
        <f t="shared" si="193"/>
        <v>0</v>
      </c>
      <c r="DJ50" s="86">
        <f t="shared" si="193"/>
        <v>0</v>
      </c>
      <c r="DK50" s="86">
        <f t="shared" si="193"/>
        <v>0</v>
      </c>
      <c r="DL50" s="86">
        <f t="shared" si="193"/>
        <v>0</v>
      </c>
      <c r="DM50" s="86">
        <f t="shared" si="193"/>
        <v>0</v>
      </c>
      <c r="DN50" s="86">
        <f t="shared" si="193"/>
        <v>0</v>
      </c>
      <c r="DO50" s="86">
        <f t="shared" si="193"/>
        <v>0</v>
      </c>
      <c r="DP50" s="86">
        <f t="shared" si="193"/>
        <v>0</v>
      </c>
      <c r="DQ50" s="86">
        <f t="shared" si="193"/>
        <v>0</v>
      </c>
      <c r="DR50" s="86">
        <f t="shared" si="193"/>
        <v>0</v>
      </c>
      <c r="DS50" s="78">
        <f t="shared" si="193"/>
        <v>0</v>
      </c>
      <c r="DT50" s="78">
        <f t="shared" si="193"/>
        <v>0</v>
      </c>
      <c r="DU50" s="87"/>
      <c r="DV50" s="86">
        <f t="shared" ref="DV50:EI50" si="194">SUM(DV52)</f>
        <v>0</v>
      </c>
      <c r="DW50" s="86">
        <f t="shared" si="194"/>
        <v>0</v>
      </c>
      <c r="DX50" s="86">
        <f t="shared" si="194"/>
        <v>0</v>
      </c>
      <c r="DY50" s="86">
        <f t="shared" si="194"/>
        <v>0</v>
      </c>
      <c r="DZ50" s="86">
        <f t="shared" si="194"/>
        <v>0</v>
      </c>
      <c r="EA50" s="86">
        <f t="shared" si="194"/>
        <v>0</v>
      </c>
      <c r="EB50" s="86">
        <f t="shared" si="194"/>
        <v>0</v>
      </c>
      <c r="EC50" s="86">
        <f t="shared" si="194"/>
        <v>0</v>
      </c>
      <c r="ED50" s="86">
        <f t="shared" si="194"/>
        <v>0</v>
      </c>
      <c r="EE50" s="86">
        <f t="shared" si="194"/>
        <v>0</v>
      </c>
      <c r="EF50" s="86">
        <f t="shared" si="194"/>
        <v>0</v>
      </c>
      <c r="EG50" s="86">
        <f t="shared" si="194"/>
        <v>0</v>
      </c>
      <c r="EH50" s="78">
        <f t="shared" si="194"/>
        <v>0</v>
      </c>
      <c r="EI50" s="78">
        <f t="shared" si="194"/>
        <v>0</v>
      </c>
      <c r="EJ50" s="42"/>
      <c r="EK50" s="86">
        <f t="shared" ref="EK50:EX50" si="195">SUM(EK52)</f>
        <v>0</v>
      </c>
      <c r="EL50" s="86">
        <f t="shared" si="195"/>
        <v>0</v>
      </c>
      <c r="EM50" s="86">
        <f t="shared" si="195"/>
        <v>0</v>
      </c>
      <c r="EN50" s="86">
        <f t="shared" si="195"/>
        <v>0</v>
      </c>
      <c r="EO50" s="86">
        <f t="shared" si="195"/>
        <v>0</v>
      </c>
      <c r="EP50" s="86">
        <f t="shared" si="195"/>
        <v>0</v>
      </c>
      <c r="EQ50" s="86">
        <f t="shared" si="195"/>
        <v>0</v>
      </c>
      <c r="ER50" s="86">
        <f t="shared" si="195"/>
        <v>0</v>
      </c>
      <c r="ES50" s="86">
        <f t="shared" si="195"/>
        <v>0</v>
      </c>
      <c r="ET50" s="86">
        <f t="shared" si="195"/>
        <v>0</v>
      </c>
      <c r="EU50" s="86">
        <f t="shared" si="195"/>
        <v>0</v>
      </c>
      <c r="EV50" s="86">
        <f t="shared" si="195"/>
        <v>0</v>
      </c>
      <c r="EW50" s="78">
        <f t="shared" si="195"/>
        <v>0</v>
      </c>
      <c r="EX50" s="78">
        <f t="shared" si="195"/>
        <v>0</v>
      </c>
      <c r="EY50" s="9"/>
    </row>
    <row r="51" spans="1:155" s="8" customFormat="1" ht="16" customHeight="1">
      <c r="A51" s="88"/>
      <c r="B51" s="89"/>
      <c r="C51" s="89" t="s">
        <v>108</v>
      </c>
      <c r="D51" s="88"/>
      <c r="E51" s="88"/>
      <c r="F51" s="90">
        <f t="shared" ref="F51:S51" si="196">IFERROR(F50/F$3,0)</f>
        <v>0.01</v>
      </c>
      <c r="G51" s="90">
        <f t="shared" si="196"/>
        <v>0.01</v>
      </c>
      <c r="H51" s="90">
        <f t="shared" si="196"/>
        <v>0.01</v>
      </c>
      <c r="I51" s="90">
        <f t="shared" si="196"/>
        <v>0.01</v>
      </c>
      <c r="J51" s="90">
        <f t="shared" si="196"/>
        <v>0.01</v>
      </c>
      <c r="K51" s="90">
        <f t="shared" si="196"/>
        <v>0.01</v>
      </c>
      <c r="L51" s="90">
        <f t="shared" si="196"/>
        <v>0.01</v>
      </c>
      <c r="M51" s="90">
        <f t="shared" si="196"/>
        <v>0.01</v>
      </c>
      <c r="N51" s="90">
        <f t="shared" si="196"/>
        <v>0.01</v>
      </c>
      <c r="O51" s="90">
        <f t="shared" si="196"/>
        <v>0.01</v>
      </c>
      <c r="P51" s="90">
        <f t="shared" si="196"/>
        <v>9.9999999999999985E-3</v>
      </c>
      <c r="Q51" s="90">
        <f t="shared" si="196"/>
        <v>0.01</v>
      </c>
      <c r="R51" s="83">
        <f t="shared" si="196"/>
        <v>0.01</v>
      </c>
      <c r="S51" s="83">
        <f t="shared" si="196"/>
        <v>1.0000000000000002E-2</v>
      </c>
      <c r="T51" s="84"/>
      <c r="U51" s="90">
        <f t="shared" ref="U51:AH51" si="197">IFERROR(U50/U$3,0)</f>
        <v>0</v>
      </c>
      <c r="V51" s="90">
        <f t="shared" si="197"/>
        <v>0</v>
      </c>
      <c r="W51" s="90">
        <f t="shared" si="197"/>
        <v>0</v>
      </c>
      <c r="X51" s="90">
        <f t="shared" si="197"/>
        <v>0</v>
      </c>
      <c r="Y51" s="90">
        <f t="shared" si="197"/>
        <v>0</v>
      </c>
      <c r="Z51" s="90">
        <f t="shared" si="197"/>
        <v>0</v>
      </c>
      <c r="AA51" s="90">
        <f t="shared" si="197"/>
        <v>0</v>
      </c>
      <c r="AB51" s="90">
        <f t="shared" si="197"/>
        <v>0</v>
      </c>
      <c r="AC51" s="90">
        <f t="shared" si="197"/>
        <v>0</v>
      </c>
      <c r="AD51" s="90">
        <f t="shared" si="197"/>
        <v>0</v>
      </c>
      <c r="AE51" s="90">
        <f t="shared" si="197"/>
        <v>0</v>
      </c>
      <c r="AF51" s="90">
        <f t="shared" si="197"/>
        <v>0</v>
      </c>
      <c r="AG51" s="83">
        <f t="shared" si="197"/>
        <v>0</v>
      </c>
      <c r="AH51" s="83">
        <f t="shared" si="197"/>
        <v>0</v>
      </c>
      <c r="AI51" s="84"/>
      <c r="AJ51" s="90">
        <f t="shared" ref="AJ51:AW51" si="198">IFERROR(AJ50/AJ$3,0)</f>
        <v>0</v>
      </c>
      <c r="AK51" s="90">
        <f t="shared" si="198"/>
        <v>0</v>
      </c>
      <c r="AL51" s="90">
        <f t="shared" si="198"/>
        <v>0</v>
      </c>
      <c r="AM51" s="90">
        <f t="shared" si="198"/>
        <v>0</v>
      </c>
      <c r="AN51" s="90">
        <f t="shared" si="198"/>
        <v>0</v>
      </c>
      <c r="AO51" s="90">
        <f t="shared" si="198"/>
        <v>0</v>
      </c>
      <c r="AP51" s="90">
        <f t="shared" si="198"/>
        <v>0</v>
      </c>
      <c r="AQ51" s="90">
        <f t="shared" si="198"/>
        <v>0</v>
      </c>
      <c r="AR51" s="90">
        <f t="shared" si="198"/>
        <v>0</v>
      </c>
      <c r="AS51" s="90">
        <f t="shared" si="198"/>
        <v>0</v>
      </c>
      <c r="AT51" s="90">
        <f t="shared" si="198"/>
        <v>0</v>
      </c>
      <c r="AU51" s="90">
        <f t="shared" si="198"/>
        <v>0</v>
      </c>
      <c r="AV51" s="83">
        <f t="shared" si="198"/>
        <v>0</v>
      </c>
      <c r="AW51" s="83">
        <f t="shared" si="198"/>
        <v>0</v>
      </c>
      <c r="AX51" s="84"/>
      <c r="AY51" s="90">
        <f t="shared" ref="AY51:BL51" si="199">IFERROR(AY50/AY$3,0)</f>
        <v>0</v>
      </c>
      <c r="AZ51" s="90">
        <f t="shared" si="199"/>
        <v>0</v>
      </c>
      <c r="BA51" s="90">
        <f t="shared" si="199"/>
        <v>0</v>
      </c>
      <c r="BB51" s="90">
        <f t="shared" si="199"/>
        <v>0</v>
      </c>
      <c r="BC51" s="90">
        <f t="shared" si="199"/>
        <v>0</v>
      </c>
      <c r="BD51" s="90">
        <f t="shared" si="199"/>
        <v>0</v>
      </c>
      <c r="BE51" s="90">
        <f t="shared" si="199"/>
        <v>0</v>
      </c>
      <c r="BF51" s="90">
        <f t="shared" si="199"/>
        <v>0</v>
      </c>
      <c r="BG51" s="90">
        <f t="shared" si="199"/>
        <v>0</v>
      </c>
      <c r="BH51" s="90">
        <f t="shared" si="199"/>
        <v>0</v>
      </c>
      <c r="BI51" s="90">
        <f t="shared" si="199"/>
        <v>0</v>
      </c>
      <c r="BJ51" s="90">
        <f t="shared" si="199"/>
        <v>0</v>
      </c>
      <c r="BK51" s="83">
        <f t="shared" si="199"/>
        <v>0</v>
      </c>
      <c r="BL51" s="83">
        <f t="shared" si="199"/>
        <v>0</v>
      </c>
      <c r="BM51" s="84"/>
      <c r="BN51" s="90">
        <f t="shared" ref="BN51:CA51" si="200">IFERROR(BN50/BN$3,0)</f>
        <v>0</v>
      </c>
      <c r="BO51" s="90">
        <f t="shared" si="200"/>
        <v>0</v>
      </c>
      <c r="BP51" s="90">
        <f t="shared" si="200"/>
        <v>0</v>
      </c>
      <c r="BQ51" s="90">
        <f t="shared" si="200"/>
        <v>0</v>
      </c>
      <c r="BR51" s="90">
        <f t="shared" si="200"/>
        <v>0</v>
      </c>
      <c r="BS51" s="90">
        <f t="shared" si="200"/>
        <v>0</v>
      </c>
      <c r="BT51" s="90">
        <f t="shared" si="200"/>
        <v>0</v>
      </c>
      <c r="BU51" s="90">
        <f t="shared" si="200"/>
        <v>0</v>
      </c>
      <c r="BV51" s="90">
        <f t="shared" si="200"/>
        <v>0</v>
      </c>
      <c r="BW51" s="90">
        <f t="shared" si="200"/>
        <v>0</v>
      </c>
      <c r="BX51" s="90">
        <f t="shared" si="200"/>
        <v>0</v>
      </c>
      <c r="BY51" s="90">
        <f t="shared" si="200"/>
        <v>0</v>
      </c>
      <c r="BZ51" s="83">
        <f t="shared" si="200"/>
        <v>0</v>
      </c>
      <c r="CA51" s="83">
        <f t="shared" si="200"/>
        <v>0</v>
      </c>
      <c r="CB51" s="84"/>
      <c r="CC51" s="90">
        <f t="shared" ref="CC51:CP51" si="201">IFERROR(CC50/CC$3,0)</f>
        <v>0</v>
      </c>
      <c r="CD51" s="90">
        <f t="shared" si="201"/>
        <v>0</v>
      </c>
      <c r="CE51" s="90">
        <f t="shared" si="201"/>
        <v>0</v>
      </c>
      <c r="CF51" s="90">
        <f t="shared" si="201"/>
        <v>0</v>
      </c>
      <c r="CG51" s="90">
        <f t="shared" si="201"/>
        <v>0</v>
      </c>
      <c r="CH51" s="90">
        <f t="shared" si="201"/>
        <v>0</v>
      </c>
      <c r="CI51" s="90">
        <f t="shared" si="201"/>
        <v>0</v>
      </c>
      <c r="CJ51" s="90">
        <f t="shared" si="201"/>
        <v>0</v>
      </c>
      <c r="CK51" s="90">
        <f t="shared" si="201"/>
        <v>0</v>
      </c>
      <c r="CL51" s="90">
        <f t="shared" si="201"/>
        <v>0</v>
      </c>
      <c r="CM51" s="90">
        <f t="shared" si="201"/>
        <v>0</v>
      </c>
      <c r="CN51" s="90">
        <f t="shared" si="201"/>
        <v>0</v>
      </c>
      <c r="CO51" s="83">
        <f t="shared" si="201"/>
        <v>0</v>
      </c>
      <c r="CP51" s="83">
        <f t="shared" si="201"/>
        <v>0</v>
      </c>
      <c r="CQ51" s="84"/>
      <c r="CR51" s="90">
        <f t="shared" ref="CR51:DE51" si="202">IFERROR(CR50/CR$3,0)</f>
        <v>0</v>
      </c>
      <c r="CS51" s="90">
        <f t="shared" si="202"/>
        <v>0</v>
      </c>
      <c r="CT51" s="90">
        <f t="shared" si="202"/>
        <v>0</v>
      </c>
      <c r="CU51" s="90">
        <f t="shared" si="202"/>
        <v>0</v>
      </c>
      <c r="CV51" s="90">
        <f t="shared" si="202"/>
        <v>0</v>
      </c>
      <c r="CW51" s="90">
        <f t="shared" si="202"/>
        <v>0</v>
      </c>
      <c r="CX51" s="90">
        <f t="shared" si="202"/>
        <v>0</v>
      </c>
      <c r="CY51" s="90">
        <f t="shared" si="202"/>
        <v>0</v>
      </c>
      <c r="CZ51" s="90">
        <f t="shared" si="202"/>
        <v>0</v>
      </c>
      <c r="DA51" s="90">
        <f t="shared" si="202"/>
        <v>0</v>
      </c>
      <c r="DB51" s="90">
        <f t="shared" si="202"/>
        <v>0</v>
      </c>
      <c r="DC51" s="90">
        <f t="shared" si="202"/>
        <v>0</v>
      </c>
      <c r="DD51" s="83">
        <f t="shared" si="202"/>
        <v>0</v>
      </c>
      <c r="DE51" s="83">
        <f t="shared" si="202"/>
        <v>0</v>
      </c>
      <c r="DF51" s="84"/>
      <c r="DG51" s="90">
        <f t="shared" ref="DG51:DT51" si="203">IFERROR(DG50/DG$3,0)</f>
        <v>0</v>
      </c>
      <c r="DH51" s="90">
        <f t="shared" si="203"/>
        <v>0</v>
      </c>
      <c r="DI51" s="90">
        <f t="shared" si="203"/>
        <v>0</v>
      </c>
      <c r="DJ51" s="90">
        <f t="shared" si="203"/>
        <v>0</v>
      </c>
      <c r="DK51" s="90">
        <f t="shared" si="203"/>
        <v>0</v>
      </c>
      <c r="DL51" s="90">
        <f t="shared" si="203"/>
        <v>0</v>
      </c>
      <c r="DM51" s="90">
        <f t="shared" si="203"/>
        <v>0</v>
      </c>
      <c r="DN51" s="90">
        <f t="shared" si="203"/>
        <v>0</v>
      </c>
      <c r="DO51" s="90">
        <f t="shared" si="203"/>
        <v>0</v>
      </c>
      <c r="DP51" s="90">
        <f t="shared" si="203"/>
        <v>0</v>
      </c>
      <c r="DQ51" s="90">
        <f t="shared" si="203"/>
        <v>0</v>
      </c>
      <c r="DR51" s="90">
        <f t="shared" si="203"/>
        <v>0</v>
      </c>
      <c r="DS51" s="83">
        <f t="shared" si="203"/>
        <v>0</v>
      </c>
      <c r="DT51" s="83">
        <f t="shared" si="203"/>
        <v>0</v>
      </c>
      <c r="DU51" s="84"/>
      <c r="DV51" s="90">
        <f t="shared" ref="DV51:EI51" si="204">IFERROR(DV50/DV$3,0)</f>
        <v>0</v>
      </c>
      <c r="DW51" s="90">
        <f t="shared" si="204"/>
        <v>0</v>
      </c>
      <c r="DX51" s="90">
        <f t="shared" si="204"/>
        <v>0</v>
      </c>
      <c r="DY51" s="90">
        <f t="shared" si="204"/>
        <v>0</v>
      </c>
      <c r="DZ51" s="90">
        <f t="shared" si="204"/>
        <v>0</v>
      </c>
      <c r="EA51" s="90">
        <f t="shared" si="204"/>
        <v>0</v>
      </c>
      <c r="EB51" s="90">
        <f t="shared" si="204"/>
        <v>0</v>
      </c>
      <c r="EC51" s="90">
        <f t="shared" si="204"/>
        <v>0</v>
      </c>
      <c r="ED51" s="90">
        <f t="shared" si="204"/>
        <v>0</v>
      </c>
      <c r="EE51" s="90">
        <f t="shared" si="204"/>
        <v>0</v>
      </c>
      <c r="EF51" s="90">
        <f t="shared" si="204"/>
        <v>0</v>
      </c>
      <c r="EG51" s="90">
        <f t="shared" si="204"/>
        <v>0</v>
      </c>
      <c r="EH51" s="83">
        <f t="shared" si="204"/>
        <v>0</v>
      </c>
      <c r="EI51" s="83">
        <f t="shared" si="204"/>
        <v>0</v>
      </c>
      <c r="EJ51" s="85"/>
      <c r="EK51" s="90">
        <f t="shared" ref="EK51:EX51" si="205">IFERROR(EK50/EK$3,0)</f>
        <v>0</v>
      </c>
      <c r="EL51" s="90">
        <f t="shared" si="205"/>
        <v>0</v>
      </c>
      <c r="EM51" s="90">
        <f t="shared" si="205"/>
        <v>0</v>
      </c>
      <c r="EN51" s="90">
        <f t="shared" si="205"/>
        <v>0</v>
      </c>
      <c r="EO51" s="90">
        <f t="shared" si="205"/>
        <v>0</v>
      </c>
      <c r="EP51" s="90">
        <f t="shared" si="205"/>
        <v>0</v>
      </c>
      <c r="EQ51" s="90">
        <f t="shared" si="205"/>
        <v>0</v>
      </c>
      <c r="ER51" s="90">
        <f t="shared" si="205"/>
        <v>0</v>
      </c>
      <c r="ES51" s="90">
        <f t="shared" si="205"/>
        <v>0</v>
      </c>
      <c r="ET51" s="90">
        <f t="shared" si="205"/>
        <v>0</v>
      </c>
      <c r="EU51" s="90">
        <f t="shared" si="205"/>
        <v>0</v>
      </c>
      <c r="EV51" s="90">
        <f t="shared" si="205"/>
        <v>0</v>
      </c>
      <c r="EW51" s="83">
        <f t="shared" si="205"/>
        <v>0</v>
      </c>
      <c r="EX51" s="83">
        <f t="shared" si="205"/>
        <v>0</v>
      </c>
      <c r="EY51" s="7"/>
    </row>
    <row r="52" spans="1:155" ht="16" customHeight="1">
      <c r="A52" s="68"/>
      <c r="B52" s="68"/>
      <c r="C52" s="68"/>
      <c r="D52" s="68" t="s">
        <v>88</v>
      </c>
      <c r="E52" s="68" t="s">
        <v>82</v>
      </c>
      <c r="F52" s="91">
        <f>'总表-汇总损益表'!H$53</f>
        <v>10.965403279999999</v>
      </c>
      <c r="G52" s="91">
        <f>'总表-汇总损益表'!I$53</f>
        <v>6.6495961000000001</v>
      </c>
      <c r="H52" s="91">
        <f>'总表-汇总损益表'!J$53</f>
        <v>10.122947700000003</v>
      </c>
      <c r="I52" s="91">
        <f>'总表-汇总损益表'!K$53</f>
        <v>9.7784975099999993</v>
      </c>
      <c r="J52" s="91">
        <f>'总表-汇总损益表'!L$53</f>
        <v>12.181031830000002</v>
      </c>
      <c r="K52" s="91">
        <f>'总表-汇总损益表'!M$53</f>
        <v>12.40590571229068</v>
      </c>
      <c r="L52" s="91">
        <f>'总表-汇总损益表'!N$53</f>
        <v>7.9184389242636728</v>
      </c>
      <c r="M52" s="91">
        <f>'总表-汇总损益表'!O$53</f>
        <v>10.455994002616023</v>
      </c>
      <c r="N52" s="91">
        <f>'总表-汇总损益表'!P$53</f>
        <v>13.111130078692877</v>
      </c>
      <c r="O52" s="91">
        <f>'总表-汇总损益表'!Q$53</f>
        <v>14.126212340885612</v>
      </c>
      <c r="P52" s="91">
        <f>'总表-汇总损益表'!R$53</f>
        <v>17.149618192808163</v>
      </c>
      <c r="Q52" s="91">
        <f>'总表-汇总损益表'!S$53</f>
        <v>14.63106173831806</v>
      </c>
      <c r="R52" s="92">
        <f>'总表-汇总损益表'!U$53</f>
        <v>139.49583740987509</v>
      </c>
      <c r="S52" s="92">
        <f>'总表-汇总损益表'!V$53</f>
        <v>77.392455277584418</v>
      </c>
      <c r="T52" s="91"/>
      <c r="U52" s="91">
        <f>0</f>
        <v>0</v>
      </c>
      <c r="V52" s="91">
        <f>0</f>
        <v>0</v>
      </c>
      <c r="W52" s="91">
        <f>0</f>
        <v>0</v>
      </c>
      <c r="X52" s="91">
        <f>0</f>
        <v>0</v>
      </c>
      <c r="Y52" s="91">
        <f>0</f>
        <v>0</v>
      </c>
      <c r="Z52" s="91">
        <f>0</f>
        <v>0</v>
      </c>
      <c r="AA52" s="91">
        <f>0</f>
        <v>0</v>
      </c>
      <c r="AB52" s="91">
        <f>0</f>
        <v>0</v>
      </c>
      <c r="AC52" s="91">
        <f>0</f>
        <v>0</v>
      </c>
      <c r="AD52" s="91">
        <f>0</f>
        <v>0</v>
      </c>
      <c r="AE52" s="91">
        <f>0</f>
        <v>0</v>
      </c>
      <c r="AF52" s="91">
        <f>0</f>
        <v>0</v>
      </c>
      <c r="AG52" s="92">
        <f>0</f>
        <v>0</v>
      </c>
      <c r="AH52" s="92">
        <f>0</f>
        <v>0</v>
      </c>
      <c r="AI52" s="91"/>
      <c r="AJ52" s="91">
        <f>0</f>
        <v>0</v>
      </c>
      <c r="AK52" s="91">
        <f>0</f>
        <v>0</v>
      </c>
      <c r="AL52" s="91">
        <f>0</f>
        <v>0</v>
      </c>
      <c r="AM52" s="91">
        <f>0</f>
        <v>0</v>
      </c>
      <c r="AN52" s="91">
        <f>0</f>
        <v>0</v>
      </c>
      <c r="AO52" s="91">
        <f>0</f>
        <v>0</v>
      </c>
      <c r="AP52" s="91">
        <f>0</f>
        <v>0</v>
      </c>
      <c r="AQ52" s="91">
        <f>0</f>
        <v>0</v>
      </c>
      <c r="AR52" s="91">
        <f>0</f>
        <v>0</v>
      </c>
      <c r="AS52" s="91">
        <f>0</f>
        <v>0</v>
      </c>
      <c r="AT52" s="91">
        <f>0</f>
        <v>0</v>
      </c>
      <c r="AU52" s="91">
        <f>0</f>
        <v>0</v>
      </c>
      <c r="AV52" s="92">
        <f>0</f>
        <v>0</v>
      </c>
      <c r="AW52" s="92">
        <f>0</f>
        <v>0</v>
      </c>
      <c r="AX52" s="91"/>
      <c r="AY52" s="91">
        <f>0</f>
        <v>0</v>
      </c>
      <c r="AZ52" s="91">
        <f>0</f>
        <v>0</v>
      </c>
      <c r="BA52" s="91">
        <f>0</f>
        <v>0</v>
      </c>
      <c r="BB52" s="91">
        <f>0</f>
        <v>0</v>
      </c>
      <c r="BC52" s="91">
        <f>0</f>
        <v>0</v>
      </c>
      <c r="BD52" s="91">
        <f>0</f>
        <v>0</v>
      </c>
      <c r="BE52" s="91">
        <f>0</f>
        <v>0</v>
      </c>
      <c r="BF52" s="91">
        <f>0</f>
        <v>0</v>
      </c>
      <c r="BG52" s="91">
        <f>0</f>
        <v>0</v>
      </c>
      <c r="BH52" s="91">
        <f>0</f>
        <v>0</v>
      </c>
      <c r="BI52" s="91">
        <f>0</f>
        <v>0</v>
      </c>
      <c r="BJ52" s="91">
        <f>0</f>
        <v>0</v>
      </c>
      <c r="BK52" s="92">
        <f>0</f>
        <v>0</v>
      </c>
      <c r="BL52" s="92">
        <f>0</f>
        <v>0</v>
      </c>
      <c r="BM52" s="91"/>
      <c r="BN52" s="91">
        <f>0</f>
        <v>0</v>
      </c>
      <c r="BO52" s="91">
        <f>0</f>
        <v>0</v>
      </c>
      <c r="BP52" s="91">
        <f>0</f>
        <v>0</v>
      </c>
      <c r="BQ52" s="91">
        <f>0</f>
        <v>0</v>
      </c>
      <c r="BR52" s="91">
        <f>0</f>
        <v>0</v>
      </c>
      <c r="BS52" s="91">
        <f>0</f>
        <v>0</v>
      </c>
      <c r="BT52" s="91">
        <f>0</f>
        <v>0</v>
      </c>
      <c r="BU52" s="91">
        <f>0</f>
        <v>0</v>
      </c>
      <c r="BV52" s="91">
        <f>0</f>
        <v>0</v>
      </c>
      <c r="BW52" s="91">
        <f>0</f>
        <v>0</v>
      </c>
      <c r="BX52" s="91">
        <f>0</f>
        <v>0</v>
      </c>
      <c r="BY52" s="91">
        <f>0</f>
        <v>0</v>
      </c>
      <c r="BZ52" s="92">
        <f>0</f>
        <v>0</v>
      </c>
      <c r="CA52" s="92">
        <f>0</f>
        <v>0</v>
      </c>
      <c r="CB52" s="91"/>
      <c r="CC52" s="91">
        <f>0</f>
        <v>0</v>
      </c>
      <c r="CD52" s="91">
        <f>0</f>
        <v>0</v>
      </c>
      <c r="CE52" s="91">
        <f>0</f>
        <v>0</v>
      </c>
      <c r="CF52" s="91">
        <f>0</f>
        <v>0</v>
      </c>
      <c r="CG52" s="91">
        <f>0</f>
        <v>0</v>
      </c>
      <c r="CH52" s="91">
        <f>0</f>
        <v>0</v>
      </c>
      <c r="CI52" s="91">
        <f>0</f>
        <v>0</v>
      </c>
      <c r="CJ52" s="91">
        <f>0</f>
        <v>0</v>
      </c>
      <c r="CK52" s="91">
        <f>0</f>
        <v>0</v>
      </c>
      <c r="CL52" s="91">
        <f>0</f>
        <v>0</v>
      </c>
      <c r="CM52" s="91">
        <f>0</f>
        <v>0</v>
      </c>
      <c r="CN52" s="91">
        <f>0</f>
        <v>0</v>
      </c>
      <c r="CO52" s="92">
        <f>0</f>
        <v>0</v>
      </c>
      <c r="CP52" s="92">
        <f>0</f>
        <v>0</v>
      </c>
      <c r="CQ52" s="91"/>
      <c r="CR52" s="91">
        <f>0</f>
        <v>0</v>
      </c>
      <c r="CS52" s="91">
        <f>0</f>
        <v>0</v>
      </c>
      <c r="CT52" s="91">
        <f>0</f>
        <v>0</v>
      </c>
      <c r="CU52" s="91">
        <f>0</f>
        <v>0</v>
      </c>
      <c r="CV52" s="91">
        <f>0</f>
        <v>0</v>
      </c>
      <c r="CW52" s="91">
        <f>0</f>
        <v>0</v>
      </c>
      <c r="CX52" s="91">
        <f>0</f>
        <v>0</v>
      </c>
      <c r="CY52" s="91">
        <f>0</f>
        <v>0</v>
      </c>
      <c r="CZ52" s="91">
        <f>0</f>
        <v>0</v>
      </c>
      <c r="DA52" s="91">
        <f>0</f>
        <v>0</v>
      </c>
      <c r="DB52" s="91">
        <f>0</f>
        <v>0</v>
      </c>
      <c r="DC52" s="91">
        <f>0</f>
        <v>0</v>
      </c>
      <c r="DD52" s="92">
        <f>0</f>
        <v>0</v>
      </c>
      <c r="DE52" s="92">
        <f>0</f>
        <v>0</v>
      </c>
      <c r="DF52" s="91"/>
      <c r="DG52" s="91">
        <f>0</f>
        <v>0</v>
      </c>
      <c r="DH52" s="91">
        <f>0</f>
        <v>0</v>
      </c>
      <c r="DI52" s="91">
        <f>0</f>
        <v>0</v>
      </c>
      <c r="DJ52" s="91">
        <f>0</f>
        <v>0</v>
      </c>
      <c r="DK52" s="91">
        <f>0</f>
        <v>0</v>
      </c>
      <c r="DL52" s="91">
        <f>0</f>
        <v>0</v>
      </c>
      <c r="DM52" s="91">
        <f>0</f>
        <v>0</v>
      </c>
      <c r="DN52" s="91">
        <f>0</f>
        <v>0</v>
      </c>
      <c r="DO52" s="91">
        <f>0</f>
        <v>0</v>
      </c>
      <c r="DP52" s="91">
        <f>0</f>
        <v>0</v>
      </c>
      <c r="DQ52" s="91">
        <f>0</f>
        <v>0</v>
      </c>
      <c r="DR52" s="91">
        <f>0</f>
        <v>0</v>
      </c>
      <c r="DS52" s="92">
        <f>0</f>
        <v>0</v>
      </c>
      <c r="DT52" s="92">
        <f>0</f>
        <v>0</v>
      </c>
      <c r="DU52" s="91"/>
      <c r="DV52" s="91">
        <v>0</v>
      </c>
      <c r="DW52" s="91">
        <v>0</v>
      </c>
      <c r="DX52" s="91">
        <v>0</v>
      </c>
      <c r="DY52" s="91">
        <v>0</v>
      </c>
      <c r="DZ52" s="91">
        <v>0</v>
      </c>
      <c r="EA52" s="91">
        <v>0</v>
      </c>
      <c r="EB52" s="91">
        <v>0</v>
      </c>
      <c r="EC52" s="91">
        <v>0</v>
      </c>
      <c r="ED52" s="91">
        <v>0</v>
      </c>
      <c r="EE52" s="91">
        <v>0</v>
      </c>
      <c r="EF52" s="91">
        <v>0</v>
      </c>
      <c r="EG52" s="91">
        <v>0</v>
      </c>
      <c r="EH52" s="92">
        <v>0</v>
      </c>
      <c r="EI52" s="92">
        <v>0</v>
      </c>
      <c r="EJ52" s="42"/>
      <c r="EK52" s="91">
        <v>0</v>
      </c>
      <c r="EL52" s="91">
        <v>0</v>
      </c>
      <c r="EM52" s="91">
        <v>0</v>
      </c>
      <c r="EN52" s="91">
        <v>0</v>
      </c>
      <c r="EO52" s="91">
        <v>0</v>
      </c>
      <c r="EP52" s="91">
        <v>0</v>
      </c>
      <c r="EQ52" s="91">
        <v>0</v>
      </c>
      <c r="ER52" s="91">
        <v>0</v>
      </c>
      <c r="ES52" s="91">
        <v>0</v>
      </c>
      <c r="ET52" s="91">
        <v>0</v>
      </c>
      <c r="EU52" s="91">
        <v>0</v>
      </c>
      <c r="EV52" s="91">
        <v>0</v>
      </c>
      <c r="EW52" s="92">
        <v>0</v>
      </c>
      <c r="EX52" s="92">
        <v>0</v>
      </c>
      <c r="EY52" s="10"/>
    </row>
    <row r="53" spans="1:155" ht="16" customHeight="1">
      <c r="A53" s="76"/>
      <c r="B53" s="48" t="s">
        <v>90</v>
      </c>
      <c r="C53" s="76"/>
      <c r="D53" s="76"/>
      <c r="E53" s="76"/>
      <c r="F53" s="100">
        <f>SUMIFS('辅助-汇总损益长表'!$C$2:$C$242,'辅助-汇总损益长表'!$A$2:$A$242,"财务费用",'辅助-汇总损益长表'!$B$2:$B$242,F$2)</f>
        <v>2.1930806559999998</v>
      </c>
      <c r="G53" s="100">
        <f>SUMIFS('辅助-汇总损益长表'!$C$2:$C$242,'辅助-汇总损益长表'!$A$2:$A$242,"财务费用",'辅助-汇总损益长表'!$B$2:$B$242,G$2)</f>
        <v>1.3299192200000001</v>
      </c>
      <c r="H53" s="100">
        <f>SUMIFS('辅助-汇总损益长表'!$C$2:$C$242,'辅助-汇总损益长表'!$A$2:$A$242,"财务费用",'辅助-汇总损益长表'!$B$2:$B$242,H$2)</f>
        <v>2.0245895400000005</v>
      </c>
      <c r="I53" s="100">
        <f>SUMIFS('辅助-汇总损益长表'!$C$2:$C$242,'辅助-汇总损益长表'!$A$2:$A$242,"财务费用",'辅助-汇总损益长表'!$B$2:$B$242,I$2)</f>
        <v>1.9556995020000001</v>
      </c>
      <c r="J53" s="100">
        <f>SUMIFS('辅助-汇总损益长表'!$C$2:$C$242,'辅助-汇总损益长表'!$A$2:$A$242,"财务费用",'辅助-汇总损益长表'!$B$2:$B$242,J$2)</f>
        <v>2.4362063660000004</v>
      </c>
      <c r="K53" s="100">
        <f>SUMIFS('辅助-汇总损益长表'!$C$2:$C$242,'辅助-汇总损益长表'!$A$2:$A$242,"财务费用",'辅助-汇总损益长表'!$B$2:$B$242,K$2)</f>
        <v>2.4811811424581363</v>
      </c>
      <c r="L53" s="100">
        <f>SUMIFS('辅助-汇总损益长表'!$C$2:$C$242,'辅助-汇总损益长表'!$A$2:$A$242,"财务费用",'辅助-汇总损益长表'!$B$2:$B$242,L$2)</f>
        <v>1.5836877848527344</v>
      </c>
      <c r="M53" s="100">
        <f>SUMIFS('辅助-汇总损益长表'!$C$2:$C$242,'辅助-汇总损益长表'!$A$2:$A$242,"财务费用",'辅助-汇总损益长表'!$B$2:$B$242,M$2)</f>
        <v>2.0911988005232045</v>
      </c>
      <c r="N53" s="100">
        <f>SUMIFS('辅助-汇总损益长表'!$C$2:$C$242,'辅助-汇总损益长表'!$A$2:$A$242,"财务费用",'辅助-汇总损益长表'!$B$2:$B$242,N$2)</f>
        <v>2.6222260157385753</v>
      </c>
      <c r="O53" s="100">
        <f>SUMIFS('辅助-汇总损益长表'!$C$2:$C$242,'辅助-汇总损益长表'!$A$2:$A$242,"财务费用",'辅助-汇总损益长表'!$B$2:$B$242,O$2)</f>
        <v>2.8252424681771222</v>
      </c>
      <c r="P53" s="100">
        <f>SUMIFS('辅助-汇总损益长表'!$C$2:$C$242,'辅助-汇总损益长表'!$A$2:$A$242,"财务费用",'辅助-汇总损益长表'!$B$2:$B$242,P$2)</f>
        <v>3.429923638561633</v>
      </c>
      <c r="Q53" s="100">
        <f>SUMIFS('辅助-汇总损益长表'!$C$2:$C$242,'辅助-汇总损益长表'!$A$2:$A$242,"财务费用",'辅助-汇总损益长表'!$B$2:$B$242,Q$2)</f>
        <v>2.9262123476636122</v>
      </c>
      <c r="R53" s="78">
        <f>SUMIFS('辅助-汇总损益长表'!$C$2:$C$242,'辅助-汇总损益长表'!$A$2:$A$242,"财务费用",'辅助-汇总损益长表'!$B$2:$B$242,R$2)</f>
        <v>27.89916748197502</v>
      </c>
      <c r="S53" s="78">
        <f>SUMIFS('辅助-汇总损益长表'!$C$2:$C$242,'辅助-汇总损益长表'!$A$2:$A$242,"财务费用",'辅助-汇总损益长表'!$B$2:$B$242,S$2)</f>
        <v>15.47849105551688</v>
      </c>
      <c r="T53" s="97"/>
      <c r="U53" s="100">
        <f>SUMIFS('辅助-汇总损益长表'!$D$2:$D$242,'辅助-汇总损益长表'!$A$2:$A$242,"财务费用",'辅助-汇总损益长表'!$B$2:$B$242,U$2)</f>
        <v>0</v>
      </c>
      <c r="V53" s="100">
        <f>SUMIFS('辅助-汇总损益长表'!$D$2:$D$242,'辅助-汇总损益长表'!$A$2:$A$242,"财务费用",'辅助-汇总损益长表'!$B$2:$B$242,V$2)</f>
        <v>0</v>
      </c>
      <c r="W53" s="100">
        <f>SUMIFS('辅助-汇总损益长表'!$D$2:$D$242,'辅助-汇总损益长表'!$A$2:$A$242,"财务费用",'辅助-汇总损益长表'!$B$2:$B$242,W$2)</f>
        <v>0</v>
      </c>
      <c r="X53" s="100">
        <f>SUMIFS('辅助-汇总损益长表'!$D$2:$D$242,'辅助-汇总损益长表'!$A$2:$A$242,"财务费用",'辅助-汇总损益长表'!$B$2:$B$242,X$2)</f>
        <v>0</v>
      </c>
      <c r="Y53" s="100">
        <f>SUMIFS('辅助-汇总损益长表'!$D$2:$D$242,'辅助-汇总损益长表'!$A$2:$A$242,"财务费用",'辅助-汇总损益长表'!$B$2:$B$242,Y$2)</f>
        <v>0</v>
      </c>
      <c r="Z53" s="100">
        <f>SUMIFS('辅助-汇总损益长表'!$D$2:$D$242,'辅助-汇总损益长表'!$A$2:$A$242,"财务费用",'辅助-汇总损益长表'!$B$2:$B$242,Z$2)</f>
        <v>0</v>
      </c>
      <c r="AA53" s="100">
        <f>SUMIFS('辅助-汇总损益长表'!$D$2:$D$242,'辅助-汇总损益长表'!$A$2:$A$242,"财务费用",'辅助-汇总损益长表'!$B$2:$B$242,AA$2)</f>
        <v>0</v>
      </c>
      <c r="AB53" s="100">
        <f>SUMIFS('辅助-汇总损益长表'!$D$2:$D$242,'辅助-汇总损益长表'!$A$2:$A$242,"财务费用",'辅助-汇总损益长表'!$B$2:$B$242,AB$2)</f>
        <v>0</v>
      </c>
      <c r="AC53" s="100">
        <f>SUMIFS('辅助-汇总损益长表'!$D$2:$D$242,'辅助-汇总损益长表'!$A$2:$A$242,"财务费用",'辅助-汇总损益长表'!$B$2:$B$242,AC$2)</f>
        <v>0</v>
      </c>
      <c r="AD53" s="100">
        <f>SUMIFS('辅助-汇总损益长表'!$D$2:$D$242,'辅助-汇总损益长表'!$A$2:$A$242,"财务费用",'辅助-汇总损益长表'!$B$2:$B$242,AD$2)</f>
        <v>0</v>
      </c>
      <c r="AE53" s="100">
        <f>SUMIFS('辅助-汇总损益长表'!$D$2:$D$242,'辅助-汇总损益长表'!$A$2:$A$242,"财务费用",'辅助-汇总损益长表'!$B$2:$B$242,AE$2)</f>
        <v>0</v>
      </c>
      <c r="AF53" s="100">
        <f>SUMIFS('辅助-汇总损益长表'!$D$2:$D$242,'辅助-汇总损益长表'!$A$2:$A$242,"财务费用",'辅助-汇总损益长表'!$B$2:$B$242,AF$2)</f>
        <v>0</v>
      </c>
      <c r="AG53" s="78">
        <f>SUMIFS('辅助-汇总损益长表'!$D$2:$D$242,'辅助-汇总损益长表'!$A$2:$A$242,"财务费用",'辅助-汇总损益长表'!$B$2:$B$242,AG$2)</f>
        <v>0</v>
      </c>
      <c r="AH53" s="78">
        <f>SUMIFS('辅助-汇总损益长表'!$D$2:$D$242,'辅助-汇总损益长表'!$A$2:$A$242,"财务费用",'辅助-汇总损益长表'!$B$2:$B$242,AH$2)</f>
        <v>0</v>
      </c>
      <c r="AI53" s="97"/>
      <c r="AJ53" s="100">
        <f>SUMIFS('辅助-汇总损益长表'!$E$2:$E$242,'辅助-汇总损益长表'!$A$2:$A$242,"财务费用",'辅助-汇总损益长表'!$B$2:$B$242,AJ$2)</f>
        <v>0</v>
      </c>
      <c r="AK53" s="100">
        <f>SUMIFS('辅助-汇总损益长表'!$E$2:$E$242,'辅助-汇总损益长表'!$A$2:$A$242,"财务费用",'辅助-汇总损益长表'!$B$2:$B$242,AK$2)</f>
        <v>0</v>
      </c>
      <c r="AL53" s="100">
        <f>SUMIFS('辅助-汇总损益长表'!$E$2:$E$242,'辅助-汇总损益长表'!$A$2:$A$242,"财务费用",'辅助-汇总损益长表'!$B$2:$B$242,AL$2)</f>
        <v>0</v>
      </c>
      <c r="AM53" s="100">
        <f>SUMIFS('辅助-汇总损益长表'!$E$2:$E$242,'辅助-汇总损益长表'!$A$2:$A$242,"财务费用",'辅助-汇总损益长表'!$B$2:$B$242,AM$2)</f>
        <v>0</v>
      </c>
      <c r="AN53" s="100">
        <f>SUMIFS('辅助-汇总损益长表'!$E$2:$E$242,'辅助-汇总损益长表'!$A$2:$A$242,"财务费用",'辅助-汇总损益长表'!$B$2:$B$242,AN$2)</f>
        <v>0</v>
      </c>
      <c r="AO53" s="100">
        <f>SUMIFS('辅助-汇总损益长表'!$E$2:$E$242,'辅助-汇总损益长表'!$A$2:$A$242,"财务费用",'辅助-汇总损益长表'!$B$2:$B$242,AO$2)</f>
        <v>0</v>
      </c>
      <c r="AP53" s="100">
        <f>SUMIFS('辅助-汇总损益长表'!$E$2:$E$242,'辅助-汇总损益长表'!$A$2:$A$242,"财务费用",'辅助-汇总损益长表'!$B$2:$B$242,AP$2)</f>
        <v>0</v>
      </c>
      <c r="AQ53" s="100">
        <f>SUMIFS('辅助-汇总损益长表'!$E$2:$E$242,'辅助-汇总损益长表'!$A$2:$A$242,"财务费用",'辅助-汇总损益长表'!$B$2:$B$242,AQ$2)</f>
        <v>0</v>
      </c>
      <c r="AR53" s="100">
        <f>SUMIFS('辅助-汇总损益长表'!$E$2:$E$242,'辅助-汇总损益长表'!$A$2:$A$242,"财务费用",'辅助-汇总损益长表'!$B$2:$B$242,AR$2)</f>
        <v>0</v>
      </c>
      <c r="AS53" s="100">
        <f>SUMIFS('辅助-汇总损益长表'!$E$2:$E$242,'辅助-汇总损益长表'!$A$2:$A$242,"财务费用",'辅助-汇总损益长表'!$B$2:$B$242,AS$2)</f>
        <v>0</v>
      </c>
      <c r="AT53" s="100">
        <f>SUMIFS('辅助-汇总损益长表'!$E$2:$E$242,'辅助-汇总损益长表'!$A$2:$A$242,"财务费用",'辅助-汇总损益长表'!$B$2:$B$242,AT$2)</f>
        <v>0</v>
      </c>
      <c r="AU53" s="100">
        <f>SUMIFS('辅助-汇总损益长表'!$E$2:$E$242,'辅助-汇总损益长表'!$A$2:$A$242,"财务费用",'辅助-汇总损益长表'!$B$2:$B$242,AU$2)</f>
        <v>0</v>
      </c>
      <c r="AV53" s="78">
        <f>SUMIFS('辅助-汇总损益长表'!$E$2:$E$242,'辅助-汇总损益长表'!$A$2:$A$242,"财务费用",'辅助-汇总损益长表'!$B$2:$B$242,AV$2)</f>
        <v>0</v>
      </c>
      <c r="AW53" s="78">
        <f>SUMIFS('辅助-汇总损益长表'!$E$2:$E$242,'辅助-汇总损益长表'!$A$2:$A$242,"财务费用",'辅助-汇总损益长表'!$B$2:$B$242,AW$2)</f>
        <v>0</v>
      </c>
      <c r="AX53" s="97"/>
      <c r="AY53" s="100">
        <f>SUMIFS('辅助-汇总损益长表'!$F$2:$F$242,'辅助-汇总损益长表'!$A$2:$A$242,"财务费用",'辅助-汇总损益长表'!$B$2:$B$242,AY$2)</f>
        <v>0</v>
      </c>
      <c r="AZ53" s="100">
        <f>SUMIFS('辅助-汇总损益长表'!$F$2:$F$242,'辅助-汇总损益长表'!$A$2:$A$242,"财务费用",'辅助-汇总损益长表'!$B$2:$B$242,AZ$2)</f>
        <v>0</v>
      </c>
      <c r="BA53" s="100">
        <f>SUMIFS('辅助-汇总损益长表'!$F$2:$F$242,'辅助-汇总损益长表'!$A$2:$A$242,"财务费用",'辅助-汇总损益长表'!$B$2:$B$242,BA$2)</f>
        <v>0</v>
      </c>
      <c r="BB53" s="100">
        <f>SUMIFS('辅助-汇总损益长表'!$F$2:$F$242,'辅助-汇总损益长表'!$A$2:$A$242,"财务费用",'辅助-汇总损益长表'!$B$2:$B$242,BB$2)</f>
        <v>0</v>
      </c>
      <c r="BC53" s="100">
        <f>SUMIFS('辅助-汇总损益长表'!$F$2:$F$242,'辅助-汇总损益长表'!$A$2:$A$242,"财务费用",'辅助-汇总损益长表'!$B$2:$B$242,BC$2)</f>
        <v>0</v>
      </c>
      <c r="BD53" s="100">
        <f>SUMIFS('辅助-汇总损益长表'!$F$2:$F$242,'辅助-汇总损益长表'!$A$2:$A$242,"财务费用",'辅助-汇总损益长表'!$B$2:$B$242,BD$2)</f>
        <v>0</v>
      </c>
      <c r="BE53" s="100">
        <f>SUMIFS('辅助-汇总损益长表'!$F$2:$F$242,'辅助-汇总损益长表'!$A$2:$A$242,"财务费用",'辅助-汇总损益长表'!$B$2:$B$242,BE$2)</f>
        <v>0</v>
      </c>
      <c r="BF53" s="100">
        <f>SUMIFS('辅助-汇总损益长表'!$F$2:$F$242,'辅助-汇总损益长表'!$A$2:$A$242,"财务费用",'辅助-汇总损益长表'!$B$2:$B$242,BF$2)</f>
        <v>0</v>
      </c>
      <c r="BG53" s="100">
        <f>SUMIFS('辅助-汇总损益长表'!$F$2:$F$242,'辅助-汇总损益长表'!$A$2:$A$242,"财务费用",'辅助-汇总损益长表'!$B$2:$B$242,BG$2)</f>
        <v>0</v>
      </c>
      <c r="BH53" s="100">
        <f>SUMIFS('辅助-汇总损益长表'!$F$2:$F$242,'辅助-汇总损益长表'!$A$2:$A$242,"财务费用",'辅助-汇总损益长表'!$B$2:$B$242,BH$2)</f>
        <v>0</v>
      </c>
      <c r="BI53" s="100">
        <f>SUMIFS('辅助-汇总损益长表'!$F$2:$F$242,'辅助-汇总损益长表'!$A$2:$A$242,"财务费用",'辅助-汇总损益长表'!$B$2:$B$242,BI$2)</f>
        <v>0</v>
      </c>
      <c r="BJ53" s="100">
        <f>SUMIFS('辅助-汇总损益长表'!$F$2:$F$242,'辅助-汇总损益长表'!$A$2:$A$242,"财务费用",'辅助-汇总损益长表'!$B$2:$B$242,BJ$2)</f>
        <v>0</v>
      </c>
      <c r="BK53" s="78">
        <f>SUMIFS('辅助-汇总损益长表'!$F$2:$F$242,'辅助-汇总损益长表'!$A$2:$A$242,"财务费用",'辅助-汇总损益长表'!$B$2:$B$242,BK$2)</f>
        <v>0</v>
      </c>
      <c r="BL53" s="78">
        <f>SUMIFS('辅助-汇总损益长表'!$F$2:$F$242,'辅助-汇总损益长表'!$A$2:$A$242,"财务费用",'辅助-汇总损益长表'!$B$2:$B$242,BL$2)</f>
        <v>0</v>
      </c>
      <c r="BM53" s="97"/>
      <c r="BN53" s="100">
        <f>SUMIFS('辅助-汇总损益长表'!$G$2:$G$242,'辅助-汇总损益长表'!$A$2:$A$242,"财务费用",'辅助-汇总损益长表'!$B$2:$B$242,BN$2)</f>
        <v>0</v>
      </c>
      <c r="BO53" s="100">
        <f>SUMIFS('辅助-汇总损益长表'!$G$2:$G$242,'辅助-汇总损益长表'!$A$2:$A$242,"财务费用",'辅助-汇总损益长表'!$B$2:$B$242,BO$2)</f>
        <v>0</v>
      </c>
      <c r="BP53" s="100">
        <f>SUMIFS('辅助-汇总损益长表'!$G$2:$G$242,'辅助-汇总损益长表'!$A$2:$A$242,"财务费用",'辅助-汇总损益长表'!$B$2:$B$242,BP$2)</f>
        <v>0</v>
      </c>
      <c r="BQ53" s="100">
        <f>SUMIFS('辅助-汇总损益长表'!$G$2:$G$242,'辅助-汇总损益长表'!$A$2:$A$242,"财务费用",'辅助-汇总损益长表'!$B$2:$B$242,BQ$2)</f>
        <v>0</v>
      </c>
      <c r="BR53" s="100">
        <f>SUMIFS('辅助-汇总损益长表'!$G$2:$G$242,'辅助-汇总损益长表'!$A$2:$A$242,"财务费用",'辅助-汇总损益长表'!$B$2:$B$242,BR$2)</f>
        <v>0</v>
      </c>
      <c r="BS53" s="100">
        <f>SUMIFS('辅助-汇总损益长表'!$G$2:$G$242,'辅助-汇总损益长表'!$A$2:$A$242,"财务费用",'辅助-汇总损益长表'!$B$2:$B$242,BS$2)</f>
        <v>0</v>
      </c>
      <c r="BT53" s="100">
        <f>SUMIFS('辅助-汇总损益长表'!$G$2:$G$242,'辅助-汇总损益长表'!$A$2:$A$242,"财务费用",'辅助-汇总损益长表'!$B$2:$B$242,BT$2)</f>
        <v>0</v>
      </c>
      <c r="BU53" s="100">
        <f>SUMIFS('辅助-汇总损益长表'!$G$2:$G$242,'辅助-汇总损益长表'!$A$2:$A$242,"财务费用",'辅助-汇总损益长表'!$B$2:$B$242,BU$2)</f>
        <v>0</v>
      </c>
      <c r="BV53" s="100">
        <f>SUMIFS('辅助-汇总损益长表'!$G$2:$G$242,'辅助-汇总损益长表'!$A$2:$A$242,"财务费用",'辅助-汇总损益长表'!$B$2:$B$242,BV$2)</f>
        <v>0</v>
      </c>
      <c r="BW53" s="100">
        <f>SUMIFS('辅助-汇总损益长表'!$G$2:$G$242,'辅助-汇总损益长表'!$A$2:$A$242,"财务费用",'辅助-汇总损益长表'!$B$2:$B$242,BW$2)</f>
        <v>0</v>
      </c>
      <c r="BX53" s="100">
        <f>SUMIFS('辅助-汇总损益长表'!$G$2:$G$242,'辅助-汇总损益长表'!$A$2:$A$242,"财务费用",'辅助-汇总损益长表'!$B$2:$B$242,BX$2)</f>
        <v>0</v>
      </c>
      <c r="BY53" s="100">
        <f>SUMIFS('辅助-汇总损益长表'!$G$2:$G$242,'辅助-汇总损益长表'!$A$2:$A$242,"财务费用",'辅助-汇总损益长表'!$B$2:$B$242,BY$2)</f>
        <v>0</v>
      </c>
      <c r="BZ53" s="78">
        <f>SUMIFS('辅助-汇总损益长表'!$G$2:$G$242,'辅助-汇总损益长表'!$A$2:$A$242,"财务费用",'辅助-汇总损益长表'!$B$2:$B$242,BZ$2)</f>
        <v>0</v>
      </c>
      <c r="CA53" s="78">
        <f>SUMIFS('辅助-汇总损益长表'!$G$2:$G$242,'辅助-汇总损益长表'!$A$2:$A$242,"财务费用",'辅助-汇总损益长表'!$B$2:$B$242,CA$2)</f>
        <v>0</v>
      </c>
      <c r="CB53" s="97"/>
      <c r="CC53" s="100">
        <f>SUMIFS('辅助-汇总损益长表'!$H$2:$H$242,'辅助-汇总损益长表'!$A$2:$A$242,"财务费用",'辅助-汇总损益长表'!$B$2:$B$242,CC$2)</f>
        <v>0</v>
      </c>
      <c r="CD53" s="100">
        <f>SUMIFS('辅助-汇总损益长表'!$H$2:$H$242,'辅助-汇总损益长表'!$A$2:$A$242,"财务费用",'辅助-汇总损益长表'!$B$2:$B$242,CD$2)</f>
        <v>0</v>
      </c>
      <c r="CE53" s="100">
        <f>SUMIFS('辅助-汇总损益长表'!$H$2:$H$242,'辅助-汇总损益长表'!$A$2:$A$242,"财务费用",'辅助-汇总损益长表'!$B$2:$B$242,CE$2)</f>
        <v>0</v>
      </c>
      <c r="CF53" s="100">
        <f>SUMIFS('辅助-汇总损益长表'!$H$2:$H$242,'辅助-汇总损益长表'!$A$2:$A$242,"财务费用",'辅助-汇总损益长表'!$B$2:$B$242,CF$2)</f>
        <v>0</v>
      </c>
      <c r="CG53" s="100">
        <f>SUMIFS('辅助-汇总损益长表'!$H$2:$H$242,'辅助-汇总损益长表'!$A$2:$A$242,"财务费用",'辅助-汇总损益长表'!$B$2:$B$242,CG$2)</f>
        <v>0</v>
      </c>
      <c r="CH53" s="100">
        <f>SUMIFS('辅助-汇总损益长表'!$H$2:$H$242,'辅助-汇总损益长表'!$A$2:$A$242,"财务费用",'辅助-汇总损益长表'!$B$2:$B$242,CH$2)</f>
        <v>0</v>
      </c>
      <c r="CI53" s="100">
        <f>SUMIFS('辅助-汇总损益长表'!$H$2:$H$242,'辅助-汇总损益长表'!$A$2:$A$242,"财务费用",'辅助-汇总损益长表'!$B$2:$B$242,CI$2)</f>
        <v>0</v>
      </c>
      <c r="CJ53" s="100">
        <f>SUMIFS('辅助-汇总损益长表'!$H$2:$H$242,'辅助-汇总损益长表'!$A$2:$A$242,"财务费用",'辅助-汇总损益长表'!$B$2:$B$242,CJ$2)</f>
        <v>0</v>
      </c>
      <c r="CK53" s="100">
        <f>SUMIFS('辅助-汇总损益长表'!$H$2:$H$242,'辅助-汇总损益长表'!$A$2:$A$242,"财务费用",'辅助-汇总损益长表'!$B$2:$B$242,CK$2)</f>
        <v>0</v>
      </c>
      <c r="CL53" s="100">
        <f>SUMIFS('辅助-汇总损益长表'!$H$2:$H$242,'辅助-汇总损益长表'!$A$2:$A$242,"财务费用",'辅助-汇总损益长表'!$B$2:$B$242,CL$2)</f>
        <v>0</v>
      </c>
      <c r="CM53" s="100">
        <f>SUMIFS('辅助-汇总损益长表'!$H$2:$H$242,'辅助-汇总损益长表'!$A$2:$A$242,"财务费用",'辅助-汇总损益长表'!$B$2:$B$242,CM$2)</f>
        <v>0</v>
      </c>
      <c r="CN53" s="100">
        <f>SUMIFS('辅助-汇总损益长表'!$H$2:$H$242,'辅助-汇总损益长表'!$A$2:$A$242,"财务费用",'辅助-汇总损益长表'!$B$2:$B$242,CN$2)</f>
        <v>0</v>
      </c>
      <c r="CO53" s="78">
        <f>SUMIFS('辅助-汇总损益长表'!$H$2:$H$242,'辅助-汇总损益长表'!$A$2:$A$242,"财务费用",'辅助-汇总损益长表'!$B$2:$B$242,CO$2)</f>
        <v>0</v>
      </c>
      <c r="CP53" s="78">
        <f>SUMIFS('辅助-汇总损益长表'!$H$2:$H$242,'辅助-汇总损益长表'!$A$2:$A$242,"财务费用",'辅助-汇总损益长表'!$B$2:$B$242,CP$2)</f>
        <v>0</v>
      </c>
      <c r="CQ53" s="97"/>
      <c r="CR53" s="100">
        <f>SUMIFS('辅助-汇总损益长表'!$I$2:$I$242,'辅助-汇总损益长表'!$A$2:$A$242,"财务费用",'辅助-汇总损益长表'!$B$2:$B$242,CR$2)</f>
        <v>0</v>
      </c>
      <c r="CS53" s="100">
        <f>SUMIFS('辅助-汇总损益长表'!$I$2:$I$242,'辅助-汇总损益长表'!$A$2:$A$242,"财务费用",'辅助-汇总损益长表'!$B$2:$B$242,CS$2)</f>
        <v>0</v>
      </c>
      <c r="CT53" s="100">
        <f>SUMIFS('辅助-汇总损益长表'!$I$2:$I$242,'辅助-汇总损益长表'!$A$2:$A$242,"财务费用",'辅助-汇总损益长表'!$B$2:$B$242,CT$2)</f>
        <v>0</v>
      </c>
      <c r="CU53" s="100">
        <f>SUMIFS('辅助-汇总损益长表'!$I$2:$I$242,'辅助-汇总损益长表'!$A$2:$A$242,"财务费用",'辅助-汇总损益长表'!$B$2:$B$242,CU$2)</f>
        <v>0</v>
      </c>
      <c r="CV53" s="100">
        <f>SUMIFS('辅助-汇总损益长表'!$I$2:$I$242,'辅助-汇总损益长表'!$A$2:$A$242,"财务费用",'辅助-汇总损益长表'!$B$2:$B$242,CV$2)</f>
        <v>0</v>
      </c>
      <c r="CW53" s="100">
        <f>SUMIFS('辅助-汇总损益长表'!$I$2:$I$242,'辅助-汇总损益长表'!$A$2:$A$242,"财务费用",'辅助-汇总损益长表'!$B$2:$B$242,CW$2)</f>
        <v>0</v>
      </c>
      <c r="CX53" s="100">
        <f>SUMIFS('辅助-汇总损益长表'!$I$2:$I$242,'辅助-汇总损益长表'!$A$2:$A$242,"财务费用",'辅助-汇总损益长表'!$B$2:$B$242,CX$2)</f>
        <v>0</v>
      </c>
      <c r="CY53" s="100">
        <f>SUMIFS('辅助-汇总损益长表'!$I$2:$I$242,'辅助-汇总损益长表'!$A$2:$A$242,"财务费用",'辅助-汇总损益长表'!$B$2:$B$242,CY$2)</f>
        <v>0</v>
      </c>
      <c r="CZ53" s="100">
        <f>SUMIFS('辅助-汇总损益长表'!$I$2:$I$242,'辅助-汇总损益长表'!$A$2:$A$242,"财务费用",'辅助-汇总损益长表'!$B$2:$B$242,CZ$2)</f>
        <v>0</v>
      </c>
      <c r="DA53" s="100">
        <f>SUMIFS('辅助-汇总损益长表'!$I$2:$I$242,'辅助-汇总损益长表'!$A$2:$A$242,"财务费用",'辅助-汇总损益长表'!$B$2:$B$242,DA$2)</f>
        <v>0</v>
      </c>
      <c r="DB53" s="100">
        <f>SUMIFS('辅助-汇总损益长表'!$I$2:$I$242,'辅助-汇总损益长表'!$A$2:$A$242,"财务费用",'辅助-汇总损益长表'!$B$2:$B$242,DB$2)</f>
        <v>0</v>
      </c>
      <c r="DC53" s="100">
        <f>SUMIFS('辅助-汇总损益长表'!$I$2:$I$242,'辅助-汇总损益长表'!$A$2:$A$242,"财务费用",'辅助-汇总损益长表'!$B$2:$B$242,DC$2)</f>
        <v>0</v>
      </c>
      <c r="DD53" s="78">
        <f>SUMIFS('辅助-汇总损益长表'!$I$2:$I$242,'辅助-汇总损益长表'!$A$2:$A$242,"财务费用",'辅助-汇总损益长表'!$B$2:$B$242,DD$2)</f>
        <v>0</v>
      </c>
      <c r="DE53" s="78">
        <f>SUMIFS('辅助-汇总损益长表'!$I$2:$I$242,'辅助-汇总损益长表'!$A$2:$A$242,"财务费用",'辅助-汇总损益长表'!$B$2:$B$242,DE$2)</f>
        <v>0</v>
      </c>
      <c r="DF53" s="97"/>
      <c r="DG53" s="100">
        <f>SUMIFS('辅助-汇总损益长表'!$J$2:$J$242,'辅助-汇总损益长表'!$A$2:$A$242,"财务费用",'辅助-汇总损益长表'!$B$2:$B$242,DG$2)</f>
        <v>0</v>
      </c>
      <c r="DH53" s="100">
        <f>SUMIFS('辅助-汇总损益长表'!$J$2:$J$242,'辅助-汇总损益长表'!$A$2:$A$242,"财务费用",'辅助-汇总损益长表'!$B$2:$B$242,DH$2)</f>
        <v>0</v>
      </c>
      <c r="DI53" s="100">
        <f>SUMIFS('辅助-汇总损益长表'!$J$2:$J$242,'辅助-汇总损益长表'!$A$2:$A$242,"财务费用",'辅助-汇总损益长表'!$B$2:$B$242,DI$2)</f>
        <v>0</v>
      </c>
      <c r="DJ53" s="100">
        <f>SUMIFS('辅助-汇总损益长表'!$J$2:$J$242,'辅助-汇总损益长表'!$A$2:$A$242,"财务费用",'辅助-汇总损益长表'!$B$2:$B$242,DJ$2)</f>
        <v>0</v>
      </c>
      <c r="DK53" s="100">
        <f>SUMIFS('辅助-汇总损益长表'!$J$2:$J$242,'辅助-汇总损益长表'!$A$2:$A$242,"财务费用",'辅助-汇总损益长表'!$B$2:$B$242,DK$2)</f>
        <v>0</v>
      </c>
      <c r="DL53" s="100">
        <f>SUMIFS('辅助-汇总损益长表'!$J$2:$J$242,'辅助-汇总损益长表'!$A$2:$A$242,"财务费用",'辅助-汇总损益长表'!$B$2:$B$242,DL$2)</f>
        <v>0</v>
      </c>
      <c r="DM53" s="100">
        <f>SUMIFS('辅助-汇总损益长表'!$J$2:$J$242,'辅助-汇总损益长表'!$A$2:$A$242,"财务费用",'辅助-汇总损益长表'!$B$2:$B$242,DM$2)</f>
        <v>0</v>
      </c>
      <c r="DN53" s="100">
        <f>SUMIFS('辅助-汇总损益长表'!$J$2:$J$242,'辅助-汇总损益长表'!$A$2:$A$242,"财务费用",'辅助-汇总损益长表'!$B$2:$B$242,DN$2)</f>
        <v>0</v>
      </c>
      <c r="DO53" s="100">
        <f>SUMIFS('辅助-汇总损益长表'!$J$2:$J$242,'辅助-汇总损益长表'!$A$2:$A$242,"财务费用",'辅助-汇总损益长表'!$B$2:$B$242,DO$2)</f>
        <v>0</v>
      </c>
      <c r="DP53" s="100">
        <f>SUMIFS('辅助-汇总损益长表'!$J$2:$J$242,'辅助-汇总损益长表'!$A$2:$A$242,"财务费用",'辅助-汇总损益长表'!$B$2:$B$242,DP$2)</f>
        <v>0</v>
      </c>
      <c r="DQ53" s="100">
        <f>SUMIFS('辅助-汇总损益长表'!$J$2:$J$242,'辅助-汇总损益长表'!$A$2:$A$242,"财务费用",'辅助-汇总损益长表'!$B$2:$B$242,DQ$2)</f>
        <v>0</v>
      </c>
      <c r="DR53" s="100">
        <f>SUMIFS('辅助-汇总损益长表'!$J$2:$J$242,'辅助-汇总损益长表'!$A$2:$A$242,"财务费用",'辅助-汇总损益长表'!$B$2:$B$242,DR$2)</f>
        <v>0</v>
      </c>
      <c r="DS53" s="78">
        <f>SUMIFS('辅助-汇总损益长表'!$J$2:$J$242,'辅助-汇总损益长表'!$A$2:$A$242,"财务费用",'辅助-汇总损益长表'!$B$2:$B$242,DS$2)</f>
        <v>0</v>
      </c>
      <c r="DT53" s="78">
        <f>SUMIFS('辅助-汇总损益长表'!$J$2:$J$242,'辅助-汇总损益长表'!$A$2:$A$242,"财务费用",'辅助-汇总损益长表'!$B$2:$B$242,DT$2)</f>
        <v>0</v>
      </c>
      <c r="DU53" s="97"/>
      <c r="DV53" s="100">
        <f>SUMIFS('辅助-汇总损益长表'!$K$2:$K$242,'辅助-汇总损益长表'!$A$2:$A$242,"财务费用",'辅助-汇总损益长表'!$B$2:$B$242,DV$2)</f>
        <v>0</v>
      </c>
      <c r="DW53" s="100">
        <f>SUMIFS('辅助-汇总损益长表'!$K$2:$K$242,'辅助-汇总损益长表'!$A$2:$A$242,"财务费用",'辅助-汇总损益长表'!$B$2:$B$242,DW$2)</f>
        <v>0</v>
      </c>
      <c r="DX53" s="100">
        <f>SUMIFS('辅助-汇总损益长表'!$K$2:$K$242,'辅助-汇总损益长表'!$A$2:$A$242,"财务费用",'辅助-汇总损益长表'!$B$2:$B$242,DX$2)</f>
        <v>0</v>
      </c>
      <c r="DY53" s="100">
        <f>SUMIFS('辅助-汇总损益长表'!$K$2:$K$242,'辅助-汇总损益长表'!$A$2:$A$242,"财务费用",'辅助-汇总损益长表'!$B$2:$B$242,DY$2)</f>
        <v>0</v>
      </c>
      <c r="DZ53" s="100">
        <f>SUMIFS('辅助-汇总损益长表'!$K$2:$K$242,'辅助-汇总损益长表'!$A$2:$A$242,"财务费用",'辅助-汇总损益长表'!$B$2:$B$242,DZ$2)</f>
        <v>0</v>
      </c>
      <c r="EA53" s="100">
        <f>SUMIFS('辅助-汇总损益长表'!$K$2:$K$242,'辅助-汇总损益长表'!$A$2:$A$242,"财务费用",'辅助-汇总损益长表'!$B$2:$B$242,EA$2)</f>
        <v>0</v>
      </c>
      <c r="EB53" s="100">
        <f>SUMIFS('辅助-汇总损益长表'!$K$2:$K$242,'辅助-汇总损益长表'!$A$2:$A$242,"财务费用",'辅助-汇总损益长表'!$B$2:$B$242,EB$2)</f>
        <v>0</v>
      </c>
      <c r="EC53" s="100">
        <f>SUMIFS('辅助-汇总损益长表'!$K$2:$K$242,'辅助-汇总损益长表'!$A$2:$A$242,"财务费用",'辅助-汇总损益长表'!$B$2:$B$242,EC$2)</f>
        <v>0</v>
      </c>
      <c r="ED53" s="100">
        <f>SUMIFS('辅助-汇总损益长表'!$K$2:$K$242,'辅助-汇总损益长表'!$A$2:$A$242,"财务费用",'辅助-汇总损益长表'!$B$2:$B$242,ED$2)</f>
        <v>0</v>
      </c>
      <c r="EE53" s="100">
        <f>SUMIFS('辅助-汇总损益长表'!$K$2:$K$242,'辅助-汇总损益长表'!$A$2:$A$242,"财务费用",'辅助-汇总损益长表'!$B$2:$B$242,EE$2)</f>
        <v>0</v>
      </c>
      <c r="EF53" s="100">
        <f>SUMIFS('辅助-汇总损益长表'!$K$2:$K$242,'辅助-汇总损益长表'!$A$2:$A$242,"财务费用",'辅助-汇总损益长表'!$B$2:$B$242,EF$2)</f>
        <v>0</v>
      </c>
      <c r="EG53" s="100">
        <f>SUMIFS('辅助-汇总损益长表'!$K$2:$K$242,'辅助-汇总损益长表'!$A$2:$A$242,"财务费用",'辅助-汇总损益长表'!$B$2:$B$242,EG$2)</f>
        <v>0</v>
      </c>
      <c r="EH53" s="78">
        <f>SUMIFS('辅助-汇总损益长表'!$K$2:$K$242,'辅助-汇总损益长表'!$A$2:$A$242,"财务费用",'辅助-汇总损益长表'!$B$2:$B$242,EH$2)</f>
        <v>0</v>
      </c>
      <c r="EI53" s="78">
        <f>SUMIFS('辅助-汇总损益长表'!$K$2:$K$242,'辅助-汇总损益长表'!$A$2:$A$242,"财务费用",'辅助-汇总损益长表'!$B$2:$B$242,EI$2)</f>
        <v>0</v>
      </c>
      <c r="EJ53" s="42"/>
      <c r="EK53" s="100">
        <f>SUMIFS('辅助-汇总损益长表'!$L$2:$L$242,'辅助-汇总损益长表'!$A$2:$A$242,"财务费用",'辅助-汇总损益长表'!$B$2:$B$242,EK$2)</f>
        <v>0</v>
      </c>
      <c r="EL53" s="100">
        <f>SUMIFS('辅助-汇总损益长表'!$L$2:$L$242,'辅助-汇总损益长表'!$A$2:$A$242,"财务费用",'辅助-汇总损益长表'!$B$2:$B$242,EL$2)</f>
        <v>0</v>
      </c>
      <c r="EM53" s="100">
        <f>SUMIFS('辅助-汇总损益长表'!$L$2:$L$242,'辅助-汇总损益长表'!$A$2:$A$242,"财务费用",'辅助-汇总损益长表'!$B$2:$B$242,EM$2)</f>
        <v>0</v>
      </c>
      <c r="EN53" s="100">
        <f>SUMIFS('辅助-汇总损益长表'!$L$2:$L$242,'辅助-汇总损益长表'!$A$2:$A$242,"财务费用",'辅助-汇总损益长表'!$B$2:$B$242,EN$2)</f>
        <v>0</v>
      </c>
      <c r="EO53" s="100">
        <f>SUMIFS('辅助-汇总损益长表'!$L$2:$L$242,'辅助-汇总损益长表'!$A$2:$A$242,"财务费用",'辅助-汇总损益长表'!$B$2:$B$242,EO$2)</f>
        <v>0</v>
      </c>
      <c r="EP53" s="100">
        <f>SUMIFS('辅助-汇总损益长表'!$L$2:$L$242,'辅助-汇总损益长表'!$A$2:$A$242,"财务费用",'辅助-汇总损益长表'!$B$2:$B$242,EP$2)</f>
        <v>0</v>
      </c>
      <c r="EQ53" s="100">
        <f>SUMIFS('辅助-汇总损益长表'!$L$2:$L$242,'辅助-汇总损益长表'!$A$2:$A$242,"财务费用",'辅助-汇总损益长表'!$B$2:$B$242,EQ$2)</f>
        <v>0</v>
      </c>
      <c r="ER53" s="100">
        <f>SUMIFS('辅助-汇总损益长表'!$L$2:$L$242,'辅助-汇总损益长表'!$A$2:$A$242,"财务费用",'辅助-汇总损益长表'!$B$2:$B$242,ER$2)</f>
        <v>0</v>
      </c>
      <c r="ES53" s="100">
        <f>SUMIFS('辅助-汇总损益长表'!$L$2:$L$242,'辅助-汇总损益长表'!$A$2:$A$242,"财务费用",'辅助-汇总损益长表'!$B$2:$B$242,ES$2)</f>
        <v>0</v>
      </c>
      <c r="ET53" s="100">
        <f>SUMIFS('辅助-汇总损益长表'!$L$2:$L$242,'辅助-汇总损益长表'!$A$2:$A$242,"财务费用",'辅助-汇总损益长表'!$B$2:$B$242,ET$2)</f>
        <v>0</v>
      </c>
      <c r="EU53" s="100">
        <f>SUMIFS('辅助-汇总损益长表'!$L$2:$L$242,'辅助-汇总损益长表'!$A$2:$A$242,"财务费用",'辅助-汇总损益长表'!$B$2:$B$242,EU$2)</f>
        <v>0</v>
      </c>
      <c r="EV53" s="100">
        <f>SUMIFS('辅助-汇总损益长表'!$L$2:$L$242,'辅助-汇总损益长表'!$A$2:$A$242,"财务费用",'辅助-汇总损益长表'!$B$2:$B$242,EV$2)</f>
        <v>0</v>
      </c>
      <c r="EW53" s="78">
        <f>SUMIFS('辅助-汇总损益长表'!$L$2:$L$242,'辅助-汇总损益长表'!$A$2:$A$242,"财务费用",'辅助-汇总损益长表'!$B$2:$B$242,EW$2)</f>
        <v>0</v>
      </c>
      <c r="EX53" s="78">
        <f>SUMIFS('辅助-汇总损益长表'!$L$2:$L$242,'辅助-汇总损益长表'!$A$2:$A$242,"财务费用",'辅助-汇总损益长表'!$B$2:$B$242,EX$2)</f>
        <v>0</v>
      </c>
      <c r="EY53" s="11"/>
    </row>
    <row r="54" spans="1:155" ht="16" customHeight="1">
      <c r="A54" s="76"/>
      <c r="B54" s="48" t="s">
        <v>92</v>
      </c>
      <c r="C54" s="76"/>
      <c r="D54" s="76"/>
      <c r="E54" s="76"/>
      <c r="F54" s="100">
        <f>SUMIFS('辅助-汇总损益长表'!$C$2:$C$242,'辅助-汇总损益长表'!$A$2:$A$242,"税金及附加",'辅助-汇总损益长表'!$B$2:$B$242,F$2)</f>
        <v>3.2896209839999995</v>
      </c>
      <c r="G54" s="100">
        <f>SUMIFS('辅助-汇总损益长表'!$C$2:$C$242,'辅助-汇总损益长表'!$A$2:$A$242,"税金及附加",'辅助-汇总损益长表'!$B$2:$B$242,G$2)</f>
        <v>1.99487883</v>
      </c>
      <c r="H54" s="100">
        <f>SUMIFS('辅助-汇总损益长表'!$C$2:$C$242,'辅助-汇总损益长表'!$A$2:$A$242,"税金及附加",'辅助-汇总损益长表'!$B$2:$B$242,H$2)</f>
        <v>3.0368843100000005</v>
      </c>
      <c r="I54" s="100">
        <f>SUMIFS('辅助-汇总损益长表'!$C$2:$C$242,'辅助-汇总损益长表'!$A$2:$A$242,"税金及附加",'辅助-汇总损益长表'!$B$2:$B$242,I$2)</f>
        <v>2.9335492529999998</v>
      </c>
      <c r="J54" s="100">
        <f>SUMIFS('辅助-汇总损益长表'!$C$2:$C$242,'辅助-汇总损益长表'!$A$2:$A$242,"税金及附加",'辅助-汇总损益长表'!$B$2:$B$242,J$2)</f>
        <v>3.6543095490000006</v>
      </c>
      <c r="K54" s="100">
        <f>SUMIFS('辅助-汇总损益长表'!$C$2:$C$242,'辅助-汇总损益长表'!$A$2:$A$242,"税金及附加",'辅助-汇总损益长表'!$B$2:$B$242,K$2)</f>
        <v>3.7217717136872039</v>
      </c>
      <c r="L54" s="100">
        <f>SUMIFS('辅助-汇总损益长表'!$C$2:$C$242,'辅助-汇总损益长表'!$A$2:$A$242,"税金及附加",'辅助-汇总损益长表'!$B$2:$B$242,L$2)</f>
        <v>2.3755316772791017</v>
      </c>
      <c r="M54" s="100">
        <f>SUMIFS('辅助-汇总损益长表'!$C$2:$C$242,'辅助-汇总损益长表'!$A$2:$A$242,"税金及附加",'辅助-汇总损益长表'!$B$2:$B$242,M$2)</f>
        <v>3.1367982007848072</v>
      </c>
      <c r="N54" s="100">
        <f>SUMIFS('辅助-汇总损益长表'!$C$2:$C$242,'辅助-汇总损益长表'!$A$2:$A$242,"税金及附加",'辅助-汇总损益长表'!$B$2:$B$242,N$2)</f>
        <v>3.9333390236078629</v>
      </c>
      <c r="O54" s="100">
        <f>SUMIFS('辅助-汇总损益长表'!$C$2:$C$242,'辅助-汇总损益长表'!$A$2:$A$242,"税金及附加",'辅助-汇总损益长表'!$B$2:$B$242,O$2)</f>
        <v>4.2378637022656838</v>
      </c>
      <c r="P54" s="100">
        <f>SUMIFS('辅助-汇总损益长表'!$C$2:$C$242,'辅助-汇总损益长表'!$A$2:$A$242,"税金及附加",'辅助-汇总损益长表'!$B$2:$B$242,P$2)</f>
        <v>5.1448854578424497</v>
      </c>
      <c r="Q54" s="100">
        <f>SUMIFS('辅助-汇总损益长表'!$C$2:$C$242,'辅助-汇总损益长表'!$A$2:$A$242,"税金及附加",'辅助-汇总损益长表'!$B$2:$B$242,Q$2)</f>
        <v>4.3893185214954178</v>
      </c>
      <c r="R54" s="78">
        <f>SUMIFS('辅助-汇总损益长表'!$C$2:$C$242,'辅助-汇总损益长表'!$A$2:$A$242,"税金及附加",'辅助-汇总损益长表'!$B$2:$B$242,R$2)</f>
        <v>41.848751222962527</v>
      </c>
      <c r="S54" s="78">
        <f>SUMIFS('辅助-汇总损益长表'!$C$2:$C$242,'辅助-汇总损益长表'!$A$2:$A$242,"税金及附加",'辅助-汇总损益长表'!$B$2:$B$242,S$2)</f>
        <v>23.217736583275322</v>
      </c>
      <c r="T54" s="97"/>
      <c r="U54" s="100">
        <f>SUMIFS('辅助-汇总损益长表'!$D$2:$D$242,'辅助-汇总损益长表'!$A$2:$A$242,"税金及附加",'辅助-汇总损益长表'!$B$2:$B$242,U$2)</f>
        <v>0</v>
      </c>
      <c r="V54" s="100">
        <f>SUMIFS('辅助-汇总损益长表'!$D$2:$D$242,'辅助-汇总损益长表'!$A$2:$A$242,"税金及附加",'辅助-汇总损益长表'!$B$2:$B$242,V$2)</f>
        <v>0</v>
      </c>
      <c r="W54" s="100">
        <f>SUMIFS('辅助-汇总损益长表'!$D$2:$D$242,'辅助-汇总损益长表'!$A$2:$A$242,"税金及附加",'辅助-汇总损益长表'!$B$2:$B$242,W$2)</f>
        <v>0</v>
      </c>
      <c r="X54" s="100">
        <f>SUMIFS('辅助-汇总损益长表'!$D$2:$D$242,'辅助-汇总损益长表'!$A$2:$A$242,"税金及附加",'辅助-汇总损益长表'!$B$2:$B$242,X$2)</f>
        <v>0</v>
      </c>
      <c r="Y54" s="100">
        <f>SUMIFS('辅助-汇总损益长表'!$D$2:$D$242,'辅助-汇总损益长表'!$A$2:$A$242,"税金及附加",'辅助-汇总损益长表'!$B$2:$B$242,Y$2)</f>
        <v>0</v>
      </c>
      <c r="Z54" s="100">
        <f>SUMIFS('辅助-汇总损益长表'!$D$2:$D$242,'辅助-汇总损益长表'!$A$2:$A$242,"税金及附加",'辅助-汇总损益长表'!$B$2:$B$242,Z$2)</f>
        <v>0</v>
      </c>
      <c r="AA54" s="100">
        <f>SUMIFS('辅助-汇总损益长表'!$D$2:$D$242,'辅助-汇总损益长表'!$A$2:$A$242,"税金及附加",'辅助-汇总损益长表'!$B$2:$B$242,AA$2)</f>
        <v>0</v>
      </c>
      <c r="AB54" s="100">
        <f>SUMIFS('辅助-汇总损益长表'!$D$2:$D$242,'辅助-汇总损益长表'!$A$2:$A$242,"税金及附加",'辅助-汇总损益长表'!$B$2:$B$242,AB$2)</f>
        <v>0</v>
      </c>
      <c r="AC54" s="100">
        <f>SUMIFS('辅助-汇总损益长表'!$D$2:$D$242,'辅助-汇总损益长表'!$A$2:$A$242,"税金及附加",'辅助-汇总损益长表'!$B$2:$B$242,AC$2)</f>
        <v>0</v>
      </c>
      <c r="AD54" s="100">
        <f>SUMIFS('辅助-汇总损益长表'!$D$2:$D$242,'辅助-汇总损益长表'!$A$2:$A$242,"税金及附加",'辅助-汇总损益长表'!$B$2:$B$242,AD$2)</f>
        <v>0</v>
      </c>
      <c r="AE54" s="100">
        <f>SUMIFS('辅助-汇总损益长表'!$D$2:$D$242,'辅助-汇总损益长表'!$A$2:$A$242,"税金及附加",'辅助-汇总损益长表'!$B$2:$B$242,AE$2)</f>
        <v>0</v>
      </c>
      <c r="AF54" s="100">
        <f>SUMIFS('辅助-汇总损益长表'!$D$2:$D$242,'辅助-汇总损益长表'!$A$2:$A$242,"税金及附加",'辅助-汇总损益长表'!$B$2:$B$242,AF$2)</f>
        <v>0</v>
      </c>
      <c r="AG54" s="78">
        <f>SUMIFS('辅助-汇总损益长表'!$D$2:$D$242,'辅助-汇总损益长表'!$A$2:$A$242,"税金及附加",'辅助-汇总损益长表'!$B$2:$B$242,AG$2)</f>
        <v>0</v>
      </c>
      <c r="AH54" s="78">
        <f>SUMIFS('辅助-汇总损益长表'!$D$2:$D$242,'辅助-汇总损益长表'!$A$2:$A$242,"税金及附加",'辅助-汇总损益长表'!$B$2:$B$242,AH$2)</f>
        <v>0</v>
      </c>
      <c r="AI54" s="97"/>
      <c r="AJ54" s="100">
        <f>SUMIFS('辅助-汇总损益长表'!$E$2:$E$242,'辅助-汇总损益长表'!$A$2:$A$242,"税金及附加",'辅助-汇总损益长表'!$B$2:$B$242,AJ$2)</f>
        <v>0</v>
      </c>
      <c r="AK54" s="100">
        <f>SUMIFS('辅助-汇总损益长表'!$E$2:$E$242,'辅助-汇总损益长表'!$A$2:$A$242,"税金及附加",'辅助-汇总损益长表'!$B$2:$B$242,AK$2)</f>
        <v>0</v>
      </c>
      <c r="AL54" s="100">
        <f>SUMIFS('辅助-汇总损益长表'!$E$2:$E$242,'辅助-汇总损益长表'!$A$2:$A$242,"税金及附加",'辅助-汇总损益长表'!$B$2:$B$242,AL$2)</f>
        <v>0</v>
      </c>
      <c r="AM54" s="100">
        <f>SUMIFS('辅助-汇总损益长表'!$E$2:$E$242,'辅助-汇总损益长表'!$A$2:$A$242,"税金及附加",'辅助-汇总损益长表'!$B$2:$B$242,AM$2)</f>
        <v>0</v>
      </c>
      <c r="AN54" s="100">
        <f>SUMIFS('辅助-汇总损益长表'!$E$2:$E$242,'辅助-汇总损益长表'!$A$2:$A$242,"税金及附加",'辅助-汇总损益长表'!$B$2:$B$242,AN$2)</f>
        <v>0</v>
      </c>
      <c r="AO54" s="100">
        <f>SUMIFS('辅助-汇总损益长表'!$E$2:$E$242,'辅助-汇总损益长表'!$A$2:$A$242,"税金及附加",'辅助-汇总损益长表'!$B$2:$B$242,AO$2)</f>
        <v>0</v>
      </c>
      <c r="AP54" s="100">
        <f>SUMIFS('辅助-汇总损益长表'!$E$2:$E$242,'辅助-汇总损益长表'!$A$2:$A$242,"税金及附加",'辅助-汇总损益长表'!$B$2:$B$242,AP$2)</f>
        <v>0</v>
      </c>
      <c r="AQ54" s="100">
        <f>SUMIFS('辅助-汇总损益长表'!$E$2:$E$242,'辅助-汇总损益长表'!$A$2:$A$242,"税金及附加",'辅助-汇总损益长表'!$B$2:$B$242,AQ$2)</f>
        <v>0</v>
      </c>
      <c r="AR54" s="100">
        <f>SUMIFS('辅助-汇总损益长表'!$E$2:$E$242,'辅助-汇总损益长表'!$A$2:$A$242,"税金及附加",'辅助-汇总损益长表'!$B$2:$B$242,AR$2)</f>
        <v>0</v>
      </c>
      <c r="AS54" s="100">
        <f>SUMIFS('辅助-汇总损益长表'!$E$2:$E$242,'辅助-汇总损益长表'!$A$2:$A$242,"税金及附加",'辅助-汇总损益长表'!$B$2:$B$242,AS$2)</f>
        <v>0</v>
      </c>
      <c r="AT54" s="100">
        <f>SUMIFS('辅助-汇总损益长表'!$E$2:$E$242,'辅助-汇总损益长表'!$A$2:$A$242,"税金及附加",'辅助-汇总损益长表'!$B$2:$B$242,AT$2)</f>
        <v>0</v>
      </c>
      <c r="AU54" s="100">
        <f>SUMIFS('辅助-汇总损益长表'!$E$2:$E$242,'辅助-汇总损益长表'!$A$2:$A$242,"税金及附加",'辅助-汇总损益长表'!$B$2:$B$242,AU$2)</f>
        <v>0</v>
      </c>
      <c r="AV54" s="78">
        <f>SUMIFS('辅助-汇总损益长表'!$E$2:$E$242,'辅助-汇总损益长表'!$A$2:$A$242,"税金及附加",'辅助-汇总损益长表'!$B$2:$B$242,AV$2)</f>
        <v>0</v>
      </c>
      <c r="AW54" s="78">
        <f>SUMIFS('辅助-汇总损益长表'!$E$2:$E$242,'辅助-汇总损益长表'!$A$2:$A$242,"税金及附加",'辅助-汇总损益长表'!$B$2:$B$242,AW$2)</f>
        <v>0</v>
      </c>
      <c r="AX54" s="97"/>
      <c r="AY54" s="100">
        <f>SUMIFS('辅助-汇总损益长表'!$F$2:$F$242,'辅助-汇总损益长表'!$A$2:$A$242,"税金及附加",'辅助-汇总损益长表'!$B$2:$B$242,AY$2)</f>
        <v>0</v>
      </c>
      <c r="AZ54" s="100">
        <f>SUMIFS('辅助-汇总损益长表'!$F$2:$F$242,'辅助-汇总损益长表'!$A$2:$A$242,"税金及附加",'辅助-汇总损益长表'!$B$2:$B$242,AZ$2)</f>
        <v>0</v>
      </c>
      <c r="BA54" s="100">
        <f>SUMIFS('辅助-汇总损益长表'!$F$2:$F$242,'辅助-汇总损益长表'!$A$2:$A$242,"税金及附加",'辅助-汇总损益长表'!$B$2:$B$242,BA$2)</f>
        <v>0</v>
      </c>
      <c r="BB54" s="100">
        <f>SUMIFS('辅助-汇总损益长表'!$F$2:$F$242,'辅助-汇总损益长表'!$A$2:$A$242,"税金及附加",'辅助-汇总损益长表'!$B$2:$B$242,BB$2)</f>
        <v>0</v>
      </c>
      <c r="BC54" s="100">
        <f>SUMIFS('辅助-汇总损益长表'!$F$2:$F$242,'辅助-汇总损益长表'!$A$2:$A$242,"税金及附加",'辅助-汇总损益长表'!$B$2:$B$242,BC$2)</f>
        <v>0</v>
      </c>
      <c r="BD54" s="100">
        <f>SUMIFS('辅助-汇总损益长表'!$F$2:$F$242,'辅助-汇总损益长表'!$A$2:$A$242,"税金及附加",'辅助-汇总损益长表'!$B$2:$B$242,BD$2)</f>
        <v>0</v>
      </c>
      <c r="BE54" s="100">
        <f>SUMIFS('辅助-汇总损益长表'!$F$2:$F$242,'辅助-汇总损益长表'!$A$2:$A$242,"税金及附加",'辅助-汇总损益长表'!$B$2:$B$242,BE$2)</f>
        <v>0</v>
      </c>
      <c r="BF54" s="100">
        <f>SUMIFS('辅助-汇总损益长表'!$F$2:$F$242,'辅助-汇总损益长表'!$A$2:$A$242,"税金及附加",'辅助-汇总损益长表'!$B$2:$B$242,BF$2)</f>
        <v>0</v>
      </c>
      <c r="BG54" s="100">
        <f>SUMIFS('辅助-汇总损益长表'!$F$2:$F$242,'辅助-汇总损益长表'!$A$2:$A$242,"税金及附加",'辅助-汇总损益长表'!$B$2:$B$242,BG$2)</f>
        <v>0</v>
      </c>
      <c r="BH54" s="100">
        <f>SUMIFS('辅助-汇总损益长表'!$F$2:$F$242,'辅助-汇总损益长表'!$A$2:$A$242,"税金及附加",'辅助-汇总损益长表'!$B$2:$B$242,BH$2)</f>
        <v>0</v>
      </c>
      <c r="BI54" s="100">
        <f>SUMIFS('辅助-汇总损益长表'!$F$2:$F$242,'辅助-汇总损益长表'!$A$2:$A$242,"税金及附加",'辅助-汇总损益长表'!$B$2:$B$242,BI$2)</f>
        <v>0</v>
      </c>
      <c r="BJ54" s="100">
        <f>SUMIFS('辅助-汇总损益长表'!$F$2:$F$242,'辅助-汇总损益长表'!$A$2:$A$242,"税金及附加",'辅助-汇总损益长表'!$B$2:$B$242,BJ$2)</f>
        <v>0</v>
      </c>
      <c r="BK54" s="78">
        <f>SUMIFS('辅助-汇总损益长表'!$F$2:$F$242,'辅助-汇总损益长表'!$A$2:$A$242,"税金及附加",'辅助-汇总损益长表'!$B$2:$B$242,BK$2)</f>
        <v>0</v>
      </c>
      <c r="BL54" s="78">
        <f>SUMIFS('辅助-汇总损益长表'!$F$2:$F$242,'辅助-汇总损益长表'!$A$2:$A$242,"税金及附加",'辅助-汇总损益长表'!$B$2:$B$242,BL$2)</f>
        <v>0</v>
      </c>
      <c r="BM54" s="97"/>
      <c r="BN54" s="100">
        <f>SUMIFS('辅助-汇总损益长表'!$G$2:$G$242,'辅助-汇总损益长表'!$A$2:$A$242,"税金及附加",'辅助-汇总损益长表'!$B$2:$B$242,BN$2)</f>
        <v>0</v>
      </c>
      <c r="BO54" s="100">
        <f>SUMIFS('辅助-汇总损益长表'!$G$2:$G$242,'辅助-汇总损益长表'!$A$2:$A$242,"税金及附加",'辅助-汇总损益长表'!$B$2:$B$242,BO$2)</f>
        <v>0</v>
      </c>
      <c r="BP54" s="100">
        <f>SUMIFS('辅助-汇总损益长表'!$G$2:$G$242,'辅助-汇总损益长表'!$A$2:$A$242,"税金及附加",'辅助-汇总损益长表'!$B$2:$B$242,BP$2)</f>
        <v>0</v>
      </c>
      <c r="BQ54" s="100">
        <f>SUMIFS('辅助-汇总损益长表'!$G$2:$G$242,'辅助-汇总损益长表'!$A$2:$A$242,"税金及附加",'辅助-汇总损益长表'!$B$2:$B$242,BQ$2)</f>
        <v>0</v>
      </c>
      <c r="BR54" s="100">
        <f>SUMIFS('辅助-汇总损益长表'!$G$2:$G$242,'辅助-汇总损益长表'!$A$2:$A$242,"税金及附加",'辅助-汇总损益长表'!$B$2:$B$242,BR$2)</f>
        <v>0</v>
      </c>
      <c r="BS54" s="100">
        <f>SUMIFS('辅助-汇总损益长表'!$G$2:$G$242,'辅助-汇总损益长表'!$A$2:$A$242,"税金及附加",'辅助-汇总损益长表'!$B$2:$B$242,BS$2)</f>
        <v>0</v>
      </c>
      <c r="BT54" s="100">
        <f>SUMIFS('辅助-汇总损益长表'!$G$2:$G$242,'辅助-汇总损益长表'!$A$2:$A$242,"税金及附加",'辅助-汇总损益长表'!$B$2:$B$242,BT$2)</f>
        <v>0</v>
      </c>
      <c r="BU54" s="100">
        <f>SUMIFS('辅助-汇总损益长表'!$G$2:$G$242,'辅助-汇总损益长表'!$A$2:$A$242,"税金及附加",'辅助-汇总损益长表'!$B$2:$B$242,BU$2)</f>
        <v>0</v>
      </c>
      <c r="BV54" s="100">
        <f>SUMIFS('辅助-汇总损益长表'!$G$2:$G$242,'辅助-汇总损益长表'!$A$2:$A$242,"税金及附加",'辅助-汇总损益长表'!$B$2:$B$242,BV$2)</f>
        <v>0</v>
      </c>
      <c r="BW54" s="100">
        <f>SUMIFS('辅助-汇总损益长表'!$G$2:$G$242,'辅助-汇总损益长表'!$A$2:$A$242,"税金及附加",'辅助-汇总损益长表'!$B$2:$B$242,BW$2)</f>
        <v>0</v>
      </c>
      <c r="BX54" s="100">
        <f>SUMIFS('辅助-汇总损益长表'!$G$2:$G$242,'辅助-汇总损益长表'!$A$2:$A$242,"税金及附加",'辅助-汇总损益长表'!$B$2:$B$242,BX$2)</f>
        <v>0</v>
      </c>
      <c r="BY54" s="100">
        <f>SUMIFS('辅助-汇总损益长表'!$G$2:$G$242,'辅助-汇总损益长表'!$A$2:$A$242,"税金及附加",'辅助-汇总损益长表'!$B$2:$B$242,BY$2)</f>
        <v>0</v>
      </c>
      <c r="BZ54" s="78">
        <f>SUMIFS('辅助-汇总损益长表'!$G$2:$G$242,'辅助-汇总损益长表'!$A$2:$A$242,"税金及附加",'辅助-汇总损益长表'!$B$2:$B$242,BZ$2)</f>
        <v>0</v>
      </c>
      <c r="CA54" s="78">
        <f>SUMIFS('辅助-汇总损益长表'!$G$2:$G$242,'辅助-汇总损益长表'!$A$2:$A$242,"税金及附加",'辅助-汇总损益长表'!$B$2:$B$242,CA$2)</f>
        <v>0</v>
      </c>
      <c r="CB54" s="97"/>
      <c r="CC54" s="100">
        <f>SUMIFS('辅助-汇总损益长表'!$H$2:$H$242,'辅助-汇总损益长表'!$A$2:$A$242,"税金及附加",'辅助-汇总损益长表'!$B$2:$B$242,CC$2)</f>
        <v>0</v>
      </c>
      <c r="CD54" s="100">
        <f>SUMIFS('辅助-汇总损益长表'!$H$2:$H$242,'辅助-汇总损益长表'!$A$2:$A$242,"税金及附加",'辅助-汇总损益长表'!$B$2:$B$242,CD$2)</f>
        <v>0</v>
      </c>
      <c r="CE54" s="100">
        <f>SUMIFS('辅助-汇总损益长表'!$H$2:$H$242,'辅助-汇总损益长表'!$A$2:$A$242,"税金及附加",'辅助-汇总损益长表'!$B$2:$B$242,CE$2)</f>
        <v>0</v>
      </c>
      <c r="CF54" s="100">
        <f>SUMIFS('辅助-汇总损益长表'!$H$2:$H$242,'辅助-汇总损益长表'!$A$2:$A$242,"税金及附加",'辅助-汇总损益长表'!$B$2:$B$242,CF$2)</f>
        <v>0</v>
      </c>
      <c r="CG54" s="100">
        <f>SUMIFS('辅助-汇总损益长表'!$H$2:$H$242,'辅助-汇总损益长表'!$A$2:$A$242,"税金及附加",'辅助-汇总损益长表'!$B$2:$B$242,CG$2)</f>
        <v>0</v>
      </c>
      <c r="CH54" s="100">
        <f>SUMIFS('辅助-汇总损益长表'!$H$2:$H$242,'辅助-汇总损益长表'!$A$2:$A$242,"税金及附加",'辅助-汇总损益长表'!$B$2:$B$242,CH$2)</f>
        <v>0</v>
      </c>
      <c r="CI54" s="100">
        <f>SUMIFS('辅助-汇总损益长表'!$H$2:$H$242,'辅助-汇总损益长表'!$A$2:$A$242,"税金及附加",'辅助-汇总损益长表'!$B$2:$B$242,CI$2)</f>
        <v>0</v>
      </c>
      <c r="CJ54" s="100">
        <f>SUMIFS('辅助-汇总损益长表'!$H$2:$H$242,'辅助-汇总损益长表'!$A$2:$A$242,"税金及附加",'辅助-汇总损益长表'!$B$2:$B$242,CJ$2)</f>
        <v>0</v>
      </c>
      <c r="CK54" s="100">
        <f>SUMIFS('辅助-汇总损益长表'!$H$2:$H$242,'辅助-汇总损益长表'!$A$2:$A$242,"税金及附加",'辅助-汇总损益长表'!$B$2:$B$242,CK$2)</f>
        <v>0</v>
      </c>
      <c r="CL54" s="100">
        <f>SUMIFS('辅助-汇总损益长表'!$H$2:$H$242,'辅助-汇总损益长表'!$A$2:$A$242,"税金及附加",'辅助-汇总损益长表'!$B$2:$B$242,CL$2)</f>
        <v>0</v>
      </c>
      <c r="CM54" s="100">
        <f>SUMIFS('辅助-汇总损益长表'!$H$2:$H$242,'辅助-汇总损益长表'!$A$2:$A$242,"税金及附加",'辅助-汇总损益长表'!$B$2:$B$242,CM$2)</f>
        <v>0</v>
      </c>
      <c r="CN54" s="100">
        <f>SUMIFS('辅助-汇总损益长表'!$H$2:$H$242,'辅助-汇总损益长表'!$A$2:$A$242,"税金及附加",'辅助-汇总损益长表'!$B$2:$B$242,CN$2)</f>
        <v>0</v>
      </c>
      <c r="CO54" s="78">
        <f>SUMIFS('辅助-汇总损益长表'!$H$2:$H$242,'辅助-汇总损益长表'!$A$2:$A$242,"税金及附加",'辅助-汇总损益长表'!$B$2:$B$242,CO$2)</f>
        <v>0</v>
      </c>
      <c r="CP54" s="78">
        <f>SUMIFS('辅助-汇总损益长表'!$H$2:$H$242,'辅助-汇总损益长表'!$A$2:$A$242,"税金及附加",'辅助-汇总损益长表'!$B$2:$B$242,CP$2)</f>
        <v>0</v>
      </c>
      <c r="CQ54" s="97"/>
      <c r="CR54" s="100">
        <f>SUMIFS('辅助-汇总损益长表'!$I$2:$I$242,'辅助-汇总损益长表'!$A$2:$A$242,"税金及附加",'辅助-汇总损益长表'!$B$2:$B$242,CR$2)</f>
        <v>0</v>
      </c>
      <c r="CS54" s="100">
        <f>SUMIFS('辅助-汇总损益长表'!$I$2:$I$242,'辅助-汇总损益长表'!$A$2:$A$242,"税金及附加",'辅助-汇总损益长表'!$B$2:$B$242,CS$2)</f>
        <v>0</v>
      </c>
      <c r="CT54" s="100">
        <f>SUMIFS('辅助-汇总损益长表'!$I$2:$I$242,'辅助-汇总损益长表'!$A$2:$A$242,"税金及附加",'辅助-汇总损益长表'!$B$2:$B$242,CT$2)</f>
        <v>0</v>
      </c>
      <c r="CU54" s="100">
        <f>SUMIFS('辅助-汇总损益长表'!$I$2:$I$242,'辅助-汇总损益长表'!$A$2:$A$242,"税金及附加",'辅助-汇总损益长表'!$B$2:$B$242,CU$2)</f>
        <v>0</v>
      </c>
      <c r="CV54" s="100">
        <f>SUMIFS('辅助-汇总损益长表'!$I$2:$I$242,'辅助-汇总损益长表'!$A$2:$A$242,"税金及附加",'辅助-汇总损益长表'!$B$2:$B$242,CV$2)</f>
        <v>0</v>
      </c>
      <c r="CW54" s="100">
        <f>SUMIFS('辅助-汇总损益长表'!$I$2:$I$242,'辅助-汇总损益长表'!$A$2:$A$242,"税金及附加",'辅助-汇总损益长表'!$B$2:$B$242,CW$2)</f>
        <v>0</v>
      </c>
      <c r="CX54" s="100">
        <f>SUMIFS('辅助-汇总损益长表'!$I$2:$I$242,'辅助-汇总损益长表'!$A$2:$A$242,"税金及附加",'辅助-汇总损益长表'!$B$2:$B$242,CX$2)</f>
        <v>0</v>
      </c>
      <c r="CY54" s="100">
        <f>SUMIFS('辅助-汇总损益长表'!$I$2:$I$242,'辅助-汇总损益长表'!$A$2:$A$242,"税金及附加",'辅助-汇总损益长表'!$B$2:$B$242,CY$2)</f>
        <v>0</v>
      </c>
      <c r="CZ54" s="100">
        <f>SUMIFS('辅助-汇总损益长表'!$I$2:$I$242,'辅助-汇总损益长表'!$A$2:$A$242,"税金及附加",'辅助-汇总损益长表'!$B$2:$B$242,CZ$2)</f>
        <v>0</v>
      </c>
      <c r="DA54" s="100">
        <f>SUMIFS('辅助-汇总损益长表'!$I$2:$I$242,'辅助-汇总损益长表'!$A$2:$A$242,"税金及附加",'辅助-汇总损益长表'!$B$2:$B$242,DA$2)</f>
        <v>0</v>
      </c>
      <c r="DB54" s="100">
        <f>SUMIFS('辅助-汇总损益长表'!$I$2:$I$242,'辅助-汇总损益长表'!$A$2:$A$242,"税金及附加",'辅助-汇总损益长表'!$B$2:$B$242,DB$2)</f>
        <v>0</v>
      </c>
      <c r="DC54" s="100">
        <f>SUMIFS('辅助-汇总损益长表'!$I$2:$I$242,'辅助-汇总损益长表'!$A$2:$A$242,"税金及附加",'辅助-汇总损益长表'!$B$2:$B$242,DC$2)</f>
        <v>0</v>
      </c>
      <c r="DD54" s="78">
        <f>SUMIFS('辅助-汇总损益长表'!$I$2:$I$242,'辅助-汇总损益长表'!$A$2:$A$242,"税金及附加",'辅助-汇总损益长表'!$B$2:$B$242,DD$2)</f>
        <v>0</v>
      </c>
      <c r="DE54" s="78">
        <f>SUMIFS('辅助-汇总损益长表'!$I$2:$I$242,'辅助-汇总损益长表'!$A$2:$A$242,"税金及附加",'辅助-汇总损益长表'!$B$2:$B$242,DE$2)</f>
        <v>0</v>
      </c>
      <c r="DF54" s="97"/>
      <c r="DG54" s="100">
        <f>SUMIFS('辅助-汇总损益长表'!$J$2:$J$242,'辅助-汇总损益长表'!$A$2:$A$242,"税金及附加",'辅助-汇总损益长表'!$B$2:$B$242,DG$2)</f>
        <v>0</v>
      </c>
      <c r="DH54" s="100">
        <f>SUMIFS('辅助-汇总损益长表'!$J$2:$J$242,'辅助-汇总损益长表'!$A$2:$A$242,"税金及附加",'辅助-汇总损益长表'!$B$2:$B$242,DH$2)</f>
        <v>0</v>
      </c>
      <c r="DI54" s="100">
        <f>SUMIFS('辅助-汇总损益长表'!$J$2:$J$242,'辅助-汇总损益长表'!$A$2:$A$242,"税金及附加",'辅助-汇总损益长表'!$B$2:$B$242,DI$2)</f>
        <v>0</v>
      </c>
      <c r="DJ54" s="100">
        <f>SUMIFS('辅助-汇总损益长表'!$J$2:$J$242,'辅助-汇总损益长表'!$A$2:$A$242,"税金及附加",'辅助-汇总损益长表'!$B$2:$B$242,DJ$2)</f>
        <v>0</v>
      </c>
      <c r="DK54" s="100">
        <f>SUMIFS('辅助-汇总损益长表'!$J$2:$J$242,'辅助-汇总损益长表'!$A$2:$A$242,"税金及附加",'辅助-汇总损益长表'!$B$2:$B$242,DK$2)</f>
        <v>0</v>
      </c>
      <c r="DL54" s="100">
        <f>SUMIFS('辅助-汇总损益长表'!$J$2:$J$242,'辅助-汇总损益长表'!$A$2:$A$242,"税金及附加",'辅助-汇总损益长表'!$B$2:$B$242,DL$2)</f>
        <v>0</v>
      </c>
      <c r="DM54" s="100">
        <f>SUMIFS('辅助-汇总损益长表'!$J$2:$J$242,'辅助-汇总损益长表'!$A$2:$A$242,"税金及附加",'辅助-汇总损益长表'!$B$2:$B$242,DM$2)</f>
        <v>0</v>
      </c>
      <c r="DN54" s="100">
        <f>SUMIFS('辅助-汇总损益长表'!$J$2:$J$242,'辅助-汇总损益长表'!$A$2:$A$242,"税金及附加",'辅助-汇总损益长表'!$B$2:$B$242,DN$2)</f>
        <v>0</v>
      </c>
      <c r="DO54" s="100">
        <f>SUMIFS('辅助-汇总损益长表'!$J$2:$J$242,'辅助-汇总损益长表'!$A$2:$A$242,"税金及附加",'辅助-汇总损益长表'!$B$2:$B$242,DO$2)</f>
        <v>0</v>
      </c>
      <c r="DP54" s="100">
        <f>SUMIFS('辅助-汇总损益长表'!$J$2:$J$242,'辅助-汇总损益长表'!$A$2:$A$242,"税金及附加",'辅助-汇总损益长表'!$B$2:$B$242,DP$2)</f>
        <v>0</v>
      </c>
      <c r="DQ54" s="100">
        <f>SUMIFS('辅助-汇总损益长表'!$J$2:$J$242,'辅助-汇总损益长表'!$A$2:$A$242,"税金及附加",'辅助-汇总损益长表'!$B$2:$B$242,DQ$2)</f>
        <v>0</v>
      </c>
      <c r="DR54" s="100">
        <f>SUMIFS('辅助-汇总损益长表'!$J$2:$J$242,'辅助-汇总损益长表'!$A$2:$A$242,"税金及附加",'辅助-汇总损益长表'!$B$2:$B$242,DR$2)</f>
        <v>0</v>
      </c>
      <c r="DS54" s="78">
        <f>SUMIFS('辅助-汇总损益长表'!$J$2:$J$242,'辅助-汇总损益长表'!$A$2:$A$242,"税金及附加",'辅助-汇总损益长表'!$B$2:$B$242,DS$2)</f>
        <v>0</v>
      </c>
      <c r="DT54" s="78">
        <f>SUMIFS('辅助-汇总损益长表'!$J$2:$J$242,'辅助-汇总损益长表'!$A$2:$A$242,"税金及附加",'辅助-汇总损益长表'!$B$2:$B$242,DT$2)</f>
        <v>0</v>
      </c>
      <c r="DU54" s="97"/>
      <c r="DV54" s="100">
        <f>SUMIFS('辅助-汇总损益长表'!$K$2:$K$242,'辅助-汇总损益长表'!$A$2:$A$242,"税金及附加",'辅助-汇总损益长表'!$B$2:$B$242,DV$2)</f>
        <v>0</v>
      </c>
      <c r="DW54" s="100">
        <f>SUMIFS('辅助-汇总损益长表'!$K$2:$K$242,'辅助-汇总损益长表'!$A$2:$A$242,"税金及附加",'辅助-汇总损益长表'!$B$2:$B$242,DW$2)</f>
        <v>0</v>
      </c>
      <c r="DX54" s="100">
        <f>SUMIFS('辅助-汇总损益长表'!$K$2:$K$242,'辅助-汇总损益长表'!$A$2:$A$242,"税金及附加",'辅助-汇总损益长表'!$B$2:$B$242,DX$2)</f>
        <v>0</v>
      </c>
      <c r="DY54" s="100">
        <f>SUMIFS('辅助-汇总损益长表'!$K$2:$K$242,'辅助-汇总损益长表'!$A$2:$A$242,"税金及附加",'辅助-汇总损益长表'!$B$2:$B$242,DY$2)</f>
        <v>0</v>
      </c>
      <c r="DZ54" s="100">
        <f>SUMIFS('辅助-汇总损益长表'!$K$2:$K$242,'辅助-汇总损益长表'!$A$2:$A$242,"税金及附加",'辅助-汇总损益长表'!$B$2:$B$242,DZ$2)</f>
        <v>0</v>
      </c>
      <c r="EA54" s="100">
        <f>SUMIFS('辅助-汇总损益长表'!$K$2:$K$242,'辅助-汇总损益长表'!$A$2:$A$242,"税金及附加",'辅助-汇总损益长表'!$B$2:$B$242,EA$2)</f>
        <v>0</v>
      </c>
      <c r="EB54" s="100">
        <f>SUMIFS('辅助-汇总损益长表'!$K$2:$K$242,'辅助-汇总损益长表'!$A$2:$A$242,"税金及附加",'辅助-汇总损益长表'!$B$2:$B$242,EB$2)</f>
        <v>0</v>
      </c>
      <c r="EC54" s="100">
        <f>SUMIFS('辅助-汇总损益长表'!$K$2:$K$242,'辅助-汇总损益长表'!$A$2:$A$242,"税金及附加",'辅助-汇总损益长表'!$B$2:$B$242,EC$2)</f>
        <v>0</v>
      </c>
      <c r="ED54" s="100">
        <f>SUMIFS('辅助-汇总损益长表'!$K$2:$K$242,'辅助-汇总损益长表'!$A$2:$A$242,"税金及附加",'辅助-汇总损益长表'!$B$2:$B$242,ED$2)</f>
        <v>0</v>
      </c>
      <c r="EE54" s="100">
        <f>SUMIFS('辅助-汇总损益长表'!$K$2:$K$242,'辅助-汇总损益长表'!$A$2:$A$242,"税金及附加",'辅助-汇总损益长表'!$B$2:$B$242,EE$2)</f>
        <v>0</v>
      </c>
      <c r="EF54" s="100">
        <f>SUMIFS('辅助-汇总损益长表'!$K$2:$K$242,'辅助-汇总损益长表'!$A$2:$A$242,"税金及附加",'辅助-汇总损益长表'!$B$2:$B$242,EF$2)</f>
        <v>0</v>
      </c>
      <c r="EG54" s="100">
        <f>SUMIFS('辅助-汇总损益长表'!$K$2:$K$242,'辅助-汇总损益长表'!$A$2:$A$242,"税金及附加",'辅助-汇总损益长表'!$B$2:$B$242,EG$2)</f>
        <v>0</v>
      </c>
      <c r="EH54" s="78">
        <f>SUMIFS('辅助-汇总损益长表'!$K$2:$K$242,'辅助-汇总损益长表'!$A$2:$A$242,"税金及附加",'辅助-汇总损益长表'!$B$2:$B$242,EH$2)</f>
        <v>0</v>
      </c>
      <c r="EI54" s="78">
        <f>SUMIFS('辅助-汇总损益长表'!$K$2:$K$242,'辅助-汇总损益长表'!$A$2:$A$242,"税金及附加",'辅助-汇总损益长表'!$B$2:$B$242,EI$2)</f>
        <v>0</v>
      </c>
      <c r="EJ54" s="42"/>
      <c r="EK54" s="100">
        <f>SUMIFS('辅助-汇总损益长表'!$L$2:$L$242,'辅助-汇总损益长表'!$A$2:$A$242,"税金及附加",'辅助-汇总损益长表'!$B$2:$B$242,EK$2)</f>
        <v>0</v>
      </c>
      <c r="EL54" s="100">
        <f>SUMIFS('辅助-汇总损益长表'!$L$2:$L$242,'辅助-汇总损益长表'!$A$2:$A$242,"税金及附加",'辅助-汇总损益长表'!$B$2:$B$242,EL$2)</f>
        <v>0</v>
      </c>
      <c r="EM54" s="100">
        <f>SUMIFS('辅助-汇总损益长表'!$L$2:$L$242,'辅助-汇总损益长表'!$A$2:$A$242,"税金及附加",'辅助-汇总损益长表'!$B$2:$B$242,EM$2)</f>
        <v>0</v>
      </c>
      <c r="EN54" s="100">
        <f>SUMIFS('辅助-汇总损益长表'!$L$2:$L$242,'辅助-汇总损益长表'!$A$2:$A$242,"税金及附加",'辅助-汇总损益长表'!$B$2:$B$242,EN$2)</f>
        <v>0</v>
      </c>
      <c r="EO54" s="100">
        <f>SUMIFS('辅助-汇总损益长表'!$L$2:$L$242,'辅助-汇总损益长表'!$A$2:$A$242,"税金及附加",'辅助-汇总损益长表'!$B$2:$B$242,EO$2)</f>
        <v>0</v>
      </c>
      <c r="EP54" s="100">
        <f>SUMIFS('辅助-汇总损益长表'!$L$2:$L$242,'辅助-汇总损益长表'!$A$2:$A$242,"税金及附加",'辅助-汇总损益长表'!$B$2:$B$242,EP$2)</f>
        <v>0</v>
      </c>
      <c r="EQ54" s="100">
        <f>SUMIFS('辅助-汇总损益长表'!$L$2:$L$242,'辅助-汇总损益长表'!$A$2:$A$242,"税金及附加",'辅助-汇总损益长表'!$B$2:$B$242,EQ$2)</f>
        <v>0</v>
      </c>
      <c r="ER54" s="100">
        <f>SUMIFS('辅助-汇总损益长表'!$L$2:$L$242,'辅助-汇总损益长表'!$A$2:$A$242,"税金及附加",'辅助-汇总损益长表'!$B$2:$B$242,ER$2)</f>
        <v>0</v>
      </c>
      <c r="ES54" s="100">
        <f>SUMIFS('辅助-汇总损益长表'!$L$2:$L$242,'辅助-汇总损益长表'!$A$2:$A$242,"税金及附加",'辅助-汇总损益长表'!$B$2:$B$242,ES$2)</f>
        <v>0</v>
      </c>
      <c r="ET54" s="100">
        <f>SUMIFS('辅助-汇总损益长表'!$L$2:$L$242,'辅助-汇总损益长表'!$A$2:$A$242,"税金及附加",'辅助-汇总损益长表'!$B$2:$B$242,ET$2)</f>
        <v>0</v>
      </c>
      <c r="EU54" s="100">
        <f>SUMIFS('辅助-汇总损益长表'!$L$2:$L$242,'辅助-汇总损益长表'!$A$2:$A$242,"税金及附加",'辅助-汇总损益长表'!$B$2:$B$242,EU$2)</f>
        <v>0</v>
      </c>
      <c r="EV54" s="100">
        <f>SUMIFS('辅助-汇总损益长表'!$L$2:$L$242,'辅助-汇总损益长表'!$A$2:$A$242,"税金及附加",'辅助-汇总损益长表'!$B$2:$B$242,EV$2)</f>
        <v>0</v>
      </c>
      <c r="EW54" s="78">
        <f>SUMIFS('辅助-汇总损益长表'!$L$2:$L$242,'辅助-汇总损益长表'!$A$2:$A$242,"税金及附加",'辅助-汇总损益长表'!$B$2:$B$242,EW$2)</f>
        <v>0</v>
      </c>
      <c r="EX54" s="78">
        <f>SUMIFS('辅助-汇总损益长表'!$L$2:$L$242,'辅助-汇总损益长表'!$A$2:$A$242,"税金及附加",'辅助-汇总损益长表'!$B$2:$B$242,EX$2)</f>
        <v>0</v>
      </c>
      <c r="EY54" s="11"/>
    </row>
    <row r="55" spans="1:155" ht="16" customHeight="1">
      <c r="A55" s="76"/>
      <c r="B55" s="48" t="s">
        <v>93</v>
      </c>
      <c r="C55" s="76"/>
      <c r="D55" s="76"/>
      <c r="E55" s="76"/>
      <c r="F55" s="100">
        <f>SUMIFS('辅助-汇总损益长表'!$C$2:$C$242,'辅助-汇总损益长表'!$A$2:$A$242,"折旧摊销",'辅助-汇总损益长表'!$B$2:$B$242,F$2)</f>
        <v>0</v>
      </c>
      <c r="G55" s="100">
        <f>SUMIFS('辅助-汇总损益长表'!$C$2:$C$242,'辅助-汇总损益长表'!$A$2:$A$242,"折旧摊销",'辅助-汇总损益长表'!$B$2:$B$242,G$2)</f>
        <v>0</v>
      </c>
      <c r="H55" s="100">
        <f>SUMIFS('辅助-汇总损益长表'!$C$2:$C$242,'辅助-汇总损益长表'!$A$2:$A$242,"折旧摊销",'辅助-汇总损益长表'!$B$2:$B$242,H$2)</f>
        <v>0</v>
      </c>
      <c r="I55" s="100">
        <f>SUMIFS('辅助-汇总损益长表'!$C$2:$C$242,'辅助-汇总损益长表'!$A$2:$A$242,"折旧摊销",'辅助-汇总损益长表'!$B$2:$B$242,I$2)</f>
        <v>0</v>
      </c>
      <c r="J55" s="100">
        <f>SUMIFS('辅助-汇总损益长表'!$C$2:$C$242,'辅助-汇总损益长表'!$A$2:$A$242,"折旧摊销",'辅助-汇总损益长表'!$B$2:$B$242,J$2)</f>
        <v>0</v>
      </c>
      <c r="K55" s="100">
        <f>SUMIFS('辅助-汇总损益长表'!$C$2:$C$242,'辅助-汇总损益长表'!$A$2:$A$242,"折旧摊销",'辅助-汇总损益长表'!$B$2:$B$242,K$2)</f>
        <v>0</v>
      </c>
      <c r="L55" s="100">
        <f>SUMIFS('辅助-汇总损益长表'!$C$2:$C$242,'辅助-汇总损益长表'!$A$2:$A$242,"折旧摊销",'辅助-汇总损益长表'!$B$2:$B$242,L$2)</f>
        <v>0</v>
      </c>
      <c r="M55" s="100">
        <f>SUMIFS('辅助-汇总损益长表'!$C$2:$C$242,'辅助-汇总损益长表'!$A$2:$A$242,"折旧摊销",'辅助-汇总损益长表'!$B$2:$B$242,M$2)</f>
        <v>0</v>
      </c>
      <c r="N55" s="100">
        <f>SUMIFS('辅助-汇总损益长表'!$C$2:$C$242,'辅助-汇总损益长表'!$A$2:$A$242,"折旧摊销",'辅助-汇总损益长表'!$B$2:$B$242,N$2)</f>
        <v>0</v>
      </c>
      <c r="O55" s="100">
        <f>SUMIFS('辅助-汇总损益长表'!$C$2:$C$242,'辅助-汇总损益长表'!$A$2:$A$242,"折旧摊销",'辅助-汇总损益长表'!$B$2:$B$242,O$2)</f>
        <v>0</v>
      </c>
      <c r="P55" s="100">
        <f>SUMIFS('辅助-汇总损益长表'!$C$2:$C$242,'辅助-汇总损益长表'!$A$2:$A$242,"折旧摊销",'辅助-汇总损益长表'!$B$2:$B$242,P$2)</f>
        <v>0</v>
      </c>
      <c r="Q55" s="100">
        <f>SUMIFS('辅助-汇总损益长表'!$C$2:$C$242,'辅助-汇总损益长表'!$A$2:$A$242,"折旧摊销",'辅助-汇总损益长表'!$B$2:$B$242,Q$2)</f>
        <v>0</v>
      </c>
      <c r="R55" s="78">
        <f>SUMIFS('辅助-汇总损益长表'!$C$2:$C$242,'辅助-汇总损益长表'!$A$2:$A$242,"折旧摊销",'辅助-汇总损益长表'!$B$2:$B$242,R$2)</f>
        <v>0</v>
      </c>
      <c r="S55" s="78">
        <f>SUMIFS('辅助-汇总损益长表'!$C$2:$C$242,'辅助-汇总损益长表'!$A$2:$A$242,"折旧摊销",'辅助-汇总损益长表'!$B$2:$B$242,S$2)</f>
        <v>0</v>
      </c>
      <c r="T55" s="97"/>
      <c r="U55" s="100">
        <f>SUMIFS('辅助-汇总损益长表'!$D$2:$D$242,'辅助-汇总损益长表'!$A$2:$A$242,"折旧摊销",'辅助-汇总损益长表'!$B$2:$B$242,U$2)</f>
        <v>0</v>
      </c>
      <c r="V55" s="100">
        <f>SUMIFS('辅助-汇总损益长表'!$D$2:$D$242,'辅助-汇总损益长表'!$A$2:$A$242,"折旧摊销",'辅助-汇总损益长表'!$B$2:$B$242,V$2)</f>
        <v>0</v>
      </c>
      <c r="W55" s="100">
        <f>SUMIFS('辅助-汇总损益长表'!$D$2:$D$242,'辅助-汇总损益长表'!$A$2:$A$242,"折旧摊销",'辅助-汇总损益长表'!$B$2:$B$242,W$2)</f>
        <v>0</v>
      </c>
      <c r="X55" s="100">
        <f>SUMIFS('辅助-汇总损益长表'!$D$2:$D$242,'辅助-汇总损益长表'!$A$2:$A$242,"折旧摊销",'辅助-汇总损益长表'!$B$2:$B$242,X$2)</f>
        <v>0</v>
      </c>
      <c r="Y55" s="100">
        <f>SUMIFS('辅助-汇总损益长表'!$D$2:$D$242,'辅助-汇总损益长表'!$A$2:$A$242,"折旧摊销",'辅助-汇总损益长表'!$B$2:$B$242,Y$2)</f>
        <v>0</v>
      </c>
      <c r="Z55" s="100">
        <f>SUMIFS('辅助-汇总损益长表'!$D$2:$D$242,'辅助-汇总损益长表'!$A$2:$A$242,"折旧摊销",'辅助-汇总损益长表'!$B$2:$B$242,Z$2)</f>
        <v>0</v>
      </c>
      <c r="AA55" s="100">
        <f>SUMIFS('辅助-汇总损益长表'!$D$2:$D$242,'辅助-汇总损益长表'!$A$2:$A$242,"折旧摊销",'辅助-汇总损益长表'!$B$2:$B$242,AA$2)</f>
        <v>0</v>
      </c>
      <c r="AB55" s="100">
        <f>SUMIFS('辅助-汇总损益长表'!$D$2:$D$242,'辅助-汇总损益长表'!$A$2:$A$242,"折旧摊销",'辅助-汇总损益长表'!$B$2:$B$242,AB$2)</f>
        <v>0</v>
      </c>
      <c r="AC55" s="100">
        <f>SUMIFS('辅助-汇总损益长表'!$D$2:$D$242,'辅助-汇总损益长表'!$A$2:$A$242,"折旧摊销",'辅助-汇总损益长表'!$B$2:$B$242,AC$2)</f>
        <v>0</v>
      </c>
      <c r="AD55" s="100">
        <f>SUMIFS('辅助-汇总损益长表'!$D$2:$D$242,'辅助-汇总损益长表'!$A$2:$A$242,"折旧摊销",'辅助-汇总损益长表'!$B$2:$B$242,AD$2)</f>
        <v>0</v>
      </c>
      <c r="AE55" s="100">
        <f>SUMIFS('辅助-汇总损益长表'!$D$2:$D$242,'辅助-汇总损益长表'!$A$2:$A$242,"折旧摊销",'辅助-汇总损益长表'!$B$2:$B$242,AE$2)</f>
        <v>0</v>
      </c>
      <c r="AF55" s="100">
        <f>SUMIFS('辅助-汇总损益长表'!$D$2:$D$242,'辅助-汇总损益长表'!$A$2:$A$242,"折旧摊销",'辅助-汇总损益长表'!$B$2:$B$242,AF$2)</f>
        <v>0</v>
      </c>
      <c r="AG55" s="78">
        <f>SUMIFS('辅助-汇总损益长表'!$D$2:$D$242,'辅助-汇总损益长表'!$A$2:$A$242,"折旧摊销",'辅助-汇总损益长表'!$B$2:$B$242,AG$2)</f>
        <v>0</v>
      </c>
      <c r="AH55" s="78">
        <f>SUMIFS('辅助-汇总损益长表'!$D$2:$D$242,'辅助-汇总损益长表'!$A$2:$A$242,"折旧摊销",'辅助-汇总损益长表'!$B$2:$B$242,AH$2)</f>
        <v>0</v>
      </c>
      <c r="AI55" s="97"/>
      <c r="AJ55" s="100">
        <f>SUMIFS('辅助-汇总损益长表'!$E$2:$E$242,'辅助-汇总损益长表'!$A$2:$A$242,"折旧摊销",'辅助-汇总损益长表'!$B$2:$B$242,AJ$2)</f>
        <v>0</v>
      </c>
      <c r="AK55" s="100">
        <f>SUMIFS('辅助-汇总损益长表'!$E$2:$E$242,'辅助-汇总损益长表'!$A$2:$A$242,"折旧摊销",'辅助-汇总损益长表'!$B$2:$B$242,AK$2)</f>
        <v>0</v>
      </c>
      <c r="AL55" s="100">
        <f>SUMIFS('辅助-汇总损益长表'!$E$2:$E$242,'辅助-汇总损益长表'!$A$2:$A$242,"折旧摊销",'辅助-汇总损益长表'!$B$2:$B$242,AL$2)</f>
        <v>0</v>
      </c>
      <c r="AM55" s="100">
        <f>SUMIFS('辅助-汇总损益长表'!$E$2:$E$242,'辅助-汇总损益长表'!$A$2:$A$242,"折旧摊销",'辅助-汇总损益长表'!$B$2:$B$242,AM$2)</f>
        <v>0</v>
      </c>
      <c r="AN55" s="100">
        <f>SUMIFS('辅助-汇总损益长表'!$E$2:$E$242,'辅助-汇总损益长表'!$A$2:$A$242,"折旧摊销",'辅助-汇总损益长表'!$B$2:$B$242,AN$2)</f>
        <v>0</v>
      </c>
      <c r="AO55" s="100">
        <f>SUMIFS('辅助-汇总损益长表'!$E$2:$E$242,'辅助-汇总损益长表'!$A$2:$A$242,"折旧摊销",'辅助-汇总损益长表'!$B$2:$B$242,AO$2)</f>
        <v>0</v>
      </c>
      <c r="AP55" s="100">
        <f>SUMIFS('辅助-汇总损益长表'!$E$2:$E$242,'辅助-汇总损益长表'!$A$2:$A$242,"折旧摊销",'辅助-汇总损益长表'!$B$2:$B$242,AP$2)</f>
        <v>0</v>
      </c>
      <c r="AQ55" s="100">
        <f>SUMIFS('辅助-汇总损益长表'!$E$2:$E$242,'辅助-汇总损益长表'!$A$2:$A$242,"折旧摊销",'辅助-汇总损益长表'!$B$2:$B$242,AQ$2)</f>
        <v>0</v>
      </c>
      <c r="AR55" s="100">
        <f>SUMIFS('辅助-汇总损益长表'!$E$2:$E$242,'辅助-汇总损益长表'!$A$2:$A$242,"折旧摊销",'辅助-汇总损益长表'!$B$2:$B$242,AR$2)</f>
        <v>0</v>
      </c>
      <c r="AS55" s="100">
        <f>SUMIFS('辅助-汇总损益长表'!$E$2:$E$242,'辅助-汇总损益长表'!$A$2:$A$242,"折旧摊销",'辅助-汇总损益长表'!$B$2:$B$242,AS$2)</f>
        <v>0</v>
      </c>
      <c r="AT55" s="100">
        <f>SUMIFS('辅助-汇总损益长表'!$E$2:$E$242,'辅助-汇总损益长表'!$A$2:$A$242,"折旧摊销",'辅助-汇总损益长表'!$B$2:$B$242,AT$2)</f>
        <v>0</v>
      </c>
      <c r="AU55" s="100">
        <f>SUMIFS('辅助-汇总损益长表'!$E$2:$E$242,'辅助-汇总损益长表'!$A$2:$A$242,"折旧摊销",'辅助-汇总损益长表'!$B$2:$B$242,AU$2)</f>
        <v>0</v>
      </c>
      <c r="AV55" s="78">
        <f>SUMIFS('辅助-汇总损益长表'!$E$2:$E$242,'辅助-汇总损益长表'!$A$2:$A$242,"折旧摊销",'辅助-汇总损益长表'!$B$2:$B$242,AV$2)</f>
        <v>0</v>
      </c>
      <c r="AW55" s="78">
        <f>SUMIFS('辅助-汇总损益长表'!$E$2:$E$242,'辅助-汇总损益长表'!$A$2:$A$242,"折旧摊销",'辅助-汇总损益长表'!$B$2:$B$242,AW$2)</f>
        <v>0</v>
      </c>
      <c r="AX55" s="97"/>
      <c r="AY55" s="100">
        <f>SUMIFS('辅助-汇总损益长表'!$F$2:$F$242,'辅助-汇总损益长表'!$A$2:$A$242,"折旧摊销",'辅助-汇总损益长表'!$B$2:$B$242,AY$2)</f>
        <v>0</v>
      </c>
      <c r="AZ55" s="100">
        <f>SUMIFS('辅助-汇总损益长表'!$F$2:$F$242,'辅助-汇总损益长表'!$A$2:$A$242,"折旧摊销",'辅助-汇总损益长表'!$B$2:$B$242,AZ$2)</f>
        <v>0</v>
      </c>
      <c r="BA55" s="100">
        <f>SUMIFS('辅助-汇总损益长表'!$F$2:$F$242,'辅助-汇总损益长表'!$A$2:$A$242,"折旧摊销",'辅助-汇总损益长表'!$B$2:$B$242,BA$2)</f>
        <v>0</v>
      </c>
      <c r="BB55" s="100">
        <f>SUMIFS('辅助-汇总损益长表'!$F$2:$F$242,'辅助-汇总损益长表'!$A$2:$A$242,"折旧摊销",'辅助-汇总损益长表'!$B$2:$B$242,BB$2)</f>
        <v>0</v>
      </c>
      <c r="BC55" s="100">
        <f>SUMIFS('辅助-汇总损益长表'!$F$2:$F$242,'辅助-汇总损益长表'!$A$2:$A$242,"折旧摊销",'辅助-汇总损益长表'!$B$2:$B$242,BC$2)</f>
        <v>0</v>
      </c>
      <c r="BD55" s="100">
        <f>SUMIFS('辅助-汇总损益长表'!$F$2:$F$242,'辅助-汇总损益长表'!$A$2:$A$242,"折旧摊销",'辅助-汇总损益长表'!$B$2:$B$242,BD$2)</f>
        <v>0</v>
      </c>
      <c r="BE55" s="100">
        <f>SUMIFS('辅助-汇总损益长表'!$F$2:$F$242,'辅助-汇总损益长表'!$A$2:$A$242,"折旧摊销",'辅助-汇总损益长表'!$B$2:$B$242,BE$2)</f>
        <v>0</v>
      </c>
      <c r="BF55" s="100">
        <f>SUMIFS('辅助-汇总损益长表'!$F$2:$F$242,'辅助-汇总损益长表'!$A$2:$A$242,"折旧摊销",'辅助-汇总损益长表'!$B$2:$B$242,BF$2)</f>
        <v>0</v>
      </c>
      <c r="BG55" s="100">
        <f>SUMIFS('辅助-汇总损益长表'!$F$2:$F$242,'辅助-汇总损益长表'!$A$2:$A$242,"折旧摊销",'辅助-汇总损益长表'!$B$2:$B$242,BG$2)</f>
        <v>0</v>
      </c>
      <c r="BH55" s="100">
        <f>SUMIFS('辅助-汇总损益长表'!$F$2:$F$242,'辅助-汇总损益长表'!$A$2:$A$242,"折旧摊销",'辅助-汇总损益长表'!$B$2:$B$242,BH$2)</f>
        <v>0</v>
      </c>
      <c r="BI55" s="100">
        <f>SUMIFS('辅助-汇总损益长表'!$F$2:$F$242,'辅助-汇总损益长表'!$A$2:$A$242,"折旧摊销",'辅助-汇总损益长表'!$B$2:$B$242,BI$2)</f>
        <v>0</v>
      </c>
      <c r="BJ55" s="100">
        <f>SUMIFS('辅助-汇总损益长表'!$F$2:$F$242,'辅助-汇总损益长表'!$A$2:$A$242,"折旧摊销",'辅助-汇总损益长表'!$B$2:$B$242,BJ$2)</f>
        <v>0</v>
      </c>
      <c r="BK55" s="78">
        <f>SUMIFS('辅助-汇总损益长表'!$F$2:$F$242,'辅助-汇总损益长表'!$A$2:$A$242,"折旧摊销",'辅助-汇总损益长表'!$B$2:$B$242,BK$2)</f>
        <v>0</v>
      </c>
      <c r="BL55" s="78">
        <f>SUMIFS('辅助-汇总损益长表'!$F$2:$F$242,'辅助-汇总损益长表'!$A$2:$A$242,"折旧摊销",'辅助-汇总损益长表'!$B$2:$B$242,BL$2)</f>
        <v>0</v>
      </c>
      <c r="BM55" s="97"/>
      <c r="BN55" s="100">
        <f>SUMIFS('辅助-汇总损益长表'!$G$2:$G$242,'辅助-汇总损益长表'!$A$2:$A$242,"折旧摊销",'辅助-汇总损益长表'!$B$2:$B$242,BN$2)</f>
        <v>0</v>
      </c>
      <c r="BO55" s="100">
        <f>SUMIFS('辅助-汇总损益长表'!$G$2:$G$242,'辅助-汇总损益长表'!$A$2:$A$242,"折旧摊销",'辅助-汇总损益长表'!$B$2:$B$242,BO$2)</f>
        <v>0</v>
      </c>
      <c r="BP55" s="100">
        <f>SUMIFS('辅助-汇总损益长表'!$G$2:$G$242,'辅助-汇总损益长表'!$A$2:$A$242,"折旧摊销",'辅助-汇总损益长表'!$B$2:$B$242,BP$2)</f>
        <v>0</v>
      </c>
      <c r="BQ55" s="100">
        <f>SUMIFS('辅助-汇总损益长表'!$G$2:$G$242,'辅助-汇总损益长表'!$A$2:$A$242,"折旧摊销",'辅助-汇总损益长表'!$B$2:$B$242,BQ$2)</f>
        <v>0</v>
      </c>
      <c r="BR55" s="100">
        <f>SUMIFS('辅助-汇总损益长表'!$G$2:$G$242,'辅助-汇总损益长表'!$A$2:$A$242,"折旧摊销",'辅助-汇总损益长表'!$B$2:$B$242,BR$2)</f>
        <v>0</v>
      </c>
      <c r="BS55" s="100">
        <f>SUMIFS('辅助-汇总损益长表'!$G$2:$G$242,'辅助-汇总损益长表'!$A$2:$A$242,"折旧摊销",'辅助-汇总损益长表'!$B$2:$B$242,BS$2)</f>
        <v>0</v>
      </c>
      <c r="BT55" s="100">
        <f>SUMIFS('辅助-汇总损益长表'!$G$2:$G$242,'辅助-汇总损益长表'!$A$2:$A$242,"折旧摊销",'辅助-汇总损益长表'!$B$2:$B$242,BT$2)</f>
        <v>0</v>
      </c>
      <c r="BU55" s="100">
        <f>SUMIFS('辅助-汇总损益长表'!$G$2:$G$242,'辅助-汇总损益长表'!$A$2:$A$242,"折旧摊销",'辅助-汇总损益长表'!$B$2:$B$242,BU$2)</f>
        <v>0</v>
      </c>
      <c r="BV55" s="100">
        <f>SUMIFS('辅助-汇总损益长表'!$G$2:$G$242,'辅助-汇总损益长表'!$A$2:$A$242,"折旧摊销",'辅助-汇总损益长表'!$B$2:$B$242,BV$2)</f>
        <v>0</v>
      </c>
      <c r="BW55" s="100">
        <f>SUMIFS('辅助-汇总损益长表'!$G$2:$G$242,'辅助-汇总损益长表'!$A$2:$A$242,"折旧摊销",'辅助-汇总损益长表'!$B$2:$B$242,BW$2)</f>
        <v>0</v>
      </c>
      <c r="BX55" s="100">
        <f>SUMIFS('辅助-汇总损益长表'!$G$2:$G$242,'辅助-汇总损益长表'!$A$2:$A$242,"折旧摊销",'辅助-汇总损益长表'!$B$2:$B$242,BX$2)</f>
        <v>0</v>
      </c>
      <c r="BY55" s="100">
        <f>SUMIFS('辅助-汇总损益长表'!$G$2:$G$242,'辅助-汇总损益长表'!$A$2:$A$242,"折旧摊销",'辅助-汇总损益长表'!$B$2:$B$242,BY$2)</f>
        <v>0</v>
      </c>
      <c r="BZ55" s="78">
        <f>SUMIFS('辅助-汇总损益长表'!$G$2:$G$242,'辅助-汇总损益长表'!$A$2:$A$242,"折旧摊销",'辅助-汇总损益长表'!$B$2:$B$242,BZ$2)</f>
        <v>0</v>
      </c>
      <c r="CA55" s="78">
        <f>SUMIFS('辅助-汇总损益长表'!$G$2:$G$242,'辅助-汇总损益长表'!$A$2:$A$242,"折旧摊销",'辅助-汇总损益长表'!$B$2:$B$242,CA$2)</f>
        <v>0</v>
      </c>
      <c r="CB55" s="97"/>
      <c r="CC55" s="100">
        <f>SUMIFS('辅助-汇总损益长表'!$H$2:$H$242,'辅助-汇总损益长表'!$A$2:$A$242,"折旧摊销",'辅助-汇总损益长表'!$B$2:$B$242,CC$2)</f>
        <v>0</v>
      </c>
      <c r="CD55" s="100">
        <f>SUMIFS('辅助-汇总损益长表'!$H$2:$H$242,'辅助-汇总损益长表'!$A$2:$A$242,"折旧摊销",'辅助-汇总损益长表'!$B$2:$B$242,CD$2)</f>
        <v>0</v>
      </c>
      <c r="CE55" s="100">
        <f>SUMIFS('辅助-汇总损益长表'!$H$2:$H$242,'辅助-汇总损益长表'!$A$2:$A$242,"折旧摊销",'辅助-汇总损益长表'!$B$2:$B$242,CE$2)</f>
        <v>0</v>
      </c>
      <c r="CF55" s="100">
        <f>SUMIFS('辅助-汇总损益长表'!$H$2:$H$242,'辅助-汇总损益长表'!$A$2:$A$242,"折旧摊销",'辅助-汇总损益长表'!$B$2:$B$242,CF$2)</f>
        <v>0</v>
      </c>
      <c r="CG55" s="100">
        <f>SUMIFS('辅助-汇总损益长表'!$H$2:$H$242,'辅助-汇总损益长表'!$A$2:$A$242,"折旧摊销",'辅助-汇总损益长表'!$B$2:$B$242,CG$2)</f>
        <v>0</v>
      </c>
      <c r="CH55" s="100">
        <f>SUMIFS('辅助-汇总损益长表'!$H$2:$H$242,'辅助-汇总损益长表'!$A$2:$A$242,"折旧摊销",'辅助-汇总损益长表'!$B$2:$B$242,CH$2)</f>
        <v>0</v>
      </c>
      <c r="CI55" s="100">
        <f>SUMIFS('辅助-汇总损益长表'!$H$2:$H$242,'辅助-汇总损益长表'!$A$2:$A$242,"折旧摊销",'辅助-汇总损益长表'!$B$2:$B$242,CI$2)</f>
        <v>0</v>
      </c>
      <c r="CJ55" s="100">
        <f>SUMIFS('辅助-汇总损益长表'!$H$2:$H$242,'辅助-汇总损益长表'!$A$2:$A$242,"折旧摊销",'辅助-汇总损益长表'!$B$2:$B$242,CJ$2)</f>
        <v>0</v>
      </c>
      <c r="CK55" s="100">
        <f>SUMIFS('辅助-汇总损益长表'!$H$2:$H$242,'辅助-汇总损益长表'!$A$2:$A$242,"折旧摊销",'辅助-汇总损益长表'!$B$2:$B$242,CK$2)</f>
        <v>0</v>
      </c>
      <c r="CL55" s="100">
        <f>SUMIFS('辅助-汇总损益长表'!$H$2:$H$242,'辅助-汇总损益长表'!$A$2:$A$242,"折旧摊销",'辅助-汇总损益长表'!$B$2:$B$242,CL$2)</f>
        <v>0</v>
      </c>
      <c r="CM55" s="100">
        <f>SUMIFS('辅助-汇总损益长表'!$H$2:$H$242,'辅助-汇总损益长表'!$A$2:$A$242,"折旧摊销",'辅助-汇总损益长表'!$B$2:$B$242,CM$2)</f>
        <v>0</v>
      </c>
      <c r="CN55" s="100">
        <f>SUMIFS('辅助-汇总损益长表'!$H$2:$H$242,'辅助-汇总损益长表'!$A$2:$A$242,"折旧摊销",'辅助-汇总损益长表'!$B$2:$B$242,CN$2)</f>
        <v>0</v>
      </c>
      <c r="CO55" s="78">
        <f>SUMIFS('辅助-汇总损益长表'!$H$2:$H$242,'辅助-汇总损益长表'!$A$2:$A$242,"折旧摊销",'辅助-汇总损益长表'!$B$2:$B$242,CO$2)</f>
        <v>0</v>
      </c>
      <c r="CP55" s="78">
        <f>SUMIFS('辅助-汇总损益长表'!$H$2:$H$242,'辅助-汇总损益长表'!$A$2:$A$242,"折旧摊销",'辅助-汇总损益长表'!$B$2:$B$242,CP$2)</f>
        <v>0</v>
      </c>
      <c r="CQ55" s="97"/>
      <c r="CR55" s="100">
        <f>SUMIFS('辅助-汇总损益长表'!$I$2:$I$242,'辅助-汇总损益长表'!$A$2:$A$242,"折旧摊销",'辅助-汇总损益长表'!$B$2:$B$242,CR$2)</f>
        <v>0</v>
      </c>
      <c r="CS55" s="100">
        <f>SUMIFS('辅助-汇总损益长表'!$I$2:$I$242,'辅助-汇总损益长表'!$A$2:$A$242,"折旧摊销",'辅助-汇总损益长表'!$B$2:$B$242,CS$2)</f>
        <v>0</v>
      </c>
      <c r="CT55" s="100">
        <f>SUMIFS('辅助-汇总损益长表'!$I$2:$I$242,'辅助-汇总损益长表'!$A$2:$A$242,"折旧摊销",'辅助-汇总损益长表'!$B$2:$B$242,CT$2)</f>
        <v>0</v>
      </c>
      <c r="CU55" s="100">
        <f>SUMIFS('辅助-汇总损益长表'!$I$2:$I$242,'辅助-汇总损益长表'!$A$2:$A$242,"折旧摊销",'辅助-汇总损益长表'!$B$2:$B$242,CU$2)</f>
        <v>0</v>
      </c>
      <c r="CV55" s="100">
        <f>SUMIFS('辅助-汇总损益长表'!$I$2:$I$242,'辅助-汇总损益长表'!$A$2:$A$242,"折旧摊销",'辅助-汇总损益长表'!$B$2:$B$242,CV$2)</f>
        <v>0</v>
      </c>
      <c r="CW55" s="100">
        <f>SUMIFS('辅助-汇总损益长表'!$I$2:$I$242,'辅助-汇总损益长表'!$A$2:$A$242,"折旧摊销",'辅助-汇总损益长表'!$B$2:$B$242,CW$2)</f>
        <v>0</v>
      </c>
      <c r="CX55" s="100">
        <f>SUMIFS('辅助-汇总损益长表'!$I$2:$I$242,'辅助-汇总损益长表'!$A$2:$A$242,"折旧摊销",'辅助-汇总损益长表'!$B$2:$B$242,CX$2)</f>
        <v>0</v>
      </c>
      <c r="CY55" s="100">
        <f>SUMIFS('辅助-汇总损益长表'!$I$2:$I$242,'辅助-汇总损益长表'!$A$2:$A$242,"折旧摊销",'辅助-汇总损益长表'!$B$2:$B$242,CY$2)</f>
        <v>0</v>
      </c>
      <c r="CZ55" s="100">
        <f>SUMIFS('辅助-汇总损益长表'!$I$2:$I$242,'辅助-汇总损益长表'!$A$2:$A$242,"折旧摊销",'辅助-汇总损益长表'!$B$2:$B$242,CZ$2)</f>
        <v>0</v>
      </c>
      <c r="DA55" s="100">
        <f>SUMIFS('辅助-汇总损益长表'!$I$2:$I$242,'辅助-汇总损益长表'!$A$2:$A$242,"折旧摊销",'辅助-汇总损益长表'!$B$2:$B$242,DA$2)</f>
        <v>0</v>
      </c>
      <c r="DB55" s="100">
        <f>SUMIFS('辅助-汇总损益长表'!$I$2:$I$242,'辅助-汇总损益长表'!$A$2:$A$242,"折旧摊销",'辅助-汇总损益长表'!$B$2:$B$242,DB$2)</f>
        <v>0</v>
      </c>
      <c r="DC55" s="100">
        <f>SUMIFS('辅助-汇总损益长表'!$I$2:$I$242,'辅助-汇总损益长表'!$A$2:$A$242,"折旧摊销",'辅助-汇总损益长表'!$B$2:$B$242,DC$2)</f>
        <v>0</v>
      </c>
      <c r="DD55" s="78">
        <f>SUMIFS('辅助-汇总损益长表'!$I$2:$I$242,'辅助-汇总损益长表'!$A$2:$A$242,"折旧摊销",'辅助-汇总损益长表'!$B$2:$B$242,DD$2)</f>
        <v>0</v>
      </c>
      <c r="DE55" s="78">
        <f>SUMIFS('辅助-汇总损益长表'!$I$2:$I$242,'辅助-汇总损益长表'!$A$2:$A$242,"折旧摊销",'辅助-汇总损益长表'!$B$2:$B$242,DE$2)</f>
        <v>0</v>
      </c>
      <c r="DF55" s="97"/>
      <c r="DG55" s="100">
        <f>SUMIFS('辅助-汇总损益长表'!$J$2:$J$242,'辅助-汇总损益长表'!$A$2:$A$242,"折旧摊销",'辅助-汇总损益长表'!$B$2:$B$242,DG$2)</f>
        <v>0</v>
      </c>
      <c r="DH55" s="100">
        <f>SUMIFS('辅助-汇总损益长表'!$J$2:$J$242,'辅助-汇总损益长表'!$A$2:$A$242,"折旧摊销",'辅助-汇总损益长表'!$B$2:$B$242,DH$2)</f>
        <v>0</v>
      </c>
      <c r="DI55" s="100">
        <f>SUMIFS('辅助-汇总损益长表'!$J$2:$J$242,'辅助-汇总损益长表'!$A$2:$A$242,"折旧摊销",'辅助-汇总损益长表'!$B$2:$B$242,DI$2)</f>
        <v>0</v>
      </c>
      <c r="DJ55" s="100">
        <f>SUMIFS('辅助-汇总损益长表'!$J$2:$J$242,'辅助-汇总损益长表'!$A$2:$A$242,"折旧摊销",'辅助-汇总损益长表'!$B$2:$B$242,DJ$2)</f>
        <v>0</v>
      </c>
      <c r="DK55" s="100">
        <f>SUMIFS('辅助-汇总损益长表'!$J$2:$J$242,'辅助-汇总损益长表'!$A$2:$A$242,"折旧摊销",'辅助-汇总损益长表'!$B$2:$B$242,DK$2)</f>
        <v>0</v>
      </c>
      <c r="DL55" s="100">
        <f>SUMIFS('辅助-汇总损益长表'!$J$2:$J$242,'辅助-汇总损益长表'!$A$2:$A$242,"折旧摊销",'辅助-汇总损益长表'!$B$2:$B$242,DL$2)</f>
        <v>0</v>
      </c>
      <c r="DM55" s="100">
        <f>SUMIFS('辅助-汇总损益长表'!$J$2:$J$242,'辅助-汇总损益长表'!$A$2:$A$242,"折旧摊销",'辅助-汇总损益长表'!$B$2:$B$242,DM$2)</f>
        <v>0</v>
      </c>
      <c r="DN55" s="100">
        <f>SUMIFS('辅助-汇总损益长表'!$J$2:$J$242,'辅助-汇总损益长表'!$A$2:$A$242,"折旧摊销",'辅助-汇总损益长表'!$B$2:$B$242,DN$2)</f>
        <v>0</v>
      </c>
      <c r="DO55" s="100">
        <f>SUMIFS('辅助-汇总损益长表'!$J$2:$J$242,'辅助-汇总损益长表'!$A$2:$A$242,"折旧摊销",'辅助-汇总损益长表'!$B$2:$B$242,DO$2)</f>
        <v>0</v>
      </c>
      <c r="DP55" s="100">
        <f>SUMIFS('辅助-汇总损益长表'!$J$2:$J$242,'辅助-汇总损益长表'!$A$2:$A$242,"折旧摊销",'辅助-汇总损益长表'!$B$2:$B$242,DP$2)</f>
        <v>0</v>
      </c>
      <c r="DQ55" s="100">
        <f>SUMIFS('辅助-汇总损益长表'!$J$2:$J$242,'辅助-汇总损益长表'!$A$2:$A$242,"折旧摊销",'辅助-汇总损益长表'!$B$2:$B$242,DQ$2)</f>
        <v>0</v>
      </c>
      <c r="DR55" s="100">
        <f>SUMIFS('辅助-汇总损益长表'!$J$2:$J$242,'辅助-汇总损益长表'!$A$2:$A$242,"折旧摊销",'辅助-汇总损益长表'!$B$2:$B$242,DR$2)</f>
        <v>0</v>
      </c>
      <c r="DS55" s="78">
        <f>SUMIFS('辅助-汇总损益长表'!$J$2:$J$242,'辅助-汇总损益长表'!$A$2:$A$242,"折旧摊销",'辅助-汇总损益长表'!$B$2:$B$242,DS$2)</f>
        <v>0</v>
      </c>
      <c r="DT55" s="78">
        <f>SUMIFS('辅助-汇总损益长表'!$J$2:$J$242,'辅助-汇总损益长表'!$A$2:$A$242,"折旧摊销",'辅助-汇总损益长表'!$B$2:$B$242,DT$2)</f>
        <v>0</v>
      </c>
      <c r="DU55" s="97"/>
      <c r="DV55" s="100">
        <f>SUMIFS('辅助-汇总损益长表'!$K$2:$K$242,'辅助-汇总损益长表'!$A$2:$A$242,"折旧摊销",'辅助-汇总损益长表'!$B$2:$B$242,DV$2)</f>
        <v>0</v>
      </c>
      <c r="DW55" s="100">
        <f>SUMIFS('辅助-汇总损益长表'!$K$2:$K$242,'辅助-汇总损益长表'!$A$2:$A$242,"折旧摊销",'辅助-汇总损益长表'!$B$2:$B$242,DW$2)</f>
        <v>0</v>
      </c>
      <c r="DX55" s="100">
        <f>SUMIFS('辅助-汇总损益长表'!$K$2:$K$242,'辅助-汇总损益长表'!$A$2:$A$242,"折旧摊销",'辅助-汇总损益长表'!$B$2:$B$242,DX$2)</f>
        <v>0</v>
      </c>
      <c r="DY55" s="100">
        <f>SUMIFS('辅助-汇总损益长表'!$K$2:$K$242,'辅助-汇总损益长表'!$A$2:$A$242,"折旧摊销",'辅助-汇总损益长表'!$B$2:$B$242,DY$2)</f>
        <v>0</v>
      </c>
      <c r="DZ55" s="100">
        <f>SUMIFS('辅助-汇总损益长表'!$K$2:$K$242,'辅助-汇总损益长表'!$A$2:$A$242,"折旧摊销",'辅助-汇总损益长表'!$B$2:$B$242,DZ$2)</f>
        <v>0</v>
      </c>
      <c r="EA55" s="100">
        <f>SUMIFS('辅助-汇总损益长表'!$K$2:$K$242,'辅助-汇总损益长表'!$A$2:$A$242,"折旧摊销",'辅助-汇总损益长表'!$B$2:$B$242,EA$2)</f>
        <v>0</v>
      </c>
      <c r="EB55" s="100">
        <f>SUMIFS('辅助-汇总损益长表'!$K$2:$K$242,'辅助-汇总损益长表'!$A$2:$A$242,"折旧摊销",'辅助-汇总损益长表'!$B$2:$B$242,EB$2)</f>
        <v>0</v>
      </c>
      <c r="EC55" s="100">
        <f>SUMIFS('辅助-汇总损益长表'!$K$2:$K$242,'辅助-汇总损益长表'!$A$2:$A$242,"折旧摊销",'辅助-汇总损益长表'!$B$2:$B$242,EC$2)</f>
        <v>0</v>
      </c>
      <c r="ED55" s="100">
        <f>SUMIFS('辅助-汇总损益长表'!$K$2:$K$242,'辅助-汇总损益长表'!$A$2:$A$242,"折旧摊销",'辅助-汇总损益长表'!$B$2:$B$242,ED$2)</f>
        <v>0</v>
      </c>
      <c r="EE55" s="100">
        <f>SUMIFS('辅助-汇总损益长表'!$K$2:$K$242,'辅助-汇总损益长表'!$A$2:$A$242,"折旧摊销",'辅助-汇总损益长表'!$B$2:$B$242,EE$2)</f>
        <v>0</v>
      </c>
      <c r="EF55" s="100">
        <f>SUMIFS('辅助-汇总损益长表'!$K$2:$K$242,'辅助-汇总损益长表'!$A$2:$A$242,"折旧摊销",'辅助-汇总损益长表'!$B$2:$B$242,EF$2)</f>
        <v>0</v>
      </c>
      <c r="EG55" s="100">
        <f>SUMIFS('辅助-汇总损益长表'!$K$2:$K$242,'辅助-汇总损益长表'!$A$2:$A$242,"折旧摊销",'辅助-汇总损益长表'!$B$2:$B$242,EG$2)</f>
        <v>0</v>
      </c>
      <c r="EH55" s="78">
        <f>SUMIFS('辅助-汇总损益长表'!$K$2:$K$242,'辅助-汇总损益长表'!$A$2:$A$242,"折旧摊销",'辅助-汇总损益长表'!$B$2:$B$242,EH$2)</f>
        <v>0</v>
      </c>
      <c r="EI55" s="78">
        <f>SUMIFS('辅助-汇总损益长表'!$K$2:$K$242,'辅助-汇总损益长表'!$A$2:$A$242,"折旧摊销",'辅助-汇总损益长表'!$B$2:$B$242,EI$2)</f>
        <v>0</v>
      </c>
      <c r="EJ55" s="42"/>
      <c r="EK55" s="100">
        <f>SUMIFS('辅助-汇总损益长表'!$L$2:$L$242,'辅助-汇总损益长表'!$A$2:$A$242,"折旧摊销",'辅助-汇总损益长表'!$B$2:$B$242,EK$2)</f>
        <v>0</v>
      </c>
      <c r="EL55" s="100">
        <f>SUMIFS('辅助-汇总损益长表'!$L$2:$L$242,'辅助-汇总损益长表'!$A$2:$A$242,"折旧摊销",'辅助-汇总损益长表'!$B$2:$B$242,EL$2)</f>
        <v>0</v>
      </c>
      <c r="EM55" s="100">
        <f>SUMIFS('辅助-汇总损益长表'!$L$2:$L$242,'辅助-汇总损益长表'!$A$2:$A$242,"折旧摊销",'辅助-汇总损益长表'!$B$2:$B$242,EM$2)</f>
        <v>0</v>
      </c>
      <c r="EN55" s="100">
        <f>SUMIFS('辅助-汇总损益长表'!$L$2:$L$242,'辅助-汇总损益长表'!$A$2:$A$242,"折旧摊销",'辅助-汇总损益长表'!$B$2:$B$242,EN$2)</f>
        <v>0</v>
      </c>
      <c r="EO55" s="100">
        <f>SUMIFS('辅助-汇总损益长表'!$L$2:$L$242,'辅助-汇总损益长表'!$A$2:$A$242,"折旧摊销",'辅助-汇总损益长表'!$B$2:$B$242,EO$2)</f>
        <v>0</v>
      </c>
      <c r="EP55" s="100">
        <f>SUMIFS('辅助-汇总损益长表'!$L$2:$L$242,'辅助-汇总损益长表'!$A$2:$A$242,"折旧摊销",'辅助-汇总损益长表'!$B$2:$B$242,EP$2)</f>
        <v>0</v>
      </c>
      <c r="EQ55" s="100">
        <f>SUMIFS('辅助-汇总损益长表'!$L$2:$L$242,'辅助-汇总损益长表'!$A$2:$A$242,"折旧摊销",'辅助-汇总损益长表'!$B$2:$B$242,EQ$2)</f>
        <v>0</v>
      </c>
      <c r="ER55" s="100">
        <f>SUMIFS('辅助-汇总损益长表'!$L$2:$L$242,'辅助-汇总损益长表'!$A$2:$A$242,"折旧摊销",'辅助-汇总损益长表'!$B$2:$B$242,ER$2)</f>
        <v>0</v>
      </c>
      <c r="ES55" s="100">
        <f>SUMIFS('辅助-汇总损益长表'!$L$2:$L$242,'辅助-汇总损益长表'!$A$2:$A$242,"折旧摊销",'辅助-汇总损益长表'!$B$2:$B$242,ES$2)</f>
        <v>0</v>
      </c>
      <c r="ET55" s="100">
        <f>SUMIFS('辅助-汇总损益长表'!$L$2:$L$242,'辅助-汇总损益长表'!$A$2:$A$242,"折旧摊销",'辅助-汇总损益长表'!$B$2:$B$242,ET$2)</f>
        <v>0</v>
      </c>
      <c r="EU55" s="100">
        <f>SUMIFS('辅助-汇总损益长表'!$L$2:$L$242,'辅助-汇总损益长表'!$A$2:$A$242,"折旧摊销",'辅助-汇总损益长表'!$B$2:$B$242,EU$2)</f>
        <v>0</v>
      </c>
      <c r="EV55" s="100">
        <f>SUMIFS('辅助-汇总损益长表'!$L$2:$L$242,'辅助-汇总损益长表'!$A$2:$A$242,"折旧摊销",'辅助-汇总损益长表'!$B$2:$B$242,EV$2)</f>
        <v>0</v>
      </c>
      <c r="EW55" s="78">
        <f>SUMIFS('辅助-汇总损益长表'!$L$2:$L$242,'辅助-汇总损益长表'!$A$2:$A$242,"折旧摊销",'辅助-汇总损益长表'!$B$2:$B$242,EW$2)</f>
        <v>0</v>
      </c>
      <c r="EX55" s="78">
        <f>SUMIFS('辅助-汇总损益长表'!$L$2:$L$242,'辅助-汇总损益长表'!$A$2:$A$242,"折旧摊销",'辅助-汇总损益长表'!$B$2:$B$242,EX$2)</f>
        <v>0</v>
      </c>
      <c r="EY55" s="11"/>
    </row>
    <row r="56" spans="1:155" ht="16" customHeight="1">
      <c r="A56" s="76"/>
      <c r="B56" s="48" t="s">
        <v>95</v>
      </c>
      <c r="C56" s="76"/>
      <c r="D56" s="76"/>
      <c r="E56" s="76"/>
      <c r="F56" s="100">
        <f>SUMIFS('辅助-汇总损益长表'!$C$2:$C$242,'辅助-汇总损益长表'!$A$2:$A$242,"营业利润",'辅助-汇总损益长表'!$B$2:$B$242,F$2)</f>
        <v>186.95012266294972</v>
      </c>
      <c r="G56" s="100">
        <f>SUMIFS('辅助-汇总损益长表'!$C$2:$C$242,'辅助-汇总损益长表'!$A$2:$A$242,"营业利润",'辅助-汇总损益长表'!$B$2:$B$242,G$2)</f>
        <v>138.84866450615309</v>
      </c>
      <c r="H56" s="100">
        <f>SUMIFS('辅助-汇总损益长表'!$C$2:$C$242,'辅助-汇总损益长表'!$A$2:$A$242,"营业利润",'辅助-汇总损益长表'!$B$2:$B$242,H$2)</f>
        <v>-28.607111096962381</v>
      </c>
      <c r="I56" s="100">
        <f>SUMIFS('辅助-汇总损益长表'!$C$2:$C$242,'辅助-汇总损益长表'!$A$2:$A$242,"营业利润",'辅助-汇总损益长表'!$B$2:$B$242,I$2)</f>
        <v>258.06046542626973</v>
      </c>
      <c r="J56" s="100">
        <f>SUMIFS('辅助-汇总损益长表'!$C$2:$C$242,'辅助-汇总损益长表'!$A$2:$A$242,"营业利润",'辅助-汇总损益长表'!$B$2:$B$242,J$2)</f>
        <v>280.95036788682233</v>
      </c>
      <c r="K56" s="100">
        <f>SUMIFS('辅助-汇总损益长表'!$C$2:$C$242,'辅助-汇总损益长表'!$A$2:$A$242,"营业利润",'辅助-汇总损益长表'!$B$2:$B$242,K$2)</f>
        <v>212.62960523042727</v>
      </c>
      <c r="L56" s="100">
        <f>SUMIFS('辅助-汇总损益长表'!$C$2:$C$242,'辅助-汇总损益长表'!$A$2:$A$242,"营业利润",'辅助-汇总损益长表'!$B$2:$B$242,L$2)</f>
        <v>92.948620707639876</v>
      </c>
      <c r="M56" s="100">
        <f>SUMIFS('辅助-汇总损益长表'!$C$2:$C$242,'辅助-汇总损益长表'!$A$2:$A$242,"营业利润",'辅助-汇总损益长表'!$B$2:$B$242,M$2)</f>
        <v>99.425455606600309</v>
      </c>
      <c r="N56" s="100">
        <f>SUMIFS('辅助-汇总损益长表'!$C$2:$C$242,'辅助-汇总损益长表'!$A$2:$A$242,"营业利润",'辅助-汇总损益长表'!$B$2:$B$242,N$2)</f>
        <v>140.88997356341341</v>
      </c>
      <c r="O56" s="100">
        <f>SUMIFS('辅助-汇总损益长表'!$C$2:$C$242,'辅助-汇总损益长表'!$A$2:$A$242,"营业利润",'辅助-汇总损益长表'!$B$2:$B$242,O$2)</f>
        <v>155.63712525226831</v>
      </c>
      <c r="P56" s="100">
        <f>SUMIFS('辅助-汇总损益长表'!$C$2:$C$242,'辅助-汇总损益长表'!$A$2:$A$242,"营业利润",'辅助-汇总损益长表'!$B$2:$B$242,P$2)</f>
        <v>198.38546819692309</v>
      </c>
      <c r="Q56" s="100">
        <f>SUMIFS('辅助-汇总损益长表'!$C$2:$C$242,'辅助-汇总损益长表'!$A$2:$A$242,"营业利润",'辅助-汇总损益长表'!$B$2:$B$242,Q$2)</f>
        <v>244.37269792093764</v>
      </c>
      <c r="R56" s="78">
        <f>SUMIFS('辅助-汇总损益长表'!$C$2:$C$242,'辅助-汇总损益长表'!$A$2:$A$242,"营业利润",'辅助-汇总损益长表'!$B$2:$B$242,R$2)</f>
        <v>1980.4914558634414</v>
      </c>
      <c r="S56" s="78">
        <f>SUMIFS('辅助-汇总损益长表'!$C$2:$C$242,'辅助-汇总损益长表'!$A$2:$A$242,"营业利润",'辅助-汇总损益长表'!$B$2:$B$242,S$2)</f>
        <v>931.65934124778357</v>
      </c>
      <c r="T56" s="97"/>
      <c r="U56" s="100">
        <f>SUMIFS('辅助-汇总损益长表'!$D$2:$D$242,'辅助-汇总损益长表'!$A$2:$A$242,"营业利润",'辅助-汇总损益长表'!$B$2:$B$242,U$2)</f>
        <v>47.182555712724032</v>
      </c>
      <c r="V56" s="100">
        <f>SUMIFS('辅助-汇总损益长表'!$D$2:$D$242,'辅助-汇总损益长表'!$A$2:$A$242,"营业利润",'辅助-汇总损益长表'!$B$2:$B$242,V$2)</f>
        <v>11.315596172820541</v>
      </c>
      <c r="W56" s="100">
        <f>SUMIFS('辅助-汇总损益长表'!$D$2:$D$242,'辅助-汇总损益长表'!$A$2:$A$242,"营业利润",'辅助-汇总损益长表'!$B$2:$B$242,W$2)</f>
        <v>45.011699271941325</v>
      </c>
      <c r="X56" s="100">
        <f>SUMIFS('辅助-汇总损益长表'!$D$2:$D$242,'辅助-汇总损益长表'!$A$2:$A$242,"营业利润",'辅助-汇总损益长表'!$B$2:$B$242,X$2)</f>
        <v>22.470184291139837</v>
      </c>
      <c r="Y56" s="100">
        <f>SUMIFS('辅助-汇总损益长表'!$D$2:$D$242,'辅助-汇总损益长表'!$A$2:$A$242,"营业利润",'辅助-汇总损益长表'!$B$2:$B$242,Y$2)</f>
        <v>39.003657335112379</v>
      </c>
      <c r="Z56" s="100">
        <f>SUMIFS('辅助-汇总损益长表'!$D$2:$D$242,'辅助-汇总损益长表'!$A$2:$A$242,"营业利润",'辅助-汇总损益长表'!$B$2:$B$242,Z$2)</f>
        <v>44.131830181838168</v>
      </c>
      <c r="AA56" s="100">
        <f>SUMIFS('辅助-汇总损益长表'!$D$2:$D$242,'辅助-汇总损益长表'!$A$2:$A$242,"营业利润",'辅助-汇总损益长表'!$B$2:$B$242,AA$2)</f>
        <v>23.867390970965513</v>
      </c>
      <c r="AB56" s="100">
        <f>SUMIFS('辅助-汇总损益长表'!$D$2:$D$242,'辅助-汇总损益长表'!$A$2:$A$242,"营业利润",'辅助-汇总损益长表'!$B$2:$B$242,AB$2)</f>
        <v>36.418815467822611</v>
      </c>
      <c r="AC56" s="100">
        <f>SUMIFS('辅助-汇总损益长表'!$D$2:$D$242,'辅助-汇总损益长表'!$A$2:$A$242,"营业利润",'辅助-汇总损益长表'!$B$2:$B$242,AC$2)</f>
        <v>52.574172382179164</v>
      </c>
      <c r="AD56" s="100">
        <f>SUMIFS('辅助-汇总损益长表'!$D$2:$D$242,'辅助-汇总损益长表'!$A$2:$A$242,"营业利润",'辅助-汇总损益长表'!$B$2:$B$242,AD$2)</f>
        <v>58.86724745928322</v>
      </c>
      <c r="AE56" s="100">
        <f>SUMIFS('辅助-汇总损益长表'!$D$2:$D$242,'辅助-汇总损益长表'!$A$2:$A$242,"营业利润",'辅助-汇总损益长表'!$B$2:$B$242,AE$2)</f>
        <v>76.807207753714067</v>
      </c>
      <c r="AF56" s="100">
        <f>SUMIFS('辅助-汇总损益长表'!$D$2:$D$242,'辅助-汇总损益长表'!$A$2:$A$242,"营业利润",'辅助-汇总损益长表'!$B$2:$B$242,AF$2)</f>
        <v>61.77896876361492</v>
      </c>
      <c r="AG56" s="78">
        <f>SUMIFS('辅助-汇总损益长表'!$D$2:$D$242,'辅助-汇总损益长表'!$A$2:$A$242,"营业利润",'辅助-汇总损益长表'!$B$2:$B$242,AG$2)</f>
        <v>519.4293257631557</v>
      </c>
      <c r="AH56" s="78">
        <f>SUMIFS('辅助-汇总损益长表'!$D$2:$D$242,'辅助-汇总损益长表'!$A$2:$A$242,"营业利润",'辅助-汇总损益长表'!$B$2:$B$242,AH$2)</f>
        <v>310.31380279757951</v>
      </c>
      <c r="AI56" s="97"/>
      <c r="AJ56" s="100">
        <f>SUMIFS('辅助-汇总损益长表'!$E$2:$E$242,'辅助-汇总损益长表'!$A$2:$A$242,"营业利润",'辅助-汇总损益长表'!$B$2:$B$242,AJ$2)</f>
        <v>-6.8239295936135651</v>
      </c>
      <c r="AK56" s="100">
        <f>SUMIFS('辅助-汇总损益长表'!$E$2:$E$242,'辅助-汇总损益长表'!$A$2:$A$242,"营业利润",'辅助-汇总损益长表'!$B$2:$B$242,AK$2)</f>
        <v>-2.5553454642398252</v>
      </c>
      <c r="AL56" s="100">
        <f>SUMIFS('辅助-汇总损益长表'!$E$2:$E$242,'辅助-汇总损益长表'!$A$2:$A$242,"营业利润",'辅助-汇总损益长表'!$B$2:$B$242,AL$2)</f>
        <v>-3.4878840287888591</v>
      </c>
      <c r="AM56" s="100">
        <f>SUMIFS('辅助-汇总损益长表'!$E$2:$E$242,'辅助-汇总损益长表'!$A$2:$A$242,"营业利润",'辅助-汇总损益长表'!$B$2:$B$242,AM$2)</f>
        <v>-5.3656707887071846</v>
      </c>
      <c r="AN56" s="100">
        <f>SUMIFS('辅助-汇总损益长表'!$E$2:$E$242,'辅助-汇总损益长表'!$A$2:$A$242,"营业利润",'辅助-汇总损益长表'!$B$2:$B$242,AN$2)</f>
        <v>-25.803011939201077</v>
      </c>
      <c r="AO56" s="100">
        <f>SUMIFS('辅助-汇总损益长表'!$E$2:$E$242,'辅助-汇总损益长表'!$A$2:$A$242,"营业利润",'辅助-汇总损益长表'!$B$2:$B$242,AO$2)</f>
        <v>-15.222946528044218</v>
      </c>
      <c r="AP56" s="100">
        <f>SUMIFS('辅助-汇总损益长表'!$E$2:$E$242,'辅助-汇总损益长表'!$A$2:$A$242,"营业利润",'辅助-汇总损益长表'!$B$2:$B$242,AP$2)</f>
        <v>-14.867650421193783</v>
      </c>
      <c r="AQ56" s="100">
        <f>SUMIFS('辅助-汇总损益长表'!$E$2:$E$242,'辅助-汇总损益长表'!$A$2:$A$242,"营业利润",'辅助-汇总损益长表'!$B$2:$B$242,AQ$2)</f>
        <v>-16.021491695212909</v>
      </c>
      <c r="AR56" s="100">
        <f>SUMIFS('辅助-汇总损益长表'!$E$2:$E$242,'辅助-汇总损益长表'!$A$2:$A$242,"营业利润",'辅助-汇总损益长表'!$B$2:$B$242,AR$2)</f>
        <v>-17.300438999850972</v>
      </c>
      <c r="AS56" s="100">
        <f>SUMIFS('辅助-汇总损益长表'!$E$2:$E$242,'辅助-汇总损益长表'!$A$2:$A$242,"营业利润",'辅助-汇总损益长表'!$B$2:$B$242,AS$2)</f>
        <v>-18.058618648359214</v>
      </c>
      <c r="AT56" s="100">
        <f>SUMIFS('辅助-汇总损益长表'!$E$2:$E$242,'辅助-汇总损益长表'!$A$2:$A$242,"营业利润",'辅助-汇总损益长表'!$B$2:$B$242,AT$2)</f>
        <v>-20.219996452315545</v>
      </c>
      <c r="AU56" s="100">
        <f>SUMIFS('辅助-汇总损益长表'!$E$2:$E$242,'辅助-汇总损益长表'!$A$2:$A$242,"营业利润",'辅助-汇总损益长表'!$B$2:$B$242,AU$2)</f>
        <v>-18.409418187221231</v>
      </c>
      <c r="AV56" s="78">
        <f>SUMIFS('辅助-汇总损益长表'!$E$2:$E$242,'辅助-汇总损益长表'!$A$2:$A$242,"营业利润",'辅助-汇总损益长表'!$B$2:$B$242,AV$2)</f>
        <v>-164.13640274674839</v>
      </c>
      <c r="AW56" s="78">
        <f>SUMIFS('辅助-汇总损益长表'!$E$2:$E$242,'辅助-汇总损益长表'!$A$2:$A$242,"营业利润",'辅助-汇总损益长表'!$B$2:$B$242,AW$2)</f>
        <v>-104.87761440415366</v>
      </c>
      <c r="AX56" s="97"/>
      <c r="AY56" s="100">
        <f>SUMIFS('辅助-汇总损益长表'!$F$2:$F$242,'辅助-汇总损益长表'!$A$2:$A$242,"营业利润",'辅助-汇总损益长表'!$B$2:$B$242,AY$2)</f>
        <v>8.9345600405621415</v>
      </c>
      <c r="AZ56" s="100">
        <f>SUMIFS('辅助-汇总损益长表'!$F$2:$F$242,'辅助-汇总损益长表'!$A$2:$A$242,"营业利润",'辅助-汇总损益长表'!$B$2:$B$242,AZ$2)</f>
        <v>3.0905371706219205</v>
      </c>
      <c r="BA56" s="100">
        <f>SUMIFS('辅助-汇总损益长表'!$F$2:$F$242,'辅助-汇总损益长表'!$A$2:$A$242,"营业利润",'辅助-汇总损益长表'!$B$2:$B$242,BA$2)</f>
        <v>9.777158219758844</v>
      </c>
      <c r="BB56" s="100">
        <f>SUMIFS('辅助-汇总损益长表'!$F$2:$F$242,'辅助-汇总损益长表'!$A$2:$A$242,"营业利润",'辅助-汇总损益长表'!$B$2:$B$242,BB$2)</f>
        <v>6.9496352649760791</v>
      </c>
      <c r="BC56" s="100">
        <f>SUMIFS('辅助-汇总损益长表'!$F$2:$F$242,'辅助-汇总损益长表'!$A$2:$A$242,"营业利润",'辅助-汇总损益长表'!$B$2:$B$242,BC$2)</f>
        <v>9.1483669981190587</v>
      </c>
      <c r="BD56" s="100">
        <f>SUMIFS('辅助-汇总损益长表'!$F$2:$F$242,'辅助-汇总损益长表'!$A$2:$A$242,"营业利润",'辅助-汇总损益长表'!$B$2:$B$242,BD$2)</f>
        <v>5.5417208164197831</v>
      </c>
      <c r="BE56" s="100">
        <f>SUMIFS('辅助-汇总损益长表'!$F$2:$F$242,'辅助-汇总损益长表'!$A$2:$A$242,"营业利润",'辅助-汇总损益长表'!$B$2:$B$242,BE$2)</f>
        <v>5.9504487339249277</v>
      </c>
      <c r="BF56" s="100">
        <f>SUMIFS('辅助-汇总损益长表'!$F$2:$F$242,'辅助-汇总损益长表'!$A$2:$A$242,"营业利润",'辅助-汇总损益长表'!$B$2:$B$242,BF$2)</f>
        <v>8.4143388602277653</v>
      </c>
      <c r="BG56" s="100">
        <f>SUMIFS('辅助-汇总损益长表'!$F$2:$F$242,'辅助-汇总损益长表'!$A$2:$A$242,"营业利润",'辅助-汇总损益长表'!$B$2:$B$242,BG$2)</f>
        <v>10.99841874878927</v>
      </c>
      <c r="BH56" s="100">
        <f>SUMIFS('辅助-汇总损益长表'!$F$2:$F$242,'辅助-汇总损益长表'!$A$2:$A$242,"营业利润",'辅助-汇总损益长表'!$B$2:$B$242,BH$2)</f>
        <v>12.005008007705676</v>
      </c>
      <c r="BI56" s="100">
        <f>SUMIFS('辅助-汇总损益长表'!$F$2:$F$242,'辅助-汇总损益长表'!$A$2:$A$242,"营业利润",'辅助-汇总损益长表'!$B$2:$B$242,BI$2)</f>
        <v>14.874538581631533</v>
      </c>
      <c r="BJ56" s="100">
        <f>SUMIFS('辅助-汇总损益长表'!$F$2:$F$242,'辅助-汇总损益长表'!$A$2:$A$242,"营业利润",'辅助-汇总损益长表'!$B$2:$B$242,BJ$2)</f>
        <v>12.470743336458037</v>
      </c>
      <c r="BK56" s="78">
        <f>SUMIFS('辅助-汇总损益长表'!$F$2:$F$242,'辅助-汇总损益长表'!$A$2:$A$242,"营业利润",'辅助-汇总损益长表'!$B$2:$B$242,BK$2)</f>
        <v>108.15547477919503</v>
      </c>
      <c r="BL56" s="78">
        <f>SUMIFS('辅助-汇总损益长表'!$F$2:$F$242,'辅助-汇总损益长表'!$A$2:$A$242,"营业利润",'辅助-汇总损益长表'!$B$2:$B$242,BL$2)</f>
        <v>64.713496268737217</v>
      </c>
      <c r="BM56" s="97"/>
      <c r="BN56" s="100">
        <f>SUMIFS('辅助-汇总损益长表'!$G$2:$G$242,'辅助-汇总损益长表'!$A$2:$A$242,"营业利润",'辅助-汇总损益长表'!$B$2:$B$242,BN$2)</f>
        <v>4.4005758710905125E-2</v>
      </c>
      <c r="BO56" s="100">
        <f>SUMIFS('辅助-汇总损益长表'!$G$2:$G$242,'辅助-汇总损益长表'!$A$2:$A$242,"营业利润",'辅助-汇总损益长表'!$B$2:$B$242,BO$2)</f>
        <v>3.1784773635193241E-2</v>
      </c>
      <c r="BP56" s="100">
        <f>SUMIFS('辅助-汇总损益长表'!$G$2:$G$242,'辅助-汇总损益长表'!$A$2:$A$242,"营业利润",'辅助-汇总损益长表'!$B$2:$B$242,BP$2)</f>
        <v>9.5446687410960449E-2</v>
      </c>
      <c r="BQ56" s="100">
        <f>SUMIFS('辅助-汇总损益长表'!$G$2:$G$242,'辅助-汇总损益长表'!$A$2:$A$242,"营业利润",'辅助-汇总损益长表'!$B$2:$B$242,BQ$2)</f>
        <v>4.9109671647569866E-2</v>
      </c>
      <c r="BR56" s="100">
        <f>SUMIFS('辅助-汇总损益长表'!$G$2:$G$242,'辅助-汇总损益长表'!$A$2:$A$242,"营业利润",'辅助-汇总损益长表'!$B$2:$B$242,BR$2)</f>
        <v>1.968161514451814E-2</v>
      </c>
      <c r="BS56" s="100">
        <f>SUMIFS('辅助-汇总损益长表'!$G$2:$G$242,'辅助-汇总损益长表'!$A$2:$A$242,"营业利润",'辅助-汇总损益长表'!$B$2:$B$242,BS$2)</f>
        <v>1.4672422347416976</v>
      </c>
      <c r="BT56" s="100">
        <f>SUMIFS('辅助-汇总损益长表'!$G$2:$G$242,'辅助-汇总损益长表'!$A$2:$A$242,"营业利润",'辅助-汇总损益长表'!$B$2:$B$242,BT$2)</f>
        <v>0.8686017020586414</v>
      </c>
      <c r="BU56" s="100">
        <f>SUMIFS('辅助-汇总损益长表'!$G$2:$G$242,'辅助-汇总损益长表'!$A$2:$A$242,"营业利润",'辅助-汇总损益长表'!$B$2:$B$242,BU$2)</f>
        <v>1.1617100953459196</v>
      </c>
      <c r="BV56" s="100">
        <f>SUMIFS('辅助-汇总损益长表'!$G$2:$G$242,'辅助-汇总损益长表'!$A$2:$A$242,"营业利润",'辅助-汇总损益长表'!$B$2:$B$242,BV$2)</f>
        <v>1.4691164590374548</v>
      </c>
      <c r="BW56" s="100">
        <f>SUMIFS('辅助-汇总损益长表'!$G$2:$G$242,'辅助-汇总损益长表'!$A$2:$A$242,"营业利润",'辅助-汇总损益长表'!$B$2:$B$242,BW$2)</f>
        <v>1.5888619611731123</v>
      </c>
      <c r="BX56" s="100">
        <f>SUMIFS('辅助-汇总损益长表'!$G$2:$G$242,'辅助-汇总损益长表'!$A$2:$A$242,"营业利润",'辅助-汇总损益长表'!$B$2:$B$242,BX$2)</f>
        <v>1.9302260045747583</v>
      </c>
      <c r="BY56" s="100">
        <f>SUMIFS('辅助-汇总损益长表'!$G$2:$G$242,'辅助-汇总损益长表'!$A$2:$A$242,"营业利润",'辅助-汇总损益长表'!$B$2:$B$242,BY$2)</f>
        <v>1.644266596489609</v>
      </c>
      <c r="BZ56" s="78">
        <f>SUMIFS('辅助-汇总损益长表'!$G$2:$G$242,'辅助-汇总损益长表'!$A$2:$A$242,"营业利润",'辅助-汇总损益长表'!$B$2:$B$242,BZ$2)</f>
        <v>10.370053559970341</v>
      </c>
      <c r="CA56" s="78">
        <f>SUMIFS('辅助-汇总损益长表'!$G$2:$G$242,'辅助-汇总损益长表'!$A$2:$A$242,"营业利润",'辅助-汇总损益长表'!$B$2:$B$242,CA$2)</f>
        <v>8.6627828186794957</v>
      </c>
      <c r="CB56" s="97"/>
      <c r="CC56" s="100">
        <f>SUMIFS('辅助-汇总损益长表'!$H$2:$H$242,'辅助-汇总损益长表'!$A$2:$A$242,"营业利润",'辅助-汇总损益长表'!$B$2:$B$242,CC$2)</f>
        <v>3.77442509425437</v>
      </c>
      <c r="CD56" s="100">
        <f>SUMIFS('辅助-汇总损益长表'!$H$2:$H$242,'辅助-汇总损益长表'!$A$2:$A$242,"营业利润",'辅助-汇总损益长表'!$B$2:$B$242,CD$2)</f>
        <v>1.6751338948458301</v>
      </c>
      <c r="CE56" s="100">
        <f>SUMIFS('辅助-汇总损益长表'!$H$2:$H$242,'辅助-汇总损益长表'!$A$2:$A$242,"营业利润",'辅助-汇总损益长表'!$B$2:$B$242,CE$2)</f>
        <v>7.6987208665540763</v>
      </c>
      <c r="CF56" s="100">
        <f>SUMIFS('辅助-汇总损益长表'!$H$2:$H$242,'辅助-汇总损益长表'!$A$2:$A$242,"营业利润",'辅助-汇总损益长表'!$B$2:$B$242,CF$2)</f>
        <v>6.4203104349116904</v>
      </c>
      <c r="CG56" s="100">
        <f>SUMIFS('辅助-汇总损益长表'!$H$2:$H$242,'辅助-汇总损益长表'!$A$2:$A$242,"营业利润",'辅助-汇总损益长表'!$B$2:$B$242,CG$2)</f>
        <v>5.7892662245683315</v>
      </c>
      <c r="CH56" s="100">
        <f>SUMIFS('辅助-汇总损益长表'!$H$2:$H$242,'辅助-汇总损益长表'!$A$2:$A$242,"营业利润",'辅助-汇总损益长表'!$B$2:$B$242,CH$2)</f>
        <v>4.0188637631383024</v>
      </c>
      <c r="CI56" s="100">
        <f>SUMIFS('辅助-汇总损益长表'!$H$2:$H$242,'辅助-汇总损益长表'!$A$2:$A$242,"营业利润",'辅助-汇总损益长表'!$B$2:$B$242,CI$2)</f>
        <v>6.5593416001068165</v>
      </c>
      <c r="CJ56" s="100">
        <f>SUMIFS('辅助-汇总损益长表'!$H$2:$H$242,'辅助-汇总损益长表'!$A$2:$A$242,"营业利润",'辅助-汇总损益长表'!$B$2:$B$242,CJ$2)</f>
        <v>9.1243394487180325</v>
      </c>
      <c r="CK56" s="100">
        <f>SUMIFS('辅助-汇总损益长表'!$H$2:$H$242,'辅助-汇总损益长表'!$A$2:$A$242,"营业利润",'辅助-汇总损益长表'!$B$2:$B$242,CK$2)</f>
        <v>11.814459143602971</v>
      </c>
      <c r="CL56" s="100">
        <f>SUMIFS('辅助-汇总损益长表'!$H$2:$H$242,'辅助-汇总损益长表'!$A$2:$A$242,"营业利润",'辅助-汇总损益长表'!$B$2:$B$242,CL$2)</f>
        <v>12.862354606145358</v>
      </c>
      <c r="CM56" s="100">
        <f>SUMIFS('辅助-汇总损益长表'!$H$2:$H$242,'辅助-汇总损益长表'!$A$2:$A$242,"营业利润",'辅助-汇总损益长表'!$B$2:$B$242,CM$2)</f>
        <v>15.849638685930366</v>
      </c>
      <c r="CN56" s="100">
        <f>SUMIFS('辅助-汇总损益长表'!$H$2:$H$242,'辅助-汇总损益长表'!$A$2:$A$242,"营业利润",'辅助-汇总损益长表'!$B$2:$B$242,CN$2)</f>
        <v>13.347201760456013</v>
      </c>
      <c r="CO56" s="78">
        <f>SUMIFS('辅助-汇总损益长表'!$H$2:$H$242,'辅助-汇总损益长表'!$A$2:$A$242,"营业利润",'辅助-汇总损益长表'!$B$2:$B$242,CO$2)</f>
        <v>98.934055523232161</v>
      </c>
      <c r="CP56" s="78">
        <f>SUMIFS('辅助-汇总损益长表'!$H$2:$H$242,'辅助-汇总损益长表'!$A$2:$A$242,"营业利润",'辅助-汇总损益长表'!$B$2:$B$242,CP$2)</f>
        <v>69.55733524495956</v>
      </c>
      <c r="CQ56" s="97"/>
      <c r="CR56" s="100">
        <f>SUMIFS('辅助-汇总损益长表'!$I$2:$I$242,'辅助-汇总损益长表'!$A$2:$A$242,"营业利润",'辅助-汇总损益长表'!$B$2:$B$242,CR$2)</f>
        <v>76.422200591593082</v>
      </c>
      <c r="CS56" s="100">
        <f>SUMIFS('辅助-汇总损益长表'!$I$2:$I$242,'辅助-汇总损益长表'!$A$2:$A$242,"营业利润",'辅助-汇总损益长表'!$B$2:$B$242,CS$2)</f>
        <v>61.400739518927509</v>
      </c>
      <c r="CT56" s="100">
        <f>SUMIFS('辅助-汇总损益长表'!$I$2:$I$242,'辅助-汇总损益长表'!$A$2:$A$242,"营业利润",'辅助-汇总损益长表'!$B$2:$B$242,CT$2)</f>
        <v>-239.30808973648089</v>
      </c>
      <c r="CU56" s="100">
        <f>SUMIFS('辅助-汇总损益长表'!$I$2:$I$242,'辅助-汇总损益长表'!$A$2:$A$242,"营业利润",'辅助-汇总损益长表'!$B$2:$B$242,CU$2)</f>
        <v>109.87981638918308</v>
      </c>
      <c r="CV56" s="100">
        <f>SUMIFS('辅助-汇总损益长表'!$I$2:$I$242,'辅助-汇总损益长表'!$A$2:$A$242,"营业利润",'辅助-汇总损益长表'!$B$2:$B$242,CV$2)</f>
        <v>96.493390068257582</v>
      </c>
      <c r="CW56" s="100">
        <f>SUMIFS('辅助-汇总损益长表'!$I$2:$I$242,'辅助-汇总损益长表'!$A$2:$A$242,"营业利润",'辅助-汇总损益长表'!$B$2:$B$242,CW$2)</f>
        <v>49.628920630270784</v>
      </c>
      <c r="CX56" s="100">
        <f>SUMIFS('辅助-汇总损益长表'!$I$2:$I$242,'辅助-汇总损益长表'!$A$2:$A$242,"营业利润",'辅助-汇总损益长表'!$B$2:$B$242,CX$2)</f>
        <v>20.959683033204271</v>
      </c>
      <c r="CY56" s="100">
        <f>SUMIFS('辅助-汇总损益长表'!$I$2:$I$242,'辅助-汇总损益长表'!$A$2:$A$242,"营业利润",'辅助-汇总损益长表'!$B$2:$B$242,CY$2)</f>
        <v>30.196922651905481</v>
      </c>
      <c r="CZ56" s="100">
        <f>SUMIFS('辅助-汇总损益长表'!$I$2:$I$242,'辅助-汇总损益长表'!$A$2:$A$242,"营业利润",'辅助-汇总损益长表'!$B$2:$B$242,CZ$2)</f>
        <v>39.88475932517747</v>
      </c>
      <c r="DA56" s="100">
        <f>SUMIFS('辅助-汇总损益长表'!$I$2:$I$242,'辅助-汇总损益长表'!$A$2:$A$242,"营业利润",'辅助-汇总损益长表'!$B$2:$B$242,DA$2)</f>
        <v>43.658509657207901</v>
      </c>
      <c r="DB56" s="100">
        <f>SUMIFS('辅助-汇总损益长表'!$I$2:$I$242,'辅助-汇总损益长表'!$A$2:$A$242,"营业利润",'辅助-汇总损益长表'!$B$2:$B$242,DB$2)</f>
        <v>54.416514335085424</v>
      </c>
      <c r="DC56" s="100">
        <f>SUMIFS('辅助-汇总损益长表'!$I$2:$I$242,'辅助-汇总损益长表'!$A$2:$A$242,"营业利润",'辅助-汇总损益长表'!$B$2:$B$242,DC$2)</f>
        <v>45.404573243669631</v>
      </c>
      <c r="DD56" s="78">
        <f>SUMIFS('辅助-汇总损益长表'!$I$2:$I$242,'辅助-汇总损益长表'!$A$2:$A$242,"营业利润",'辅助-汇总损益长表'!$B$2:$B$242,DD$2)</f>
        <v>389.03793970800132</v>
      </c>
      <c r="DE56" s="78">
        <f>SUMIFS('辅助-汇总损益长表'!$I$2:$I$242,'辅助-汇总损益长表'!$A$2:$A$242,"营业利润",'辅助-汇总损益长表'!$B$2:$B$242,DE$2)</f>
        <v>234.52096224625018</v>
      </c>
      <c r="DF56" s="97"/>
      <c r="DG56" s="100">
        <f>SUMIFS('辅助-汇总损益长表'!$J$2:$J$242,'辅助-汇总损益长表'!$A$2:$A$242,"营业利润",'辅助-汇总损益长表'!$B$2:$B$242,DG$2)</f>
        <v>12.309499021885426</v>
      </c>
      <c r="DH56" s="100">
        <f>SUMIFS('辅助-汇总损益长表'!$J$2:$J$242,'辅助-汇总损益长表'!$A$2:$A$242,"营业利润",'辅助-汇总损益长表'!$B$2:$B$242,DH$2)</f>
        <v>-3.0006358995937026</v>
      </c>
      <c r="DI56" s="100">
        <f>SUMIFS('辅助-汇总损益长表'!$J$2:$J$242,'辅助-汇总损益长表'!$A$2:$A$242,"营业利润",'辅助-汇总损益长表'!$B$2:$B$242,DI$2)</f>
        <v>53.252552672307729</v>
      </c>
      <c r="DJ56" s="100">
        <f>SUMIFS('辅助-汇总损益长表'!$J$2:$J$242,'辅助-汇总损益长表'!$A$2:$A$242,"营业利润",'辅助-汇总损益长表'!$B$2:$B$242,DJ$2)</f>
        <v>5.296204950635448</v>
      </c>
      <c r="DK56" s="100">
        <f>SUMIFS('辅助-汇总损益长表'!$J$2:$J$242,'辅助-汇总损益长表'!$A$2:$A$242,"营业利润",'辅助-汇总损益长表'!$B$2:$B$242,DK$2)</f>
        <v>23.483059311440034</v>
      </c>
      <c r="DL56" s="100">
        <f>SUMIFS('辅助-汇总损益长表'!$J$2:$J$242,'辅助-汇总损益长表'!$A$2:$A$242,"营业利润",'辅助-汇总损益长表'!$B$2:$B$242,DL$2)</f>
        <v>4.526148803527251</v>
      </c>
      <c r="DM56" s="100">
        <f>SUMIFS('辅助-汇总损益长表'!$J$2:$J$242,'辅助-汇总损益长表'!$A$2:$A$242,"营业利润",'辅助-汇总损益长表'!$B$2:$B$242,DM$2)</f>
        <v>-5.1468112350182036</v>
      </c>
      <c r="DN56" s="100">
        <f>SUMIFS('辅助-汇总损益长表'!$J$2:$J$242,'辅助-汇总损益长表'!$A$2:$A$242,"营业利润",'辅助-汇总损益长表'!$B$2:$B$242,DN$2)</f>
        <v>-5.5111320956248209</v>
      </c>
      <c r="DO56" s="100">
        <f>SUMIFS('辅助-汇总损益长表'!$J$2:$J$242,'辅助-汇总损益长表'!$A$2:$A$242,"营业利润",'辅助-汇总损益长表'!$B$2:$B$242,DO$2)</f>
        <v>-5.8932247055293212</v>
      </c>
      <c r="DP56" s="100">
        <f>SUMIFS('辅助-汇总损益长表'!$J$2:$J$242,'辅助-汇总损益长表'!$A$2:$A$242,"营业利润",'辅助-汇总损益长表'!$B$2:$B$242,DP$2)</f>
        <v>-6.0420631058991026</v>
      </c>
      <c r="DQ56" s="100">
        <f>SUMIFS('辅助-汇总损益长表'!$J$2:$J$242,'辅助-汇总损益长表'!$A$2:$A$242,"营业利润",'辅助-汇总损益长表'!$B$2:$B$242,DQ$2)</f>
        <v>-6.4663636203860655</v>
      </c>
      <c r="DR56" s="100">
        <f>SUMIFS('辅助-汇总损益长表'!$J$2:$J$242,'辅助-汇总损益长表'!$A$2:$A$242,"营业利润",'辅助-汇总损益长表'!$B$2:$B$242,DR$2)</f>
        <v>-6.1109286344283937</v>
      </c>
      <c r="DS56" s="78">
        <f>SUMIFS('辅助-汇总损益长表'!$J$2:$J$242,'辅助-汇总损益长表'!$A$2:$A$242,"营业利润",'辅助-汇总损益长表'!$B$2:$B$242,DS$2)</f>
        <v>60.696305463316278</v>
      </c>
      <c r="DT56" s="78">
        <f>SUMIFS('辅助-汇总损益长表'!$J$2:$J$242,'辅助-汇总损益长表'!$A$2:$A$242,"营业利润",'辅助-汇总损益长表'!$B$2:$B$242,DT$2)</f>
        <v>-35.170523396885912</v>
      </c>
      <c r="DU56" s="97"/>
      <c r="DV56" s="100">
        <f>SUMIFS('辅助-汇总损益长表'!$K$2:$K$242,'辅助-汇总损益长表'!$A$2:$A$242,"营业利润",'辅助-汇总损益长表'!$B$2:$B$242,DV$2)</f>
        <v>24.7803</v>
      </c>
      <c r="DW56" s="100">
        <f>SUMIFS('辅助-汇总损益长表'!$K$2:$K$242,'辅助-汇总损益长表'!$A$2:$A$242,"营业利润",'辅助-汇总损益长表'!$B$2:$B$242,DW$2)</f>
        <v>7.8601000000000001</v>
      </c>
      <c r="DX56" s="100">
        <f>SUMIFS('辅助-汇总损益长表'!$K$2:$K$242,'辅助-汇总损益长表'!$A$2:$A$242,"营业利润",'辅助-汇总损益长表'!$B$2:$B$242,DX$2)</f>
        <v>26.021881</v>
      </c>
      <c r="DY56" s="100">
        <f>SUMIFS('辅助-汇总损益长表'!$K$2:$K$242,'辅助-汇总损益长表'!$A$2:$A$242,"营业利润",'辅助-汇总损益长表'!$B$2:$B$242,DY$2)</f>
        <v>17.22148</v>
      </c>
      <c r="DZ56" s="100">
        <f>SUMIFS('辅助-汇总损益长表'!$K$2:$K$242,'辅助-汇总损益长表'!$A$2:$A$242,"营业利润",'辅助-汇总损益长表'!$B$2:$B$242,DZ$2)</f>
        <v>18.578579999999999</v>
      </c>
      <c r="EA56" s="100">
        <f>SUMIFS('辅助-汇总损益长表'!$K$2:$K$242,'辅助-汇总损益长表'!$A$2:$A$242,"营业利润",'辅助-汇总损益长表'!$B$2:$B$242,EA$2)</f>
        <v>20.101900000000001</v>
      </c>
      <c r="EB56" s="100">
        <f>SUMIFS('辅助-汇总损益长表'!$K$2:$K$242,'辅助-汇总损益长表'!$A$2:$A$242,"营业利润",'辅助-汇总损益长表'!$B$2:$B$242,EB$2)</f>
        <v>8.0329930692112299</v>
      </c>
      <c r="EC56" s="100">
        <f>SUMIFS('辅助-汇总损益长表'!$K$2:$K$242,'辅助-汇总损益长表'!$A$2:$A$242,"营业利润",'辅助-汇总损益长表'!$B$2:$B$242,EC$2)</f>
        <v>6.7518692963740019</v>
      </c>
      <c r="ED56" s="100">
        <f>SUMIFS('辅助-汇总损益长表'!$K$2:$K$242,'辅助-汇总损益长表'!$A$2:$A$242,"营业利润",'辅助-汇总损益长表'!$B$2:$B$242,ED$2)</f>
        <v>4.7903221495546973</v>
      </c>
      <c r="EE56" s="100">
        <f>SUMIFS('辅助-汇总损益长表'!$K$2:$K$242,'辅助-汇总损益长表'!$A$2:$A$242,"营业利润",'辅助-汇总损益长表'!$B$2:$B$242,EE$2)</f>
        <v>4.8460189745547009</v>
      </c>
      <c r="EF56" s="100">
        <f>SUMIFS('辅助-汇总损益长表'!$K$2:$K$242,'辅助-汇总损益长表'!$A$2:$A$242,"营业利润",'辅助-汇总损益长表'!$B$2:$B$242,EF$2)</f>
        <v>5.5626436868320965</v>
      </c>
      <c r="EG56" s="100">
        <f>SUMIFS('辅助-汇总损益长表'!$K$2:$K$242,'辅助-汇总损益长表'!$A$2:$A$242,"营业利润",'辅助-汇总损益长表'!$B$2:$B$242,EG$2)</f>
        <v>5.0261645495546965</v>
      </c>
      <c r="EH56" s="78">
        <f>SUMIFS('辅助-汇总损益长表'!$K$2:$K$242,'辅助-汇总损益长表'!$A$2:$A$242,"营业利润",'辅助-汇总损益长表'!$B$2:$B$242,EH$2)</f>
        <v>149.57425272608143</v>
      </c>
      <c r="EI56" s="78">
        <f>SUMIFS('辅助-汇总损益长表'!$K$2:$K$242,'辅助-汇总损益长表'!$A$2:$A$242,"营业利润",'辅助-汇总损益长表'!$B$2:$B$242,EI$2)</f>
        <v>35.01001172608143</v>
      </c>
      <c r="EJ56" s="42"/>
      <c r="EK56" s="100">
        <f>SUMIFS('辅助-汇总损益长表'!$L$2:$L$242,'辅助-汇总损益长表'!$A$2:$A$242,"营业利润",'辅助-汇总损益长表'!$B$2:$B$242,EK$2)</f>
        <v>17.05552152500006</v>
      </c>
      <c r="EL56" s="100">
        <f>SUMIFS('辅助-汇总损益长表'!$L$2:$L$242,'辅助-汇总损益长表'!$A$2:$A$242,"营业利润",'辅助-汇总损益长表'!$B$2:$B$242,EL$2)</f>
        <v>12.543631640825676</v>
      </c>
      <c r="EM56" s="100">
        <f>SUMIFS('辅助-汇总损益长表'!$L$2:$L$242,'辅助-汇总损益长表'!$A$2:$A$242,"营业利润",'辅助-汇总损益长表'!$B$2:$B$242,EM$2)</f>
        <v>14.590859000000012</v>
      </c>
      <c r="EN56" s="100">
        <f>SUMIFS('辅助-汇总损益长表'!$L$2:$L$242,'辅助-汇总损益长表'!$A$2:$A$242,"营业利润",'辅助-汇总损益长表'!$B$2:$B$242,EN$2)</f>
        <v>15.110105000000004</v>
      </c>
      <c r="EO56" s="100">
        <f>SUMIFS('辅助-汇总损益长表'!$L$2:$L$242,'辅助-汇总损益长表'!$A$2:$A$242,"营业利润",'辅助-汇总损益长表'!$B$2:$B$242,EO$2)</f>
        <v>21.266139000000006</v>
      </c>
      <c r="EP56" s="100">
        <f>SUMIFS('辅助-汇总损益长表'!$L$2:$L$242,'辅助-汇总损益长表'!$A$2:$A$242,"营业利润",'辅助-汇总损益长表'!$B$2:$B$242,EP$2)</f>
        <v>17.219995000000019</v>
      </c>
      <c r="EQ56" s="100">
        <f>SUMIFS('辅助-汇总损益长表'!$L$2:$L$242,'辅助-汇总损益长表'!$A$2:$A$242,"营业利润",'辅助-汇总损益长表'!$B$2:$B$242,EQ$2)</f>
        <v>3.9412369001841387</v>
      </c>
      <c r="ER56" s="100">
        <f>SUMIFS('辅助-汇总损益长表'!$L$2:$L$242,'辅助-汇总损益长表'!$A$2:$A$242,"营业利润",'辅助-汇总损益长表'!$B$2:$B$242,ER$2)</f>
        <v>5.2712016154726165</v>
      </c>
      <c r="ES56" s="100">
        <f>SUMIFS('辅助-汇总损益长表'!$L$2:$L$242,'辅助-汇总损益长表'!$A$2:$A$242,"营业利润",'辅助-汇总损益长表'!$B$2:$B$242,ES$2)</f>
        <v>6.6660426583361341</v>
      </c>
      <c r="ET56" s="100">
        <f>SUMIFS('辅助-汇总损益长表'!$L$2:$L$242,'辅助-汇总损益长表'!$A$2:$A$242,"营业利润",'辅助-汇总损益长表'!$B$2:$B$242,ET$2)</f>
        <v>7.2093819017771725</v>
      </c>
      <c r="EU56" s="100">
        <f>SUMIFS('辅助-汇总损益长表'!$L$2:$L$242,'辅助-汇总损益长表'!$A$2:$A$242,"营业利润",'辅助-汇总损益长表'!$B$2:$B$242,EU$2)</f>
        <v>8.7583042226314287</v>
      </c>
      <c r="EV56" s="100">
        <f>SUMIFS('辅助-汇总损益长表'!$L$2:$L$242,'辅助-汇总损益长表'!$A$2:$A$242,"营业利润",'辅助-汇总损益长表'!$B$2:$B$242,EV$2)</f>
        <v>7.4607776711304785</v>
      </c>
      <c r="EW56" s="78">
        <f>SUMIFS('辅助-汇总损益长表'!$L$2:$L$242,'辅助-汇总损益长表'!$A$2:$A$242,"营业利润",'辅助-汇总损益长表'!$B$2:$B$242,EW$2)</f>
        <v>137.09319613535774</v>
      </c>
      <c r="EX56" s="78">
        <f>SUMIFS('辅助-汇总损益长表'!$L$2:$L$242,'辅助-汇总损益长表'!$A$2:$A$242,"营业利润",'辅助-汇总损益长表'!$B$2:$B$242,EX$2)</f>
        <v>39.306944969531969</v>
      </c>
      <c r="EY56" s="11"/>
    </row>
    <row r="57" spans="1:155" ht="16" customHeight="1">
      <c r="A57" s="76"/>
      <c r="B57" s="48" t="s">
        <v>96</v>
      </c>
      <c r="C57" s="76"/>
      <c r="D57" s="76"/>
      <c r="E57" s="76"/>
      <c r="F57" s="100">
        <f>SUMIFS('辅助-汇总损益长表'!$C$2:$C$242,'辅助-汇总损益长表'!$A$2:$A$242,"利润总额",'辅助-汇总损益长表'!$B$2:$B$242,F$2)</f>
        <v>186.95012266294972</v>
      </c>
      <c r="G57" s="100">
        <f>SUMIFS('辅助-汇总损益长表'!$C$2:$C$242,'辅助-汇总损益长表'!$A$2:$A$242,"利润总额",'辅助-汇总损益长表'!$B$2:$B$242,G$2)</f>
        <v>138.84866450615309</v>
      </c>
      <c r="H57" s="100">
        <f>SUMIFS('辅助-汇总损益长表'!$C$2:$C$242,'辅助-汇总损益长表'!$A$2:$A$242,"利润总额",'辅助-汇总损益长表'!$B$2:$B$242,H$2)</f>
        <v>-28.607111096962381</v>
      </c>
      <c r="I57" s="100">
        <f>SUMIFS('辅助-汇总损益长表'!$C$2:$C$242,'辅助-汇总损益长表'!$A$2:$A$242,"利润总额",'辅助-汇总损益长表'!$B$2:$B$242,I$2)</f>
        <v>258.06046542626973</v>
      </c>
      <c r="J57" s="100">
        <f>SUMIFS('辅助-汇总损益长表'!$C$2:$C$242,'辅助-汇总损益长表'!$A$2:$A$242,"利润总额",'辅助-汇总损益长表'!$B$2:$B$242,J$2)</f>
        <v>280.95036788682233</v>
      </c>
      <c r="K57" s="100">
        <f>SUMIFS('辅助-汇总损益长表'!$C$2:$C$242,'辅助-汇总损益长表'!$A$2:$A$242,"利润总额",'辅助-汇总损益长表'!$B$2:$B$242,K$2)</f>
        <v>212.62960523042727</v>
      </c>
      <c r="L57" s="100">
        <f>SUMIFS('辅助-汇总损益长表'!$C$2:$C$242,'辅助-汇总损益长表'!$A$2:$A$242,"利润总额",'辅助-汇总损益长表'!$B$2:$B$242,L$2)</f>
        <v>92.948620707639876</v>
      </c>
      <c r="M57" s="100">
        <f>SUMIFS('辅助-汇总损益长表'!$C$2:$C$242,'辅助-汇总损益长表'!$A$2:$A$242,"利润总额",'辅助-汇总损益长表'!$B$2:$B$242,M$2)</f>
        <v>99.425455606600309</v>
      </c>
      <c r="N57" s="100">
        <f>SUMIFS('辅助-汇总损益长表'!$C$2:$C$242,'辅助-汇总损益长表'!$A$2:$A$242,"利润总额",'辅助-汇总损益长表'!$B$2:$B$242,N$2)</f>
        <v>140.88997356341341</v>
      </c>
      <c r="O57" s="100">
        <f>SUMIFS('辅助-汇总损益长表'!$C$2:$C$242,'辅助-汇总损益长表'!$A$2:$A$242,"利润总额",'辅助-汇总损益长表'!$B$2:$B$242,O$2)</f>
        <v>155.63712525226831</v>
      </c>
      <c r="P57" s="100">
        <f>SUMIFS('辅助-汇总损益长表'!$C$2:$C$242,'辅助-汇总损益长表'!$A$2:$A$242,"利润总额",'辅助-汇总损益长表'!$B$2:$B$242,P$2)</f>
        <v>198.38546819692309</v>
      </c>
      <c r="Q57" s="100">
        <f>SUMIFS('辅助-汇总损益长表'!$C$2:$C$242,'辅助-汇总损益长表'!$A$2:$A$242,"利润总额",'辅助-汇总损益长表'!$B$2:$B$242,Q$2)</f>
        <v>244.37269792093764</v>
      </c>
      <c r="R57" s="78">
        <f>SUMIFS('辅助-汇总损益长表'!$C$2:$C$242,'辅助-汇总损益长表'!$A$2:$A$242,"利润总额",'辅助-汇总损益长表'!$B$2:$B$242,R$2)</f>
        <v>1980.4914558634414</v>
      </c>
      <c r="S57" s="78">
        <f>SUMIFS('辅助-汇总损益长表'!$C$2:$C$242,'辅助-汇总损益长表'!$A$2:$A$242,"利润总额",'辅助-汇总损益长表'!$B$2:$B$242,S$2)</f>
        <v>931.65934124778357</v>
      </c>
      <c r="T57" s="97"/>
      <c r="U57" s="100">
        <f>SUMIFS('辅助-汇总损益长表'!$D$2:$D$242,'辅助-汇总损益长表'!$A$2:$A$242,"利润总额",'辅助-汇总损益长表'!$B$2:$B$242,U$2)</f>
        <v>47.182555712724032</v>
      </c>
      <c r="V57" s="100">
        <f>SUMIFS('辅助-汇总损益长表'!$D$2:$D$242,'辅助-汇总损益长表'!$A$2:$A$242,"利润总额",'辅助-汇总损益长表'!$B$2:$B$242,V$2)</f>
        <v>11.315596172820541</v>
      </c>
      <c r="W57" s="100">
        <f>SUMIFS('辅助-汇总损益长表'!$D$2:$D$242,'辅助-汇总损益长表'!$A$2:$A$242,"利润总额",'辅助-汇总损益长表'!$B$2:$B$242,W$2)</f>
        <v>45.011699271941325</v>
      </c>
      <c r="X57" s="100">
        <f>SUMIFS('辅助-汇总损益长表'!$D$2:$D$242,'辅助-汇总损益长表'!$A$2:$A$242,"利润总额",'辅助-汇总损益长表'!$B$2:$B$242,X$2)</f>
        <v>22.470184291139837</v>
      </c>
      <c r="Y57" s="100">
        <f>SUMIFS('辅助-汇总损益长表'!$D$2:$D$242,'辅助-汇总损益长表'!$A$2:$A$242,"利润总额",'辅助-汇总损益长表'!$B$2:$B$242,Y$2)</f>
        <v>39.003657335112379</v>
      </c>
      <c r="Z57" s="100">
        <f>SUMIFS('辅助-汇总损益长表'!$D$2:$D$242,'辅助-汇总损益长表'!$A$2:$A$242,"利润总额",'辅助-汇总损益长表'!$B$2:$B$242,Z$2)</f>
        <v>44.131830181838168</v>
      </c>
      <c r="AA57" s="100">
        <f>SUMIFS('辅助-汇总损益长表'!$D$2:$D$242,'辅助-汇总损益长表'!$A$2:$A$242,"利润总额",'辅助-汇总损益长表'!$B$2:$B$242,AA$2)</f>
        <v>23.867390970965513</v>
      </c>
      <c r="AB57" s="100">
        <f>SUMIFS('辅助-汇总损益长表'!$D$2:$D$242,'辅助-汇总损益长表'!$A$2:$A$242,"利润总额",'辅助-汇总损益长表'!$B$2:$B$242,AB$2)</f>
        <v>36.418815467822611</v>
      </c>
      <c r="AC57" s="100">
        <f>SUMIFS('辅助-汇总损益长表'!$D$2:$D$242,'辅助-汇总损益长表'!$A$2:$A$242,"利润总额",'辅助-汇总损益长表'!$B$2:$B$242,AC$2)</f>
        <v>52.574172382179164</v>
      </c>
      <c r="AD57" s="100">
        <f>SUMIFS('辅助-汇总损益长表'!$D$2:$D$242,'辅助-汇总损益长表'!$A$2:$A$242,"利润总额",'辅助-汇总损益长表'!$B$2:$B$242,AD$2)</f>
        <v>58.86724745928322</v>
      </c>
      <c r="AE57" s="100">
        <f>SUMIFS('辅助-汇总损益长表'!$D$2:$D$242,'辅助-汇总损益长表'!$A$2:$A$242,"利润总额",'辅助-汇总损益长表'!$B$2:$B$242,AE$2)</f>
        <v>76.807207753714067</v>
      </c>
      <c r="AF57" s="100">
        <f>SUMIFS('辅助-汇总损益长表'!$D$2:$D$242,'辅助-汇总损益长表'!$A$2:$A$242,"利润总额",'辅助-汇总损益长表'!$B$2:$B$242,AF$2)</f>
        <v>61.77896876361492</v>
      </c>
      <c r="AG57" s="78">
        <f>SUMIFS('辅助-汇总损益长表'!$D$2:$D$242,'辅助-汇总损益长表'!$A$2:$A$242,"利润总额",'辅助-汇总损益长表'!$B$2:$B$242,AG$2)</f>
        <v>519.4293257631557</v>
      </c>
      <c r="AH57" s="78">
        <f>SUMIFS('辅助-汇总损益长表'!$D$2:$D$242,'辅助-汇总损益长表'!$A$2:$A$242,"利润总额",'辅助-汇总损益长表'!$B$2:$B$242,AH$2)</f>
        <v>310.31380279757951</v>
      </c>
      <c r="AI57" s="97"/>
      <c r="AJ57" s="100">
        <f>SUMIFS('辅助-汇总损益长表'!$E$2:$E$242,'辅助-汇总损益长表'!$A$2:$A$242,"利润总额",'辅助-汇总损益长表'!$B$2:$B$242,AJ$2)</f>
        <v>-6.8239295936135651</v>
      </c>
      <c r="AK57" s="100">
        <f>SUMIFS('辅助-汇总损益长表'!$E$2:$E$242,'辅助-汇总损益长表'!$A$2:$A$242,"利润总额",'辅助-汇总损益长表'!$B$2:$B$242,AK$2)</f>
        <v>-2.5553454642398252</v>
      </c>
      <c r="AL57" s="100">
        <f>SUMIFS('辅助-汇总损益长表'!$E$2:$E$242,'辅助-汇总损益长表'!$A$2:$A$242,"利润总额",'辅助-汇总损益长表'!$B$2:$B$242,AL$2)</f>
        <v>-3.4878840287888591</v>
      </c>
      <c r="AM57" s="100">
        <f>SUMIFS('辅助-汇总损益长表'!$E$2:$E$242,'辅助-汇总损益长表'!$A$2:$A$242,"利润总额",'辅助-汇总损益长表'!$B$2:$B$242,AM$2)</f>
        <v>-5.3656707887071846</v>
      </c>
      <c r="AN57" s="100">
        <f>SUMIFS('辅助-汇总损益长表'!$E$2:$E$242,'辅助-汇总损益长表'!$A$2:$A$242,"利润总额",'辅助-汇总损益长表'!$B$2:$B$242,AN$2)</f>
        <v>-25.803011939201077</v>
      </c>
      <c r="AO57" s="100">
        <f>SUMIFS('辅助-汇总损益长表'!$E$2:$E$242,'辅助-汇总损益长表'!$A$2:$A$242,"利润总额",'辅助-汇总损益长表'!$B$2:$B$242,AO$2)</f>
        <v>-15.222946528044218</v>
      </c>
      <c r="AP57" s="100">
        <f>SUMIFS('辅助-汇总损益长表'!$E$2:$E$242,'辅助-汇总损益长表'!$A$2:$A$242,"利润总额",'辅助-汇总损益长表'!$B$2:$B$242,AP$2)</f>
        <v>-14.867650421193783</v>
      </c>
      <c r="AQ57" s="100">
        <f>SUMIFS('辅助-汇总损益长表'!$E$2:$E$242,'辅助-汇总损益长表'!$A$2:$A$242,"利润总额",'辅助-汇总损益长表'!$B$2:$B$242,AQ$2)</f>
        <v>-16.021491695212909</v>
      </c>
      <c r="AR57" s="100">
        <f>SUMIFS('辅助-汇总损益长表'!$E$2:$E$242,'辅助-汇总损益长表'!$A$2:$A$242,"利润总额",'辅助-汇总损益长表'!$B$2:$B$242,AR$2)</f>
        <v>-17.300438999850972</v>
      </c>
      <c r="AS57" s="100">
        <f>SUMIFS('辅助-汇总损益长表'!$E$2:$E$242,'辅助-汇总损益长表'!$A$2:$A$242,"利润总额",'辅助-汇总损益长表'!$B$2:$B$242,AS$2)</f>
        <v>-18.058618648359214</v>
      </c>
      <c r="AT57" s="100">
        <f>SUMIFS('辅助-汇总损益长表'!$E$2:$E$242,'辅助-汇总损益长表'!$A$2:$A$242,"利润总额",'辅助-汇总损益长表'!$B$2:$B$242,AT$2)</f>
        <v>-20.219996452315545</v>
      </c>
      <c r="AU57" s="100">
        <f>SUMIFS('辅助-汇总损益长表'!$E$2:$E$242,'辅助-汇总损益长表'!$A$2:$A$242,"利润总额",'辅助-汇总损益长表'!$B$2:$B$242,AU$2)</f>
        <v>-18.409418187221231</v>
      </c>
      <c r="AV57" s="78">
        <f>SUMIFS('辅助-汇总损益长表'!$E$2:$E$242,'辅助-汇总损益长表'!$A$2:$A$242,"利润总额",'辅助-汇总损益长表'!$B$2:$B$242,AV$2)</f>
        <v>-164.13640274674839</v>
      </c>
      <c r="AW57" s="78">
        <f>SUMIFS('辅助-汇总损益长表'!$E$2:$E$242,'辅助-汇总损益长表'!$A$2:$A$242,"利润总额",'辅助-汇总损益长表'!$B$2:$B$242,AW$2)</f>
        <v>-104.87761440415366</v>
      </c>
      <c r="AX57" s="97"/>
      <c r="AY57" s="100">
        <f>SUMIFS('辅助-汇总损益长表'!$F$2:$F$242,'辅助-汇总损益长表'!$A$2:$A$242,"利润总额",'辅助-汇总损益长表'!$B$2:$B$242,AY$2)</f>
        <v>8.9345600405621415</v>
      </c>
      <c r="AZ57" s="100">
        <f>SUMIFS('辅助-汇总损益长表'!$F$2:$F$242,'辅助-汇总损益长表'!$A$2:$A$242,"利润总额",'辅助-汇总损益长表'!$B$2:$B$242,AZ$2)</f>
        <v>3.0905371706219205</v>
      </c>
      <c r="BA57" s="100">
        <f>SUMIFS('辅助-汇总损益长表'!$F$2:$F$242,'辅助-汇总损益长表'!$A$2:$A$242,"利润总额",'辅助-汇总损益长表'!$B$2:$B$242,BA$2)</f>
        <v>9.777158219758844</v>
      </c>
      <c r="BB57" s="100">
        <f>SUMIFS('辅助-汇总损益长表'!$F$2:$F$242,'辅助-汇总损益长表'!$A$2:$A$242,"利润总额",'辅助-汇总损益长表'!$B$2:$B$242,BB$2)</f>
        <v>6.9496352649760791</v>
      </c>
      <c r="BC57" s="100">
        <f>SUMIFS('辅助-汇总损益长表'!$F$2:$F$242,'辅助-汇总损益长表'!$A$2:$A$242,"利润总额",'辅助-汇总损益长表'!$B$2:$B$242,BC$2)</f>
        <v>9.1483669981190587</v>
      </c>
      <c r="BD57" s="100">
        <f>SUMIFS('辅助-汇总损益长表'!$F$2:$F$242,'辅助-汇总损益长表'!$A$2:$A$242,"利润总额",'辅助-汇总损益长表'!$B$2:$B$242,BD$2)</f>
        <v>5.5417208164197831</v>
      </c>
      <c r="BE57" s="100">
        <f>SUMIFS('辅助-汇总损益长表'!$F$2:$F$242,'辅助-汇总损益长表'!$A$2:$A$242,"利润总额",'辅助-汇总损益长表'!$B$2:$B$242,BE$2)</f>
        <v>5.9504487339249277</v>
      </c>
      <c r="BF57" s="100">
        <f>SUMIFS('辅助-汇总损益长表'!$F$2:$F$242,'辅助-汇总损益长表'!$A$2:$A$242,"利润总额",'辅助-汇总损益长表'!$B$2:$B$242,BF$2)</f>
        <v>8.4143388602277653</v>
      </c>
      <c r="BG57" s="100">
        <f>SUMIFS('辅助-汇总损益长表'!$F$2:$F$242,'辅助-汇总损益长表'!$A$2:$A$242,"利润总额",'辅助-汇总损益长表'!$B$2:$B$242,BG$2)</f>
        <v>10.99841874878927</v>
      </c>
      <c r="BH57" s="100">
        <f>SUMIFS('辅助-汇总损益长表'!$F$2:$F$242,'辅助-汇总损益长表'!$A$2:$A$242,"利润总额",'辅助-汇总损益长表'!$B$2:$B$242,BH$2)</f>
        <v>12.005008007705676</v>
      </c>
      <c r="BI57" s="100">
        <f>SUMIFS('辅助-汇总损益长表'!$F$2:$F$242,'辅助-汇总损益长表'!$A$2:$A$242,"利润总额",'辅助-汇总损益长表'!$B$2:$B$242,BI$2)</f>
        <v>14.874538581631533</v>
      </c>
      <c r="BJ57" s="100">
        <f>SUMIFS('辅助-汇总损益长表'!$F$2:$F$242,'辅助-汇总损益长表'!$A$2:$A$242,"利润总额",'辅助-汇总损益长表'!$B$2:$B$242,BJ$2)</f>
        <v>12.470743336458037</v>
      </c>
      <c r="BK57" s="78">
        <f>SUMIFS('辅助-汇总损益长表'!$F$2:$F$242,'辅助-汇总损益长表'!$A$2:$A$242,"利润总额",'辅助-汇总损益长表'!$B$2:$B$242,BK$2)</f>
        <v>108.15547477919503</v>
      </c>
      <c r="BL57" s="78">
        <f>SUMIFS('辅助-汇总损益长表'!$F$2:$F$242,'辅助-汇总损益长表'!$A$2:$A$242,"利润总额",'辅助-汇总损益长表'!$B$2:$B$242,BL$2)</f>
        <v>64.713496268737217</v>
      </c>
      <c r="BM57" s="97"/>
      <c r="BN57" s="100">
        <f>SUMIFS('辅助-汇总损益长表'!$G$2:$G$242,'辅助-汇总损益长表'!$A$2:$A$242,"利润总额",'辅助-汇总损益长表'!$B$2:$B$242,BN$2)</f>
        <v>4.4005758710905125E-2</v>
      </c>
      <c r="BO57" s="100">
        <f>SUMIFS('辅助-汇总损益长表'!$G$2:$G$242,'辅助-汇总损益长表'!$A$2:$A$242,"利润总额",'辅助-汇总损益长表'!$B$2:$B$242,BO$2)</f>
        <v>3.1784773635193241E-2</v>
      </c>
      <c r="BP57" s="100">
        <f>SUMIFS('辅助-汇总损益长表'!$G$2:$G$242,'辅助-汇总损益长表'!$A$2:$A$242,"利润总额",'辅助-汇总损益长表'!$B$2:$B$242,BP$2)</f>
        <v>9.5446687410960449E-2</v>
      </c>
      <c r="BQ57" s="100">
        <f>SUMIFS('辅助-汇总损益长表'!$G$2:$G$242,'辅助-汇总损益长表'!$A$2:$A$242,"利润总额",'辅助-汇总损益长表'!$B$2:$B$242,BQ$2)</f>
        <v>4.9109671647569866E-2</v>
      </c>
      <c r="BR57" s="100">
        <f>SUMIFS('辅助-汇总损益长表'!$G$2:$G$242,'辅助-汇总损益长表'!$A$2:$A$242,"利润总额",'辅助-汇总损益长表'!$B$2:$B$242,BR$2)</f>
        <v>1.968161514451814E-2</v>
      </c>
      <c r="BS57" s="100">
        <f>SUMIFS('辅助-汇总损益长表'!$G$2:$G$242,'辅助-汇总损益长表'!$A$2:$A$242,"利润总额",'辅助-汇总损益长表'!$B$2:$B$242,BS$2)</f>
        <v>1.4672422347416976</v>
      </c>
      <c r="BT57" s="100">
        <f>SUMIFS('辅助-汇总损益长表'!$G$2:$G$242,'辅助-汇总损益长表'!$A$2:$A$242,"利润总额",'辅助-汇总损益长表'!$B$2:$B$242,BT$2)</f>
        <v>0.8686017020586414</v>
      </c>
      <c r="BU57" s="100">
        <f>SUMIFS('辅助-汇总损益长表'!$G$2:$G$242,'辅助-汇总损益长表'!$A$2:$A$242,"利润总额",'辅助-汇总损益长表'!$B$2:$B$242,BU$2)</f>
        <v>1.1617100953459196</v>
      </c>
      <c r="BV57" s="100">
        <f>SUMIFS('辅助-汇总损益长表'!$G$2:$G$242,'辅助-汇总损益长表'!$A$2:$A$242,"利润总额",'辅助-汇总损益长表'!$B$2:$B$242,BV$2)</f>
        <v>1.4691164590374548</v>
      </c>
      <c r="BW57" s="100">
        <f>SUMIFS('辅助-汇总损益长表'!$G$2:$G$242,'辅助-汇总损益长表'!$A$2:$A$242,"利润总额",'辅助-汇总损益长表'!$B$2:$B$242,BW$2)</f>
        <v>1.5888619611731123</v>
      </c>
      <c r="BX57" s="100">
        <f>SUMIFS('辅助-汇总损益长表'!$G$2:$G$242,'辅助-汇总损益长表'!$A$2:$A$242,"利润总额",'辅助-汇总损益长表'!$B$2:$B$242,BX$2)</f>
        <v>1.9302260045747583</v>
      </c>
      <c r="BY57" s="100">
        <f>SUMIFS('辅助-汇总损益长表'!$G$2:$G$242,'辅助-汇总损益长表'!$A$2:$A$242,"利润总额",'辅助-汇总损益长表'!$B$2:$B$242,BY$2)</f>
        <v>1.644266596489609</v>
      </c>
      <c r="BZ57" s="78">
        <f>SUMIFS('辅助-汇总损益长表'!$G$2:$G$242,'辅助-汇总损益长表'!$A$2:$A$242,"利润总额",'辅助-汇总损益长表'!$B$2:$B$242,BZ$2)</f>
        <v>10.370053559970341</v>
      </c>
      <c r="CA57" s="78">
        <f>SUMIFS('辅助-汇总损益长表'!$G$2:$G$242,'辅助-汇总损益长表'!$A$2:$A$242,"利润总额",'辅助-汇总损益长表'!$B$2:$B$242,CA$2)</f>
        <v>8.6627828186794957</v>
      </c>
      <c r="CB57" s="97"/>
      <c r="CC57" s="100">
        <f>SUMIFS('辅助-汇总损益长表'!$H$2:$H$242,'辅助-汇总损益长表'!$A$2:$A$242,"利润总额",'辅助-汇总损益长表'!$B$2:$B$242,CC$2)</f>
        <v>3.77442509425437</v>
      </c>
      <c r="CD57" s="100">
        <f>SUMIFS('辅助-汇总损益长表'!$H$2:$H$242,'辅助-汇总损益长表'!$A$2:$A$242,"利润总额",'辅助-汇总损益长表'!$B$2:$B$242,CD$2)</f>
        <v>1.6751338948458301</v>
      </c>
      <c r="CE57" s="100">
        <f>SUMIFS('辅助-汇总损益长表'!$H$2:$H$242,'辅助-汇总损益长表'!$A$2:$A$242,"利润总额",'辅助-汇总损益长表'!$B$2:$B$242,CE$2)</f>
        <v>7.6987208665540763</v>
      </c>
      <c r="CF57" s="100">
        <f>SUMIFS('辅助-汇总损益长表'!$H$2:$H$242,'辅助-汇总损益长表'!$A$2:$A$242,"利润总额",'辅助-汇总损益长表'!$B$2:$B$242,CF$2)</f>
        <v>6.4203104349116904</v>
      </c>
      <c r="CG57" s="100">
        <f>SUMIFS('辅助-汇总损益长表'!$H$2:$H$242,'辅助-汇总损益长表'!$A$2:$A$242,"利润总额",'辅助-汇总损益长表'!$B$2:$B$242,CG$2)</f>
        <v>5.7892662245683315</v>
      </c>
      <c r="CH57" s="100">
        <f>SUMIFS('辅助-汇总损益长表'!$H$2:$H$242,'辅助-汇总损益长表'!$A$2:$A$242,"利润总额",'辅助-汇总损益长表'!$B$2:$B$242,CH$2)</f>
        <v>4.0188637631383024</v>
      </c>
      <c r="CI57" s="100">
        <f>SUMIFS('辅助-汇总损益长表'!$H$2:$H$242,'辅助-汇总损益长表'!$A$2:$A$242,"利润总额",'辅助-汇总损益长表'!$B$2:$B$242,CI$2)</f>
        <v>6.5593416001068165</v>
      </c>
      <c r="CJ57" s="100">
        <f>SUMIFS('辅助-汇总损益长表'!$H$2:$H$242,'辅助-汇总损益长表'!$A$2:$A$242,"利润总额",'辅助-汇总损益长表'!$B$2:$B$242,CJ$2)</f>
        <v>9.1243394487180325</v>
      </c>
      <c r="CK57" s="100">
        <f>SUMIFS('辅助-汇总损益长表'!$H$2:$H$242,'辅助-汇总损益长表'!$A$2:$A$242,"利润总额",'辅助-汇总损益长表'!$B$2:$B$242,CK$2)</f>
        <v>11.814459143602971</v>
      </c>
      <c r="CL57" s="100">
        <f>SUMIFS('辅助-汇总损益长表'!$H$2:$H$242,'辅助-汇总损益长表'!$A$2:$A$242,"利润总额",'辅助-汇总损益长表'!$B$2:$B$242,CL$2)</f>
        <v>12.862354606145358</v>
      </c>
      <c r="CM57" s="100">
        <f>SUMIFS('辅助-汇总损益长表'!$H$2:$H$242,'辅助-汇总损益长表'!$A$2:$A$242,"利润总额",'辅助-汇总损益长表'!$B$2:$B$242,CM$2)</f>
        <v>15.849638685930366</v>
      </c>
      <c r="CN57" s="100">
        <f>SUMIFS('辅助-汇总损益长表'!$H$2:$H$242,'辅助-汇总损益长表'!$A$2:$A$242,"利润总额",'辅助-汇总损益长表'!$B$2:$B$242,CN$2)</f>
        <v>13.347201760456013</v>
      </c>
      <c r="CO57" s="78">
        <f>SUMIFS('辅助-汇总损益长表'!$H$2:$H$242,'辅助-汇总损益长表'!$A$2:$A$242,"利润总额",'辅助-汇总损益长表'!$B$2:$B$242,CO$2)</f>
        <v>98.934055523232161</v>
      </c>
      <c r="CP57" s="78">
        <f>SUMIFS('辅助-汇总损益长表'!$H$2:$H$242,'辅助-汇总损益长表'!$A$2:$A$242,"利润总额",'辅助-汇总损益长表'!$B$2:$B$242,CP$2)</f>
        <v>69.55733524495956</v>
      </c>
      <c r="CQ57" s="97"/>
      <c r="CR57" s="100">
        <f>SUMIFS('辅助-汇总损益长表'!$I$2:$I$242,'辅助-汇总损益长表'!$A$2:$A$242,"利润总额",'辅助-汇总损益长表'!$B$2:$B$242,CR$2)</f>
        <v>76.422200591593082</v>
      </c>
      <c r="CS57" s="100">
        <f>SUMIFS('辅助-汇总损益长表'!$I$2:$I$242,'辅助-汇总损益长表'!$A$2:$A$242,"利润总额",'辅助-汇总损益长表'!$B$2:$B$242,CS$2)</f>
        <v>61.400739518927509</v>
      </c>
      <c r="CT57" s="100">
        <f>SUMIFS('辅助-汇总损益长表'!$I$2:$I$242,'辅助-汇总损益长表'!$A$2:$A$242,"利润总额",'辅助-汇总损益长表'!$B$2:$B$242,CT$2)</f>
        <v>-239.30808973648089</v>
      </c>
      <c r="CU57" s="100">
        <f>SUMIFS('辅助-汇总损益长表'!$I$2:$I$242,'辅助-汇总损益长表'!$A$2:$A$242,"利润总额",'辅助-汇总损益长表'!$B$2:$B$242,CU$2)</f>
        <v>109.87981638918308</v>
      </c>
      <c r="CV57" s="100">
        <f>SUMIFS('辅助-汇总损益长表'!$I$2:$I$242,'辅助-汇总损益长表'!$A$2:$A$242,"利润总额",'辅助-汇总损益长表'!$B$2:$B$242,CV$2)</f>
        <v>96.493390068257582</v>
      </c>
      <c r="CW57" s="100">
        <f>SUMIFS('辅助-汇总损益长表'!$I$2:$I$242,'辅助-汇总损益长表'!$A$2:$A$242,"利润总额",'辅助-汇总损益长表'!$B$2:$B$242,CW$2)</f>
        <v>49.628920630270784</v>
      </c>
      <c r="CX57" s="100">
        <f>SUMIFS('辅助-汇总损益长表'!$I$2:$I$242,'辅助-汇总损益长表'!$A$2:$A$242,"利润总额",'辅助-汇总损益长表'!$B$2:$B$242,CX$2)</f>
        <v>20.959683033204271</v>
      </c>
      <c r="CY57" s="100">
        <f>SUMIFS('辅助-汇总损益长表'!$I$2:$I$242,'辅助-汇总损益长表'!$A$2:$A$242,"利润总额",'辅助-汇总损益长表'!$B$2:$B$242,CY$2)</f>
        <v>30.196922651905481</v>
      </c>
      <c r="CZ57" s="100">
        <f>SUMIFS('辅助-汇总损益长表'!$I$2:$I$242,'辅助-汇总损益长表'!$A$2:$A$242,"利润总额",'辅助-汇总损益长表'!$B$2:$B$242,CZ$2)</f>
        <v>39.88475932517747</v>
      </c>
      <c r="DA57" s="100">
        <f>SUMIFS('辅助-汇总损益长表'!$I$2:$I$242,'辅助-汇总损益长表'!$A$2:$A$242,"利润总额",'辅助-汇总损益长表'!$B$2:$B$242,DA$2)</f>
        <v>43.658509657207901</v>
      </c>
      <c r="DB57" s="100">
        <f>SUMIFS('辅助-汇总损益长表'!$I$2:$I$242,'辅助-汇总损益长表'!$A$2:$A$242,"利润总额",'辅助-汇总损益长表'!$B$2:$B$242,DB$2)</f>
        <v>54.416514335085424</v>
      </c>
      <c r="DC57" s="100">
        <f>SUMIFS('辅助-汇总损益长表'!$I$2:$I$242,'辅助-汇总损益长表'!$A$2:$A$242,"利润总额",'辅助-汇总损益长表'!$B$2:$B$242,DC$2)</f>
        <v>45.404573243669631</v>
      </c>
      <c r="DD57" s="78">
        <f>SUMIFS('辅助-汇总损益长表'!$I$2:$I$242,'辅助-汇总损益长表'!$A$2:$A$242,"利润总额",'辅助-汇总损益长表'!$B$2:$B$242,DD$2)</f>
        <v>389.03793970800132</v>
      </c>
      <c r="DE57" s="78">
        <f>SUMIFS('辅助-汇总损益长表'!$I$2:$I$242,'辅助-汇总损益长表'!$A$2:$A$242,"利润总额",'辅助-汇总损益长表'!$B$2:$B$242,DE$2)</f>
        <v>234.52096224625018</v>
      </c>
      <c r="DF57" s="97"/>
      <c r="DG57" s="100">
        <f>SUMIFS('辅助-汇总损益长表'!$J$2:$J$242,'辅助-汇总损益长表'!$A$2:$A$242,"利润总额",'辅助-汇总损益长表'!$B$2:$B$242,DG$2)</f>
        <v>12.309499021885426</v>
      </c>
      <c r="DH57" s="100">
        <f>SUMIFS('辅助-汇总损益长表'!$J$2:$J$242,'辅助-汇总损益长表'!$A$2:$A$242,"利润总额",'辅助-汇总损益长表'!$B$2:$B$242,DH$2)</f>
        <v>-3.0006358995937026</v>
      </c>
      <c r="DI57" s="100">
        <f>SUMIFS('辅助-汇总损益长表'!$J$2:$J$242,'辅助-汇总损益长表'!$A$2:$A$242,"利润总额",'辅助-汇总损益长表'!$B$2:$B$242,DI$2)</f>
        <v>53.252552672307729</v>
      </c>
      <c r="DJ57" s="100">
        <f>SUMIFS('辅助-汇总损益长表'!$J$2:$J$242,'辅助-汇总损益长表'!$A$2:$A$242,"利润总额",'辅助-汇总损益长表'!$B$2:$B$242,DJ$2)</f>
        <v>5.296204950635448</v>
      </c>
      <c r="DK57" s="100">
        <f>SUMIFS('辅助-汇总损益长表'!$J$2:$J$242,'辅助-汇总损益长表'!$A$2:$A$242,"利润总额",'辅助-汇总损益长表'!$B$2:$B$242,DK$2)</f>
        <v>23.483059311440034</v>
      </c>
      <c r="DL57" s="100">
        <f>SUMIFS('辅助-汇总损益长表'!$J$2:$J$242,'辅助-汇总损益长表'!$A$2:$A$242,"利润总额",'辅助-汇总损益长表'!$B$2:$B$242,DL$2)</f>
        <v>4.526148803527251</v>
      </c>
      <c r="DM57" s="100">
        <f>SUMIFS('辅助-汇总损益长表'!$J$2:$J$242,'辅助-汇总损益长表'!$A$2:$A$242,"利润总额",'辅助-汇总损益长表'!$B$2:$B$242,DM$2)</f>
        <v>-5.1468112350182036</v>
      </c>
      <c r="DN57" s="100">
        <f>SUMIFS('辅助-汇总损益长表'!$J$2:$J$242,'辅助-汇总损益长表'!$A$2:$A$242,"利润总额",'辅助-汇总损益长表'!$B$2:$B$242,DN$2)</f>
        <v>-5.5111320956248209</v>
      </c>
      <c r="DO57" s="100">
        <f>SUMIFS('辅助-汇总损益长表'!$J$2:$J$242,'辅助-汇总损益长表'!$A$2:$A$242,"利润总额",'辅助-汇总损益长表'!$B$2:$B$242,DO$2)</f>
        <v>-5.8932247055293212</v>
      </c>
      <c r="DP57" s="100">
        <f>SUMIFS('辅助-汇总损益长表'!$J$2:$J$242,'辅助-汇总损益长表'!$A$2:$A$242,"利润总额",'辅助-汇总损益长表'!$B$2:$B$242,DP$2)</f>
        <v>-6.0420631058991026</v>
      </c>
      <c r="DQ57" s="100">
        <f>SUMIFS('辅助-汇总损益长表'!$J$2:$J$242,'辅助-汇总损益长表'!$A$2:$A$242,"利润总额",'辅助-汇总损益长表'!$B$2:$B$242,DQ$2)</f>
        <v>-6.4663636203860655</v>
      </c>
      <c r="DR57" s="100">
        <f>SUMIFS('辅助-汇总损益长表'!$J$2:$J$242,'辅助-汇总损益长表'!$A$2:$A$242,"利润总额",'辅助-汇总损益长表'!$B$2:$B$242,DR$2)</f>
        <v>-6.1109286344283937</v>
      </c>
      <c r="DS57" s="78">
        <f>SUMIFS('辅助-汇总损益长表'!$J$2:$J$242,'辅助-汇总损益长表'!$A$2:$A$242,"利润总额",'辅助-汇总损益长表'!$B$2:$B$242,DS$2)</f>
        <v>60.696305463316278</v>
      </c>
      <c r="DT57" s="78">
        <f>SUMIFS('辅助-汇总损益长表'!$J$2:$J$242,'辅助-汇总损益长表'!$A$2:$A$242,"利润总额",'辅助-汇总损益长表'!$B$2:$B$242,DT$2)</f>
        <v>-35.170523396885912</v>
      </c>
      <c r="DU57" s="97"/>
      <c r="DV57" s="100">
        <f>SUMIFS('辅助-汇总损益长表'!$K$2:$K$242,'辅助-汇总损益长表'!$A$2:$A$242,"利润总额",'辅助-汇总损益长表'!$B$2:$B$242,DV$2)</f>
        <v>24.7803</v>
      </c>
      <c r="DW57" s="100">
        <f>SUMIFS('辅助-汇总损益长表'!$K$2:$K$242,'辅助-汇总损益长表'!$A$2:$A$242,"利润总额",'辅助-汇总损益长表'!$B$2:$B$242,DW$2)</f>
        <v>7.8601000000000001</v>
      </c>
      <c r="DX57" s="100">
        <f>SUMIFS('辅助-汇总损益长表'!$K$2:$K$242,'辅助-汇总损益长表'!$A$2:$A$242,"利润总额",'辅助-汇总损益长表'!$B$2:$B$242,DX$2)</f>
        <v>26.021881</v>
      </c>
      <c r="DY57" s="100">
        <f>SUMIFS('辅助-汇总损益长表'!$K$2:$K$242,'辅助-汇总损益长表'!$A$2:$A$242,"利润总额",'辅助-汇总损益长表'!$B$2:$B$242,DY$2)</f>
        <v>17.22148</v>
      </c>
      <c r="DZ57" s="100">
        <f>SUMIFS('辅助-汇总损益长表'!$K$2:$K$242,'辅助-汇总损益长表'!$A$2:$A$242,"利润总额",'辅助-汇总损益长表'!$B$2:$B$242,DZ$2)</f>
        <v>18.578579999999999</v>
      </c>
      <c r="EA57" s="100">
        <f>SUMIFS('辅助-汇总损益长表'!$K$2:$K$242,'辅助-汇总损益长表'!$A$2:$A$242,"利润总额",'辅助-汇总损益长表'!$B$2:$B$242,EA$2)</f>
        <v>20.101900000000001</v>
      </c>
      <c r="EB57" s="100">
        <f>SUMIFS('辅助-汇总损益长表'!$K$2:$K$242,'辅助-汇总损益长表'!$A$2:$A$242,"利润总额",'辅助-汇总损益长表'!$B$2:$B$242,EB$2)</f>
        <v>8.0329930692112299</v>
      </c>
      <c r="EC57" s="100">
        <f>SUMIFS('辅助-汇总损益长表'!$K$2:$K$242,'辅助-汇总损益长表'!$A$2:$A$242,"利润总额",'辅助-汇总损益长表'!$B$2:$B$242,EC$2)</f>
        <v>6.7518692963740019</v>
      </c>
      <c r="ED57" s="100">
        <f>SUMIFS('辅助-汇总损益长表'!$K$2:$K$242,'辅助-汇总损益长表'!$A$2:$A$242,"利润总额",'辅助-汇总损益长表'!$B$2:$B$242,ED$2)</f>
        <v>4.7903221495546973</v>
      </c>
      <c r="EE57" s="100">
        <f>SUMIFS('辅助-汇总损益长表'!$K$2:$K$242,'辅助-汇总损益长表'!$A$2:$A$242,"利润总额",'辅助-汇总损益长表'!$B$2:$B$242,EE$2)</f>
        <v>4.8460189745547009</v>
      </c>
      <c r="EF57" s="100">
        <f>SUMIFS('辅助-汇总损益长表'!$K$2:$K$242,'辅助-汇总损益长表'!$A$2:$A$242,"利润总额",'辅助-汇总损益长表'!$B$2:$B$242,EF$2)</f>
        <v>5.5626436868320965</v>
      </c>
      <c r="EG57" s="100">
        <f>SUMIFS('辅助-汇总损益长表'!$K$2:$K$242,'辅助-汇总损益长表'!$A$2:$A$242,"利润总额",'辅助-汇总损益长表'!$B$2:$B$242,EG$2)</f>
        <v>5.0261645495546965</v>
      </c>
      <c r="EH57" s="78">
        <f>SUMIFS('辅助-汇总损益长表'!$K$2:$K$242,'辅助-汇总损益长表'!$A$2:$A$242,"利润总额",'辅助-汇总损益长表'!$B$2:$B$242,EH$2)</f>
        <v>149.57425272608143</v>
      </c>
      <c r="EI57" s="78">
        <f>SUMIFS('辅助-汇总损益长表'!$K$2:$K$242,'辅助-汇总损益长表'!$A$2:$A$242,"利润总额",'辅助-汇总损益长表'!$B$2:$B$242,EI$2)</f>
        <v>35.01001172608143</v>
      </c>
      <c r="EJ57" s="42"/>
      <c r="EK57" s="100">
        <f>SUMIFS('辅助-汇总损益长表'!$L$2:$L$242,'辅助-汇总损益长表'!$A$2:$A$242,"利润总额",'辅助-汇总损益长表'!$B$2:$B$242,EK$2)</f>
        <v>17.05552152500006</v>
      </c>
      <c r="EL57" s="100">
        <f>SUMIFS('辅助-汇总损益长表'!$L$2:$L$242,'辅助-汇总损益长表'!$A$2:$A$242,"利润总额",'辅助-汇总损益长表'!$B$2:$B$242,EL$2)</f>
        <v>12.543631640825676</v>
      </c>
      <c r="EM57" s="100">
        <f>SUMIFS('辅助-汇总损益长表'!$L$2:$L$242,'辅助-汇总损益长表'!$A$2:$A$242,"利润总额",'辅助-汇总损益长表'!$B$2:$B$242,EM$2)</f>
        <v>14.590859000000012</v>
      </c>
      <c r="EN57" s="100">
        <f>SUMIFS('辅助-汇总损益长表'!$L$2:$L$242,'辅助-汇总损益长表'!$A$2:$A$242,"利润总额",'辅助-汇总损益长表'!$B$2:$B$242,EN$2)</f>
        <v>15.110105000000004</v>
      </c>
      <c r="EO57" s="100">
        <f>SUMIFS('辅助-汇总损益长表'!$L$2:$L$242,'辅助-汇总损益长表'!$A$2:$A$242,"利润总额",'辅助-汇总损益长表'!$B$2:$B$242,EO$2)</f>
        <v>21.266139000000006</v>
      </c>
      <c r="EP57" s="100">
        <f>SUMIFS('辅助-汇总损益长表'!$L$2:$L$242,'辅助-汇总损益长表'!$A$2:$A$242,"利润总额",'辅助-汇总损益长表'!$B$2:$B$242,EP$2)</f>
        <v>17.219995000000019</v>
      </c>
      <c r="EQ57" s="100">
        <f>SUMIFS('辅助-汇总损益长表'!$L$2:$L$242,'辅助-汇总损益长表'!$A$2:$A$242,"利润总额",'辅助-汇总损益长表'!$B$2:$B$242,EQ$2)</f>
        <v>3.9412369001841387</v>
      </c>
      <c r="ER57" s="100">
        <f>SUMIFS('辅助-汇总损益长表'!$L$2:$L$242,'辅助-汇总损益长表'!$A$2:$A$242,"利润总额",'辅助-汇总损益长表'!$B$2:$B$242,ER$2)</f>
        <v>5.2712016154726165</v>
      </c>
      <c r="ES57" s="100">
        <f>SUMIFS('辅助-汇总损益长表'!$L$2:$L$242,'辅助-汇总损益长表'!$A$2:$A$242,"利润总额",'辅助-汇总损益长表'!$B$2:$B$242,ES$2)</f>
        <v>6.6660426583361341</v>
      </c>
      <c r="ET57" s="100">
        <f>SUMIFS('辅助-汇总损益长表'!$L$2:$L$242,'辅助-汇总损益长表'!$A$2:$A$242,"利润总额",'辅助-汇总损益长表'!$B$2:$B$242,ET$2)</f>
        <v>7.2093819017771725</v>
      </c>
      <c r="EU57" s="100">
        <f>SUMIFS('辅助-汇总损益长表'!$L$2:$L$242,'辅助-汇总损益长表'!$A$2:$A$242,"利润总额",'辅助-汇总损益长表'!$B$2:$B$242,EU$2)</f>
        <v>8.7583042226314287</v>
      </c>
      <c r="EV57" s="100">
        <f>SUMIFS('辅助-汇总损益长表'!$L$2:$L$242,'辅助-汇总损益长表'!$A$2:$A$242,"利润总额",'辅助-汇总损益长表'!$B$2:$B$242,EV$2)</f>
        <v>7.4607776711304785</v>
      </c>
      <c r="EW57" s="78">
        <f>SUMIFS('辅助-汇总损益长表'!$L$2:$L$242,'辅助-汇总损益长表'!$A$2:$A$242,"利润总额",'辅助-汇总损益长表'!$B$2:$B$242,EW$2)</f>
        <v>137.09319613535774</v>
      </c>
      <c r="EX57" s="78">
        <f>SUMIFS('辅助-汇总损益长表'!$L$2:$L$242,'辅助-汇总损益长表'!$A$2:$A$242,"利润总额",'辅助-汇总损益长表'!$B$2:$B$242,EX$2)</f>
        <v>39.306944969531969</v>
      </c>
      <c r="EY57" s="11"/>
    </row>
    <row r="58" spans="1:155" ht="16" customHeight="1">
      <c r="A58" s="76"/>
      <c r="B58" s="48" t="s">
        <v>97</v>
      </c>
      <c r="C58" s="76"/>
      <c r="D58" s="76"/>
      <c r="E58" s="76"/>
      <c r="F58" s="100">
        <f>SUMIFS('辅助-汇总损益长表'!$C$2:$C$242,'辅助-汇总损益长表'!$A$2:$A$242,"所得税",'辅助-汇总损益长表'!$B$2:$B$242,F$2)</f>
        <v>46.737530665737431</v>
      </c>
      <c r="G58" s="100">
        <f>SUMIFS('辅助-汇总损益长表'!$C$2:$C$242,'辅助-汇总损益长表'!$A$2:$A$242,"所得税",'辅助-汇总损益长表'!$B$2:$B$242,G$2)</f>
        <v>34.712166126538271</v>
      </c>
      <c r="H58" s="100">
        <f>SUMIFS('辅助-汇总损益长表'!$C$2:$C$242,'辅助-汇总损益长表'!$A$2:$A$242,"所得税",'辅助-汇总损益长表'!$B$2:$B$242,H$2)</f>
        <v>0</v>
      </c>
      <c r="I58" s="100">
        <f>SUMIFS('辅助-汇总损益长表'!$C$2:$C$242,'辅助-汇总损益长表'!$A$2:$A$242,"所得税",'辅助-汇总损益长表'!$B$2:$B$242,I$2)</f>
        <v>64.515116356567432</v>
      </c>
      <c r="J58" s="100">
        <f>SUMIFS('辅助-汇总损益长表'!$C$2:$C$242,'辅助-汇总损益长表'!$A$2:$A$242,"所得税",'辅助-汇总损益长表'!$B$2:$B$242,J$2)</f>
        <v>70.237591971705584</v>
      </c>
      <c r="K58" s="100">
        <f>SUMIFS('辅助-汇总损益长表'!$C$2:$C$242,'辅助-汇总损益长表'!$A$2:$A$242,"所得税",'辅助-汇总损益长表'!$B$2:$B$242,K$2)</f>
        <v>53.157401307606818</v>
      </c>
      <c r="L58" s="100">
        <f>SUMIFS('辅助-汇总损益长表'!$C$2:$C$242,'辅助-汇总损益长表'!$A$2:$A$242,"所得税",'辅助-汇总损益长表'!$B$2:$B$242,L$2)</f>
        <v>23.237155176909969</v>
      </c>
      <c r="M58" s="100">
        <f>SUMIFS('辅助-汇总损益长表'!$C$2:$C$242,'辅助-汇总损益长表'!$A$2:$A$242,"所得税",'辅助-汇总损益长表'!$B$2:$B$242,M$2)</f>
        <v>24.856363901650077</v>
      </c>
      <c r="N58" s="100">
        <f>SUMIFS('辅助-汇总损益长表'!$C$2:$C$242,'辅助-汇总损益长表'!$A$2:$A$242,"所得税",'辅助-汇总损益长表'!$B$2:$B$242,N$2)</f>
        <v>35.222493390853352</v>
      </c>
      <c r="O58" s="100">
        <f>SUMIFS('辅助-汇总损益长表'!$C$2:$C$242,'辅助-汇总损益长表'!$A$2:$A$242,"所得税",'辅助-汇总损益长表'!$B$2:$B$242,O$2)</f>
        <v>38.909281313067076</v>
      </c>
      <c r="P58" s="100">
        <f>SUMIFS('辅助-汇总损益长表'!$C$2:$C$242,'辅助-汇总损益长表'!$A$2:$A$242,"所得税",'辅助-汇总损益长表'!$B$2:$B$242,P$2)</f>
        <v>49.596367049230771</v>
      </c>
      <c r="Q58" s="100">
        <f>SUMIFS('辅助-汇总损益长表'!$C$2:$C$242,'辅助-汇总损益长表'!$A$2:$A$242,"所得税",'辅助-汇总损益长表'!$B$2:$B$242,Q$2)</f>
        <v>61.09317448023441</v>
      </c>
      <c r="R58" s="78">
        <f>SUMIFS('辅助-汇总损益长表'!$C$2:$C$242,'辅助-汇总损益长表'!$A$2:$A$242,"所得税",'辅助-汇总损益长表'!$B$2:$B$242,R$2)</f>
        <v>495.12286396586035</v>
      </c>
      <c r="S58" s="78">
        <f>SUMIFS('辅助-汇总损益长表'!$C$2:$C$242,'辅助-汇总损益长表'!$A$2:$A$242,"所得税",'辅助-汇总损益长表'!$B$2:$B$242,S$2)</f>
        <v>232.91483531194589</v>
      </c>
      <c r="T58" s="97"/>
      <c r="U58" s="100">
        <f>SUMIFS('辅助-汇总损益长表'!$D$2:$D$242,'辅助-汇总损益长表'!$A$2:$A$242,"所得税",'辅助-汇总损益长表'!$B$2:$B$242,U$2)</f>
        <v>0</v>
      </c>
      <c r="V58" s="100">
        <f>SUMIFS('辅助-汇总损益长表'!$D$2:$D$242,'辅助-汇总损益长表'!$A$2:$A$242,"所得税",'辅助-汇总损益长表'!$B$2:$B$242,V$2)</f>
        <v>0</v>
      </c>
      <c r="W58" s="100">
        <f>SUMIFS('辅助-汇总损益长表'!$D$2:$D$242,'辅助-汇总损益长表'!$A$2:$A$242,"所得税",'辅助-汇总损益长表'!$B$2:$B$242,W$2)</f>
        <v>0</v>
      </c>
      <c r="X58" s="100">
        <f>SUMIFS('辅助-汇总损益长表'!$D$2:$D$242,'辅助-汇总损益长表'!$A$2:$A$242,"所得税",'辅助-汇总损益长表'!$B$2:$B$242,X$2)</f>
        <v>0</v>
      </c>
      <c r="Y58" s="100">
        <f>SUMIFS('辅助-汇总损益长表'!$D$2:$D$242,'辅助-汇总损益长表'!$A$2:$A$242,"所得税",'辅助-汇总损益长表'!$B$2:$B$242,Y$2)</f>
        <v>0</v>
      </c>
      <c r="Z58" s="100">
        <f>SUMIFS('辅助-汇总损益长表'!$D$2:$D$242,'辅助-汇总损益长表'!$A$2:$A$242,"所得税",'辅助-汇总损益长表'!$B$2:$B$242,Z$2)</f>
        <v>0</v>
      </c>
      <c r="AA58" s="100">
        <f>SUMIFS('辅助-汇总损益长表'!$D$2:$D$242,'辅助-汇总损益长表'!$A$2:$A$242,"所得税",'辅助-汇总损益长表'!$B$2:$B$242,AA$2)</f>
        <v>0</v>
      </c>
      <c r="AB58" s="100">
        <f>SUMIFS('辅助-汇总损益长表'!$D$2:$D$242,'辅助-汇总损益长表'!$A$2:$A$242,"所得税",'辅助-汇总损益长表'!$B$2:$B$242,AB$2)</f>
        <v>0</v>
      </c>
      <c r="AC58" s="100">
        <f>SUMIFS('辅助-汇总损益长表'!$D$2:$D$242,'辅助-汇总损益长表'!$A$2:$A$242,"所得税",'辅助-汇总损益长表'!$B$2:$B$242,AC$2)</f>
        <v>0</v>
      </c>
      <c r="AD58" s="100">
        <f>SUMIFS('辅助-汇总损益长表'!$D$2:$D$242,'辅助-汇总损益长表'!$A$2:$A$242,"所得税",'辅助-汇总损益长表'!$B$2:$B$242,AD$2)</f>
        <v>0</v>
      </c>
      <c r="AE58" s="100">
        <f>SUMIFS('辅助-汇总损益长表'!$D$2:$D$242,'辅助-汇总损益长表'!$A$2:$A$242,"所得税",'辅助-汇总损益长表'!$B$2:$B$242,AE$2)</f>
        <v>0</v>
      </c>
      <c r="AF58" s="100">
        <f>SUMIFS('辅助-汇总损益长表'!$D$2:$D$242,'辅助-汇总损益长表'!$A$2:$A$242,"所得税",'辅助-汇总损益长表'!$B$2:$B$242,AF$2)</f>
        <v>0</v>
      </c>
      <c r="AG58" s="78">
        <f>SUMIFS('辅助-汇总损益长表'!$D$2:$D$242,'辅助-汇总损益长表'!$A$2:$A$242,"所得税",'辅助-汇总损益长表'!$B$2:$B$242,AG$2)</f>
        <v>0</v>
      </c>
      <c r="AH58" s="78">
        <f>SUMIFS('辅助-汇总损益长表'!$D$2:$D$242,'辅助-汇总损益长表'!$A$2:$A$242,"所得税",'辅助-汇总损益长表'!$B$2:$B$242,AH$2)</f>
        <v>0</v>
      </c>
      <c r="AI58" s="97"/>
      <c r="AJ58" s="100">
        <f>SUMIFS('辅助-汇总损益长表'!$E$2:$E$242,'辅助-汇总损益长表'!$A$2:$A$242,"所得税",'辅助-汇总损益长表'!$B$2:$B$242,AJ$2)</f>
        <v>0</v>
      </c>
      <c r="AK58" s="100">
        <f>SUMIFS('辅助-汇总损益长表'!$E$2:$E$242,'辅助-汇总损益长表'!$A$2:$A$242,"所得税",'辅助-汇总损益长表'!$B$2:$B$242,AK$2)</f>
        <v>0</v>
      </c>
      <c r="AL58" s="100">
        <f>SUMIFS('辅助-汇总损益长表'!$E$2:$E$242,'辅助-汇总损益长表'!$A$2:$A$242,"所得税",'辅助-汇总损益长表'!$B$2:$B$242,AL$2)</f>
        <v>0</v>
      </c>
      <c r="AM58" s="100">
        <f>SUMIFS('辅助-汇总损益长表'!$E$2:$E$242,'辅助-汇总损益长表'!$A$2:$A$242,"所得税",'辅助-汇总损益长表'!$B$2:$B$242,AM$2)</f>
        <v>0</v>
      </c>
      <c r="AN58" s="100">
        <f>SUMIFS('辅助-汇总损益长表'!$E$2:$E$242,'辅助-汇总损益长表'!$A$2:$A$242,"所得税",'辅助-汇总损益长表'!$B$2:$B$242,AN$2)</f>
        <v>0</v>
      </c>
      <c r="AO58" s="100">
        <f>SUMIFS('辅助-汇总损益长表'!$E$2:$E$242,'辅助-汇总损益长表'!$A$2:$A$242,"所得税",'辅助-汇总损益长表'!$B$2:$B$242,AO$2)</f>
        <v>0</v>
      </c>
      <c r="AP58" s="100">
        <f>SUMIFS('辅助-汇总损益长表'!$E$2:$E$242,'辅助-汇总损益长表'!$A$2:$A$242,"所得税",'辅助-汇总损益长表'!$B$2:$B$242,AP$2)</f>
        <v>0</v>
      </c>
      <c r="AQ58" s="100">
        <f>SUMIFS('辅助-汇总损益长表'!$E$2:$E$242,'辅助-汇总损益长表'!$A$2:$A$242,"所得税",'辅助-汇总损益长表'!$B$2:$B$242,AQ$2)</f>
        <v>0</v>
      </c>
      <c r="AR58" s="100">
        <f>SUMIFS('辅助-汇总损益长表'!$E$2:$E$242,'辅助-汇总损益长表'!$A$2:$A$242,"所得税",'辅助-汇总损益长表'!$B$2:$B$242,AR$2)</f>
        <v>0</v>
      </c>
      <c r="AS58" s="100">
        <f>SUMIFS('辅助-汇总损益长表'!$E$2:$E$242,'辅助-汇总损益长表'!$A$2:$A$242,"所得税",'辅助-汇总损益长表'!$B$2:$B$242,AS$2)</f>
        <v>0</v>
      </c>
      <c r="AT58" s="100">
        <f>SUMIFS('辅助-汇总损益长表'!$E$2:$E$242,'辅助-汇总损益长表'!$A$2:$A$242,"所得税",'辅助-汇总损益长表'!$B$2:$B$242,AT$2)</f>
        <v>0</v>
      </c>
      <c r="AU58" s="100">
        <f>SUMIFS('辅助-汇总损益长表'!$E$2:$E$242,'辅助-汇总损益长表'!$A$2:$A$242,"所得税",'辅助-汇总损益长表'!$B$2:$B$242,AU$2)</f>
        <v>0</v>
      </c>
      <c r="AV58" s="78">
        <f>SUMIFS('辅助-汇总损益长表'!$E$2:$E$242,'辅助-汇总损益长表'!$A$2:$A$242,"所得税",'辅助-汇总损益长表'!$B$2:$B$242,AV$2)</f>
        <v>0</v>
      </c>
      <c r="AW58" s="78">
        <f>SUMIFS('辅助-汇总损益长表'!$E$2:$E$242,'辅助-汇总损益长表'!$A$2:$A$242,"所得税",'辅助-汇总损益长表'!$B$2:$B$242,AW$2)</f>
        <v>0</v>
      </c>
      <c r="AX58" s="97"/>
      <c r="AY58" s="100">
        <f>SUMIFS('辅助-汇总损益长表'!$F$2:$F$242,'辅助-汇总损益长表'!$A$2:$A$242,"所得税",'辅助-汇总损益长表'!$B$2:$B$242,AY$2)</f>
        <v>0</v>
      </c>
      <c r="AZ58" s="100">
        <f>SUMIFS('辅助-汇总损益长表'!$F$2:$F$242,'辅助-汇总损益长表'!$A$2:$A$242,"所得税",'辅助-汇总损益长表'!$B$2:$B$242,AZ$2)</f>
        <v>0</v>
      </c>
      <c r="BA58" s="100">
        <f>SUMIFS('辅助-汇总损益长表'!$F$2:$F$242,'辅助-汇总损益长表'!$A$2:$A$242,"所得税",'辅助-汇总损益长表'!$B$2:$B$242,BA$2)</f>
        <v>0</v>
      </c>
      <c r="BB58" s="100">
        <f>SUMIFS('辅助-汇总损益长表'!$F$2:$F$242,'辅助-汇总损益长表'!$A$2:$A$242,"所得税",'辅助-汇总损益长表'!$B$2:$B$242,BB$2)</f>
        <v>0</v>
      </c>
      <c r="BC58" s="100">
        <f>SUMIFS('辅助-汇总损益长表'!$F$2:$F$242,'辅助-汇总损益长表'!$A$2:$A$242,"所得税",'辅助-汇总损益长表'!$B$2:$B$242,BC$2)</f>
        <v>0</v>
      </c>
      <c r="BD58" s="100">
        <f>SUMIFS('辅助-汇总损益长表'!$F$2:$F$242,'辅助-汇总损益长表'!$A$2:$A$242,"所得税",'辅助-汇总损益长表'!$B$2:$B$242,BD$2)</f>
        <v>0</v>
      </c>
      <c r="BE58" s="100">
        <f>SUMIFS('辅助-汇总损益长表'!$F$2:$F$242,'辅助-汇总损益长表'!$A$2:$A$242,"所得税",'辅助-汇总损益长表'!$B$2:$B$242,BE$2)</f>
        <v>0</v>
      </c>
      <c r="BF58" s="100">
        <f>SUMIFS('辅助-汇总损益长表'!$F$2:$F$242,'辅助-汇总损益长表'!$A$2:$A$242,"所得税",'辅助-汇总损益长表'!$B$2:$B$242,BF$2)</f>
        <v>0</v>
      </c>
      <c r="BG58" s="100">
        <f>SUMIFS('辅助-汇总损益长表'!$F$2:$F$242,'辅助-汇总损益长表'!$A$2:$A$242,"所得税",'辅助-汇总损益长表'!$B$2:$B$242,BG$2)</f>
        <v>0</v>
      </c>
      <c r="BH58" s="100">
        <f>SUMIFS('辅助-汇总损益长表'!$F$2:$F$242,'辅助-汇总损益长表'!$A$2:$A$242,"所得税",'辅助-汇总损益长表'!$B$2:$B$242,BH$2)</f>
        <v>0</v>
      </c>
      <c r="BI58" s="100">
        <f>SUMIFS('辅助-汇总损益长表'!$F$2:$F$242,'辅助-汇总损益长表'!$A$2:$A$242,"所得税",'辅助-汇总损益长表'!$B$2:$B$242,BI$2)</f>
        <v>0</v>
      </c>
      <c r="BJ58" s="100">
        <f>SUMIFS('辅助-汇总损益长表'!$F$2:$F$242,'辅助-汇总损益长表'!$A$2:$A$242,"所得税",'辅助-汇总损益长表'!$B$2:$B$242,BJ$2)</f>
        <v>0</v>
      </c>
      <c r="BK58" s="78">
        <f>SUMIFS('辅助-汇总损益长表'!$F$2:$F$242,'辅助-汇总损益长表'!$A$2:$A$242,"所得税",'辅助-汇总损益长表'!$B$2:$B$242,BK$2)</f>
        <v>0</v>
      </c>
      <c r="BL58" s="78">
        <f>SUMIFS('辅助-汇总损益长表'!$F$2:$F$242,'辅助-汇总损益长表'!$A$2:$A$242,"所得税",'辅助-汇总损益长表'!$B$2:$B$242,BL$2)</f>
        <v>0</v>
      </c>
      <c r="BM58" s="97"/>
      <c r="BN58" s="100">
        <f>SUMIFS('辅助-汇总损益长表'!$G$2:$G$242,'辅助-汇总损益长表'!$A$2:$A$242,"所得税",'辅助-汇总损益长表'!$B$2:$B$242,BN$2)</f>
        <v>0</v>
      </c>
      <c r="BO58" s="100">
        <f>SUMIFS('辅助-汇总损益长表'!$G$2:$G$242,'辅助-汇总损益长表'!$A$2:$A$242,"所得税",'辅助-汇总损益长表'!$B$2:$B$242,BO$2)</f>
        <v>0</v>
      </c>
      <c r="BP58" s="100">
        <f>SUMIFS('辅助-汇总损益长表'!$G$2:$G$242,'辅助-汇总损益长表'!$A$2:$A$242,"所得税",'辅助-汇总损益长表'!$B$2:$B$242,BP$2)</f>
        <v>0</v>
      </c>
      <c r="BQ58" s="100">
        <f>SUMIFS('辅助-汇总损益长表'!$G$2:$G$242,'辅助-汇总损益长表'!$A$2:$A$242,"所得税",'辅助-汇总损益长表'!$B$2:$B$242,BQ$2)</f>
        <v>0</v>
      </c>
      <c r="BR58" s="100">
        <f>SUMIFS('辅助-汇总损益长表'!$G$2:$G$242,'辅助-汇总损益长表'!$A$2:$A$242,"所得税",'辅助-汇总损益长表'!$B$2:$B$242,BR$2)</f>
        <v>0</v>
      </c>
      <c r="BS58" s="100">
        <f>SUMIFS('辅助-汇总损益长表'!$G$2:$G$242,'辅助-汇总损益长表'!$A$2:$A$242,"所得税",'辅助-汇总损益长表'!$B$2:$B$242,BS$2)</f>
        <v>0</v>
      </c>
      <c r="BT58" s="100">
        <f>SUMIFS('辅助-汇总损益长表'!$G$2:$G$242,'辅助-汇总损益长表'!$A$2:$A$242,"所得税",'辅助-汇总损益长表'!$B$2:$B$242,BT$2)</f>
        <v>0</v>
      </c>
      <c r="BU58" s="100">
        <f>SUMIFS('辅助-汇总损益长表'!$G$2:$G$242,'辅助-汇总损益长表'!$A$2:$A$242,"所得税",'辅助-汇总损益长表'!$B$2:$B$242,BU$2)</f>
        <v>0</v>
      </c>
      <c r="BV58" s="100">
        <f>SUMIFS('辅助-汇总损益长表'!$G$2:$G$242,'辅助-汇总损益长表'!$A$2:$A$242,"所得税",'辅助-汇总损益长表'!$B$2:$B$242,BV$2)</f>
        <v>0</v>
      </c>
      <c r="BW58" s="100">
        <f>SUMIFS('辅助-汇总损益长表'!$G$2:$G$242,'辅助-汇总损益长表'!$A$2:$A$242,"所得税",'辅助-汇总损益长表'!$B$2:$B$242,BW$2)</f>
        <v>0</v>
      </c>
      <c r="BX58" s="100">
        <f>SUMIFS('辅助-汇总损益长表'!$G$2:$G$242,'辅助-汇总损益长表'!$A$2:$A$242,"所得税",'辅助-汇总损益长表'!$B$2:$B$242,BX$2)</f>
        <v>0</v>
      </c>
      <c r="BY58" s="100">
        <f>SUMIFS('辅助-汇总损益长表'!$G$2:$G$242,'辅助-汇总损益长表'!$A$2:$A$242,"所得税",'辅助-汇总损益长表'!$B$2:$B$242,BY$2)</f>
        <v>0</v>
      </c>
      <c r="BZ58" s="78">
        <f>SUMIFS('辅助-汇总损益长表'!$G$2:$G$242,'辅助-汇总损益长表'!$A$2:$A$242,"所得税",'辅助-汇总损益长表'!$B$2:$B$242,BZ$2)</f>
        <v>0</v>
      </c>
      <c r="CA58" s="78">
        <f>SUMIFS('辅助-汇总损益长表'!$G$2:$G$242,'辅助-汇总损益长表'!$A$2:$A$242,"所得税",'辅助-汇总损益长表'!$B$2:$B$242,CA$2)</f>
        <v>0</v>
      </c>
      <c r="CB58" s="97"/>
      <c r="CC58" s="100">
        <f>SUMIFS('辅助-汇总损益长表'!$H$2:$H$242,'辅助-汇总损益长表'!$A$2:$A$242,"所得税",'辅助-汇总损益长表'!$B$2:$B$242,CC$2)</f>
        <v>0</v>
      </c>
      <c r="CD58" s="100">
        <f>SUMIFS('辅助-汇总损益长表'!$H$2:$H$242,'辅助-汇总损益长表'!$A$2:$A$242,"所得税",'辅助-汇总损益长表'!$B$2:$B$242,CD$2)</f>
        <v>0</v>
      </c>
      <c r="CE58" s="100">
        <f>SUMIFS('辅助-汇总损益长表'!$H$2:$H$242,'辅助-汇总损益长表'!$A$2:$A$242,"所得税",'辅助-汇总损益长表'!$B$2:$B$242,CE$2)</f>
        <v>0</v>
      </c>
      <c r="CF58" s="100">
        <f>SUMIFS('辅助-汇总损益长表'!$H$2:$H$242,'辅助-汇总损益长表'!$A$2:$A$242,"所得税",'辅助-汇总损益长表'!$B$2:$B$242,CF$2)</f>
        <v>0</v>
      </c>
      <c r="CG58" s="100">
        <f>SUMIFS('辅助-汇总损益长表'!$H$2:$H$242,'辅助-汇总损益长表'!$A$2:$A$242,"所得税",'辅助-汇总损益长表'!$B$2:$B$242,CG$2)</f>
        <v>0</v>
      </c>
      <c r="CH58" s="100">
        <f>SUMIFS('辅助-汇总损益长表'!$H$2:$H$242,'辅助-汇总损益长表'!$A$2:$A$242,"所得税",'辅助-汇总损益长表'!$B$2:$B$242,CH$2)</f>
        <v>0</v>
      </c>
      <c r="CI58" s="100">
        <f>SUMIFS('辅助-汇总损益长表'!$H$2:$H$242,'辅助-汇总损益长表'!$A$2:$A$242,"所得税",'辅助-汇总损益长表'!$B$2:$B$242,CI$2)</f>
        <v>0</v>
      </c>
      <c r="CJ58" s="100">
        <f>SUMIFS('辅助-汇总损益长表'!$H$2:$H$242,'辅助-汇总损益长表'!$A$2:$A$242,"所得税",'辅助-汇总损益长表'!$B$2:$B$242,CJ$2)</f>
        <v>0</v>
      </c>
      <c r="CK58" s="100">
        <f>SUMIFS('辅助-汇总损益长表'!$H$2:$H$242,'辅助-汇总损益长表'!$A$2:$A$242,"所得税",'辅助-汇总损益长表'!$B$2:$B$242,CK$2)</f>
        <v>0</v>
      </c>
      <c r="CL58" s="100">
        <f>SUMIFS('辅助-汇总损益长表'!$H$2:$H$242,'辅助-汇总损益长表'!$A$2:$A$242,"所得税",'辅助-汇总损益长表'!$B$2:$B$242,CL$2)</f>
        <v>0</v>
      </c>
      <c r="CM58" s="100">
        <f>SUMIFS('辅助-汇总损益长表'!$H$2:$H$242,'辅助-汇总损益长表'!$A$2:$A$242,"所得税",'辅助-汇总损益长表'!$B$2:$B$242,CM$2)</f>
        <v>0</v>
      </c>
      <c r="CN58" s="100">
        <f>SUMIFS('辅助-汇总损益长表'!$H$2:$H$242,'辅助-汇总损益长表'!$A$2:$A$242,"所得税",'辅助-汇总损益长表'!$B$2:$B$242,CN$2)</f>
        <v>0</v>
      </c>
      <c r="CO58" s="78">
        <f>SUMIFS('辅助-汇总损益长表'!$H$2:$H$242,'辅助-汇总损益长表'!$A$2:$A$242,"所得税",'辅助-汇总损益长表'!$B$2:$B$242,CO$2)</f>
        <v>0</v>
      </c>
      <c r="CP58" s="78">
        <f>SUMIFS('辅助-汇总损益长表'!$H$2:$H$242,'辅助-汇总损益长表'!$A$2:$A$242,"所得税",'辅助-汇总损益长表'!$B$2:$B$242,CP$2)</f>
        <v>0</v>
      </c>
      <c r="CQ58" s="97"/>
      <c r="CR58" s="100">
        <f>SUMIFS('辅助-汇总损益长表'!$I$2:$I$242,'辅助-汇总损益长表'!$A$2:$A$242,"所得税",'辅助-汇总损益长表'!$B$2:$B$242,CR$2)</f>
        <v>0</v>
      </c>
      <c r="CS58" s="100">
        <f>SUMIFS('辅助-汇总损益长表'!$I$2:$I$242,'辅助-汇总损益长表'!$A$2:$A$242,"所得税",'辅助-汇总损益长表'!$B$2:$B$242,CS$2)</f>
        <v>0</v>
      </c>
      <c r="CT58" s="100">
        <f>SUMIFS('辅助-汇总损益长表'!$I$2:$I$242,'辅助-汇总损益长表'!$A$2:$A$242,"所得税",'辅助-汇总损益长表'!$B$2:$B$242,CT$2)</f>
        <v>0</v>
      </c>
      <c r="CU58" s="100">
        <f>SUMIFS('辅助-汇总损益长表'!$I$2:$I$242,'辅助-汇总损益长表'!$A$2:$A$242,"所得税",'辅助-汇总损益长表'!$B$2:$B$242,CU$2)</f>
        <v>0</v>
      </c>
      <c r="CV58" s="100">
        <f>SUMIFS('辅助-汇总损益长表'!$I$2:$I$242,'辅助-汇总损益长表'!$A$2:$A$242,"所得税",'辅助-汇总损益长表'!$B$2:$B$242,CV$2)</f>
        <v>0</v>
      </c>
      <c r="CW58" s="100">
        <f>SUMIFS('辅助-汇总损益长表'!$I$2:$I$242,'辅助-汇总损益长表'!$A$2:$A$242,"所得税",'辅助-汇总损益长表'!$B$2:$B$242,CW$2)</f>
        <v>0</v>
      </c>
      <c r="CX58" s="100">
        <f>SUMIFS('辅助-汇总损益长表'!$I$2:$I$242,'辅助-汇总损益长表'!$A$2:$A$242,"所得税",'辅助-汇总损益长表'!$B$2:$B$242,CX$2)</f>
        <v>0</v>
      </c>
      <c r="CY58" s="100">
        <f>SUMIFS('辅助-汇总损益长表'!$I$2:$I$242,'辅助-汇总损益长表'!$A$2:$A$242,"所得税",'辅助-汇总损益长表'!$B$2:$B$242,CY$2)</f>
        <v>0</v>
      </c>
      <c r="CZ58" s="100">
        <f>SUMIFS('辅助-汇总损益长表'!$I$2:$I$242,'辅助-汇总损益长表'!$A$2:$A$242,"所得税",'辅助-汇总损益长表'!$B$2:$B$242,CZ$2)</f>
        <v>0</v>
      </c>
      <c r="DA58" s="100">
        <f>SUMIFS('辅助-汇总损益长表'!$I$2:$I$242,'辅助-汇总损益长表'!$A$2:$A$242,"所得税",'辅助-汇总损益长表'!$B$2:$B$242,DA$2)</f>
        <v>0</v>
      </c>
      <c r="DB58" s="100">
        <f>SUMIFS('辅助-汇总损益长表'!$I$2:$I$242,'辅助-汇总损益长表'!$A$2:$A$242,"所得税",'辅助-汇总损益长表'!$B$2:$B$242,DB$2)</f>
        <v>0</v>
      </c>
      <c r="DC58" s="100">
        <f>SUMIFS('辅助-汇总损益长表'!$I$2:$I$242,'辅助-汇总损益长表'!$A$2:$A$242,"所得税",'辅助-汇总损益长表'!$B$2:$B$242,DC$2)</f>
        <v>0</v>
      </c>
      <c r="DD58" s="78">
        <f>SUMIFS('辅助-汇总损益长表'!$I$2:$I$242,'辅助-汇总损益长表'!$A$2:$A$242,"所得税",'辅助-汇总损益长表'!$B$2:$B$242,DD$2)</f>
        <v>0</v>
      </c>
      <c r="DE58" s="78">
        <f>SUMIFS('辅助-汇总损益长表'!$I$2:$I$242,'辅助-汇总损益长表'!$A$2:$A$242,"所得税",'辅助-汇总损益长表'!$B$2:$B$242,DE$2)</f>
        <v>0</v>
      </c>
      <c r="DF58" s="97"/>
      <c r="DG58" s="100">
        <f>SUMIFS('辅助-汇总损益长表'!$J$2:$J$242,'辅助-汇总损益长表'!$A$2:$A$242,"所得税",'辅助-汇总损益长表'!$B$2:$B$242,DG$2)</f>
        <v>0</v>
      </c>
      <c r="DH58" s="100">
        <f>SUMIFS('辅助-汇总损益长表'!$J$2:$J$242,'辅助-汇总损益长表'!$A$2:$A$242,"所得税",'辅助-汇总损益长表'!$B$2:$B$242,DH$2)</f>
        <v>0</v>
      </c>
      <c r="DI58" s="100">
        <f>SUMIFS('辅助-汇总损益长表'!$J$2:$J$242,'辅助-汇总损益长表'!$A$2:$A$242,"所得税",'辅助-汇总损益长表'!$B$2:$B$242,DI$2)</f>
        <v>0</v>
      </c>
      <c r="DJ58" s="100">
        <f>SUMIFS('辅助-汇总损益长表'!$J$2:$J$242,'辅助-汇总损益长表'!$A$2:$A$242,"所得税",'辅助-汇总损益长表'!$B$2:$B$242,DJ$2)</f>
        <v>0</v>
      </c>
      <c r="DK58" s="100">
        <f>SUMIFS('辅助-汇总损益长表'!$J$2:$J$242,'辅助-汇总损益长表'!$A$2:$A$242,"所得税",'辅助-汇总损益长表'!$B$2:$B$242,DK$2)</f>
        <v>0</v>
      </c>
      <c r="DL58" s="100">
        <f>SUMIFS('辅助-汇总损益长表'!$J$2:$J$242,'辅助-汇总损益长表'!$A$2:$A$242,"所得税",'辅助-汇总损益长表'!$B$2:$B$242,DL$2)</f>
        <v>0</v>
      </c>
      <c r="DM58" s="100">
        <f>SUMIFS('辅助-汇总损益长表'!$J$2:$J$242,'辅助-汇总损益长表'!$A$2:$A$242,"所得税",'辅助-汇总损益长表'!$B$2:$B$242,DM$2)</f>
        <v>0</v>
      </c>
      <c r="DN58" s="100">
        <f>SUMIFS('辅助-汇总损益长表'!$J$2:$J$242,'辅助-汇总损益长表'!$A$2:$A$242,"所得税",'辅助-汇总损益长表'!$B$2:$B$242,DN$2)</f>
        <v>0</v>
      </c>
      <c r="DO58" s="100">
        <f>SUMIFS('辅助-汇总损益长表'!$J$2:$J$242,'辅助-汇总损益长表'!$A$2:$A$242,"所得税",'辅助-汇总损益长表'!$B$2:$B$242,DO$2)</f>
        <v>0</v>
      </c>
      <c r="DP58" s="100">
        <f>SUMIFS('辅助-汇总损益长表'!$J$2:$J$242,'辅助-汇总损益长表'!$A$2:$A$242,"所得税",'辅助-汇总损益长表'!$B$2:$B$242,DP$2)</f>
        <v>0</v>
      </c>
      <c r="DQ58" s="100">
        <f>SUMIFS('辅助-汇总损益长表'!$J$2:$J$242,'辅助-汇总损益长表'!$A$2:$A$242,"所得税",'辅助-汇总损益长表'!$B$2:$B$242,DQ$2)</f>
        <v>0</v>
      </c>
      <c r="DR58" s="100">
        <f>SUMIFS('辅助-汇总损益长表'!$J$2:$J$242,'辅助-汇总损益长表'!$A$2:$A$242,"所得税",'辅助-汇总损益长表'!$B$2:$B$242,DR$2)</f>
        <v>0</v>
      </c>
      <c r="DS58" s="78">
        <f>SUMIFS('辅助-汇总损益长表'!$J$2:$J$242,'辅助-汇总损益长表'!$A$2:$A$242,"所得税",'辅助-汇总损益长表'!$B$2:$B$242,DS$2)</f>
        <v>0</v>
      </c>
      <c r="DT58" s="78">
        <f>SUMIFS('辅助-汇总损益长表'!$J$2:$J$242,'辅助-汇总损益长表'!$A$2:$A$242,"所得税",'辅助-汇总损益长表'!$B$2:$B$242,DT$2)</f>
        <v>0</v>
      </c>
      <c r="DU58" s="97"/>
      <c r="DV58" s="100">
        <f>SUMIFS('辅助-汇总损益长表'!$K$2:$K$242,'辅助-汇总损益长表'!$A$2:$A$242,"所得税",'辅助-汇总损益长表'!$B$2:$B$242,DV$2)</f>
        <v>0</v>
      </c>
      <c r="DW58" s="100">
        <f>SUMIFS('辅助-汇总损益长表'!$K$2:$K$242,'辅助-汇总损益长表'!$A$2:$A$242,"所得税",'辅助-汇总损益长表'!$B$2:$B$242,DW$2)</f>
        <v>0</v>
      </c>
      <c r="DX58" s="100">
        <f>SUMIFS('辅助-汇总损益长表'!$K$2:$K$242,'辅助-汇总损益长表'!$A$2:$A$242,"所得税",'辅助-汇总损益长表'!$B$2:$B$242,DX$2)</f>
        <v>0</v>
      </c>
      <c r="DY58" s="100">
        <f>SUMIFS('辅助-汇总损益长表'!$K$2:$K$242,'辅助-汇总损益长表'!$A$2:$A$242,"所得税",'辅助-汇总损益长表'!$B$2:$B$242,DY$2)</f>
        <v>0</v>
      </c>
      <c r="DZ58" s="100">
        <f>SUMIFS('辅助-汇总损益长表'!$K$2:$K$242,'辅助-汇总损益长表'!$A$2:$A$242,"所得税",'辅助-汇总损益长表'!$B$2:$B$242,DZ$2)</f>
        <v>0</v>
      </c>
      <c r="EA58" s="100">
        <f>SUMIFS('辅助-汇总损益长表'!$K$2:$K$242,'辅助-汇总损益长表'!$A$2:$A$242,"所得税",'辅助-汇总损益长表'!$B$2:$B$242,EA$2)</f>
        <v>0</v>
      </c>
      <c r="EB58" s="100">
        <f>SUMIFS('辅助-汇总损益长表'!$K$2:$K$242,'辅助-汇总损益长表'!$A$2:$A$242,"所得税",'辅助-汇总损益长表'!$B$2:$B$242,EB$2)</f>
        <v>0</v>
      </c>
      <c r="EC58" s="100">
        <f>SUMIFS('辅助-汇总损益长表'!$K$2:$K$242,'辅助-汇总损益长表'!$A$2:$A$242,"所得税",'辅助-汇总损益长表'!$B$2:$B$242,EC$2)</f>
        <v>0</v>
      </c>
      <c r="ED58" s="100">
        <f>SUMIFS('辅助-汇总损益长表'!$K$2:$K$242,'辅助-汇总损益长表'!$A$2:$A$242,"所得税",'辅助-汇总损益长表'!$B$2:$B$242,ED$2)</f>
        <v>0</v>
      </c>
      <c r="EE58" s="100">
        <f>SUMIFS('辅助-汇总损益长表'!$K$2:$K$242,'辅助-汇总损益长表'!$A$2:$A$242,"所得税",'辅助-汇总损益长表'!$B$2:$B$242,EE$2)</f>
        <v>0</v>
      </c>
      <c r="EF58" s="100">
        <f>SUMIFS('辅助-汇总损益长表'!$K$2:$K$242,'辅助-汇总损益长表'!$A$2:$A$242,"所得税",'辅助-汇总损益长表'!$B$2:$B$242,EF$2)</f>
        <v>0</v>
      </c>
      <c r="EG58" s="100">
        <f>SUMIFS('辅助-汇总损益长表'!$K$2:$K$242,'辅助-汇总损益长表'!$A$2:$A$242,"所得税",'辅助-汇总损益长表'!$B$2:$B$242,EG$2)</f>
        <v>0</v>
      </c>
      <c r="EH58" s="78">
        <f>SUMIFS('辅助-汇总损益长表'!$K$2:$K$242,'辅助-汇总损益长表'!$A$2:$A$242,"所得税",'辅助-汇总损益长表'!$B$2:$B$242,EH$2)</f>
        <v>0</v>
      </c>
      <c r="EI58" s="78">
        <f>SUMIFS('辅助-汇总损益长表'!$K$2:$K$242,'辅助-汇总损益长表'!$A$2:$A$242,"所得税",'辅助-汇总损益长表'!$B$2:$B$242,EI$2)</f>
        <v>0</v>
      </c>
      <c r="EJ58" s="42"/>
      <c r="EK58" s="100">
        <f>SUMIFS('辅助-汇总损益长表'!$L$2:$L$242,'辅助-汇总损益长表'!$A$2:$A$242,"所得税",'辅助-汇总损益长表'!$B$2:$B$242,EK$2)</f>
        <v>0</v>
      </c>
      <c r="EL58" s="100">
        <f>SUMIFS('辅助-汇总损益长表'!$L$2:$L$242,'辅助-汇总损益长表'!$A$2:$A$242,"所得税",'辅助-汇总损益长表'!$B$2:$B$242,EL$2)</f>
        <v>0</v>
      </c>
      <c r="EM58" s="100">
        <f>SUMIFS('辅助-汇总损益长表'!$L$2:$L$242,'辅助-汇总损益长表'!$A$2:$A$242,"所得税",'辅助-汇总损益长表'!$B$2:$B$242,EM$2)</f>
        <v>0</v>
      </c>
      <c r="EN58" s="100">
        <f>SUMIFS('辅助-汇总损益长表'!$L$2:$L$242,'辅助-汇总损益长表'!$A$2:$A$242,"所得税",'辅助-汇总损益长表'!$B$2:$B$242,EN$2)</f>
        <v>0</v>
      </c>
      <c r="EO58" s="100">
        <f>SUMIFS('辅助-汇总损益长表'!$L$2:$L$242,'辅助-汇总损益长表'!$A$2:$A$242,"所得税",'辅助-汇总损益长表'!$B$2:$B$242,EO$2)</f>
        <v>0</v>
      </c>
      <c r="EP58" s="100">
        <f>SUMIFS('辅助-汇总损益长表'!$L$2:$L$242,'辅助-汇总损益长表'!$A$2:$A$242,"所得税",'辅助-汇总损益长表'!$B$2:$B$242,EP$2)</f>
        <v>0</v>
      </c>
      <c r="EQ58" s="100">
        <f>SUMIFS('辅助-汇总损益长表'!$L$2:$L$242,'辅助-汇总损益长表'!$A$2:$A$242,"所得税",'辅助-汇总损益长表'!$B$2:$B$242,EQ$2)</f>
        <v>0</v>
      </c>
      <c r="ER58" s="100">
        <f>SUMIFS('辅助-汇总损益长表'!$L$2:$L$242,'辅助-汇总损益长表'!$A$2:$A$242,"所得税",'辅助-汇总损益长表'!$B$2:$B$242,ER$2)</f>
        <v>0</v>
      </c>
      <c r="ES58" s="100">
        <f>SUMIFS('辅助-汇总损益长表'!$L$2:$L$242,'辅助-汇总损益长表'!$A$2:$A$242,"所得税",'辅助-汇总损益长表'!$B$2:$B$242,ES$2)</f>
        <v>0</v>
      </c>
      <c r="ET58" s="100">
        <f>SUMIFS('辅助-汇总损益长表'!$L$2:$L$242,'辅助-汇总损益长表'!$A$2:$A$242,"所得税",'辅助-汇总损益长表'!$B$2:$B$242,ET$2)</f>
        <v>0</v>
      </c>
      <c r="EU58" s="100">
        <f>SUMIFS('辅助-汇总损益长表'!$L$2:$L$242,'辅助-汇总损益长表'!$A$2:$A$242,"所得税",'辅助-汇总损益长表'!$B$2:$B$242,EU$2)</f>
        <v>0</v>
      </c>
      <c r="EV58" s="100">
        <f>SUMIFS('辅助-汇总损益长表'!$L$2:$L$242,'辅助-汇总损益长表'!$A$2:$A$242,"所得税",'辅助-汇总损益长表'!$B$2:$B$242,EV$2)</f>
        <v>0</v>
      </c>
      <c r="EW58" s="78">
        <f>SUMIFS('辅助-汇总损益长表'!$L$2:$L$242,'辅助-汇总损益长表'!$A$2:$A$242,"所得税",'辅助-汇总损益长表'!$B$2:$B$242,EW$2)</f>
        <v>0</v>
      </c>
      <c r="EX58" s="78">
        <f>SUMIFS('辅助-汇总损益长表'!$L$2:$L$242,'辅助-汇总损益长表'!$A$2:$A$242,"所得税",'辅助-汇总损益长表'!$B$2:$B$242,EX$2)</f>
        <v>0</v>
      </c>
      <c r="EY58" s="11"/>
    </row>
    <row r="59" spans="1:155" ht="16" customHeight="1">
      <c r="A59" s="93"/>
      <c r="B59" s="94" t="s">
        <v>98</v>
      </c>
      <c r="C59" s="93"/>
      <c r="D59" s="93"/>
      <c r="E59" s="93"/>
      <c r="F59" s="95">
        <f>SUMIFS('辅助-汇总损益长表'!$C$2:$C$242,'辅助-汇总损益长表'!$A$2:$A$242,"净利润",'辅助-汇总损益长表'!$B$2:$B$242,F$2)</f>
        <v>140.21259199721229</v>
      </c>
      <c r="G59" s="95">
        <f>SUMIFS('辅助-汇总损益长表'!$C$2:$C$242,'辅助-汇总损益长表'!$A$2:$A$242,"净利润",'辅助-汇总损益长表'!$B$2:$B$242,G$2)</f>
        <v>104.13649837961481</v>
      </c>
      <c r="H59" s="95">
        <f>SUMIFS('辅助-汇总损益长表'!$C$2:$C$242,'辅助-汇总损益长表'!$A$2:$A$242,"净利润",'辅助-汇总损益长表'!$B$2:$B$242,H$2)</f>
        <v>-28.607111096962381</v>
      </c>
      <c r="I59" s="95">
        <f>SUMIFS('辅助-汇总损益长表'!$C$2:$C$242,'辅助-汇总损益长表'!$A$2:$A$242,"净利润",'辅助-汇总损益长表'!$B$2:$B$242,I$2)</f>
        <v>193.5453490697023</v>
      </c>
      <c r="J59" s="95">
        <f>SUMIFS('辅助-汇总损益长表'!$C$2:$C$242,'辅助-汇总损益长表'!$A$2:$A$242,"净利润",'辅助-汇总损益长表'!$B$2:$B$242,J$2)</f>
        <v>210.71277591511677</v>
      </c>
      <c r="K59" s="95">
        <f>SUMIFS('辅助-汇总损益长表'!$C$2:$C$242,'辅助-汇总损益长表'!$A$2:$A$242,"净利润",'辅助-汇总损益长表'!$B$2:$B$242,K$2)</f>
        <v>159.47220392282046</v>
      </c>
      <c r="L59" s="95">
        <f>SUMIFS('辅助-汇总损益长表'!$C$2:$C$242,'辅助-汇总损益长表'!$A$2:$A$242,"净利润",'辅助-汇总损益长表'!$B$2:$B$242,L$2)</f>
        <v>69.71146553072991</v>
      </c>
      <c r="M59" s="95">
        <f>SUMIFS('辅助-汇总损益长表'!$C$2:$C$242,'辅助-汇总损益长表'!$A$2:$A$242,"净利润",'辅助-汇总损益长表'!$B$2:$B$242,M$2)</f>
        <v>74.569091704950239</v>
      </c>
      <c r="N59" s="95">
        <f>SUMIFS('辅助-汇总损益长表'!$C$2:$C$242,'辅助-汇总损益长表'!$A$2:$A$242,"净利润",'辅助-汇总损益长表'!$B$2:$B$242,N$2)</f>
        <v>105.66748017256006</v>
      </c>
      <c r="O59" s="95">
        <f>SUMIFS('辅助-汇总损益长表'!$C$2:$C$242,'辅助-汇总损益长表'!$A$2:$A$242,"净利润",'辅助-汇总损益长表'!$B$2:$B$242,O$2)</f>
        <v>116.72784393920122</v>
      </c>
      <c r="P59" s="95">
        <f>SUMIFS('辅助-汇总损益长表'!$C$2:$C$242,'辅助-汇总损益长表'!$A$2:$A$242,"净利润",'辅助-汇总损益长表'!$B$2:$B$242,P$2)</f>
        <v>148.78910114769232</v>
      </c>
      <c r="Q59" s="95">
        <f>SUMIFS('辅助-汇总损益长表'!$C$2:$C$242,'辅助-汇总损益长表'!$A$2:$A$242,"净利润",'辅助-汇总损益长表'!$B$2:$B$242,Q$2)</f>
        <v>183.27952344070323</v>
      </c>
      <c r="R59" s="96">
        <f>SUMIFS('辅助-汇总损益长表'!$C$2:$C$242,'辅助-汇总损益长表'!$A$2:$A$242,"净利润",'辅助-汇总损益长表'!$B$2:$B$242,R$2)</f>
        <v>1485.3685918975812</v>
      </c>
      <c r="S59" s="96">
        <f>SUMIFS('辅助-汇总损益长表'!$C$2:$C$242,'辅助-汇总损益长表'!$A$2:$A$242,"净利润",'辅助-汇总损益长表'!$B$2:$B$242,S$2)</f>
        <v>698.74450593583765</v>
      </c>
      <c r="T59" s="97"/>
      <c r="U59" s="95">
        <f>SUMIFS('辅助-汇总损益长表'!$D$2:$D$242,'辅助-汇总损益长表'!$A$2:$A$242,"净利润",'辅助-汇总损益长表'!$B$2:$B$242,U$2)</f>
        <v>47.182555712724032</v>
      </c>
      <c r="V59" s="95">
        <f>SUMIFS('辅助-汇总损益长表'!$D$2:$D$242,'辅助-汇总损益长表'!$A$2:$A$242,"净利润",'辅助-汇总损益长表'!$B$2:$B$242,V$2)</f>
        <v>11.315596172820541</v>
      </c>
      <c r="W59" s="95">
        <f>SUMIFS('辅助-汇总损益长表'!$D$2:$D$242,'辅助-汇总损益长表'!$A$2:$A$242,"净利润",'辅助-汇总损益长表'!$B$2:$B$242,W$2)</f>
        <v>45.011699271941325</v>
      </c>
      <c r="X59" s="95">
        <f>SUMIFS('辅助-汇总损益长表'!$D$2:$D$242,'辅助-汇总损益长表'!$A$2:$A$242,"净利润",'辅助-汇总损益长表'!$B$2:$B$242,X$2)</f>
        <v>22.470184291139837</v>
      </c>
      <c r="Y59" s="95">
        <f>SUMIFS('辅助-汇总损益长表'!$D$2:$D$242,'辅助-汇总损益长表'!$A$2:$A$242,"净利润",'辅助-汇总损益长表'!$B$2:$B$242,Y$2)</f>
        <v>39.003657335112379</v>
      </c>
      <c r="Z59" s="95">
        <f>SUMIFS('辅助-汇总损益长表'!$D$2:$D$242,'辅助-汇总损益长表'!$A$2:$A$242,"净利润",'辅助-汇总损益长表'!$B$2:$B$242,Z$2)</f>
        <v>44.131830181838168</v>
      </c>
      <c r="AA59" s="95">
        <f>SUMIFS('辅助-汇总损益长表'!$D$2:$D$242,'辅助-汇总损益长表'!$A$2:$A$242,"净利润",'辅助-汇总损益长表'!$B$2:$B$242,AA$2)</f>
        <v>23.867390970965513</v>
      </c>
      <c r="AB59" s="95">
        <f>SUMIFS('辅助-汇总损益长表'!$D$2:$D$242,'辅助-汇总损益长表'!$A$2:$A$242,"净利润",'辅助-汇总损益长表'!$B$2:$B$242,AB$2)</f>
        <v>36.418815467822611</v>
      </c>
      <c r="AC59" s="95">
        <f>SUMIFS('辅助-汇总损益长表'!$D$2:$D$242,'辅助-汇总损益长表'!$A$2:$A$242,"净利润",'辅助-汇总损益长表'!$B$2:$B$242,AC$2)</f>
        <v>52.574172382179164</v>
      </c>
      <c r="AD59" s="95">
        <f>SUMIFS('辅助-汇总损益长表'!$D$2:$D$242,'辅助-汇总损益长表'!$A$2:$A$242,"净利润",'辅助-汇总损益长表'!$B$2:$B$242,AD$2)</f>
        <v>58.86724745928322</v>
      </c>
      <c r="AE59" s="95">
        <f>SUMIFS('辅助-汇总损益长表'!$D$2:$D$242,'辅助-汇总损益长表'!$A$2:$A$242,"净利润",'辅助-汇总损益长表'!$B$2:$B$242,AE$2)</f>
        <v>76.807207753714067</v>
      </c>
      <c r="AF59" s="95">
        <f>SUMIFS('辅助-汇总损益长表'!$D$2:$D$242,'辅助-汇总损益长表'!$A$2:$A$242,"净利润",'辅助-汇总损益长表'!$B$2:$B$242,AF$2)</f>
        <v>61.77896876361492</v>
      </c>
      <c r="AG59" s="96">
        <f>SUMIFS('辅助-汇总损益长表'!$D$2:$D$242,'辅助-汇总损益长表'!$A$2:$A$242,"净利润",'辅助-汇总损益长表'!$B$2:$B$242,AG$2)</f>
        <v>519.4293257631557</v>
      </c>
      <c r="AH59" s="96">
        <f>SUMIFS('辅助-汇总损益长表'!$D$2:$D$242,'辅助-汇总损益长表'!$A$2:$A$242,"净利润",'辅助-汇总损益长表'!$B$2:$B$242,AH$2)</f>
        <v>310.31380279757951</v>
      </c>
      <c r="AI59" s="97"/>
      <c r="AJ59" s="95">
        <f>SUMIFS('辅助-汇总损益长表'!$E$2:$E$242,'辅助-汇总损益长表'!$A$2:$A$242,"净利润",'辅助-汇总损益长表'!$B$2:$B$242,AJ$2)</f>
        <v>-6.8239295936135651</v>
      </c>
      <c r="AK59" s="95">
        <f>SUMIFS('辅助-汇总损益长表'!$E$2:$E$242,'辅助-汇总损益长表'!$A$2:$A$242,"净利润",'辅助-汇总损益长表'!$B$2:$B$242,AK$2)</f>
        <v>-2.5553454642398252</v>
      </c>
      <c r="AL59" s="95">
        <f>SUMIFS('辅助-汇总损益长表'!$E$2:$E$242,'辅助-汇总损益长表'!$A$2:$A$242,"净利润",'辅助-汇总损益长表'!$B$2:$B$242,AL$2)</f>
        <v>-3.4878840287888591</v>
      </c>
      <c r="AM59" s="95">
        <f>SUMIFS('辅助-汇总损益长表'!$E$2:$E$242,'辅助-汇总损益长表'!$A$2:$A$242,"净利润",'辅助-汇总损益长表'!$B$2:$B$242,AM$2)</f>
        <v>-5.3656707887071846</v>
      </c>
      <c r="AN59" s="95">
        <f>SUMIFS('辅助-汇总损益长表'!$E$2:$E$242,'辅助-汇总损益长表'!$A$2:$A$242,"净利润",'辅助-汇总损益长表'!$B$2:$B$242,AN$2)</f>
        <v>-25.803011939201077</v>
      </c>
      <c r="AO59" s="95">
        <f>SUMIFS('辅助-汇总损益长表'!$E$2:$E$242,'辅助-汇总损益长表'!$A$2:$A$242,"净利润",'辅助-汇总损益长表'!$B$2:$B$242,AO$2)</f>
        <v>-15.222946528044218</v>
      </c>
      <c r="AP59" s="95">
        <f>SUMIFS('辅助-汇总损益长表'!$E$2:$E$242,'辅助-汇总损益长表'!$A$2:$A$242,"净利润",'辅助-汇总损益长表'!$B$2:$B$242,AP$2)</f>
        <v>-14.867650421193783</v>
      </c>
      <c r="AQ59" s="95">
        <f>SUMIFS('辅助-汇总损益长表'!$E$2:$E$242,'辅助-汇总损益长表'!$A$2:$A$242,"净利润",'辅助-汇总损益长表'!$B$2:$B$242,AQ$2)</f>
        <v>-16.021491695212909</v>
      </c>
      <c r="AR59" s="95">
        <f>SUMIFS('辅助-汇总损益长表'!$E$2:$E$242,'辅助-汇总损益长表'!$A$2:$A$242,"净利润",'辅助-汇总损益长表'!$B$2:$B$242,AR$2)</f>
        <v>-17.300438999850972</v>
      </c>
      <c r="AS59" s="95">
        <f>SUMIFS('辅助-汇总损益长表'!$E$2:$E$242,'辅助-汇总损益长表'!$A$2:$A$242,"净利润",'辅助-汇总损益长表'!$B$2:$B$242,AS$2)</f>
        <v>-18.058618648359214</v>
      </c>
      <c r="AT59" s="95">
        <f>SUMIFS('辅助-汇总损益长表'!$E$2:$E$242,'辅助-汇总损益长表'!$A$2:$A$242,"净利润",'辅助-汇总损益长表'!$B$2:$B$242,AT$2)</f>
        <v>-20.219996452315545</v>
      </c>
      <c r="AU59" s="95">
        <f>SUMIFS('辅助-汇总损益长表'!$E$2:$E$242,'辅助-汇总损益长表'!$A$2:$A$242,"净利润",'辅助-汇总损益长表'!$B$2:$B$242,AU$2)</f>
        <v>-18.409418187221231</v>
      </c>
      <c r="AV59" s="96">
        <f>SUMIFS('辅助-汇总损益长表'!$E$2:$E$242,'辅助-汇总损益长表'!$A$2:$A$242,"净利润",'辅助-汇总损益长表'!$B$2:$B$242,AV$2)</f>
        <v>-164.13640274674839</v>
      </c>
      <c r="AW59" s="96">
        <f>SUMIFS('辅助-汇总损益长表'!$E$2:$E$242,'辅助-汇总损益长表'!$A$2:$A$242,"净利润",'辅助-汇总损益长表'!$B$2:$B$242,AW$2)</f>
        <v>-104.87761440415366</v>
      </c>
      <c r="AX59" s="97"/>
      <c r="AY59" s="95">
        <f>SUMIFS('辅助-汇总损益长表'!$F$2:$F$242,'辅助-汇总损益长表'!$A$2:$A$242,"净利润",'辅助-汇总损益长表'!$B$2:$B$242,AY$2)</f>
        <v>8.9345600405621415</v>
      </c>
      <c r="AZ59" s="95">
        <f>SUMIFS('辅助-汇总损益长表'!$F$2:$F$242,'辅助-汇总损益长表'!$A$2:$A$242,"净利润",'辅助-汇总损益长表'!$B$2:$B$242,AZ$2)</f>
        <v>3.0905371706219205</v>
      </c>
      <c r="BA59" s="95">
        <f>SUMIFS('辅助-汇总损益长表'!$F$2:$F$242,'辅助-汇总损益长表'!$A$2:$A$242,"净利润",'辅助-汇总损益长表'!$B$2:$B$242,BA$2)</f>
        <v>9.777158219758844</v>
      </c>
      <c r="BB59" s="95">
        <f>SUMIFS('辅助-汇总损益长表'!$F$2:$F$242,'辅助-汇总损益长表'!$A$2:$A$242,"净利润",'辅助-汇总损益长表'!$B$2:$B$242,BB$2)</f>
        <v>6.9496352649760791</v>
      </c>
      <c r="BC59" s="95">
        <f>SUMIFS('辅助-汇总损益长表'!$F$2:$F$242,'辅助-汇总损益长表'!$A$2:$A$242,"净利润",'辅助-汇总损益长表'!$B$2:$B$242,BC$2)</f>
        <v>9.1483669981190587</v>
      </c>
      <c r="BD59" s="95">
        <f>SUMIFS('辅助-汇总损益长表'!$F$2:$F$242,'辅助-汇总损益长表'!$A$2:$A$242,"净利润",'辅助-汇总损益长表'!$B$2:$B$242,BD$2)</f>
        <v>5.5417208164197831</v>
      </c>
      <c r="BE59" s="95">
        <f>SUMIFS('辅助-汇总损益长表'!$F$2:$F$242,'辅助-汇总损益长表'!$A$2:$A$242,"净利润",'辅助-汇总损益长表'!$B$2:$B$242,BE$2)</f>
        <v>5.9504487339249277</v>
      </c>
      <c r="BF59" s="95">
        <f>SUMIFS('辅助-汇总损益长表'!$F$2:$F$242,'辅助-汇总损益长表'!$A$2:$A$242,"净利润",'辅助-汇总损益长表'!$B$2:$B$242,BF$2)</f>
        <v>8.4143388602277653</v>
      </c>
      <c r="BG59" s="95">
        <f>SUMIFS('辅助-汇总损益长表'!$F$2:$F$242,'辅助-汇总损益长表'!$A$2:$A$242,"净利润",'辅助-汇总损益长表'!$B$2:$B$242,BG$2)</f>
        <v>10.99841874878927</v>
      </c>
      <c r="BH59" s="95">
        <f>SUMIFS('辅助-汇总损益长表'!$F$2:$F$242,'辅助-汇总损益长表'!$A$2:$A$242,"净利润",'辅助-汇总损益长表'!$B$2:$B$242,BH$2)</f>
        <v>12.005008007705676</v>
      </c>
      <c r="BI59" s="95">
        <f>SUMIFS('辅助-汇总损益长表'!$F$2:$F$242,'辅助-汇总损益长表'!$A$2:$A$242,"净利润",'辅助-汇总损益长表'!$B$2:$B$242,BI$2)</f>
        <v>14.874538581631533</v>
      </c>
      <c r="BJ59" s="95">
        <f>SUMIFS('辅助-汇总损益长表'!$F$2:$F$242,'辅助-汇总损益长表'!$A$2:$A$242,"净利润",'辅助-汇总损益长表'!$B$2:$B$242,BJ$2)</f>
        <v>12.470743336458037</v>
      </c>
      <c r="BK59" s="96">
        <f>SUMIFS('辅助-汇总损益长表'!$F$2:$F$242,'辅助-汇总损益长表'!$A$2:$A$242,"净利润",'辅助-汇总损益长表'!$B$2:$B$242,BK$2)</f>
        <v>108.15547477919503</v>
      </c>
      <c r="BL59" s="96">
        <f>SUMIFS('辅助-汇总损益长表'!$F$2:$F$242,'辅助-汇总损益长表'!$A$2:$A$242,"净利润",'辅助-汇总损益长表'!$B$2:$B$242,BL$2)</f>
        <v>64.713496268737217</v>
      </c>
      <c r="BM59" s="97"/>
      <c r="BN59" s="95">
        <f>SUMIFS('辅助-汇总损益长表'!$G$2:$G$242,'辅助-汇总损益长表'!$A$2:$A$242,"净利润",'辅助-汇总损益长表'!$B$2:$B$242,BN$2)</f>
        <v>4.4005758710905125E-2</v>
      </c>
      <c r="BO59" s="95">
        <f>SUMIFS('辅助-汇总损益长表'!$G$2:$G$242,'辅助-汇总损益长表'!$A$2:$A$242,"净利润",'辅助-汇总损益长表'!$B$2:$B$242,BO$2)</f>
        <v>3.1784773635193241E-2</v>
      </c>
      <c r="BP59" s="95">
        <f>SUMIFS('辅助-汇总损益长表'!$G$2:$G$242,'辅助-汇总损益长表'!$A$2:$A$242,"净利润",'辅助-汇总损益长表'!$B$2:$B$242,BP$2)</f>
        <v>9.5446687410960449E-2</v>
      </c>
      <c r="BQ59" s="95">
        <f>SUMIFS('辅助-汇总损益长表'!$G$2:$G$242,'辅助-汇总损益长表'!$A$2:$A$242,"净利润",'辅助-汇总损益长表'!$B$2:$B$242,BQ$2)</f>
        <v>4.9109671647569866E-2</v>
      </c>
      <c r="BR59" s="95">
        <f>SUMIFS('辅助-汇总损益长表'!$G$2:$G$242,'辅助-汇总损益长表'!$A$2:$A$242,"净利润",'辅助-汇总损益长表'!$B$2:$B$242,BR$2)</f>
        <v>1.968161514451814E-2</v>
      </c>
      <c r="BS59" s="95">
        <f>SUMIFS('辅助-汇总损益长表'!$G$2:$G$242,'辅助-汇总损益长表'!$A$2:$A$242,"净利润",'辅助-汇总损益长表'!$B$2:$B$242,BS$2)</f>
        <v>1.4672422347416976</v>
      </c>
      <c r="BT59" s="95">
        <f>SUMIFS('辅助-汇总损益长表'!$G$2:$G$242,'辅助-汇总损益长表'!$A$2:$A$242,"净利润",'辅助-汇总损益长表'!$B$2:$B$242,BT$2)</f>
        <v>0.8686017020586414</v>
      </c>
      <c r="BU59" s="95">
        <f>SUMIFS('辅助-汇总损益长表'!$G$2:$G$242,'辅助-汇总损益长表'!$A$2:$A$242,"净利润",'辅助-汇总损益长表'!$B$2:$B$242,BU$2)</f>
        <v>1.1617100953459196</v>
      </c>
      <c r="BV59" s="95">
        <f>SUMIFS('辅助-汇总损益长表'!$G$2:$G$242,'辅助-汇总损益长表'!$A$2:$A$242,"净利润",'辅助-汇总损益长表'!$B$2:$B$242,BV$2)</f>
        <v>1.4691164590374548</v>
      </c>
      <c r="BW59" s="95">
        <f>SUMIFS('辅助-汇总损益长表'!$G$2:$G$242,'辅助-汇总损益长表'!$A$2:$A$242,"净利润",'辅助-汇总损益长表'!$B$2:$B$242,BW$2)</f>
        <v>1.5888619611731123</v>
      </c>
      <c r="BX59" s="95">
        <f>SUMIFS('辅助-汇总损益长表'!$G$2:$G$242,'辅助-汇总损益长表'!$A$2:$A$242,"净利润",'辅助-汇总损益长表'!$B$2:$B$242,BX$2)</f>
        <v>1.9302260045747583</v>
      </c>
      <c r="BY59" s="95">
        <f>SUMIFS('辅助-汇总损益长表'!$G$2:$G$242,'辅助-汇总损益长表'!$A$2:$A$242,"净利润",'辅助-汇总损益长表'!$B$2:$B$242,BY$2)</f>
        <v>1.644266596489609</v>
      </c>
      <c r="BZ59" s="96">
        <f>SUMIFS('辅助-汇总损益长表'!$G$2:$G$242,'辅助-汇总损益长表'!$A$2:$A$242,"净利润",'辅助-汇总损益长表'!$B$2:$B$242,BZ$2)</f>
        <v>10.370053559970341</v>
      </c>
      <c r="CA59" s="96">
        <f>SUMIFS('辅助-汇总损益长表'!$G$2:$G$242,'辅助-汇总损益长表'!$A$2:$A$242,"净利润",'辅助-汇总损益长表'!$B$2:$B$242,CA$2)</f>
        <v>8.6627828186794957</v>
      </c>
      <c r="CB59" s="97"/>
      <c r="CC59" s="95">
        <f>SUMIFS('辅助-汇总损益长表'!$H$2:$H$242,'辅助-汇总损益长表'!$A$2:$A$242,"净利润",'辅助-汇总损益长表'!$B$2:$B$242,CC$2)</f>
        <v>3.77442509425437</v>
      </c>
      <c r="CD59" s="95">
        <f>SUMIFS('辅助-汇总损益长表'!$H$2:$H$242,'辅助-汇总损益长表'!$A$2:$A$242,"净利润",'辅助-汇总损益长表'!$B$2:$B$242,CD$2)</f>
        <v>1.6751338948458301</v>
      </c>
      <c r="CE59" s="95">
        <f>SUMIFS('辅助-汇总损益长表'!$H$2:$H$242,'辅助-汇总损益长表'!$A$2:$A$242,"净利润",'辅助-汇总损益长表'!$B$2:$B$242,CE$2)</f>
        <v>7.6987208665540763</v>
      </c>
      <c r="CF59" s="95">
        <f>SUMIFS('辅助-汇总损益长表'!$H$2:$H$242,'辅助-汇总损益长表'!$A$2:$A$242,"净利润",'辅助-汇总损益长表'!$B$2:$B$242,CF$2)</f>
        <v>6.4203104349116904</v>
      </c>
      <c r="CG59" s="95">
        <f>SUMIFS('辅助-汇总损益长表'!$H$2:$H$242,'辅助-汇总损益长表'!$A$2:$A$242,"净利润",'辅助-汇总损益长表'!$B$2:$B$242,CG$2)</f>
        <v>5.7892662245683315</v>
      </c>
      <c r="CH59" s="95">
        <f>SUMIFS('辅助-汇总损益长表'!$H$2:$H$242,'辅助-汇总损益长表'!$A$2:$A$242,"净利润",'辅助-汇总损益长表'!$B$2:$B$242,CH$2)</f>
        <v>4.0188637631383024</v>
      </c>
      <c r="CI59" s="95">
        <f>SUMIFS('辅助-汇总损益长表'!$H$2:$H$242,'辅助-汇总损益长表'!$A$2:$A$242,"净利润",'辅助-汇总损益长表'!$B$2:$B$242,CI$2)</f>
        <v>6.5593416001068165</v>
      </c>
      <c r="CJ59" s="95">
        <f>SUMIFS('辅助-汇总损益长表'!$H$2:$H$242,'辅助-汇总损益长表'!$A$2:$A$242,"净利润",'辅助-汇总损益长表'!$B$2:$B$242,CJ$2)</f>
        <v>9.1243394487180325</v>
      </c>
      <c r="CK59" s="95">
        <f>SUMIFS('辅助-汇总损益长表'!$H$2:$H$242,'辅助-汇总损益长表'!$A$2:$A$242,"净利润",'辅助-汇总损益长表'!$B$2:$B$242,CK$2)</f>
        <v>11.814459143602971</v>
      </c>
      <c r="CL59" s="95">
        <f>SUMIFS('辅助-汇总损益长表'!$H$2:$H$242,'辅助-汇总损益长表'!$A$2:$A$242,"净利润",'辅助-汇总损益长表'!$B$2:$B$242,CL$2)</f>
        <v>12.862354606145358</v>
      </c>
      <c r="CM59" s="95">
        <f>SUMIFS('辅助-汇总损益长表'!$H$2:$H$242,'辅助-汇总损益长表'!$A$2:$A$242,"净利润",'辅助-汇总损益长表'!$B$2:$B$242,CM$2)</f>
        <v>15.849638685930366</v>
      </c>
      <c r="CN59" s="95">
        <f>SUMIFS('辅助-汇总损益长表'!$H$2:$H$242,'辅助-汇总损益长表'!$A$2:$A$242,"净利润",'辅助-汇总损益长表'!$B$2:$B$242,CN$2)</f>
        <v>13.347201760456013</v>
      </c>
      <c r="CO59" s="96">
        <f>SUMIFS('辅助-汇总损益长表'!$H$2:$H$242,'辅助-汇总损益长表'!$A$2:$A$242,"净利润",'辅助-汇总损益长表'!$B$2:$B$242,CO$2)</f>
        <v>98.934055523232161</v>
      </c>
      <c r="CP59" s="96">
        <f>SUMIFS('辅助-汇总损益长表'!$H$2:$H$242,'辅助-汇总损益长表'!$A$2:$A$242,"净利润",'辅助-汇总损益长表'!$B$2:$B$242,CP$2)</f>
        <v>69.55733524495956</v>
      </c>
      <c r="CQ59" s="97"/>
      <c r="CR59" s="95">
        <f>SUMIFS('辅助-汇总损益长表'!$I$2:$I$242,'辅助-汇总损益长表'!$A$2:$A$242,"净利润",'辅助-汇总损益长表'!$B$2:$B$242,CR$2)</f>
        <v>76.422200591593082</v>
      </c>
      <c r="CS59" s="95">
        <f>SUMIFS('辅助-汇总损益长表'!$I$2:$I$242,'辅助-汇总损益长表'!$A$2:$A$242,"净利润",'辅助-汇总损益长表'!$B$2:$B$242,CS$2)</f>
        <v>61.400739518927509</v>
      </c>
      <c r="CT59" s="95">
        <f>SUMIFS('辅助-汇总损益长表'!$I$2:$I$242,'辅助-汇总损益长表'!$A$2:$A$242,"净利润",'辅助-汇总损益长表'!$B$2:$B$242,CT$2)</f>
        <v>-239.30808973648089</v>
      </c>
      <c r="CU59" s="95">
        <f>SUMIFS('辅助-汇总损益长表'!$I$2:$I$242,'辅助-汇总损益长表'!$A$2:$A$242,"净利润",'辅助-汇总损益长表'!$B$2:$B$242,CU$2)</f>
        <v>109.87981638918308</v>
      </c>
      <c r="CV59" s="95">
        <f>SUMIFS('辅助-汇总损益长表'!$I$2:$I$242,'辅助-汇总损益长表'!$A$2:$A$242,"净利润",'辅助-汇总损益长表'!$B$2:$B$242,CV$2)</f>
        <v>96.493390068257582</v>
      </c>
      <c r="CW59" s="95">
        <f>SUMIFS('辅助-汇总损益长表'!$I$2:$I$242,'辅助-汇总损益长表'!$A$2:$A$242,"净利润",'辅助-汇总损益长表'!$B$2:$B$242,CW$2)</f>
        <v>49.628920630270784</v>
      </c>
      <c r="CX59" s="95">
        <f>SUMIFS('辅助-汇总损益长表'!$I$2:$I$242,'辅助-汇总损益长表'!$A$2:$A$242,"净利润",'辅助-汇总损益长表'!$B$2:$B$242,CX$2)</f>
        <v>20.959683033204271</v>
      </c>
      <c r="CY59" s="95">
        <f>SUMIFS('辅助-汇总损益长表'!$I$2:$I$242,'辅助-汇总损益长表'!$A$2:$A$242,"净利润",'辅助-汇总损益长表'!$B$2:$B$242,CY$2)</f>
        <v>30.196922651905481</v>
      </c>
      <c r="CZ59" s="95">
        <f>SUMIFS('辅助-汇总损益长表'!$I$2:$I$242,'辅助-汇总损益长表'!$A$2:$A$242,"净利润",'辅助-汇总损益长表'!$B$2:$B$242,CZ$2)</f>
        <v>39.88475932517747</v>
      </c>
      <c r="DA59" s="95">
        <f>SUMIFS('辅助-汇总损益长表'!$I$2:$I$242,'辅助-汇总损益长表'!$A$2:$A$242,"净利润",'辅助-汇总损益长表'!$B$2:$B$242,DA$2)</f>
        <v>43.658509657207901</v>
      </c>
      <c r="DB59" s="95">
        <f>SUMIFS('辅助-汇总损益长表'!$I$2:$I$242,'辅助-汇总损益长表'!$A$2:$A$242,"净利润",'辅助-汇总损益长表'!$B$2:$B$242,DB$2)</f>
        <v>54.416514335085424</v>
      </c>
      <c r="DC59" s="95">
        <f>SUMIFS('辅助-汇总损益长表'!$I$2:$I$242,'辅助-汇总损益长表'!$A$2:$A$242,"净利润",'辅助-汇总损益长表'!$B$2:$B$242,DC$2)</f>
        <v>45.404573243669631</v>
      </c>
      <c r="DD59" s="96">
        <f>SUMIFS('辅助-汇总损益长表'!$I$2:$I$242,'辅助-汇总损益长表'!$A$2:$A$242,"净利润",'辅助-汇总损益长表'!$B$2:$B$242,DD$2)</f>
        <v>389.03793970800132</v>
      </c>
      <c r="DE59" s="96">
        <f>SUMIFS('辅助-汇总损益长表'!$I$2:$I$242,'辅助-汇总损益长表'!$A$2:$A$242,"净利润",'辅助-汇总损益长表'!$B$2:$B$242,DE$2)</f>
        <v>234.52096224625018</v>
      </c>
      <c r="DF59" s="97"/>
      <c r="DG59" s="95">
        <f>SUMIFS('辅助-汇总损益长表'!$J$2:$J$242,'辅助-汇总损益长表'!$A$2:$A$242,"净利润",'辅助-汇总损益长表'!$B$2:$B$242,DG$2)</f>
        <v>12.309499021885426</v>
      </c>
      <c r="DH59" s="95">
        <f>SUMIFS('辅助-汇总损益长表'!$J$2:$J$242,'辅助-汇总损益长表'!$A$2:$A$242,"净利润",'辅助-汇总损益长表'!$B$2:$B$242,DH$2)</f>
        <v>-3.0006358995937026</v>
      </c>
      <c r="DI59" s="95">
        <f>SUMIFS('辅助-汇总损益长表'!$J$2:$J$242,'辅助-汇总损益长表'!$A$2:$A$242,"净利润",'辅助-汇总损益长表'!$B$2:$B$242,DI$2)</f>
        <v>53.252552672307729</v>
      </c>
      <c r="DJ59" s="95">
        <f>SUMIFS('辅助-汇总损益长表'!$J$2:$J$242,'辅助-汇总损益长表'!$A$2:$A$242,"净利润",'辅助-汇总损益长表'!$B$2:$B$242,DJ$2)</f>
        <v>5.296204950635448</v>
      </c>
      <c r="DK59" s="95">
        <f>SUMIFS('辅助-汇总损益长表'!$J$2:$J$242,'辅助-汇总损益长表'!$A$2:$A$242,"净利润",'辅助-汇总损益长表'!$B$2:$B$242,DK$2)</f>
        <v>23.483059311440034</v>
      </c>
      <c r="DL59" s="95">
        <f>SUMIFS('辅助-汇总损益长表'!$J$2:$J$242,'辅助-汇总损益长表'!$A$2:$A$242,"净利润",'辅助-汇总损益长表'!$B$2:$B$242,DL$2)</f>
        <v>4.526148803527251</v>
      </c>
      <c r="DM59" s="95">
        <f>SUMIFS('辅助-汇总损益长表'!$J$2:$J$242,'辅助-汇总损益长表'!$A$2:$A$242,"净利润",'辅助-汇总损益长表'!$B$2:$B$242,DM$2)</f>
        <v>-5.1468112350182036</v>
      </c>
      <c r="DN59" s="95">
        <f>SUMIFS('辅助-汇总损益长表'!$J$2:$J$242,'辅助-汇总损益长表'!$A$2:$A$242,"净利润",'辅助-汇总损益长表'!$B$2:$B$242,DN$2)</f>
        <v>-5.5111320956248209</v>
      </c>
      <c r="DO59" s="95">
        <f>SUMIFS('辅助-汇总损益长表'!$J$2:$J$242,'辅助-汇总损益长表'!$A$2:$A$242,"净利润",'辅助-汇总损益长表'!$B$2:$B$242,DO$2)</f>
        <v>-5.8932247055293212</v>
      </c>
      <c r="DP59" s="95">
        <f>SUMIFS('辅助-汇总损益长表'!$J$2:$J$242,'辅助-汇总损益长表'!$A$2:$A$242,"净利润",'辅助-汇总损益长表'!$B$2:$B$242,DP$2)</f>
        <v>-6.0420631058991026</v>
      </c>
      <c r="DQ59" s="95">
        <f>SUMIFS('辅助-汇总损益长表'!$J$2:$J$242,'辅助-汇总损益长表'!$A$2:$A$242,"净利润",'辅助-汇总损益长表'!$B$2:$B$242,DQ$2)</f>
        <v>-6.4663636203860655</v>
      </c>
      <c r="DR59" s="95">
        <f>SUMIFS('辅助-汇总损益长表'!$J$2:$J$242,'辅助-汇总损益长表'!$A$2:$A$242,"净利润",'辅助-汇总损益长表'!$B$2:$B$242,DR$2)</f>
        <v>-6.1109286344283937</v>
      </c>
      <c r="DS59" s="96">
        <f>SUMIFS('辅助-汇总损益长表'!$J$2:$J$242,'辅助-汇总损益长表'!$A$2:$A$242,"净利润",'辅助-汇总损益长表'!$B$2:$B$242,DS$2)</f>
        <v>60.696305463316278</v>
      </c>
      <c r="DT59" s="96">
        <f>SUMIFS('辅助-汇总损益长表'!$J$2:$J$242,'辅助-汇总损益长表'!$A$2:$A$242,"净利润",'辅助-汇总损益长表'!$B$2:$B$242,DT$2)</f>
        <v>-35.170523396885912</v>
      </c>
      <c r="DU59" s="97"/>
      <c r="DV59" s="95">
        <f>SUMIFS('辅助-汇总损益长表'!$K$2:$K$242,'辅助-汇总损益长表'!$A$2:$A$242,"净利润",'辅助-汇总损益长表'!$B$2:$B$242,DV$2)</f>
        <v>24.7803</v>
      </c>
      <c r="DW59" s="95">
        <f>SUMIFS('辅助-汇总损益长表'!$K$2:$K$242,'辅助-汇总损益长表'!$A$2:$A$242,"净利润",'辅助-汇总损益长表'!$B$2:$B$242,DW$2)</f>
        <v>7.8601000000000001</v>
      </c>
      <c r="DX59" s="95">
        <f>SUMIFS('辅助-汇总损益长表'!$K$2:$K$242,'辅助-汇总损益长表'!$A$2:$A$242,"净利润",'辅助-汇总损益长表'!$B$2:$B$242,DX$2)</f>
        <v>26.021881</v>
      </c>
      <c r="DY59" s="95">
        <f>SUMIFS('辅助-汇总损益长表'!$K$2:$K$242,'辅助-汇总损益长表'!$A$2:$A$242,"净利润",'辅助-汇总损益长表'!$B$2:$B$242,DY$2)</f>
        <v>17.22148</v>
      </c>
      <c r="DZ59" s="95">
        <f>SUMIFS('辅助-汇总损益长表'!$K$2:$K$242,'辅助-汇总损益长表'!$A$2:$A$242,"净利润",'辅助-汇总损益长表'!$B$2:$B$242,DZ$2)</f>
        <v>18.578579999999999</v>
      </c>
      <c r="EA59" s="95">
        <f>SUMIFS('辅助-汇总损益长表'!$K$2:$K$242,'辅助-汇总损益长表'!$A$2:$A$242,"净利润",'辅助-汇总损益长表'!$B$2:$B$242,EA$2)</f>
        <v>20.101900000000001</v>
      </c>
      <c r="EB59" s="95">
        <f>SUMIFS('辅助-汇总损益长表'!$K$2:$K$242,'辅助-汇总损益长表'!$A$2:$A$242,"净利润",'辅助-汇总损益长表'!$B$2:$B$242,EB$2)</f>
        <v>8.0329930692112299</v>
      </c>
      <c r="EC59" s="95">
        <f>SUMIFS('辅助-汇总损益长表'!$K$2:$K$242,'辅助-汇总损益长表'!$A$2:$A$242,"净利润",'辅助-汇总损益长表'!$B$2:$B$242,EC$2)</f>
        <v>6.7518692963740019</v>
      </c>
      <c r="ED59" s="95">
        <f>SUMIFS('辅助-汇总损益长表'!$K$2:$K$242,'辅助-汇总损益长表'!$A$2:$A$242,"净利润",'辅助-汇总损益长表'!$B$2:$B$242,ED$2)</f>
        <v>4.7903221495546973</v>
      </c>
      <c r="EE59" s="95">
        <f>SUMIFS('辅助-汇总损益长表'!$K$2:$K$242,'辅助-汇总损益长表'!$A$2:$A$242,"净利润",'辅助-汇总损益长表'!$B$2:$B$242,EE$2)</f>
        <v>4.8460189745547009</v>
      </c>
      <c r="EF59" s="95">
        <f>SUMIFS('辅助-汇总损益长表'!$K$2:$K$242,'辅助-汇总损益长表'!$A$2:$A$242,"净利润",'辅助-汇总损益长表'!$B$2:$B$242,EF$2)</f>
        <v>5.5626436868320965</v>
      </c>
      <c r="EG59" s="95">
        <f>SUMIFS('辅助-汇总损益长表'!$K$2:$K$242,'辅助-汇总损益长表'!$A$2:$A$242,"净利润",'辅助-汇总损益长表'!$B$2:$B$242,EG$2)</f>
        <v>5.0261645495546965</v>
      </c>
      <c r="EH59" s="96">
        <f>SUMIFS('辅助-汇总损益长表'!$K$2:$K$242,'辅助-汇总损益长表'!$A$2:$A$242,"净利润",'辅助-汇总损益长表'!$B$2:$B$242,EH$2)</f>
        <v>149.57425272608143</v>
      </c>
      <c r="EI59" s="96">
        <f>SUMIFS('辅助-汇总损益长表'!$K$2:$K$242,'辅助-汇总损益长表'!$A$2:$A$242,"净利润",'辅助-汇总损益长表'!$B$2:$B$242,EI$2)</f>
        <v>35.01001172608143</v>
      </c>
      <c r="EJ59" s="42"/>
      <c r="EK59" s="95">
        <f>SUMIFS('辅助-汇总损益长表'!$L$2:$L$242,'辅助-汇总损益长表'!$A$2:$A$242,"净利润",'辅助-汇总损益长表'!$B$2:$B$242,EK$2)</f>
        <v>17.05552152500006</v>
      </c>
      <c r="EL59" s="95">
        <f>SUMIFS('辅助-汇总损益长表'!$L$2:$L$242,'辅助-汇总损益长表'!$A$2:$A$242,"净利润",'辅助-汇总损益长表'!$B$2:$B$242,EL$2)</f>
        <v>12.543631640825676</v>
      </c>
      <c r="EM59" s="95">
        <f>SUMIFS('辅助-汇总损益长表'!$L$2:$L$242,'辅助-汇总损益长表'!$A$2:$A$242,"净利润",'辅助-汇总损益长表'!$B$2:$B$242,EM$2)</f>
        <v>14.590859000000012</v>
      </c>
      <c r="EN59" s="95">
        <f>SUMIFS('辅助-汇总损益长表'!$L$2:$L$242,'辅助-汇总损益长表'!$A$2:$A$242,"净利润",'辅助-汇总损益长表'!$B$2:$B$242,EN$2)</f>
        <v>15.110105000000004</v>
      </c>
      <c r="EO59" s="95">
        <f>SUMIFS('辅助-汇总损益长表'!$L$2:$L$242,'辅助-汇总损益长表'!$A$2:$A$242,"净利润",'辅助-汇总损益长表'!$B$2:$B$242,EO$2)</f>
        <v>21.266139000000006</v>
      </c>
      <c r="EP59" s="95">
        <f>SUMIFS('辅助-汇总损益长表'!$L$2:$L$242,'辅助-汇总损益长表'!$A$2:$A$242,"净利润",'辅助-汇总损益长表'!$B$2:$B$242,EP$2)</f>
        <v>17.219995000000019</v>
      </c>
      <c r="EQ59" s="95">
        <f>SUMIFS('辅助-汇总损益长表'!$L$2:$L$242,'辅助-汇总损益长表'!$A$2:$A$242,"净利润",'辅助-汇总损益长表'!$B$2:$B$242,EQ$2)</f>
        <v>3.9412369001841387</v>
      </c>
      <c r="ER59" s="95">
        <f>SUMIFS('辅助-汇总损益长表'!$L$2:$L$242,'辅助-汇总损益长表'!$A$2:$A$242,"净利润",'辅助-汇总损益长表'!$B$2:$B$242,ER$2)</f>
        <v>5.2712016154726165</v>
      </c>
      <c r="ES59" s="95">
        <f>SUMIFS('辅助-汇总损益长表'!$L$2:$L$242,'辅助-汇总损益长表'!$A$2:$A$242,"净利润",'辅助-汇总损益长表'!$B$2:$B$242,ES$2)</f>
        <v>6.6660426583361341</v>
      </c>
      <c r="ET59" s="95">
        <f>SUMIFS('辅助-汇总损益长表'!$L$2:$L$242,'辅助-汇总损益长表'!$A$2:$A$242,"净利润",'辅助-汇总损益长表'!$B$2:$B$242,ET$2)</f>
        <v>7.2093819017771725</v>
      </c>
      <c r="EU59" s="95">
        <f>SUMIFS('辅助-汇总损益长表'!$L$2:$L$242,'辅助-汇总损益长表'!$A$2:$A$242,"净利润",'辅助-汇总损益长表'!$B$2:$B$242,EU$2)</f>
        <v>8.7583042226314287</v>
      </c>
      <c r="EV59" s="95">
        <f>SUMIFS('辅助-汇总损益长表'!$L$2:$L$242,'辅助-汇总损益长表'!$A$2:$A$242,"净利润",'辅助-汇总损益长表'!$B$2:$B$242,EV$2)</f>
        <v>7.4607776711304785</v>
      </c>
      <c r="EW59" s="96">
        <f>SUMIFS('辅助-汇总损益长表'!$L$2:$L$242,'辅助-汇总损益长表'!$A$2:$A$242,"净利润",'辅助-汇总损益长表'!$B$2:$B$242,EW$2)</f>
        <v>137.09319613535774</v>
      </c>
      <c r="EX59" s="96">
        <f>SUMIFS('辅助-汇总损益长表'!$L$2:$L$242,'辅助-汇总损益长表'!$A$2:$A$242,"净利润",'辅助-汇总损益长表'!$B$2:$B$242,EX$2)</f>
        <v>39.306944969531969</v>
      </c>
      <c r="EY59" s="11"/>
    </row>
    <row r="60" spans="1:155" s="8" customFormat="1" ht="16" customHeight="1">
      <c r="A60" s="80"/>
      <c r="B60" s="81" t="s">
        <v>99</v>
      </c>
      <c r="C60" s="80"/>
      <c r="D60" s="80"/>
      <c r="E60" s="80"/>
      <c r="F60" s="82">
        <f>SUMIFS('辅助-汇总损益长表'!$C$2:$C$242,'辅助-汇总损益长表'!$A$2:$A$242,"净利率",'辅助-汇总损益长表'!$B$2:$B$242,F$2)</f>
        <v>0.12300526016493481</v>
      </c>
      <c r="G60" s="82">
        <f>SUMIFS('辅助-汇总损益长表'!$C$2:$C$242,'辅助-汇总损益长表'!$A$2:$A$242,"净利率",'辅助-汇总损益长表'!$B$2:$B$242,G$2)</f>
        <v>0.13984310857653823</v>
      </c>
      <c r="H60" s="82">
        <f>SUMIFS('辅助-汇总损益长表'!$C$2:$C$242,'辅助-汇总损益长表'!$A$2:$A$242,"净利率",'辅助-汇总损益长表'!$B$2:$B$242,H$2)</f>
        <v>-2.5825276734005937E-2</v>
      </c>
      <c r="I60" s="82">
        <f>SUMIFS('辅助-汇总损益长表'!$C$2:$C$242,'辅助-汇总损益长表'!$A$2:$A$242,"净利率",'辅助-汇总损益长表'!$B$2:$B$242,I$2)</f>
        <v>0.17587368136977355</v>
      </c>
      <c r="J60" s="82">
        <f>SUMIFS('辅助-汇总损益长表'!$C$2:$C$242,'辅助-汇总损益长表'!$A$2:$A$242,"净利率",'辅助-汇总损益长表'!$B$2:$B$242,J$2)</f>
        <v>0.15525637379707846</v>
      </c>
      <c r="K60" s="82">
        <f>SUMIFS('辅助-汇总损益长表'!$C$2:$C$242,'辅助-汇总损益长表'!$A$2:$A$242,"净利率",'辅助-汇总损益长表'!$B$2:$B$242,K$2)</f>
        <v>0.11681105683077112</v>
      </c>
      <c r="L60" s="82">
        <f>SUMIFS('辅助-汇总损益长表'!$C$2:$C$242,'辅助-汇总损益长表'!$A$2:$A$242,"净利率",'辅助-汇总损益长表'!$B$2:$B$242,L$2)</f>
        <v>8.0084283271520854E-2</v>
      </c>
      <c r="M60" s="82">
        <f>SUMIFS('辅助-汇总损益长表'!$C$2:$C$242,'辅助-汇总损益长表'!$A$2:$A$242,"净利率",'辅助-汇总损益长表'!$B$2:$B$242,M$2)</f>
        <v>6.7225924185044292E-2</v>
      </c>
      <c r="N60" s="82">
        <f>SUMIFS('辅助-汇总损益长表'!$C$2:$C$242,'辅助-汇总损益长表'!$A$2:$A$242,"净利率",'辅助-汇总损益长表'!$B$2:$B$242,N$2)</f>
        <v>7.5944916489461792E-2</v>
      </c>
      <c r="O60" s="82">
        <f>SUMIFS('辅助-汇总损益长表'!$C$2:$C$242,'辅助-汇总损益长表'!$A$2:$A$242,"净利率",'辅助-汇总损益长表'!$B$2:$B$242,O$2)</f>
        <v>7.7955710166833669E-2</v>
      </c>
      <c r="P60" s="82">
        <f>SUMIFS('辅助-汇总损益长表'!$C$2:$C$242,'辅助-汇总损益长表'!$A$2:$A$242,"净利率",'辅助-汇总损益长表'!$B$2:$B$242,P$2)</f>
        <v>8.2075796011980243E-2</v>
      </c>
      <c r="Q60" s="82">
        <f>SUMIFS('辅助-汇总损益长表'!$C$2:$C$242,'辅助-汇总损益长表'!$A$2:$A$242,"净利率",'辅助-汇总损益长表'!$B$2:$B$242,Q$2)</f>
        <v>0.11232215824660916</v>
      </c>
      <c r="R60" s="83">
        <f>SUMIFS('辅助-汇总损益长表'!$C$2:$C$242,'辅助-汇总损益长表'!$A$2:$A$242,"净利率",'辅助-汇总损益长表'!$B$2:$B$242,R$2)</f>
        <v>9.8185695521852565E-2</v>
      </c>
      <c r="S60" s="83">
        <f>SUMIFS('辅助-汇总损益长表'!$C$2:$C$242,'辅助-汇总损益长表'!$A$2:$A$242,"净利率",'辅助-汇总损益长表'!$B$2:$B$242,S$2)</f>
        <v>8.4054485663814932E-2</v>
      </c>
      <c r="T60" s="84"/>
      <c r="U60" s="82">
        <f>SUMIFS('辅助-汇总损益长表'!$D$2:$D$242,'辅助-汇总损益长表'!$A$2:$A$242,"净利率",'辅助-汇总损益长表'!$B$2:$B$242,U$2)</f>
        <v>0.11431652594605207</v>
      </c>
      <c r="V60" s="82">
        <f>SUMIFS('辅助-汇总损益长表'!$D$2:$D$242,'辅助-汇总损益长表'!$A$2:$A$242,"净利率",'辅助-汇总损益长表'!$B$2:$B$242,V$2)</f>
        <v>4.7884776469984937E-2</v>
      </c>
      <c r="W60" s="82">
        <f>SUMIFS('辅助-汇总损益长表'!$D$2:$D$242,'辅助-汇总损益长表'!$A$2:$A$242,"净利率",'辅助-汇总损益长表'!$B$2:$B$242,W$2)</f>
        <v>9.3585672597180217E-2</v>
      </c>
      <c r="X60" s="82">
        <f>SUMIFS('辅助-汇总损益长表'!$D$2:$D$242,'辅助-汇总损益长表'!$A$2:$A$242,"净利率",'辅助-汇总损益长表'!$B$2:$B$242,X$2)</f>
        <v>7.7430692641947532E-2</v>
      </c>
      <c r="Y60" s="82">
        <f>SUMIFS('辅助-汇总损益长表'!$D$2:$D$242,'辅助-汇总损益长表'!$A$2:$A$242,"净利率",'辅助-汇总损益长表'!$B$2:$B$242,Y$2)</f>
        <v>0.10176259331664665</v>
      </c>
      <c r="Z60" s="82">
        <f>SUMIFS('辅助-汇总损益长表'!$D$2:$D$242,'辅助-汇总损益长表'!$A$2:$A$242,"净利率",'辅助-汇总损益长表'!$B$2:$B$242,Z$2)</f>
        <v>0.16253231455089207</v>
      </c>
      <c r="AA60" s="82">
        <f>SUMIFS('辅助-汇总损益长表'!$D$2:$D$242,'辅助-汇总损益长表'!$A$2:$A$242,"净利率",'辅助-汇总损益长表'!$B$2:$B$242,AA$2)</f>
        <v>0.12706501349541829</v>
      </c>
      <c r="AB60" s="82">
        <f>SUMIFS('辅助-汇总损益长表'!$D$2:$D$242,'辅助-汇总损益长表'!$A$2:$A$242,"净利率",'辅助-汇总损益长表'!$B$2:$B$242,AB$2)</f>
        <v>0.14496720588574732</v>
      </c>
      <c r="AC60" s="82">
        <f>SUMIFS('辅助-汇总损益长表'!$D$2:$D$242,'辅助-汇总损益长表'!$A$2:$A$242,"净利率",'辅助-汇总损益长表'!$B$2:$B$242,AC$2)</f>
        <v>0.16548473395936678</v>
      </c>
      <c r="AD60" s="82">
        <f>SUMIFS('辅助-汇总损益长表'!$D$2:$D$242,'辅助-汇总损益长表'!$A$2:$A$242,"净利率",'辅助-汇总损益长表'!$B$2:$B$242,AD$2)</f>
        <v>0.17132836769734081</v>
      </c>
      <c r="AE60" s="82">
        <f>SUMIFS('辅助-汇总损益长表'!$D$2:$D$242,'辅助-汇总损益长表'!$A$2:$A$242,"净利率",'辅助-汇总损益长表'!$B$2:$B$242,AE$2)</f>
        <v>0.18400750235916216</v>
      </c>
      <c r="AF60" s="82">
        <f>SUMIFS('辅助-汇总损益长表'!$D$2:$D$242,'辅助-汇总损益长表'!$A$2:$A$242,"净利率",'辅助-汇总损益长表'!$B$2:$B$242,AF$2)</f>
        <v>0.1737441281598823</v>
      </c>
      <c r="AG60" s="83">
        <f>SUMIFS('辅助-汇总损益长表'!$D$2:$D$242,'辅助-汇总损益长表'!$A$2:$A$242,"净利率",'辅助-汇总损益长表'!$B$2:$B$242,AG$2)</f>
        <v>0.13155592616749456</v>
      </c>
      <c r="AH60" s="83">
        <f>SUMIFS('辅助-汇总损益长表'!$D$2:$D$242,'辅助-汇总损益长表'!$A$2:$A$242,"净利率",'辅助-汇总损益长表'!$B$2:$B$242,AH$2)</f>
        <v>0.16564768950629902</v>
      </c>
      <c r="AI60" s="84"/>
      <c r="AJ60" s="82">
        <f>SUMIFS('辅助-汇总损益长表'!$E$2:$E$242,'辅助-汇总损益长表'!$A$2:$A$242,"净利率",'辅助-汇总损益长表'!$B$2:$B$242,AJ$2)</f>
        <v>-0.43650241752255231</v>
      </c>
      <c r="AK60" s="82">
        <f>SUMIFS('辅助-汇总损益长表'!$E$2:$E$242,'辅助-汇总损益长表'!$A$2:$A$242,"净利率",'辅助-汇总损益长表'!$B$2:$B$242,AK$2)</f>
        <v>-0.47873531000989666</v>
      </c>
      <c r="AL60" s="82">
        <f>SUMIFS('辅助-汇总损益长表'!$E$2:$E$242,'辅助-汇总损益长表'!$A$2:$A$242,"净利率",'辅助-汇总损益长表'!$B$2:$B$242,AL$2)</f>
        <v>-0.30789257200263581</v>
      </c>
      <c r="AM60" s="82">
        <f>SUMIFS('辅助-汇总损益长表'!$E$2:$E$242,'辅助-汇总损益长表'!$A$2:$A$242,"净利率",'辅助-汇总损益长表'!$B$2:$B$242,AM$2)</f>
        <v>-0.71547046985894847</v>
      </c>
      <c r="AN60" s="82">
        <f>SUMIFS('辅助-汇总损益长表'!$E$2:$E$242,'辅助-汇总损益长表'!$A$2:$A$242,"净利率",'辅助-汇总损益长表'!$B$2:$B$242,AN$2)</f>
        <v>-0.38291055873857682</v>
      </c>
      <c r="AO60" s="82">
        <f>SUMIFS('辅助-汇总损益长表'!$E$2:$E$242,'辅助-汇总损益长表'!$A$2:$A$242,"净利率",'辅助-汇总损益长表'!$B$2:$B$242,AO$2)</f>
        <v>-0.21581856738675556</v>
      </c>
      <c r="AP60" s="82">
        <f>SUMIFS('辅助-汇总损益长表'!$E$2:$E$242,'辅助-汇总损益长表'!$A$2:$A$242,"净利率",'辅助-汇总损益长表'!$B$2:$B$242,AP$2)</f>
        <v>-0.28118142126729784</v>
      </c>
      <c r="AQ60" s="82">
        <f>SUMIFS('辅助-汇总损益长表'!$E$2:$E$242,'辅助-汇总损益长表'!$A$2:$A$242,"净利率",'辅助-汇总损益长表'!$B$2:$B$242,AQ$2)</f>
        <v>-0.22655316946904863</v>
      </c>
      <c r="AR60" s="82">
        <f>SUMIFS('辅助-汇总损益长表'!$E$2:$E$242,'辅助-汇总损益长表'!$A$2:$A$242,"净利率",'辅助-汇总损益长表'!$B$2:$B$242,AR$2)</f>
        <v>-0.19344871798934232</v>
      </c>
      <c r="AS60" s="82">
        <f>SUMIFS('辅助-汇总损益长表'!$E$2:$E$242,'辅助-汇总损益长表'!$A$2:$A$242,"净利率",'辅助-汇总损益长表'!$B$2:$B$242,AS$2)</f>
        <v>-0.18670816725712761</v>
      </c>
      <c r="AT60" s="82">
        <f>SUMIFS('辅助-汇总损益长表'!$E$2:$E$242,'辅助-汇总损益长表'!$A$2:$A$242,"净利率",'辅助-汇总损益长表'!$B$2:$B$242,AT$2)</f>
        <v>-0.17208296070572945</v>
      </c>
      <c r="AU60" s="82">
        <f>SUMIFS('辅助-汇总损益长表'!$E$2:$E$242,'辅助-汇总损益长表'!$A$2:$A$242,"净利率",'辅助-汇总损益长表'!$B$2:$B$242,AU$2)</f>
        <v>-0.18392162095994566</v>
      </c>
      <c r="AV60" s="83">
        <f>SUMIFS('辅助-汇总损益长表'!$E$2:$E$242,'辅助-汇总损益长表'!$A$2:$A$242,"净利率",'辅助-汇总损益长表'!$B$2:$B$242,AV$2)</f>
        <v>-0.23279673729775746</v>
      </c>
      <c r="AW60" s="83">
        <f>SUMIFS('辅助-汇总损益长表'!$E$2:$E$242,'辅助-汇总损益长表'!$A$2:$A$242,"净利率",'辅助-汇总损益长表'!$B$2:$B$242,AW$2)</f>
        <v>-0.19887964237981268</v>
      </c>
      <c r="AX60" s="84"/>
      <c r="AY60" s="82">
        <f>SUMIFS('辅助-汇总损益长表'!$F$2:$F$242,'辅助-汇总损益长表'!$A$2:$A$242,"净利率",'辅助-汇总损益长表'!$B$2:$B$242,AY$2)</f>
        <v>0.32253369390641368</v>
      </c>
      <c r="AZ60" s="82">
        <f>SUMIFS('辅助-汇总损益长表'!$F$2:$F$242,'辅助-汇总损益长表'!$A$2:$A$242,"净利率",'辅助-汇总损益长表'!$B$2:$B$242,AZ$2)</f>
        <v>0.21685870908428984</v>
      </c>
      <c r="BA60" s="82">
        <f>SUMIFS('辅助-汇总损益长表'!$F$2:$F$242,'辅助-汇总损益长表'!$A$2:$A$242,"净利率",'辅助-汇总损益长表'!$B$2:$B$242,BA$2)</f>
        <v>0.30026174955881535</v>
      </c>
      <c r="BB60" s="82">
        <f>SUMIFS('辅助-汇总损益长表'!$F$2:$F$242,'辅助-汇总损益长表'!$A$2:$A$242,"净利率",'辅助-汇总损益长表'!$B$2:$B$242,BB$2)</f>
        <v>0.20291113830031016</v>
      </c>
      <c r="BC60" s="82">
        <f>SUMIFS('辅助-汇总损益长表'!$F$2:$F$242,'辅助-汇总损益长表'!$A$2:$A$242,"净利率",'辅助-汇总损益长表'!$B$2:$B$242,BC$2)</f>
        <v>0.28065531670225008</v>
      </c>
      <c r="BD60" s="82">
        <f>SUMIFS('辅助-汇总损益长表'!$F$2:$F$242,'辅助-汇总损益长表'!$A$2:$A$242,"净利率",'辅助-汇总损益长表'!$B$2:$B$242,BD$2)</f>
        <v>0.21093552205326585</v>
      </c>
      <c r="BE60" s="82">
        <f>SUMIFS('辅助-汇总损益长表'!$F$2:$F$242,'辅助-汇总损益长表'!$A$2:$A$242,"净利率",'辅助-汇总损益长表'!$B$2:$B$242,BE$2)</f>
        <v>0.24598960070408832</v>
      </c>
      <c r="BF60" s="82">
        <f>SUMIFS('辅助-汇总损益长表'!$F$2:$F$242,'辅助-汇总损益长表'!$A$2:$A$242,"净利率",'辅助-汇总损益长表'!$B$2:$B$242,BF$2)</f>
        <v>0.26008178676915211</v>
      </c>
      <c r="BG60" s="82">
        <f>SUMIFS('辅助-汇总损益长表'!$F$2:$F$242,'辅助-汇总损益长表'!$A$2:$A$242,"净利率",'辅助-汇总损益长表'!$B$2:$B$242,BG$2)</f>
        <v>0.26882009619849451</v>
      </c>
      <c r="BH60" s="82">
        <f>SUMIFS('辅助-汇总损益长表'!$F$2:$F$242,'辅助-汇总损益长表'!$A$2:$A$242,"净利率",'辅助-汇总损益长表'!$B$2:$B$242,BH$2)</f>
        <v>0.2713088696809014</v>
      </c>
      <c r="BI60" s="82">
        <f>SUMIFS('辅助-汇总损益长表'!$F$2:$F$242,'辅助-汇总损益长表'!$A$2:$A$242,"净利率",'辅助-汇总损益长表'!$B$2:$B$242,BI$2)</f>
        <v>0.27670884776665094</v>
      </c>
      <c r="BJ60" s="82">
        <f>SUMIFS('辅助-汇总损益长表'!$F$2:$F$242,'辅助-汇总损益长表'!$A$2:$A$242,"净利率",'辅助-汇总损益长表'!$B$2:$B$242,BJ$2)</f>
        <v>0.27233772960755109</v>
      </c>
      <c r="BK60" s="83">
        <f>SUMIFS('辅助-汇总损益长表'!$F$2:$F$242,'辅助-汇总损益长表'!$A$2:$A$242,"净利率",'辅助-汇总损益长表'!$B$2:$B$242,BK$2)</f>
        <v>0.26451369848685852</v>
      </c>
      <c r="BL60" s="83">
        <f>SUMIFS('辅助-汇总损益长表'!$F$2:$F$242,'辅助-汇总损益长表'!$A$2:$A$242,"净利率",'辅助-汇总损益长表'!$B$2:$B$242,BL$2)</f>
        <v>0.26824098997122958</v>
      </c>
      <c r="BM60" s="84"/>
      <c r="BN60" s="82">
        <f>SUMIFS('辅助-汇总损益长表'!$G$2:$G$242,'辅助-汇总损益长表'!$A$2:$A$242,"净利率",'辅助-汇总损益长表'!$B$2:$B$242,BN$2)</f>
        <v>0.28476056524631888</v>
      </c>
      <c r="BO60" s="82">
        <f>SUMIFS('辅助-汇总损益长表'!$G$2:$G$242,'辅助-汇总损益长表'!$A$2:$A$242,"净利率",'辅助-汇总损益长表'!$B$2:$B$242,BO$2)</f>
        <v>0.11505009116185037</v>
      </c>
      <c r="BP60" s="82">
        <f>SUMIFS('辅助-汇总损益长表'!$G$2:$G$242,'辅助-汇总损益长表'!$A$2:$A$242,"净利率",'辅助-汇总损益长表'!$B$2:$B$242,BP$2)</f>
        <v>0.26050002295580338</v>
      </c>
      <c r="BQ60" s="82">
        <f>SUMIFS('辅助-汇总损益长表'!$G$2:$G$242,'辅助-汇总损益长表'!$A$2:$A$242,"净利率",'辅助-汇总损益长表'!$B$2:$B$242,BQ$2)</f>
        <v>0.41660379236322959</v>
      </c>
      <c r="BR60" s="82">
        <f>SUMIFS('辅助-汇总损益长表'!$G$2:$G$242,'辅助-汇总损益长表'!$A$2:$A$242,"净利率",'辅助-汇总损益长表'!$B$2:$B$242,BR$2)</f>
        <v>4.3618570821212094E-2</v>
      </c>
      <c r="BS60" s="82">
        <f>SUMIFS('辅助-汇总损益长表'!$G$2:$G$242,'辅助-汇总损益长表'!$A$2:$A$242,"净利率",'辅助-汇总损益长表'!$B$2:$B$242,BS$2)</f>
        <v>0.29881060322317943</v>
      </c>
      <c r="BT60" s="82">
        <f>SUMIFS('辅助-汇总损益长表'!$G$2:$G$242,'辅助-汇总损益长表'!$A$2:$A$242,"净利率",'辅助-汇总损益长表'!$B$2:$B$242,BT$2)</f>
        <v>0.29895810506502096</v>
      </c>
      <c r="BU60" s="82">
        <f>SUMIFS('辅助-汇总损益长表'!$G$2:$G$242,'辅助-汇总损益长表'!$A$2:$A$242,"净利率",'辅助-汇总损益长表'!$B$2:$B$242,BU$2)</f>
        <v>0.29895810506502091</v>
      </c>
      <c r="BV60" s="82">
        <f>SUMIFS('辅助-汇总损益长表'!$G$2:$G$242,'辅助-汇总损益长表'!$A$2:$A$242,"净利率",'辅助-汇总损益长表'!$B$2:$B$242,BV$2)</f>
        <v>0.29895810506502091</v>
      </c>
      <c r="BW60" s="82">
        <f>SUMIFS('辅助-汇总损益长表'!$G$2:$G$242,'辅助-汇总损益长表'!$A$2:$A$242,"净利率",'辅助-汇总损益长表'!$B$2:$B$242,BW$2)</f>
        <v>0.29895810506502102</v>
      </c>
      <c r="BX60" s="82">
        <f>SUMIFS('辅助-汇总损益长表'!$G$2:$G$242,'辅助-汇总损益长表'!$A$2:$A$242,"净利率",'辅助-汇总损益长表'!$B$2:$B$242,BX$2)</f>
        <v>0.29895810506502085</v>
      </c>
      <c r="BY60" s="82">
        <f>SUMIFS('辅助-汇总损益长表'!$G$2:$G$242,'辅助-汇总损益长表'!$A$2:$A$242,"净利率",'辅助-汇总损益长表'!$B$2:$B$242,BY$2)</f>
        <v>0.29895810506502085</v>
      </c>
      <c r="BZ60" s="83">
        <f>SUMIFS('辅助-汇总损益长表'!$G$2:$G$242,'辅助-汇总损益长表'!$A$2:$A$242,"净利率",'辅助-汇总损益长表'!$B$2:$B$242,BZ$2)</f>
        <v>0.29415956411435562</v>
      </c>
      <c r="CA60" s="83">
        <f>SUMIFS('辅助-汇总损益长表'!$G$2:$G$242,'辅助-汇总损益长表'!$A$2:$A$242,"净利率",'辅助-汇总损益长表'!$B$2:$B$242,CA$2)</f>
        <v>0.29895810506502096</v>
      </c>
      <c r="CB60" s="84"/>
      <c r="CC60" s="82">
        <f>SUMIFS('辅助-汇总损益长表'!$H$2:$H$242,'辅助-汇总损益长表'!$A$2:$A$242,"净利率",'辅助-汇总损益长表'!$B$2:$B$242,CC$2)</f>
        <v>0.27612626154086339</v>
      </c>
      <c r="CD60" s="82">
        <f>SUMIFS('辅助-汇总损益长表'!$H$2:$H$242,'辅助-汇总损益长表'!$A$2:$A$242,"净利率",'辅助-汇总损益长表'!$B$2:$B$242,CD$2)</f>
        <v>0.19541759558578539</v>
      </c>
      <c r="CE60" s="82">
        <f>SUMIFS('辅助-汇总损益长表'!$H$2:$H$242,'辅助-汇总损益长表'!$A$2:$A$242,"净利率",'辅助-汇总损益长表'!$B$2:$B$242,CE$2)</f>
        <v>0.33093340387057285</v>
      </c>
      <c r="CF60" s="82">
        <f>SUMIFS('辅助-汇总损益长表'!$H$2:$H$242,'辅助-汇总损益长表'!$A$2:$A$242,"净利率",'辅助-汇总损益长表'!$B$2:$B$242,CF$2)</f>
        <v>0.32981667984731</v>
      </c>
      <c r="CG60" s="82">
        <f>SUMIFS('辅助-汇总损益长表'!$H$2:$H$242,'辅助-汇总损益长表'!$A$2:$A$242,"净利率",'辅助-汇总损益长表'!$B$2:$B$242,CG$2)</f>
        <v>0.30118772093831253</v>
      </c>
      <c r="CH60" s="82">
        <f>SUMIFS('辅助-汇总损益长表'!$H$2:$H$242,'辅助-汇总损益长表'!$A$2:$A$242,"净利率",'辅助-汇总损益长表'!$B$2:$B$242,CH$2)</f>
        <v>0.24107295095221662</v>
      </c>
      <c r="CI60" s="82">
        <f>SUMIFS('辅助-汇总损益长表'!$H$2:$H$242,'辅助-汇总损益长表'!$A$2:$A$242,"净利率",'辅助-汇总损益长表'!$B$2:$B$242,CI$2)</f>
        <v>0.25993737505417774</v>
      </c>
      <c r="CJ60" s="82">
        <f>SUMIFS('辅助-汇总损益长表'!$H$2:$H$242,'辅助-汇总损益长表'!$A$2:$A$242,"净利率",'辅助-汇总损益长表'!$B$2:$B$242,CJ$2)</f>
        <v>0.27035401678051874</v>
      </c>
      <c r="CK60" s="82">
        <f>SUMIFS('辅助-汇总损益长表'!$H$2:$H$242,'辅助-汇总损益长表'!$A$2:$A$242,"净利率",'辅助-汇总损益长表'!$B$2:$B$242,CK$2)</f>
        <v>0.27681318771390784</v>
      </c>
      <c r="CL60" s="82">
        <f>SUMIFS('辅助-汇总损益长表'!$H$2:$H$242,'辅助-汇总损益长表'!$A$2:$A$242,"净利率",'辅助-汇总损益长表'!$B$2:$B$242,CL$2)</f>
        <v>0.27865283569929178</v>
      </c>
      <c r="CM60" s="82">
        <f>SUMIFS('辅助-汇总损益长表'!$H$2:$H$242,'辅助-汇总损益长表'!$A$2:$A$242,"净利率",'辅助-汇总损益长表'!$B$2:$B$242,CM$2)</f>
        <v>0.28264438369543943</v>
      </c>
      <c r="CN60" s="82">
        <f>SUMIFS('辅助-汇总损益长表'!$H$2:$H$242,'辅助-汇总损益长表'!$A$2:$A$242,"净利率",'辅助-汇总损益长表'!$B$2:$B$242,CN$2)</f>
        <v>0.2794133468927304</v>
      </c>
      <c r="CO60" s="83">
        <f>SUMIFS('辅助-汇总损益长表'!$H$2:$H$242,'辅助-汇总损益长表'!$A$2:$A$242,"净利率",'辅助-汇总损益长表'!$B$2:$B$242,CO$2)</f>
        <v>0.28063884608193534</v>
      </c>
      <c r="CP60" s="83">
        <f>SUMIFS('辅助-汇总损益长表'!$H$2:$H$242,'辅助-汇总损益长表'!$A$2:$A$242,"净利率",'辅助-汇总损益长表'!$B$2:$B$242,CP$2)</f>
        <v>0.27638512480989408</v>
      </c>
      <c r="CQ60" s="84"/>
      <c r="CR60" s="82">
        <f>SUMIFS('辅助-汇总损益长表'!$I$2:$I$242,'辅助-汇总损益长表'!$A$2:$A$242,"净利率",'辅助-汇总损益长表'!$B$2:$B$242,CR$2)</f>
        <v>0.19073937956825526</v>
      </c>
      <c r="CS60" s="82">
        <f>SUMIFS('辅助-汇总损益长表'!$I$2:$I$242,'辅助-汇总损益长表'!$A$2:$A$242,"净利率",'辅助-汇总损益长表'!$B$2:$B$242,CS$2)</f>
        <v>0.20387483537115236</v>
      </c>
      <c r="CT60" s="82">
        <f>SUMIFS('辅助-汇总损益长表'!$I$2:$I$242,'辅助-汇总损益长表'!$A$2:$A$242,"净利率",'辅助-汇总损益长表'!$B$2:$B$242,CT$2)</f>
        <v>-5.9055739709578203</v>
      </c>
      <c r="CU60" s="82">
        <f>SUMIFS('辅助-汇总损益长表'!$I$2:$I$242,'辅助-汇总损益长表'!$A$2:$A$242,"净利率",'辅助-汇总损益长表'!$B$2:$B$242,CU$2)</f>
        <v>0.25034634314576537</v>
      </c>
      <c r="CV60" s="82">
        <f>SUMIFS('辅助-汇总损益长表'!$I$2:$I$242,'辅助-汇总损益长表'!$A$2:$A$242,"净利率",'辅助-汇总损益长表'!$B$2:$B$242,CV$2)</f>
        <v>0.21624187705306894</v>
      </c>
      <c r="CW60" s="82">
        <f>SUMIFS('辅助-汇总损益长表'!$I$2:$I$242,'辅助-汇总损益长表'!$A$2:$A$242,"净利率",'辅助-汇总损益长表'!$B$2:$B$242,CW$2)</f>
        <v>7.5163897759156814E-2</v>
      </c>
      <c r="CX60" s="82">
        <f>SUMIFS('辅助-汇总损益长表'!$I$2:$I$242,'辅助-汇总损益长表'!$A$2:$A$242,"净利率",'辅助-汇总损益长表'!$B$2:$B$242,CX$2)</f>
        <v>6.4989917455423124E-2</v>
      </c>
      <c r="CY60" s="82">
        <f>SUMIFS('辅助-汇总损益长表'!$I$2:$I$242,'辅助-汇总损益长表'!$A$2:$A$242,"净利率",'辅助-汇总损益长表'!$B$2:$B$242,CY$2)</f>
        <v>7.0007871531177296E-2</v>
      </c>
      <c r="CZ60" s="82">
        <f>SUMIFS('辅助-汇总损益长表'!$I$2:$I$242,'辅助-汇总损益长表'!$A$2:$A$242,"净利率",'辅助-汇总损益长表'!$B$2:$B$242,CZ$2)</f>
        <v>7.3119413999728447E-2</v>
      </c>
      <c r="DA60" s="82">
        <f>SUMIFS('辅助-汇总损益长表'!$I$2:$I$242,'辅助-汇总损益长表'!$A$2:$A$242,"净利率",'辅助-汇总损益长表'!$B$2:$B$242,DA$2)</f>
        <v>7.4005617955737388E-2</v>
      </c>
      <c r="DB60" s="82">
        <f>SUMIFS('辅助-汇总损益长表'!$I$2:$I$242,'辅助-汇总损益长表'!$A$2:$A$242,"净利率",'辅助-汇总损益长表'!$B$2:$B$242,DB$2)</f>
        <v>7.5928445394948169E-2</v>
      </c>
      <c r="DC60" s="82">
        <f>SUMIFS('辅助-汇总损益长表'!$I$2:$I$242,'辅助-汇总损益长表'!$A$2:$A$242,"净利率",'辅助-汇总损益长表'!$B$2:$B$242,DC$2)</f>
        <v>7.4371975016201547E-2</v>
      </c>
      <c r="DD60" s="83">
        <f>SUMIFS('辅助-汇总损益长表'!$I$2:$I$242,'辅助-汇总损益长表'!$A$2:$A$242,"净利率",'辅助-汇总损益长表'!$B$2:$B$242,DD$2)</f>
        <v>7.0680061717842968E-2</v>
      </c>
      <c r="DE60" s="83">
        <f>SUMIFS('辅助-汇总损益长表'!$I$2:$I$242,'辅助-汇总损益长表'!$A$2:$A$242,"净利率",'辅助-汇总损益长表'!$B$2:$B$242,DE$2)</f>
        <v>7.2913205506597412E-2</v>
      </c>
      <c r="DF60" s="84"/>
      <c r="DG60" s="82">
        <f>SUMIFS('辅助-汇总损益长表'!$J$2:$J$242,'辅助-汇总损益长表'!$A$2:$A$242,"净利率",'辅助-汇总损益长表'!$B$2:$B$242,DG$2)</f>
        <v>0.23821656702226743</v>
      </c>
      <c r="DH60" s="82">
        <f>SUMIFS('辅助-汇总损益长表'!$J$2:$J$242,'辅助-汇总损益长表'!$A$2:$A$242,"净利率",'辅助-汇总损益长表'!$B$2:$B$242,DH$2)</f>
        <v>-0.70809795629453065</v>
      </c>
      <c r="DI60" s="82">
        <f>SUMIFS('辅助-汇总损益长表'!$J$2:$J$242,'辅助-汇总损益长表'!$A$2:$A$242,"净利率",'辅助-汇总损益长表'!$B$2:$B$242,DI$2)</f>
        <v>0.2802289865320024</v>
      </c>
      <c r="DJ60" s="82">
        <f>SUMIFS('辅助-汇总损益长表'!$J$2:$J$242,'辅助-汇总损益长表'!$A$2:$A$242,"净利率",'辅助-汇总损益长表'!$B$2:$B$242,DJ$2)</f>
        <v>0.14007234421265208</v>
      </c>
      <c r="DK60" s="82">
        <f>SUMIFS('辅助-汇总损益长表'!$J$2:$J$242,'辅助-汇总损益长表'!$A$2:$A$242,"净利率",'辅助-汇总损益长表'!$B$2:$B$242,DK$2)</f>
        <v>0.28941778947113278</v>
      </c>
      <c r="DL60" s="82">
        <f>SUMIFS('辅助-汇总损益长表'!$J$2:$J$242,'辅助-汇总损益长表'!$A$2:$A$242,"净利率",'辅助-汇总损益长表'!$B$2:$B$242,DL$2)</f>
        <v>0.16529689386550844</v>
      </c>
      <c r="DM60" s="82">
        <f>SUMIFS('辅助-汇总损益长表'!$J$2:$J$242,'辅助-汇总损益长表'!$A$2:$A$242,"净利率",'辅助-汇总损益长表'!$B$2:$B$242,DM$2)</f>
        <v>-5.9383248937154944E-2</v>
      </c>
      <c r="DN60" s="82">
        <f>SUMIFS('辅助-汇总损益长表'!$J$2:$J$242,'辅助-汇总损益长表'!$A$2:$A$242,"净利率",'辅助-汇总损益长表'!$B$2:$B$242,DN$2)</f>
        <v>-4.7543313656963765E-2</v>
      </c>
      <c r="DO60" s="82">
        <f>SUMIFS('辅助-汇总损益长表'!$J$2:$J$242,'辅助-汇总损益长表'!$A$2:$A$242,"净利率",'辅助-汇总损益长表'!$B$2:$B$242,DO$2)</f>
        <v>-4.0201584160630167E-2</v>
      </c>
      <c r="DP60" s="82">
        <f>SUMIFS('辅助-汇总损益长表'!$J$2:$J$242,'辅助-汇总损益长表'!$A$2:$A$242,"净利率",'辅助-汇总损益长表'!$B$2:$B$242,DP$2)</f>
        <v>-3.8110573097995606E-2</v>
      </c>
      <c r="DQ60" s="82">
        <f>SUMIFS('辅助-汇总损益长表'!$J$2:$J$242,'辅助-汇总损益长表'!$A$2:$A$242,"净利率",'辅助-汇总损益长表'!$B$2:$B$242,DQ$2)</f>
        <v>-3.3573633920884506E-2</v>
      </c>
      <c r="DR60" s="82">
        <f>SUMIFS('辅助-汇总损益长表'!$J$2:$J$242,'辅助-汇总损益长表'!$A$2:$A$242,"净利率",'辅助-汇总损益长表'!$B$2:$B$242,DR$2)</f>
        <v>-3.7246148310551459E-2</v>
      </c>
      <c r="DS60" s="83">
        <f>SUMIFS('辅助-汇总损益长表'!$J$2:$J$242,'辅助-汇总损益长表'!$A$2:$A$242,"净利率",'辅助-汇总损益长表'!$B$2:$B$242,DS$2)</f>
        <v>4.8299418034822059E-2</v>
      </c>
      <c r="DT60" s="83">
        <f>SUMIFS('辅助-汇总损益长表'!$J$2:$J$242,'辅助-汇总损益长表'!$A$2:$A$242,"净利率",'辅助-汇总损益长表'!$B$2:$B$242,DT$2)</f>
        <v>-4.0688136085187218E-2</v>
      </c>
      <c r="DU60" s="84"/>
      <c r="DV60" s="82">
        <f>SUMIFS('辅助-汇总损益长表'!$K$2:$K$242,'辅助-汇总损益长表'!$A$2:$A$242,"净利率",'辅助-汇总损益长表'!$B$2:$B$242,DV$2)</f>
        <v>1</v>
      </c>
      <c r="DW60" s="82">
        <f>SUMIFS('辅助-汇总损益长表'!$K$2:$K$242,'辅助-汇总损益长表'!$A$2:$A$242,"净利率",'辅助-汇总损益长表'!$B$2:$B$242,DW$2)</f>
        <v>1</v>
      </c>
      <c r="DX60" s="82">
        <f>SUMIFS('辅助-汇总损益长表'!$K$2:$K$242,'辅助-汇总损益长表'!$A$2:$A$242,"净利率",'辅助-汇总损益长表'!$B$2:$B$242,DX$2)</f>
        <v>1</v>
      </c>
      <c r="DY60" s="82">
        <f>SUMIFS('辅助-汇总损益长表'!$K$2:$K$242,'辅助-汇总损益长表'!$A$2:$A$242,"净利率",'辅助-汇总损益长表'!$B$2:$B$242,DY$2)</f>
        <v>1</v>
      </c>
      <c r="DZ60" s="82">
        <f>SUMIFS('辅助-汇总损益长表'!$K$2:$K$242,'辅助-汇总损益长表'!$A$2:$A$242,"净利率",'辅助-汇总损益长表'!$B$2:$B$242,DZ$2)</f>
        <v>1</v>
      </c>
      <c r="EA60" s="82">
        <f>SUMIFS('辅助-汇总损益长表'!$K$2:$K$242,'辅助-汇总损益长表'!$A$2:$A$242,"净利率",'辅助-汇总损益长表'!$B$2:$B$242,EA$2)</f>
        <v>1</v>
      </c>
      <c r="EB60" s="82">
        <f>SUMIFS('辅助-汇总损益长表'!$K$2:$K$242,'辅助-汇总损益长表'!$A$2:$A$242,"净利率",'辅助-汇总损益长表'!$B$2:$B$242,EB$2)</f>
        <v>0.22344034082709519</v>
      </c>
      <c r="EC60" s="82">
        <f>SUMIFS('辅助-汇总损益长表'!$K$2:$K$242,'辅助-汇总损益长表'!$A$2:$A$242,"净利率",'辅助-汇总损益长表'!$B$2:$B$242,EC$2)</f>
        <v>0.19495999868255084</v>
      </c>
      <c r="ED60" s="82">
        <f>SUMIFS('辅助-汇总损益长表'!$K$2:$K$242,'辅助-汇总损益长表'!$A$2:$A$242,"净利率",'辅助-汇总损益长表'!$B$2:$B$242,ED$2)</f>
        <v>0.14681550989458336</v>
      </c>
      <c r="EE60" s="82">
        <f>SUMIFS('辅助-汇总损益长表'!$K$2:$K$242,'辅助-汇总损益长表'!$A$2:$A$242,"净利率",'辅助-汇总损益长表'!$B$2:$B$242,EE$2)</f>
        <v>0.16191716978698589</v>
      </c>
      <c r="EF60" s="82">
        <f>SUMIFS('辅助-汇总损益长表'!$K$2:$K$242,'辅助-汇总损益长表'!$A$2:$A$242,"净利率",'辅助-汇总损益长表'!$B$2:$B$242,EF$2)</f>
        <v>0.15802639538907498</v>
      </c>
      <c r="EG60" s="82">
        <f>SUMIFS('辅助-汇总损益长表'!$K$2:$K$242,'辅助-汇总损益长表'!$A$2:$A$242,"净利率",'辅助-汇总损益长表'!$B$2:$B$242,EG$2)</f>
        <v>0.15609897486316388</v>
      </c>
      <c r="EH60" s="83">
        <f>SUMIFS('辅助-汇总损益长表'!$K$2:$K$242,'辅助-汇总损益长表'!$A$2:$A$242,"净利率",'辅助-汇总损益长表'!$B$2:$B$242,EH$2)</f>
        <v>0.47468188935031147</v>
      </c>
      <c r="EI60" s="83">
        <f>SUMIFS('辅助-汇总损益长表'!$K$2:$K$242,'辅助-汇总损益长表'!$A$2:$A$242,"净利率",'辅助-汇总损益长表'!$B$2:$B$242,EI$2)</f>
        <v>0.17457873967796156</v>
      </c>
      <c r="EJ60" s="85"/>
      <c r="EK60" s="82">
        <f>SUMIFS('辅助-汇总损益长表'!$L$2:$L$242,'辅助-汇总损益长表'!$A$2:$A$242,"净利率",'辅助-汇总损益长表'!$B$2:$B$242,EK$2)</f>
        <v>0.11406137710158472</v>
      </c>
      <c r="EL60" s="82">
        <f>SUMIFS('辅助-汇总损益长表'!$L$2:$L$242,'辅助-汇总损益长表'!$A$2:$A$242,"净利率",'辅助-汇总损益长表'!$B$2:$B$242,EL$2)</f>
        <v>0.14426782996784401</v>
      </c>
      <c r="EM60" s="82">
        <f>SUMIFS('辅助-汇总损益长表'!$L$2:$L$242,'辅助-汇总损益长表'!$A$2:$A$242,"净利率",'辅助-汇总损益长表'!$B$2:$B$242,EM$2)</f>
        <v>7.040903139790114E-2</v>
      </c>
      <c r="EN60" s="82">
        <f>SUMIFS('辅助-汇总损益长表'!$L$2:$L$242,'辅助-汇总损益长表'!$A$2:$A$242,"净利率",'辅助-汇总损益长表'!$B$2:$B$242,EN$2)</f>
        <v>0.1141454787388262</v>
      </c>
      <c r="EO60" s="82">
        <f>SUMIFS('辅助-汇总损益长表'!$L$2:$L$242,'辅助-汇总损益长表'!$A$2:$A$242,"净利率",'辅助-汇总损益长表'!$B$2:$B$242,EO$2)</f>
        <v>0.12567145011454284</v>
      </c>
      <c r="EP60" s="82">
        <f>SUMIFS('辅助-汇总损益长表'!$L$2:$L$242,'辅助-汇总损益长表'!$A$2:$A$242,"净利率",'辅助-汇总损益长表'!$B$2:$B$242,EP$2)</f>
        <v>0.12049097385199579</v>
      </c>
      <c r="EQ60" s="82">
        <f>SUMIFS('辅助-汇总损益长表'!$L$2:$L$242,'辅助-汇总损益长表'!$A$2:$A$242,"净利率",'辅助-汇总损益长表'!$B$2:$B$242,EQ$2)</f>
        <v>7.3429956527788609E-2</v>
      </c>
      <c r="ER60" s="82">
        <f>SUMIFS('辅助-汇总损益长表'!$L$2:$L$242,'辅助-汇总损益长表'!$A$2:$A$242,"净利率",'辅助-汇总损益长表'!$B$2:$B$242,ER$2)</f>
        <v>7.3429956527788637E-2</v>
      </c>
      <c r="ES60" s="82">
        <f>SUMIFS('辅助-汇总损益长表'!$L$2:$L$242,'辅助-汇总损益长表'!$A$2:$A$242,"净利率",'辅助-汇总损益长表'!$B$2:$B$242,ES$2)</f>
        <v>7.3429956527788609E-2</v>
      </c>
      <c r="ET60" s="82">
        <f>SUMIFS('辅助-汇总损益长表'!$L$2:$L$242,'辅助-汇总损益长表'!$A$2:$A$242,"净利率",'辅助-汇总损益长表'!$B$2:$B$242,ET$2)</f>
        <v>7.342995652778872E-2</v>
      </c>
      <c r="EU60" s="82">
        <f>SUMIFS('辅助-汇总损益长表'!$L$2:$L$242,'辅助-汇总损益长表'!$A$2:$A$242,"净利率",'辅助-汇总损益长表'!$B$2:$B$242,EU$2)</f>
        <v>7.3429956527788678E-2</v>
      </c>
      <c r="EV60" s="82">
        <f>SUMIFS('辅助-汇总损益长表'!$L$2:$L$242,'辅助-汇总损益长表'!$A$2:$A$242,"净利率",'辅助-汇总损益长表'!$B$2:$B$242,EV$2)</f>
        <v>7.342995652778872E-2</v>
      </c>
      <c r="EW60" s="83">
        <f>SUMIFS('辅助-汇总损益长表'!$L$2:$L$242,'辅助-汇总损益长表'!$A$2:$A$242,"净利率",'辅助-汇总损益长表'!$B$2:$B$242,EW$2)</f>
        <v>9.6306058277317488E-2</v>
      </c>
      <c r="EX60" s="83">
        <f>SUMIFS('辅助-汇总损益长表'!$L$2:$L$242,'辅助-汇总损益长表'!$A$2:$A$242,"净利率",'辅助-汇总损益长表'!$B$2:$B$242,EX$2)</f>
        <v>7.3429956527788665E-2</v>
      </c>
      <c r="EY60" s="7"/>
    </row>
    <row r="61" spans="1:155" ht="16" customHeight="1">
      <c r="A61" s="42"/>
      <c r="B61" s="42"/>
      <c r="C61" s="42"/>
      <c r="D61" s="42"/>
      <c r="E61" s="42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7"/>
      <c r="AL61" s="97"/>
      <c r="AM61" s="97"/>
      <c r="AN61" s="97"/>
      <c r="AO61" s="97"/>
      <c r="AP61" s="97"/>
      <c r="AQ61" s="97"/>
      <c r="AR61" s="97"/>
      <c r="AS61" s="97"/>
      <c r="AT61" s="97"/>
      <c r="AU61" s="97"/>
      <c r="AV61" s="97"/>
      <c r="AW61" s="97"/>
      <c r="AX61" s="97"/>
      <c r="AY61" s="97"/>
      <c r="AZ61" s="97"/>
      <c r="BA61" s="97"/>
      <c r="BB61" s="97"/>
      <c r="BC61" s="97"/>
      <c r="BD61" s="97"/>
      <c r="BE61" s="97"/>
      <c r="BF61" s="97"/>
      <c r="BG61" s="97"/>
      <c r="BH61" s="97"/>
      <c r="BI61" s="97"/>
      <c r="BJ61" s="97"/>
      <c r="BK61" s="97"/>
      <c r="BL61" s="97"/>
      <c r="BM61" s="97"/>
      <c r="BN61" s="97"/>
      <c r="BO61" s="97"/>
      <c r="BP61" s="97"/>
      <c r="BQ61" s="97"/>
      <c r="BR61" s="97"/>
      <c r="BS61" s="97"/>
      <c r="BT61" s="97"/>
      <c r="BU61" s="97"/>
      <c r="BV61" s="97"/>
      <c r="BW61" s="97"/>
      <c r="BX61" s="97"/>
      <c r="BY61" s="97"/>
      <c r="BZ61" s="97"/>
      <c r="CA61" s="97"/>
      <c r="CB61" s="97"/>
      <c r="CC61" s="97"/>
      <c r="CD61" s="97"/>
      <c r="CE61" s="97"/>
      <c r="CF61" s="97"/>
      <c r="CG61" s="97"/>
      <c r="CH61" s="97"/>
      <c r="CI61" s="97"/>
      <c r="CJ61" s="97"/>
      <c r="CK61" s="97"/>
      <c r="CL61" s="97"/>
      <c r="CM61" s="97"/>
      <c r="CN61" s="97"/>
      <c r="CO61" s="97"/>
      <c r="CP61" s="97"/>
      <c r="CQ61" s="97"/>
      <c r="CR61" s="97"/>
      <c r="CS61" s="97"/>
      <c r="CT61" s="97"/>
      <c r="CU61" s="97"/>
      <c r="CV61" s="97"/>
      <c r="CW61" s="97"/>
      <c r="CX61" s="97"/>
      <c r="CY61" s="97"/>
      <c r="CZ61" s="97"/>
      <c r="DA61" s="97"/>
      <c r="DB61" s="97"/>
      <c r="DC61" s="97"/>
      <c r="DD61" s="97"/>
      <c r="DE61" s="97"/>
      <c r="DF61" s="97"/>
      <c r="DG61" s="97"/>
      <c r="DH61" s="97"/>
      <c r="DI61" s="97"/>
      <c r="DJ61" s="97"/>
      <c r="DK61" s="97"/>
      <c r="DL61" s="97"/>
      <c r="DM61" s="97"/>
      <c r="DN61" s="97"/>
      <c r="DO61" s="97"/>
      <c r="DP61" s="97"/>
      <c r="DQ61" s="97"/>
      <c r="DR61" s="97"/>
      <c r="DS61" s="97"/>
      <c r="DT61" s="97"/>
      <c r="DU61" s="97"/>
      <c r="DV61" s="97"/>
      <c r="DW61" s="97"/>
      <c r="DX61" s="97"/>
      <c r="DY61" s="97"/>
      <c r="DZ61" s="97"/>
      <c r="EA61" s="97"/>
      <c r="EB61" s="97"/>
      <c r="EC61" s="97"/>
      <c r="ED61" s="97"/>
      <c r="EE61" s="97"/>
      <c r="EF61" s="97"/>
      <c r="EG61" s="97"/>
      <c r="EH61" s="97"/>
      <c r="EI61" s="97"/>
      <c r="EJ61" s="42"/>
      <c r="EK61" s="97"/>
      <c r="EL61" s="97"/>
      <c r="EM61" s="97"/>
      <c r="EN61" s="97"/>
      <c r="EO61" s="97"/>
      <c r="EP61" s="97"/>
      <c r="EQ61" s="97"/>
      <c r="ER61" s="97"/>
      <c r="ES61" s="97"/>
      <c r="ET61" s="97"/>
      <c r="EU61" s="97"/>
      <c r="EV61" s="97"/>
      <c r="EW61" s="97"/>
      <c r="EX61" s="97"/>
      <c r="EY61" s="11"/>
    </row>
    <row r="62" spans="1:155" ht="16" customHeight="1">
      <c r="A62" s="48"/>
      <c r="B62" s="48" t="s">
        <v>109</v>
      </c>
      <c r="C62" s="48"/>
      <c r="D62" s="48"/>
      <c r="E62" s="48"/>
      <c r="F62" s="377" t="str">
        <f>IF(R59&gt;=0,"公司整体盈利：","公司整体亏损：")&amp;"全年净利润"&amp;TEXT(R59,"#,##0.0")&amp;"万元；净利率"&amp;TEXT(R60,"0.0%")&amp;"。优先看高亏损渠道、管理费用固定额、分红奖金和销售费用率的联动影响。"</f>
        <v>公司整体盈利：全年净利润1,485.4万元；净利率9.8%。优先看高亏损渠道、管理费用固定额、分红奖金和销售费用率的联动影响。</v>
      </c>
      <c r="G62" s="377"/>
      <c r="H62" s="377"/>
      <c r="I62" s="377"/>
      <c r="J62" s="377"/>
      <c r="K62" s="377"/>
      <c r="L62" s="377"/>
      <c r="M62" s="377"/>
      <c r="N62" s="377"/>
      <c r="O62" s="377"/>
      <c r="P62" s="377"/>
      <c r="Q62" s="377"/>
      <c r="R62" s="377"/>
      <c r="S62" s="377"/>
      <c r="T62" s="101"/>
      <c r="U62" s="377" t="str">
        <f>IF(AG41&gt;=0,"盈利：","亏损：")&amp;"全年渠道贡献"&amp;TEXT(AG41,"#,##0.0")&amp;"万元；"&amp;"毛利率"&amp;TEXT(AG6,"0.0%")&amp;"，销售费用率"&amp;TEXT(AG8,"0.0%")&amp;"。主要归因："&amp;IF(AG41&lt;0,IF(AG6&lt;0.35,"毛利不足，优先复核机制售价、主品成本和赠品结构；",IF(AG8&gt;0.45,"销售费用率偏高，优先压降投流ROI、达人佣金、平台费用和物流；","收入规模未覆盖固定/公共费用，需复核目标拆分和费用投入节奏；")),IF(AG8&gt;0.45,"盈利但销售费用率偏高，继续优化投流ROI、佣金和物流费用；",IF(AG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519.4万元；毛利率69.1%，销售费用率55.9%。主要归因：盈利但销售费用率偏高，继续优化投流ROI、佣金和物流费用；调节方向：按贡献优先级调整目标、机制结构、投流ROI、赠品/物流/返佣政策。</v>
      </c>
      <c r="V62" s="377"/>
      <c r="W62" s="377"/>
      <c r="X62" s="377"/>
      <c r="Y62" s="377"/>
      <c r="Z62" s="377"/>
      <c r="AA62" s="377"/>
      <c r="AB62" s="377"/>
      <c r="AC62" s="377"/>
      <c r="AD62" s="377"/>
      <c r="AE62" s="377"/>
      <c r="AF62" s="377"/>
      <c r="AG62" s="377"/>
      <c r="AH62" s="377"/>
      <c r="AI62" s="101"/>
      <c r="AJ62" s="377" t="str">
        <f>IF(AV41&gt;=0,"盈利：","亏损：")&amp;"全年渠道贡献"&amp;TEXT(AV41,"#,##0.0")&amp;"万元；"&amp;"毛利率"&amp;TEXT(AV6,"0.0%")&amp;"，销售费用率"&amp;TEXT(AV8,"0.0%")&amp;"。主要归因："&amp;IF(AV41&lt;0,IF(AV6&lt;0.35,"毛利不足，优先复核机制售价、主品成本和赠品结构；",IF(AV8&gt;0.45,"销售费用率偏高，优先压降投流ROI、达人佣金、平台费用和物流；","收入规模未覆盖固定/公共费用，需复核目标拆分和费用投入节奏；")),IF(AV8&gt;0.45,"盈利但销售费用率偏高，继续优化投流ROI、佣金和物流费用；",IF(AV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亏损：全年渠道贡献-164.1万元；毛利率69.1%，销售费用率92.3%。主要归因：销售费用率偏高，优先压降投流ROI、达人佣金、平台费用和物流；调节方向：按贡献优先级调整目标、机制结构、投流ROI、赠品/物流/返佣政策。</v>
      </c>
      <c r="AK62" s="377"/>
      <c r="AL62" s="377"/>
      <c r="AM62" s="377"/>
      <c r="AN62" s="377"/>
      <c r="AO62" s="377"/>
      <c r="AP62" s="377"/>
      <c r="AQ62" s="377"/>
      <c r="AR62" s="377"/>
      <c r="AS62" s="377"/>
      <c r="AT62" s="377"/>
      <c r="AU62" s="377"/>
      <c r="AV62" s="377"/>
      <c r="AW62" s="377"/>
      <c r="AX62" s="101"/>
      <c r="AY62" s="377" t="str">
        <f>IF(BK41&gt;=0,"盈利：","亏损：")&amp;"全年渠道贡献"&amp;TEXT(BK41,"#,##0.0")&amp;"万元；"&amp;"毛利率"&amp;TEXT(BK6,"0.0%")&amp;"，销售费用率"&amp;TEXT(BK8,"0.0%")&amp;"。主要归因："&amp;IF(BK41&lt;0,IF(BK6&lt;0.35,"毛利不足，优先复核机制售价、主品成本和赠品结构；",IF(BK8&gt;0.45,"销售费用率偏高，优先压降投流ROI、达人佣金、平台费用和物流；","收入规模未覆盖固定/公共费用，需复核目标拆分和费用投入节奏；")),IF(BK8&gt;0.45,"盈利但销售费用率偏高，继续优化投流ROI、佣金和物流费用；",IF(BK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盈利：全年渠道贡献108.2万元；毛利率69.0%，销售费用率42.6%。主要归因：毛利和费用结构相对可控，重点维持ROI和高毛利机制占比；调节方向：按贡献优先级调整目标、机制结构、投流ROI、赠品/物流/返佣政策。</v>
      </c>
      <c r="AZ62" s="377"/>
      <c r="BA62" s="377"/>
      <c r="BB62" s="377"/>
      <c r="BC62" s="377"/>
      <c r="BD62" s="377"/>
      <c r="BE62" s="377"/>
      <c r="BF62" s="377"/>
      <c r="BG62" s="377"/>
      <c r="BH62" s="377"/>
      <c r="BI62" s="377"/>
      <c r="BJ62" s="377"/>
      <c r="BK62" s="377"/>
      <c r="BL62" s="377"/>
      <c r="BM62" s="101"/>
      <c r="BN62" s="377" t="str">
        <f>IF(BZ41&gt;=0,"盈利：","亏损：")&amp;"全年渠道贡献"&amp;TEXT(BZ41,"#,##0.0")&amp;"万元；"&amp;"毛利率"&amp;TEXT(BZ6,"0.0%")&amp;"，销售费用率"&amp;TEXT(BZ8,"0.0%")&amp;"。主要归因："&amp;IF(BZ41&lt;0,IF(BZ6&lt;0.35,"毛利不足，优先复核机制售价、主品成本和赠品结构；",IF(BZ8&gt;0.45,"销售费用率偏高，优先压降投流ROI、达人佣金、平台费用和物流；","收入规模未覆盖固定/公共费用，需复核目标拆分和费用投入节奏；")),IF(BZ8&gt;0.45,"盈利但销售费用率偏高，继续优化投流ROI、佣金和物流费用；",IF(BZ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盈利：全年渠道贡献10.4万元；毛利率69.1%，销售费用率39.6%。主要归因：毛利和费用结构相对可控，重点维持ROI和高毛利机制占比；调节方向：按贡献优先级调整目标、机制结构、投流ROI、赠品/物流/返佣政策。</v>
      </c>
      <c r="BO62" s="377"/>
      <c r="BP62" s="377"/>
      <c r="BQ62" s="377"/>
      <c r="BR62" s="377"/>
      <c r="BS62" s="377"/>
      <c r="BT62" s="377"/>
      <c r="BU62" s="377"/>
      <c r="BV62" s="377"/>
      <c r="BW62" s="377"/>
      <c r="BX62" s="377"/>
      <c r="BY62" s="377"/>
      <c r="BZ62" s="377"/>
      <c r="CA62" s="377"/>
      <c r="CB62" s="101"/>
      <c r="CC62" s="377" t="str">
        <f>IF(CO41&gt;=0,"盈利：","亏损：")&amp;"全年渠道贡献"&amp;TEXT(CO41,"#,##0.0")&amp;"万元；"&amp;"毛利率"&amp;TEXT(CO6,"0.0%")&amp;"，销售费用率"&amp;TEXT(CO8,"0.0%")&amp;"。主要归因："&amp;IF(CO41&lt;0,IF(CO6&lt;0.35,"毛利不足，优先复核机制售价、主品成本和赠品结构；",IF(CO8&gt;0.45,"销售费用率偏高，优先压降投流ROI、达人佣金、平台费用和物流；","收入规模未覆盖固定/公共费用，需复核目标拆分和费用投入节奏；")),IF(CO8&gt;0.45,"盈利但销售费用率偏高，继续优化投流ROI、佣金和物流费用；",IF(CO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盈利：全年渠道贡献98.9万元；毛利率69.1%，销售费用率41.0%。主要归因：毛利和费用结构相对可控，重点维持ROI和高毛利机制占比；调节方向：按贡献优先级调整目标、机制结构、投流ROI、赠品/物流/返佣政策。</v>
      </c>
      <c r="CD62" s="377"/>
      <c r="CE62" s="377"/>
      <c r="CF62" s="377"/>
      <c r="CG62" s="377"/>
      <c r="CH62" s="377"/>
      <c r="CI62" s="377"/>
      <c r="CJ62" s="377"/>
      <c r="CK62" s="377"/>
      <c r="CL62" s="377"/>
      <c r="CM62" s="377"/>
      <c r="CN62" s="377"/>
      <c r="CO62" s="377"/>
      <c r="CP62" s="377"/>
      <c r="CQ62" s="101"/>
      <c r="CR62" s="377" t="str">
        <f>IF(DD41&gt;=0,"盈利：","亏损：")&amp;"全年渠道贡献"&amp;TEXT(DD41,"#,##0.0")&amp;"万元；"&amp;"毛利率"&amp;TEXT(DD6,"0.0%")&amp;"，销售费用率"&amp;TEXT(DD8,"0.0%")&amp;"。主要归因："&amp;IF(DD41&lt;0,IF(DD6&lt;0.35,"毛利不足，优先复核机制售价、主品成本和赠品结构；",IF(DD8&gt;0.45,"销售费用率偏高，优先压降投流ROI、达人佣金、平台费用和物流；","收入规模未覆盖固定/公共费用，需复核目标拆分和费用投入节奏；")),IF(DD8&gt;0.45,"盈利但销售费用率偏高，继续优化投流ROI、佣金和物流费用；",IF(DD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389.0万元；毛利率69.0%，销售费用率62.0%。主要归因：盈利但销售费用率偏高，继续优化投流ROI、佣金和物流费用；调节方向：按贡献优先级调整目标、机制结构、投流ROI、赠品/物流/返佣政策。</v>
      </c>
      <c r="CS62" s="377"/>
      <c r="CT62" s="377"/>
      <c r="CU62" s="377"/>
      <c r="CV62" s="377"/>
      <c r="CW62" s="377"/>
      <c r="CX62" s="377"/>
      <c r="CY62" s="377"/>
      <c r="CZ62" s="377"/>
      <c r="DA62" s="377"/>
      <c r="DB62" s="377"/>
      <c r="DC62" s="377"/>
      <c r="DD62" s="377"/>
      <c r="DE62" s="377"/>
      <c r="DF62" s="101"/>
      <c r="DG62" s="377" t="str">
        <f>IF(DS41&gt;=0,"盈利：","亏损：")&amp;"全年渠道贡献"&amp;TEXT(DS41,"#,##0.0")&amp;"万元；"&amp;"毛利率"&amp;TEXT(DS6,"0.0%")&amp;"，销售费用率"&amp;TEXT(DS8,"0.0%")&amp;"。主要归因："&amp;IF(DS41&lt;0,IF(DS6&lt;0.35,"毛利不足，优先复核机制售价、主品成本和赠品结构；",IF(DS8&gt;0.45,"销售费用率偏高，优先压降投流ROI、达人佣金、平台费用和物流；","收入规模未覆盖固定/公共费用，需复核目标拆分和费用投入节奏；")),IF(DS8&gt;0.45,"盈利但销售费用率偏高，继续优化投流ROI、佣金和物流费用；",IF(DS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60.7万元；毛利率61.1%，销售费用率56.2%。主要归因：盈利但销售费用率偏高，继续优化投流ROI、佣金和物流费用；调节方向：按贡献优先级调整目标、机制结构、投流ROI、赠品/物流/返佣政策。</v>
      </c>
      <c r="DH62" s="377"/>
      <c r="DI62" s="377"/>
      <c r="DJ62" s="377"/>
      <c r="DK62" s="377"/>
      <c r="DL62" s="377"/>
      <c r="DM62" s="377"/>
      <c r="DN62" s="377"/>
      <c r="DO62" s="377"/>
      <c r="DP62" s="377"/>
      <c r="DQ62" s="377"/>
      <c r="DR62" s="377"/>
      <c r="DS62" s="377"/>
      <c r="DT62" s="377"/>
      <c r="DU62" s="101"/>
      <c r="DV62" s="377" t="str">
        <f>IF(EH41&gt;=0,"盈利：","亏损：")&amp;"全年渠道贡献"&amp;TEXT(EH41,"#,##0.0")&amp;"万元；"&amp;"毛利率"&amp;TEXT(EH6,"0.0%")&amp;"，销售费用率"&amp;TEXT(EH8,"0.0%")&amp;"。主要归因："&amp;IF(EH41&lt;0,IF(EH6&lt;0.35,"毛利不足，优先复核机制售价、主品成本和赠品结构；",IF(EH8&gt;0.45,"销售费用率偏高，优先压降投流ROI、达人佣金、平台费用和物流；","收入规模未覆盖固定/公共费用，需复核目标拆分和费用投入节奏；")),IF(EH8&gt;0.45,"盈利但销售费用率偏高，继续优化投流ROI、佣金和物流费用；",IF(EH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盈利：全年渠道贡献149.6万元；毛利率74.9%，销售费用率27.4%。主要归因：毛利和费用结构相对可控，重点维持ROI和高毛利机制占比；调节方向：按贡献优先级调整目标、机制结构、投流ROI、赠品/物流/返佣政策。</v>
      </c>
      <c r="DW62" s="377"/>
      <c r="DX62" s="377"/>
      <c r="DY62" s="377"/>
      <c r="DZ62" s="377"/>
      <c r="EA62" s="377"/>
      <c r="EB62" s="377"/>
      <c r="EC62" s="377"/>
      <c r="ED62" s="377"/>
      <c r="EE62" s="377"/>
      <c r="EF62" s="377"/>
      <c r="EG62" s="377"/>
      <c r="EH62" s="377"/>
      <c r="EI62" s="377"/>
      <c r="EJ62" s="42"/>
      <c r="EK62" s="377" t="str">
        <f>IF(EW41&gt;=0,"盈利：","亏损：")&amp;"全年渠道贡献"&amp;TEXT(EW41,"#,##0.0")&amp;"万元；"&amp;"毛利率"&amp;TEXT(EW6,"0.0%")&amp;"，销售费用率"&amp;TEXT(EW8,"0.0%")&amp;"。主要归因："&amp;IF(EW41&lt;0,IF(EW6&lt;0.35,"毛利不足，优先复核机制售价、主品成本和赠品结构；",IF(EW8&gt;0.45,"销售费用率偏高，优先压降投流ROI、达人佣金、平台费用和物流；","收入规模未覆盖固定/公共费用，需复核目标拆分和费用投入节奏；")),IF(EW8&gt;0.45,"盈利但销售费用率偏高，继续优化投流ROI、佣金和物流费用；",IF(EW6&lt;0.35,"盈利但毛利率偏低，需提升高毛利机制占比和到手价；","毛利和费用结构相对可控，重点维持ROI和高毛利机制占比；")))&amp;"调节方向：按贡献优先级调整目标、机制结构、投流ROI、赠品/物流/返佣政策。"</f>
        <v>盈利：全年渠道贡献137.1万元；毛利率16.0%，销售费用率6.4%。主要归因：盈利但毛利率偏低，需提升高毛利机制占比和到手价；调节方向：按贡献优先级调整目标、机制结构、投流ROI、赠品/物流/返佣政策。</v>
      </c>
      <c r="EL62" s="377"/>
      <c r="EM62" s="377"/>
      <c r="EN62" s="377"/>
      <c r="EO62" s="377"/>
      <c r="EP62" s="377"/>
      <c r="EQ62" s="377"/>
      <c r="ER62" s="377"/>
      <c r="ES62" s="377"/>
      <c r="ET62" s="377"/>
      <c r="EU62" s="377"/>
      <c r="EV62" s="377"/>
      <c r="EW62" s="377"/>
      <c r="EX62" s="377"/>
      <c r="EY62" s="12"/>
    </row>
    <row r="63" spans="1:155" ht="16" customHeight="1">
      <c r="A63" s="42"/>
      <c r="B63" s="42"/>
      <c r="C63" s="42"/>
      <c r="D63" s="42"/>
      <c r="E63" s="42"/>
      <c r="F63" s="377"/>
      <c r="G63" s="377"/>
      <c r="H63" s="377"/>
      <c r="I63" s="377"/>
      <c r="J63" s="377"/>
      <c r="K63" s="377"/>
      <c r="L63" s="377"/>
      <c r="M63" s="377"/>
      <c r="N63" s="377"/>
      <c r="O63" s="377"/>
      <c r="P63" s="377"/>
      <c r="Q63" s="377"/>
      <c r="R63" s="377"/>
      <c r="S63" s="377"/>
      <c r="T63" s="101"/>
      <c r="U63" s="377"/>
      <c r="V63" s="377"/>
      <c r="W63" s="377"/>
      <c r="X63" s="377"/>
      <c r="Y63" s="377"/>
      <c r="Z63" s="377"/>
      <c r="AA63" s="377"/>
      <c r="AB63" s="377"/>
      <c r="AC63" s="377"/>
      <c r="AD63" s="377"/>
      <c r="AE63" s="377"/>
      <c r="AF63" s="377"/>
      <c r="AG63" s="377"/>
      <c r="AH63" s="377"/>
      <c r="AI63" s="101"/>
      <c r="AJ63" s="377"/>
      <c r="AK63" s="377"/>
      <c r="AL63" s="377"/>
      <c r="AM63" s="377"/>
      <c r="AN63" s="377"/>
      <c r="AO63" s="377"/>
      <c r="AP63" s="377"/>
      <c r="AQ63" s="377"/>
      <c r="AR63" s="377"/>
      <c r="AS63" s="377"/>
      <c r="AT63" s="377"/>
      <c r="AU63" s="377"/>
      <c r="AV63" s="377"/>
      <c r="AW63" s="377"/>
      <c r="AX63" s="101"/>
      <c r="AY63" s="377"/>
      <c r="AZ63" s="377"/>
      <c r="BA63" s="377"/>
      <c r="BB63" s="377"/>
      <c r="BC63" s="377"/>
      <c r="BD63" s="377"/>
      <c r="BE63" s="377"/>
      <c r="BF63" s="377"/>
      <c r="BG63" s="377"/>
      <c r="BH63" s="377"/>
      <c r="BI63" s="377"/>
      <c r="BJ63" s="377"/>
      <c r="BK63" s="377"/>
      <c r="BL63" s="377"/>
      <c r="BM63" s="101"/>
      <c r="BN63" s="377"/>
      <c r="BO63" s="377"/>
      <c r="BP63" s="377"/>
      <c r="BQ63" s="377"/>
      <c r="BR63" s="377"/>
      <c r="BS63" s="377"/>
      <c r="BT63" s="377"/>
      <c r="BU63" s="377"/>
      <c r="BV63" s="377"/>
      <c r="BW63" s="377"/>
      <c r="BX63" s="377"/>
      <c r="BY63" s="377"/>
      <c r="BZ63" s="377"/>
      <c r="CA63" s="377"/>
      <c r="CB63" s="101"/>
      <c r="CC63" s="377"/>
      <c r="CD63" s="377"/>
      <c r="CE63" s="377"/>
      <c r="CF63" s="377"/>
      <c r="CG63" s="377"/>
      <c r="CH63" s="377"/>
      <c r="CI63" s="377"/>
      <c r="CJ63" s="377"/>
      <c r="CK63" s="377"/>
      <c r="CL63" s="377"/>
      <c r="CM63" s="377"/>
      <c r="CN63" s="377"/>
      <c r="CO63" s="377"/>
      <c r="CP63" s="377"/>
      <c r="CQ63" s="101"/>
      <c r="CR63" s="377"/>
      <c r="CS63" s="377"/>
      <c r="CT63" s="377"/>
      <c r="CU63" s="377"/>
      <c r="CV63" s="377"/>
      <c r="CW63" s="377"/>
      <c r="CX63" s="377"/>
      <c r="CY63" s="377"/>
      <c r="CZ63" s="377"/>
      <c r="DA63" s="377"/>
      <c r="DB63" s="377"/>
      <c r="DC63" s="377"/>
      <c r="DD63" s="377"/>
      <c r="DE63" s="377"/>
      <c r="DF63" s="101"/>
      <c r="DG63" s="377"/>
      <c r="DH63" s="377"/>
      <c r="DI63" s="377"/>
      <c r="DJ63" s="377"/>
      <c r="DK63" s="377"/>
      <c r="DL63" s="377"/>
      <c r="DM63" s="377"/>
      <c r="DN63" s="377"/>
      <c r="DO63" s="377"/>
      <c r="DP63" s="377"/>
      <c r="DQ63" s="377"/>
      <c r="DR63" s="377"/>
      <c r="DS63" s="377"/>
      <c r="DT63" s="377"/>
      <c r="DU63" s="101"/>
      <c r="DV63" s="377"/>
      <c r="DW63" s="377"/>
      <c r="DX63" s="377"/>
      <c r="DY63" s="377"/>
      <c r="DZ63" s="377"/>
      <c r="EA63" s="377"/>
      <c r="EB63" s="377"/>
      <c r="EC63" s="377"/>
      <c r="ED63" s="377"/>
      <c r="EE63" s="377"/>
      <c r="EF63" s="377"/>
      <c r="EG63" s="377"/>
      <c r="EH63" s="377"/>
      <c r="EI63" s="377"/>
      <c r="EJ63" s="42"/>
      <c r="EK63" s="377"/>
      <c r="EL63" s="377"/>
      <c r="EM63" s="377"/>
      <c r="EN63" s="377"/>
      <c r="EO63" s="377"/>
      <c r="EP63" s="377"/>
      <c r="EQ63" s="377"/>
      <c r="ER63" s="377"/>
      <c r="ES63" s="377"/>
      <c r="ET63" s="377"/>
      <c r="EU63" s="377"/>
      <c r="EV63" s="377"/>
      <c r="EW63" s="377"/>
      <c r="EX63" s="377"/>
      <c r="EY63" s="12"/>
    </row>
    <row r="64" spans="1:155" ht="16" customHeight="1">
      <c r="A64" s="42"/>
      <c r="B64" s="42"/>
      <c r="C64" s="42"/>
      <c r="D64" s="42"/>
      <c r="E64" s="42"/>
      <c r="F64" s="377"/>
      <c r="G64" s="377"/>
      <c r="H64" s="377"/>
      <c r="I64" s="377"/>
      <c r="J64" s="377"/>
      <c r="K64" s="377"/>
      <c r="L64" s="377"/>
      <c r="M64" s="377"/>
      <c r="N64" s="377"/>
      <c r="O64" s="377"/>
      <c r="P64" s="377"/>
      <c r="Q64" s="377"/>
      <c r="R64" s="377"/>
      <c r="S64" s="377"/>
      <c r="T64" s="101"/>
      <c r="U64" s="377"/>
      <c r="V64" s="377"/>
      <c r="W64" s="377"/>
      <c r="X64" s="377"/>
      <c r="Y64" s="377"/>
      <c r="Z64" s="377"/>
      <c r="AA64" s="377"/>
      <c r="AB64" s="377"/>
      <c r="AC64" s="377"/>
      <c r="AD64" s="377"/>
      <c r="AE64" s="377"/>
      <c r="AF64" s="377"/>
      <c r="AG64" s="377"/>
      <c r="AH64" s="377"/>
      <c r="AI64" s="101"/>
      <c r="AJ64" s="377"/>
      <c r="AK64" s="377"/>
      <c r="AL64" s="377"/>
      <c r="AM64" s="377"/>
      <c r="AN64" s="377"/>
      <c r="AO64" s="377"/>
      <c r="AP64" s="377"/>
      <c r="AQ64" s="377"/>
      <c r="AR64" s="377"/>
      <c r="AS64" s="377"/>
      <c r="AT64" s="377"/>
      <c r="AU64" s="377"/>
      <c r="AV64" s="377"/>
      <c r="AW64" s="377"/>
      <c r="AX64" s="101"/>
      <c r="AY64" s="377"/>
      <c r="AZ64" s="377"/>
      <c r="BA64" s="377"/>
      <c r="BB64" s="377"/>
      <c r="BC64" s="377"/>
      <c r="BD64" s="377"/>
      <c r="BE64" s="377"/>
      <c r="BF64" s="377"/>
      <c r="BG64" s="377"/>
      <c r="BH64" s="377"/>
      <c r="BI64" s="377"/>
      <c r="BJ64" s="377"/>
      <c r="BK64" s="377"/>
      <c r="BL64" s="377"/>
      <c r="BM64" s="101"/>
      <c r="BN64" s="377"/>
      <c r="BO64" s="377"/>
      <c r="BP64" s="377"/>
      <c r="BQ64" s="377"/>
      <c r="BR64" s="377"/>
      <c r="BS64" s="377"/>
      <c r="BT64" s="377"/>
      <c r="BU64" s="377"/>
      <c r="BV64" s="377"/>
      <c r="BW64" s="377"/>
      <c r="BX64" s="377"/>
      <c r="BY64" s="377"/>
      <c r="BZ64" s="377"/>
      <c r="CA64" s="377"/>
      <c r="CB64" s="101"/>
      <c r="CC64" s="377"/>
      <c r="CD64" s="377"/>
      <c r="CE64" s="377"/>
      <c r="CF64" s="377"/>
      <c r="CG64" s="377"/>
      <c r="CH64" s="377"/>
      <c r="CI64" s="377"/>
      <c r="CJ64" s="377"/>
      <c r="CK64" s="377"/>
      <c r="CL64" s="377"/>
      <c r="CM64" s="377"/>
      <c r="CN64" s="377"/>
      <c r="CO64" s="377"/>
      <c r="CP64" s="377"/>
      <c r="CQ64" s="101"/>
      <c r="CR64" s="377"/>
      <c r="CS64" s="377"/>
      <c r="CT64" s="377"/>
      <c r="CU64" s="377"/>
      <c r="CV64" s="377"/>
      <c r="CW64" s="377"/>
      <c r="CX64" s="377"/>
      <c r="CY64" s="377"/>
      <c r="CZ64" s="377"/>
      <c r="DA64" s="377"/>
      <c r="DB64" s="377"/>
      <c r="DC64" s="377"/>
      <c r="DD64" s="377"/>
      <c r="DE64" s="377"/>
      <c r="DF64" s="101"/>
      <c r="DG64" s="377"/>
      <c r="DH64" s="377"/>
      <c r="DI64" s="377"/>
      <c r="DJ64" s="377"/>
      <c r="DK64" s="377"/>
      <c r="DL64" s="377"/>
      <c r="DM64" s="377"/>
      <c r="DN64" s="377"/>
      <c r="DO64" s="377"/>
      <c r="DP64" s="377"/>
      <c r="DQ64" s="377"/>
      <c r="DR64" s="377"/>
      <c r="DS64" s="377"/>
      <c r="DT64" s="377"/>
      <c r="DU64" s="101"/>
      <c r="DV64" s="377"/>
      <c r="DW64" s="377"/>
      <c r="DX64" s="377"/>
      <c r="DY64" s="377"/>
      <c r="DZ64" s="377"/>
      <c r="EA64" s="377"/>
      <c r="EB64" s="377"/>
      <c r="EC64" s="377"/>
      <c r="ED64" s="377"/>
      <c r="EE64" s="377"/>
      <c r="EF64" s="377"/>
      <c r="EG64" s="377"/>
      <c r="EH64" s="377"/>
      <c r="EI64" s="377"/>
      <c r="EJ64" s="42"/>
      <c r="EK64" s="377"/>
      <c r="EL64" s="377"/>
      <c r="EM64" s="377"/>
      <c r="EN64" s="377"/>
      <c r="EO64" s="377"/>
      <c r="EP64" s="377"/>
      <c r="EQ64" s="377"/>
      <c r="ER64" s="377"/>
      <c r="ES64" s="377"/>
      <c r="ET64" s="377"/>
      <c r="EU64" s="377"/>
      <c r="EV64" s="377"/>
      <c r="EW64" s="377"/>
      <c r="EX64" s="377"/>
      <c r="EY64" s="12"/>
    </row>
    <row r="65" spans="1:155" ht="16" customHeight="1">
      <c r="A65" s="42"/>
      <c r="B65" s="42"/>
      <c r="C65" s="42"/>
      <c r="D65" s="42"/>
      <c r="E65" s="42"/>
      <c r="F65" s="377"/>
      <c r="G65" s="377"/>
      <c r="H65" s="377"/>
      <c r="I65" s="377"/>
      <c r="J65" s="377"/>
      <c r="K65" s="377"/>
      <c r="L65" s="377"/>
      <c r="M65" s="377"/>
      <c r="N65" s="377"/>
      <c r="O65" s="377"/>
      <c r="P65" s="377"/>
      <c r="Q65" s="377"/>
      <c r="R65" s="377"/>
      <c r="S65" s="377"/>
      <c r="T65" s="101"/>
      <c r="U65" s="377"/>
      <c r="V65" s="377"/>
      <c r="W65" s="377"/>
      <c r="X65" s="377"/>
      <c r="Y65" s="377"/>
      <c r="Z65" s="377"/>
      <c r="AA65" s="377"/>
      <c r="AB65" s="377"/>
      <c r="AC65" s="377"/>
      <c r="AD65" s="377"/>
      <c r="AE65" s="377"/>
      <c r="AF65" s="377"/>
      <c r="AG65" s="377"/>
      <c r="AH65" s="377"/>
      <c r="AI65" s="101"/>
      <c r="AJ65" s="377"/>
      <c r="AK65" s="377"/>
      <c r="AL65" s="377"/>
      <c r="AM65" s="377"/>
      <c r="AN65" s="377"/>
      <c r="AO65" s="377"/>
      <c r="AP65" s="377"/>
      <c r="AQ65" s="377"/>
      <c r="AR65" s="377"/>
      <c r="AS65" s="377"/>
      <c r="AT65" s="377"/>
      <c r="AU65" s="377"/>
      <c r="AV65" s="377"/>
      <c r="AW65" s="377"/>
      <c r="AX65" s="101"/>
      <c r="AY65" s="377"/>
      <c r="AZ65" s="377"/>
      <c r="BA65" s="377"/>
      <c r="BB65" s="377"/>
      <c r="BC65" s="377"/>
      <c r="BD65" s="377"/>
      <c r="BE65" s="377"/>
      <c r="BF65" s="377"/>
      <c r="BG65" s="377"/>
      <c r="BH65" s="377"/>
      <c r="BI65" s="377"/>
      <c r="BJ65" s="377"/>
      <c r="BK65" s="377"/>
      <c r="BL65" s="377"/>
      <c r="BM65" s="101"/>
      <c r="BN65" s="377"/>
      <c r="BO65" s="377"/>
      <c r="BP65" s="377"/>
      <c r="BQ65" s="377"/>
      <c r="BR65" s="377"/>
      <c r="BS65" s="377"/>
      <c r="BT65" s="377"/>
      <c r="BU65" s="377"/>
      <c r="BV65" s="377"/>
      <c r="BW65" s="377"/>
      <c r="BX65" s="377"/>
      <c r="BY65" s="377"/>
      <c r="BZ65" s="377"/>
      <c r="CA65" s="377"/>
      <c r="CB65" s="101"/>
      <c r="CC65" s="377"/>
      <c r="CD65" s="377"/>
      <c r="CE65" s="377"/>
      <c r="CF65" s="377"/>
      <c r="CG65" s="377"/>
      <c r="CH65" s="377"/>
      <c r="CI65" s="377"/>
      <c r="CJ65" s="377"/>
      <c r="CK65" s="377"/>
      <c r="CL65" s="377"/>
      <c r="CM65" s="377"/>
      <c r="CN65" s="377"/>
      <c r="CO65" s="377"/>
      <c r="CP65" s="377"/>
      <c r="CQ65" s="101"/>
      <c r="CR65" s="377"/>
      <c r="CS65" s="377"/>
      <c r="CT65" s="377"/>
      <c r="CU65" s="377"/>
      <c r="CV65" s="377"/>
      <c r="CW65" s="377"/>
      <c r="CX65" s="377"/>
      <c r="CY65" s="377"/>
      <c r="CZ65" s="377"/>
      <c r="DA65" s="377"/>
      <c r="DB65" s="377"/>
      <c r="DC65" s="377"/>
      <c r="DD65" s="377"/>
      <c r="DE65" s="377"/>
      <c r="DF65" s="101"/>
      <c r="DG65" s="377"/>
      <c r="DH65" s="377"/>
      <c r="DI65" s="377"/>
      <c r="DJ65" s="377"/>
      <c r="DK65" s="377"/>
      <c r="DL65" s="377"/>
      <c r="DM65" s="377"/>
      <c r="DN65" s="377"/>
      <c r="DO65" s="377"/>
      <c r="DP65" s="377"/>
      <c r="DQ65" s="377"/>
      <c r="DR65" s="377"/>
      <c r="DS65" s="377"/>
      <c r="DT65" s="377"/>
      <c r="DU65" s="101"/>
      <c r="DV65" s="377"/>
      <c r="DW65" s="377"/>
      <c r="DX65" s="377"/>
      <c r="DY65" s="377"/>
      <c r="DZ65" s="377"/>
      <c r="EA65" s="377"/>
      <c r="EB65" s="377"/>
      <c r="EC65" s="377"/>
      <c r="ED65" s="377"/>
      <c r="EE65" s="377"/>
      <c r="EF65" s="377"/>
      <c r="EG65" s="377"/>
      <c r="EH65" s="377"/>
      <c r="EI65" s="377"/>
      <c r="EJ65" s="42"/>
      <c r="EK65" s="377"/>
      <c r="EL65" s="377"/>
      <c r="EM65" s="377"/>
      <c r="EN65" s="377"/>
      <c r="EO65" s="377"/>
      <c r="EP65" s="377"/>
      <c r="EQ65" s="377"/>
      <c r="ER65" s="377"/>
      <c r="ES65" s="377"/>
      <c r="ET65" s="377"/>
      <c r="EU65" s="377"/>
      <c r="EV65" s="377"/>
      <c r="EW65" s="377"/>
      <c r="EX65" s="377"/>
      <c r="EY65" s="12"/>
    </row>
  </sheetData>
  <mergeCells count="20">
    <mergeCell ref="EK1:EX1"/>
    <mergeCell ref="F1:S1"/>
    <mergeCell ref="U1:AH1"/>
    <mergeCell ref="AJ1:AW1"/>
    <mergeCell ref="AY1:BL1"/>
    <mergeCell ref="BN1:CA1"/>
    <mergeCell ref="CC1:CP1"/>
    <mergeCell ref="CR1:DE1"/>
    <mergeCell ref="DG1:DT1"/>
    <mergeCell ref="DV1:EI1"/>
    <mergeCell ref="F62:S65"/>
    <mergeCell ref="U62:AH65"/>
    <mergeCell ref="AJ62:AW65"/>
    <mergeCell ref="AY62:BL65"/>
    <mergeCell ref="BN62:CA65"/>
    <mergeCell ref="CC62:CP65"/>
    <mergeCell ref="CR62:DE65"/>
    <mergeCell ref="DG62:DT65"/>
    <mergeCell ref="DV62:EI65"/>
    <mergeCell ref="EK62:EX65"/>
  </mergeCells>
  <phoneticPr fontId="14" type="noConversion"/>
  <hyperlinks>
    <hyperlink ref="A1" location="'目录及说明'!A1" display="返回目录" xr:uid="{00000000-0004-0000-0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98"/>
  <sheetViews>
    <sheetView showGridLines="0" zoomScale="150" zoomScaleNormal="100" workbookViewId="0">
      <selection activeCell="G8" sqref="G8"/>
    </sheetView>
  </sheetViews>
  <sheetFormatPr baseColWidth="10" defaultColWidth="13.19921875" defaultRowHeight="16"/>
  <cols>
    <col min="1" max="1" width="4" style="1" customWidth="1"/>
    <col min="2" max="3" width="4.3984375" style="13" customWidth="1"/>
    <col min="4" max="6" width="19.59765625" style="1" customWidth="1"/>
    <col min="7" max="7" width="33.3984375" style="1" customWidth="1"/>
    <col min="8" max="8" width="40.59765625" customWidth="1"/>
    <col min="9" max="9" width="36" customWidth="1"/>
    <col min="10" max="10" width="43.59765625" customWidth="1"/>
    <col min="11" max="11" width="32" customWidth="1"/>
  </cols>
  <sheetData>
    <row r="1" spans="1:11">
      <c r="A1" s="70" t="s">
        <v>28</v>
      </c>
      <c r="B1" s="102"/>
      <c r="C1" s="102"/>
      <c r="D1" s="67"/>
      <c r="E1" s="67"/>
      <c r="F1" s="67"/>
      <c r="G1" s="67"/>
      <c r="H1" s="42"/>
      <c r="I1" s="42"/>
      <c r="J1" s="42"/>
      <c r="K1" s="42"/>
    </row>
    <row r="2" spans="1:11">
      <c r="A2" s="67"/>
      <c r="B2" s="103" t="s">
        <v>110</v>
      </c>
      <c r="C2" s="103"/>
      <c r="D2" s="103"/>
      <c r="E2" s="103" t="s">
        <v>111</v>
      </c>
      <c r="F2" s="103" t="s">
        <v>112</v>
      </c>
      <c r="G2" s="103" t="s">
        <v>113</v>
      </c>
      <c r="H2" s="103" t="s">
        <v>114</v>
      </c>
      <c r="I2" s="103" t="s">
        <v>429</v>
      </c>
      <c r="J2" s="103" t="s">
        <v>115</v>
      </c>
      <c r="K2" s="103" t="s">
        <v>116</v>
      </c>
    </row>
    <row r="3" spans="1:11" s="41" customFormat="1">
      <c r="A3" s="67"/>
      <c r="B3" s="67" t="s">
        <v>117</v>
      </c>
      <c r="C3" s="67"/>
      <c r="D3" s="67"/>
      <c r="E3" s="67"/>
      <c r="F3" s="67"/>
      <c r="G3" s="67"/>
      <c r="H3" s="42"/>
      <c r="I3" s="42"/>
      <c r="J3" s="42"/>
      <c r="K3" s="42"/>
    </row>
    <row r="4" spans="1:11">
      <c r="A4" s="67"/>
      <c r="B4" s="102" t="s">
        <v>46</v>
      </c>
      <c r="C4" s="102"/>
      <c r="D4" s="67"/>
      <c r="E4" s="67"/>
      <c r="F4" s="67"/>
      <c r="G4" s="67"/>
      <c r="H4" s="42"/>
      <c r="I4" s="42"/>
      <c r="J4" s="42"/>
      <c r="K4" s="42"/>
    </row>
    <row r="5" spans="1:11">
      <c r="A5" s="67"/>
      <c r="B5" s="102"/>
      <c r="C5" s="102"/>
      <c r="D5" s="67" t="s">
        <v>46</v>
      </c>
      <c r="E5" s="67" t="s">
        <v>46</v>
      </c>
      <c r="F5" s="67" t="s">
        <v>46</v>
      </c>
      <c r="G5" s="67" t="s">
        <v>118</v>
      </c>
      <c r="H5" s="67" t="s">
        <v>119</v>
      </c>
      <c r="I5" s="67" t="s">
        <v>120</v>
      </c>
      <c r="J5" s="67"/>
      <c r="K5" s="67" t="s">
        <v>430</v>
      </c>
    </row>
    <row r="6" spans="1:11">
      <c r="A6" s="67"/>
      <c r="B6" s="102" t="s">
        <v>121</v>
      </c>
      <c r="C6" s="102"/>
      <c r="D6" s="67"/>
      <c r="E6" s="67"/>
      <c r="F6" s="67"/>
      <c r="G6" s="67"/>
      <c r="H6" s="67"/>
      <c r="I6" s="67"/>
      <c r="J6" s="67"/>
      <c r="K6" s="67"/>
    </row>
    <row r="7" spans="1:11">
      <c r="A7" s="67"/>
      <c r="B7" s="102"/>
      <c r="C7" s="102"/>
      <c r="D7" s="67" t="s">
        <v>121</v>
      </c>
      <c r="E7" s="67" t="s">
        <v>122</v>
      </c>
      <c r="F7" s="67" t="s">
        <v>122</v>
      </c>
      <c r="G7" s="67" t="s">
        <v>118</v>
      </c>
      <c r="H7" s="67" t="s">
        <v>123</v>
      </c>
      <c r="I7" s="67" t="s">
        <v>124</v>
      </c>
      <c r="J7" s="67"/>
      <c r="K7" s="67" t="s">
        <v>430</v>
      </c>
    </row>
    <row r="8" spans="1:11">
      <c r="A8" s="67"/>
      <c r="B8" s="102"/>
      <c r="C8" s="102"/>
      <c r="D8" s="67" t="s">
        <v>121</v>
      </c>
      <c r="E8" s="67" t="s">
        <v>125</v>
      </c>
      <c r="F8" s="67" t="s">
        <v>125</v>
      </c>
      <c r="G8" s="67" t="s">
        <v>118</v>
      </c>
      <c r="H8" s="67" t="s">
        <v>126</v>
      </c>
      <c r="I8" s="67" t="s">
        <v>126</v>
      </c>
      <c r="J8" s="67"/>
      <c r="K8" s="67"/>
    </row>
    <row r="9" spans="1:11">
      <c r="A9" s="67"/>
      <c r="B9" s="102" t="s">
        <v>48</v>
      </c>
      <c r="C9" s="102"/>
      <c r="D9" s="67"/>
      <c r="E9" s="67"/>
      <c r="F9" s="67"/>
      <c r="G9" s="67"/>
      <c r="H9" s="67"/>
      <c r="I9" s="67"/>
      <c r="J9" s="67"/>
      <c r="K9" s="67"/>
    </row>
    <row r="10" spans="1:11">
      <c r="A10" s="67"/>
      <c r="B10" s="102"/>
      <c r="C10" s="102"/>
      <c r="D10" s="67" t="s">
        <v>48</v>
      </c>
      <c r="E10" s="67" t="s">
        <v>127</v>
      </c>
      <c r="F10" s="67" t="s">
        <v>127</v>
      </c>
      <c r="G10" s="67" t="s">
        <v>118</v>
      </c>
      <c r="H10" s="67" t="s">
        <v>128</v>
      </c>
      <c r="I10" s="67" t="s">
        <v>431</v>
      </c>
      <c r="J10" s="67"/>
      <c r="K10" s="67"/>
    </row>
    <row r="11" spans="1:11">
      <c r="A11" s="67"/>
      <c r="B11" s="102" t="s">
        <v>52</v>
      </c>
      <c r="C11" s="102"/>
      <c r="D11" s="67"/>
      <c r="E11" s="67"/>
      <c r="F11" s="67"/>
      <c r="G11" s="67"/>
      <c r="H11" s="67"/>
      <c r="I11" s="67"/>
      <c r="J11" s="67"/>
      <c r="K11" s="67"/>
    </row>
    <row r="12" spans="1:11">
      <c r="A12" s="67"/>
      <c r="B12" s="102"/>
      <c r="C12" s="102" t="s">
        <v>54</v>
      </c>
      <c r="D12" s="67"/>
      <c r="E12" s="67"/>
      <c r="F12" s="67"/>
      <c r="G12" s="67"/>
      <c r="H12" s="67"/>
      <c r="I12" s="67"/>
      <c r="J12" s="67"/>
      <c r="K12" s="67"/>
    </row>
    <row r="13" spans="1:11">
      <c r="A13" s="67"/>
      <c r="B13" s="102"/>
      <c r="C13" s="102"/>
      <c r="D13" s="67" t="s">
        <v>52</v>
      </c>
      <c r="E13" s="67" t="s">
        <v>54</v>
      </c>
      <c r="F13" s="67" t="s">
        <v>55</v>
      </c>
      <c r="G13" s="67" t="s">
        <v>118</v>
      </c>
      <c r="H13" s="67" t="s">
        <v>129</v>
      </c>
      <c r="I13" s="67" t="s">
        <v>130</v>
      </c>
      <c r="J13" s="67"/>
      <c r="K13" s="67" t="s">
        <v>430</v>
      </c>
    </row>
    <row r="14" spans="1:11">
      <c r="A14" s="67"/>
      <c r="B14" s="102"/>
      <c r="C14" s="102"/>
      <c r="D14" s="67" t="s">
        <v>52</v>
      </c>
      <c r="E14" s="67" t="s">
        <v>54</v>
      </c>
      <c r="F14" s="67" t="s">
        <v>58</v>
      </c>
      <c r="G14" s="67" t="s">
        <v>118</v>
      </c>
      <c r="H14" s="67" t="s">
        <v>124</v>
      </c>
      <c r="I14" s="67" t="s">
        <v>131</v>
      </c>
      <c r="J14" s="67"/>
      <c r="K14" s="67" t="s">
        <v>430</v>
      </c>
    </row>
    <row r="15" spans="1:11">
      <c r="A15" s="67"/>
      <c r="B15" s="102"/>
      <c r="C15" s="102"/>
      <c r="D15" s="67" t="s">
        <v>52</v>
      </c>
      <c r="E15" s="67" t="s">
        <v>54</v>
      </c>
      <c r="F15" s="67" t="s">
        <v>59</v>
      </c>
      <c r="G15" s="67" t="s">
        <v>118</v>
      </c>
      <c r="H15" s="67" t="s">
        <v>124</v>
      </c>
      <c r="I15" s="67" t="s">
        <v>131</v>
      </c>
      <c r="J15" s="67"/>
      <c r="K15" s="67" t="s">
        <v>430</v>
      </c>
    </row>
    <row r="16" spans="1:11">
      <c r="A16" s="67"/>
      <c r="B16" s="102"/>
      <c r="C16" s="102"/>
      <c r="D16" s="67" t="s">
        <v>52</v>
      </c>
      <c r="E16" s="67" t="s">
        <v>54</v>
      </c>
      <c r="F16" s="67" t="s">
        <v>64</v>
      </c>
      <c r="G16" s="67" t="s">
        <v>118</v>
      </c>
      <c r="H16" s="67" t="s">
        <v>132</v>
      </c>
      <c r="I16" s="67" t="s">
        <v>133</v>
      </c>
      <c r="J16" s="67"/>
      <c r="K16" s="67" t="s">
        <v>430</v>
      </c>
    </row>
    <row r="17" spans="1:11">
      <c r="A17" s="67"/>
      <c r="B17" s="102"/>
      <c r="C17" s="102"/>
      <c r="D17" s="67" t="s">
        <v>52</v>
      </c>
      <c r="E17" s="67" t="s">
        <v>54</v>
      </c>
      <c r="F17" s="67" t="s">
        <v>60</v>
      </c>
      <c r="G17" s="67" t="s">
        <v>432</v>
      </c>
      <c r="H17" s="67" t="s">
        <v>124</v>
      </c>
      <c r="I17" s="67" t="s">
        <v>124</v>
      </c>
      <c r="J17" s="67"/>
      <c r="K17" s="67" t="s">
        <v>430</v>
      </c>
    </row>
    <row r="18" spans="1:11">
      <c r="A18" s="67"/>
      <c r="B18" s="102"/>
      <c r="C18" s="102"/>
      <c r="D18" s="67" t="s">
        <v>52</v>
      </c>
      <c r="E18" s="67" t="s">
        <v>54</v>
      </c>
      <c r="F18" s="67" t="s">
        <v>61</v>
      </c>
      <c r="G18" s="67" t="s">
        <v>118</v>
      </c>
      <c r="H18" s="67" t="s">
        <v>134</v>
      </c>
      <c r="I18" s="67" t="s">
        <v>135</v>
      </c>
      <c r="J18" s="67"/>
      <c r="K18" s="67" t="s">
        <v>430</v>
      </c>
    </row>
    <row r="19" spans="1:11">
      <c r="A19" s="67"/>
      <c r="B19" s="102"/>
      <c r="C19" s="102"/>
      <c r="D19" s="67" t="s">
        <v>52</v>
      </c>
      <c r="E19" s="67" t="s">
        <v>54</v>
      </c>
      <c r="F19" s="67" t="s">
        <v>62</v>
      </c>
      <c r="G19" s="67" t="s">
        <v>432</v>
      </c>
      <c r="H19" s="67" t="s">
        <v>124</v>
      </c>
      <c r="I19" s="67" t="s">
        <v>124</v>
      </c>
      <c r="J19" s="67"/>
      <c r="K19" s="67" t="s">
        <v>430</v>
      </c>
    </row>
    <row r="20" spans="1:11">
      <c r="A20" s="67"/>
      <c r="B20" s="102"/>
      <c r="C20" s="102"/>
      <c r="D20" s="67" t="s">
        <v>52</v>
      </c>
      <c r="E20" s="67" t="s">
        <v>54</v>
      </c>
      <c r="F20" s="67" t="s">
        <v>63</v>
      </c>
      <c r="G20" s="67" t="s">
        <v>432</v>
      </c>
      <c r="H20" s="67" t="s">
        <v>124</v>
      </c>
      <c r="I20" s="67" t="s">
        <v>124</v>
      </c>
      <c r="J20" s="67"/>
      <c r="K20" s="67" t="s">
        <v>430</v>
      </c>
    </row>
    <row r="21" spans="1:11">
      <c r="A21" s="67"/>
      <c r="B21" s="102"/>
      <c r="C21" s="102" t="s">
        <v>65</v>
      </c>
      <c r="D21" s="67"/>
      <c r="E21" s="67"/>
      <c r="F21" s="67"/>
      <c r="G21" s="67"/>
      <c r="H21" s="67"/>
      <c r="I21" s="67"/>
      <c r="J21" s="67"/>
      <c r="K21" s="67"/>
    </row>
    <row r="22" spans="1:11">
      <c r="A22" s="67"/>
      <c r="B22" s="102"/>
      <c r="C22" s="102"/>
      <c r="D22" s="67" t="s">
        <v>52</v>
      </c>
      <c r="E22" s="67" t="s">
        <v>65</v>
      </c>
      <c r="F22" s="67" t="s">
        <v>66</v>
      </c>
      <c r="G22" s="67" t="s">
        <v>136</v>
      </c>
      <c r="H22" s="67" t="s">
        <v>124</v>
      </c>
      <c r="I22" s="67" t="s">
        <v>131</v>
      </c>
      <c r="J22" s="67"/>
      <c r="K22" s="67"/>
    </row>
    <row r="23" spans="1:11">
      <c r="A23" s="67"/>
      <c r="B23" s="102"/>
      <c r="C23" s="102"/>
      <c r="D23" s="67" t="s">
        <v>52</v>
      </c>
      <c r="E23" s="67" t="s">
        <v>65</v>
      </c>
      <c r="F23" s="67" t="s">
        <v>67</v>
      </c>
      <c r="G23" s="67" t="s">
        <v>136</v>
      </c>
      <c r="H23" s="67" t="s">
        <v>124</v>
      </c>
      <c r="I23" s="67" t="s">
        <v>131</v>
      </c>
      <c r="J23" s="67"/>
      <c r="K23" s="67"/>
    </row>
    <row r="24" spans="1:11">
      <c r="A24" s="67"/>
      <c r="B24" s="102"/>
      <c r="C24" s="102"/>
      <c r="D24" s="67" t="s">
        <v>52</v>
      </c>
      <c r="E24" s="67" t="s">
        <v>65</v>
      </c>
      <c r="F24" s="67" t="s">
        <v>68</v>
      </c>
      <c r="G24" s="67" t="s">
        <v>136</v>
      </c>
      <c r="H24" s="67" t="s">
        <v>124</v>
      </c>
      <c r="I24" s="67" t="s">
        <v>137</v>
      </c>
      <c r="J24" s="67"/>
      <c r="K24" s="67" t="s">
        <v>430</v>
      </c>
    </row>
    <row r="25" spans="1:11">
      <c r="A25" s="67"/>
      <c r="B25" s="102"/>
      <c r="C25" s="102"/>
      <c r="D25" s="67" t="s">
        <v>52</v>
      </c>
      <c r="E25" s="67" t="s">
        <v>65</v>
      </c>
      <c r="F25" s="67" t="s">
        <v>69</v>
      </c>
      <c r="G25" s="67" t="s">
        <v>136</v>
      </c>
      <c r="H25" s="67" t="s">
        <v>124</v>
      </c>
      <c r="I25" s="67" t="s">
        <v>137</v>
      </c>
      <c r="J25" s="67"/>
      <c r="K25" s="67" t="s">
        <v>430</v>
      </c>
    </row>
    <row r="26" spans="1:11">
      <c r="A26" s="67"/>
      <c r="B26" s="102"/>
      <c r="C26" s="102" t="s">
        <v>70</v>
      </c>
      <c r="D26" s="67"/>
      <c r="E26" s="67"/>
      <c r="F26" s="67"/>
      <c r="G26" s="67"/>
      <c r="H26" s="67"/>
      <c r="I26" s="67"/>
      <c r="J26" s="67"/>
      <c r="K26" s="67"/>
    </row>
    <row r="27" spans="1:11">
      <c r="A27" s="67"/>
      <c r="B27" s="102"/>
      <c r="C27" s="102"/>
      <c r="D27" s="67" t="s">
        <v>52</v>
      </c>
      <c r="E27" s="67" t="s">
        <v>70</v>
      </c>
      <c r="F27" s="67" t="s">
        <v>73</v>
      </c>
      <c r="G27" s="67" t="s">
        <v>118</v>
      </c>
      <c r="H27" s="104" t="s">
        <v>433</v>
      </c>
      <c r="I27" s="67" t="s">
        <v>434</v>
      </c>
      <c r="J27" s="67"/>
      <c r="K27" s="67" t="s">
        <v>430</v>
      </c>
    </row>
    <row r="28" spans="1:11">
      <c r="A28" s="67"/>
      <c r="B28" s="102"/>
      <c r="C28" s="102"/>
      <c r="D28" s="67" t="s">
        <v>52</v>
      </c>
      <c r="E28" s="67" t="s">
        <v>70</v>
      </c>
      <c r="F28" s="67" t="s">
        <v>71</v>
      </c>
      <c r="G28" s="67" t="s">
        <v>118</v>
      </c>
      <c r="H28" s="67" t="s">
        <v>124</v>
      </c>
      <c r="I28" s="67" t="s">
        <v>131</v>
      </c>
      <c r="J28" s="67"/>
      <c r="K28" s="67"/>
    </row>
    <row r="29" spans="1:11">
      <c r="A29" s="67"/>
      <c r="B29" s="102"/>
      <c r="C29" s="102"/>
      <c r="D29" s="67" t="s">
        <v>52</v>
      </c>
      <c r="E29" s="67" t="s">
        <v>70</v>
      </c>
      <c r="F29" s="67" t="s">
        <v>72</v>
      </c>
      <c r="G29" s="67" t="s">
        <v>118</v>
      </c>
      <c r="H29" s="67" t="s">
        <v>124</v>
      </c>
      <c r="I29" s="67" t="s">
        <v>131</v>
      </c>
      <c r="J29" s="67"/>
      <c r="K29" s="67"/>
    </row>
    <row r="30" spans="1:11">
      <c r="A30" s="67"/>
      <c r="B30" s="102"/>
      <c r="C30" s="102" t="s">
        <v>74</v>
      </c>
      <c r="D30" s="67"/>
      <c r="E30" s="67"/>
      <c r="F30" s="67"/>
      <c r="G30" s="67"/>
      <c r="H30" s="67"/>
      <c r="I30" s="67"/>
      <c r="J30" s="67"/>
      <c r="K30" s="67"/>
    </row>
    <row r="31" spans="1:11">
      <c r="A31" s="67"/>
      <c r="B31" s="102"/>
      <c r="C31" s="102"/>
      <c r="D31" s="67" t="s">
        <v>52</v>
      </c>
      <c r="E31" s="67" t="s">
        <v>74</v>
      </c>
      <c r="F31" s="67" t="s">
        <v>75</v>
      </c>
      <c r="G31" s="67" t="s">
        <v>118</v>
      </c>
      <c r="H31" s="67" t="s">
        <v>138</v>
      </c>
      <c r="I31" s="67" t="s">
        <v>139</v>
      </c>
      <c r="J31" s="67"/>
      <c r="K31" s="67" t="s">
        <v>430</v>
      </c>
    </row>
    <row r="32" spans="1:11">
      <c r="A32" s="67"/>
      <c r="B32" s="102"/>
      <c r="C32" s="102"/>
      <c r="D32" s="67" t="s">
        <v>52</v>
      </c>
      <c r="E32" s="67" t="s">
        <v>74</v>
      </c>
      <c r="F32" s="67" t="s">
        <v>76</v>
      </c>
      <c r="G32" s="67" t="s">
        <v>118</v>
      </c>
      <c r="H32" s="67" t="s">
        <v>140</v>
      </c>
      <c r="I32" s="67" t="s">
        <v>141</v>
      </c>
      <c r="J32" s="67"/>
      <c r="K32" s="67" t="s">
        <v>430</v>
      </c>
    </row>
    <row r="33" spans="1:11">
      <c r="A33" s="67"/>
      <c r="B33" s="102"/>
      <c r="C33" s="102"/>
      <c r="D33" s="67" t="s">
        <v>52</v>
      </c>
      <c r="E33" s="67" t="s">
        <v>74</v>
      </c>
      <c r="F33" s="67" t="s">
        <v>77</v>
      </c>
      <c r="G33" s="67" t="s">
        <v>118</v>
      </c>
      <c r="H33" s="67" t="s">
        <v>124</v>
      </c>
      <c r="I33" s="67" t="s">
        <v>142</v>
      </c>
      <c r="J33" s="67"/>
      <c r="K33" s="67" t="s">
        <v>430</v>
      </c>
    </row>
    <row r="34" spans="1:11">
      <c r="A34" s="67"/>
      <c r="B34" s="102"/>
      <c r="C34" s="102"/>
      <c r="D34" s="67" t="s">
        <v>52</v>
      </c>
      <c r="E34" s="67" t="s">
        <v>74</v>
      </c>
      <c r="F34" s="67" t="s">
        <v>78</v>
      </c>
      <c r="G34" s="67" t="s">
        <v>118</v>
      </c>
      <c r="H34" s="67" t="s">
        <v>143</v>
      </c>
      <c r="I34" s="67" t="s">
        <v>144</v>
      </c>
      <c r="J34" s="67"/>
      <c r="K34" s="67" t="s">
        <v>430</v>
      </c>
    </row>
    <row r="35" spans="1:11">
      <c r="A35" s="67"/>
      <c r="B35" s="102"/>
      <c r="C35" s="102" t="s">
        <v>79</v>
      </c>
      <c r="D35" s="67"/>
      <c r="E35" s="67"/>
      <c r="F35" s="67"/>
      <c r="G35" s="67"/>
      <c r="H35" s="67"/>
      <c r="I35" s="67"/>
      <c r="J35" s="67"/>
      <c r="K35" s="67"/>
    </row>
    <row r="36" spans="1:11">
      <c r="A36" s="67"/>
      <c r="B36" s="102"/>
      <c r="C36" s="102"/>
      <c r="D36" s="67" t="s">
        <v>52</v>
      </c>
      <c r="E36" s="67" t="s">
        <v>79</v>
      </c>
      <c r="F36" s="67" t="s">
        <v>80</v>
      </c>
      <c r="G36" s="67" t="s">
        <v>118</v>
      </c>
      <c r="H36" s="67" t="s">
        <v>145</v>
      </c>
      <c r="I36" s="67" t="s">
        <v>146</v>
      </c>
      <c r="J36" s="67"/>
      <c r="K36" s="67" t="s">
        <v>430</v>
      </c>
    </row>
    <row r="37" spans="1:11">
      <c r="A37" s="67"/>
      <c r="B37" s="102"/>
      <c r="C37" s="102"/>
      <c r="D37" s="67" t="s">
        <v>52</v>
      </c>
      <c r="E37" s="67" t="s">
        <v>79</v>
      </c>
      <c r="F37" s="67" t="s">
        <v>147</v>
      </c>
      <c r="G37" s="67" t="s">
        <v>118</v>
      </c>
      <c r="H37" s="67" t="s">
        <v>145</v>
      </c>
      <c r="I37" s="67" t="s">
        <v>146</v>
      </c>
      <c r="J37" s="67"/>
      <c r="K37" s="67" t="s">
        <v>430</v>
      </c>
    </row>
    <row r="38" spans="1:11">
      <c r="A38" s="67"/>
      <c r="B38" s="102"/>
      <c r="C38" s="102"/>
      <c r="D38" s="67" t="s">
        <v>52</v>
      </c>
      <c r="E38" s="67" t="s">
        <v>79</v>
      </c>
      <c r="F38" s="67" t="s">
        <v>148</v>
      </c>
      <c r="G38" s="67" t="s">
        <v>118</v>
      </c>
      <c r="H38" s="67"/>
      <c r="I38" s="67"/>
      <c r="J38" s="67"/>
      <c r="K38" s="67"/>
    </row>
    <row r="39" spans="1:11">
      <c r="A39" s="67"/>
      <c r="B39" s="102"/>
      <c r="C39" s="102"/>
      <c r="D39" s="67" t="s">
        <v>52</v>
      </c>
      <c r="E39" s="67" t="s">
        <v>79</v>
      </c>
      <c r="F39" s="67" t="s">
        <v>82</v>
      </c>
      <c r="G39" s="67" t="s">
        <v>118</v>
      </c>
      <c r="H39" s="67" t="s">
        <v>149</v>
      </c>
      <c r="I39" s="67" t="s">
        <v>150</v>
      </c>
      <c r="J39" s="67"/>
      <c r="K39" s="67" t="s">
        <v>430</v>
      </c>
    </row>
    <row r="40" spans="1:11">
      <c r="A40" s="67"/>
      <c r="B40" s="102" t="s">
        <v>85</v>
      </c>
      <c r="C40" s="102"/>
      <c r="D40" s="67"/>
      <c r="E40" s="67"/>
      <c r="F40" s="67"/>
      <c r="G40" s="67"/>
      <c r="H40" s="67"/>
      <c r="I40" s="67"/>
      <c r="J40" s="67"/>
      <c r="K40" s="67"/>
    </row>
    <row r="41" spans="1:11">
      <c r="A41" s="67"/>
      <c r="B41" s="102"/>
      <c r="C41" s="102" t="s">
        <v>79</v>
      </c>
      <c r="D41" s="67"/>
      <c r="E41" s="67"/>
      <c r="F41" s="67"/>
      <c r="G41" s="67"/>
      <c r="H41" s="67"/>
      <c r="I41" s="67"/>
      <c r="J41" s="67"/>
      <c r="K41" s="67"/>
    </row>
    <row r="42" spans="1:11">
      <c r="A42" s="67"/>
      <c r="B42" s="102"/>
      <c r="C42" s="102"/>
      <c r="D42" s="67" t="s">
        <v>85</v>
      </c>
      <c r="E42" s="67" t="s">
        <v>79</v>
      </c>
      <c r="F42" s="67" t="s">
        <v>80</v>
      </c>
      <c r="G42" s="67" t="s">
        <v>118</v>
      </c>
      <c r="H42" s="67" t="s">
        <v>151</v>
      </c>
      <c r="I42" s="67" t="s">
        <v>146</v>
      </c>
      <c r="J42" s="67"/>
      <c r="K42" s="67" t="s">
        <v>430</v>
      </c>
    </row>
    <row r="43" spans="1:11">
      <c r="A43" s="67"/>
      <c r="B43" s="102"/>
      <c r="C43" s="102"/>
      <c r="D43" s="67" t="s">
        <v>85</v>
      </c>
      <c r="E43" s="67" t="s">
        <v>79</v>
      </c>
      <c r="F43" s="67" t="s">
        <v>81</v>
      </c>
      <c r="G43" s="67" t="s">
        <v>118</v>
      </c>
      <c r="H43" s="67" t="s">
        <v>151</v>
      </c>
      <c r="I43" s="67" t="s">
        <v>146</v>
      </c>
      <c r="J43" s="67"/>
      <c r="K43" s="67" t="s">
        <v>430</v>
      </c>
    </row>
    <row r="44" spans="1:11">
      <c r="A44" s="67"/>
      <c r="B44" s="102"/>
      <c r="C44" s="102"/>
      <c r="D44" s="67" t="s">
        <v>85</v>
      </c>
      <c r="E44" s="67" t="s">
        <v>79</v>
      </c>
      <c r="F44" s="67" t="s">
        <v>82</v>
      </c>
      <c r="G44" s="67" t="s">
        <v>118</v>
      </c>
      <c r="H44" s="67" t="s">
        <v>149</v>
      </c>
      <c r="I44" s="67" t="s">
        <v>150</v>
      </c>
      <c r="J44" s="67"/>
      <c r="K44" s="67" t="s">
        <v>430</v>
      </c>
    </row>
    <row r="45" spans="1:11">
      <c r="A45" s="67"/>
      <c r="B45" s="102"/>
      <c r="C45" s="102" t="s">
        <v>90</v>
      </c>
      <c r="D45" s="67"/>
      <c r="E45" s="67"/>
      <c r="F45" s="67"/>
      <c r="G45" s="67"/>
      <c r="H45" s="67"/>
      <c r="I45" s="67"/>
      <c r="J45" s="67"/>
      <c r="K45" s="67"/>
    </row>
    <row r="46" spans="1:11">
      <c r="A46" s="67"/>
      <c r="B46" s="102"/>
      <c r="C46" s="102"/>
      <c r="D46" s="67" t="s">
        <v>85</v>
      </c>
      <c r="E46" s="67" t="s">
        <v>90</v>
      </c>
      <c r="F46" s="67" t="s">
        <v>90</v>
      </c>
      <c r="G46" s="67" t="s">
        <v>118</v>
      </c>
      <c r="H46" s="67" t="s">
        <v>90</v>
      </c>
      <c r="I46" s="67"/>
      <c r="J46" s="67"/>
      <c r="K46" s="67" t="s">
        <v>430</v>
      </c>
    </row>
    <row r="47" spans="1:11">
      <c r="A47" s="67"/>
      <c r="B47" s="102"/>
      <c r="C47" s="102" t="s">
        <v>93</v>
      </c>
      <c r="D47" s="67"/>
      <c r="E47" s="67"/>
      <c r="F47" s="67"/>
      <c r="G47" s="67"/>
      <c r="H47" s="67"/>
      <c r="I47" s="67"/>
      <c r="J47" s="67"/>
      <c r="K47" s="67"/>
    </row>
    <row r="48" spans="1:11">
      <c r="A48" s="67"/>
      <c r="B48" s="102"/>
      <c r="C48" s="102"/>
      <c r="D48" s="67" t="s">
        <v>85</v>
      </c>
      <c r="E48" s="67" t="s">
        <v>93</v>
      </c>
      <c r="F48" s="67" t="s">
        <v>143</v>
      </c>
      <c r="G48" s="67" t="s">
        <v>118</v>
      </c>
      <c r="H48" s="67" t="s">
        <v>143</v>
      </c>
      <c r="I48" s="67"/>
      <c r="J48" s="67"/>
      <c r="K48" s="67" t="s">
        <v>430</v>
      </c>
    </row>
    <row r="49" spans="1:11">
      <c r="A49" s="67"/>
      <c r="B49" s="102"/>
      <c r="C49" s="102" t="s">
        <v>152</v>
      </c>
      <c r="D49" s="67"/>
      <c r="E49" s="67"/>
      <c r="F49" s="67"/>
      <c r="G49" s="67"/>
      <c r="H49" s="67"/>
      <c r="I49" s="67"/>
      <c r="J49" s="67"/>
      <c r="K49" s="67"/>
    </row>
    <row r="50" spans="1:11">
      <c r="A50" s="67"/>
      <c r="B50" s="102"/>
      <c r="C50" s="102"/>
      <c r="D50" s="67" t="s">
        <v>85</v>
      </c>
      <c r="E50" s="67" t="s">
        <v>152</v>
      </c>
      <c r="F50" s="67" t="s">
        <v>152</v>
      </c>
      <c r="G50" s="67" t="s">
        <v>118</v>
      </c>
      <c r="H50" s="67" t="s">
        <v>124</v>
      </c>
      <c r="I50" s="67"/>
      <c r="J50" s="67"/>
      <c r="K50" s="67" t="s">
        <v>430</v>
      </c>
    </row>
    <row r="51" spans="1:11">
      <c r="A51" s="67"/>
      <c r="B51" s="102"/>
      <c r="C51" s="102"/>
      <c r="D51" s="67"/>
      <c r="E51" s="67"/>
      <c r="F51" s="67"/>
      <c r="G51" s="67"/>
      <c r="H51" s="67"/>
      <c r="I51" s="67"/>
      <c r="J51" s="67"/>
      <c r="K51" s="67"/>
    </row>
    <row r="52" spans="1:11">
      <c r="A52" s="67"/>
      <c r="B52" s="102"/>
      <c r="C52" s="102"/>
      <c r="D52" s="67"/>
      <c r="E52" s="67"/>
      <c r="F52" s="67"/>
      <c r="G52" s="67"/>
      <c r="H52" s="67"/>
      <c r="I52" s="67"/>
      <c r="J52" s="67"/>
      <c r="K52" s="67"/>
    </row>
    <row r="53" spans="1:11">
      <c r="A53" s="67"/>
      <c r="B53" s="102" t="s">
        <v>153</v>
      </c>
      <c r="C53" s="102"/>
      <c r="D53" s="67"/>
      <c r="E53" s="67"/>
      <c r="F53" s="67"/>
      <c r="G53" s="67"/>
      <c r="H53" s="67"/>
      <c r="I53" s="67"/>
      <c r="J53" s="67"/>
      <c r="K53" s="67"/>
    </row>
    <row r="54" spans="1:11">
      <c r="A54" s="67"/>
      <c r="B54" s="102" t="s">
        <v>46</v>
      </c>
      <c r="C54" s="102"/>
      <c r="D54" s="67"/>
      <c r="E54" s="67"/>
      <c r="F54" s="67"/>
      <c r="G54" s="67"/>
      <c r="H54" s="67"/>
      <c r="I54" s="67"/>
      <c r="J54" s="67"/>
      <c r="K54" s="67"/>
    </row>
    <row r="55" spans="1:11">
      <c r="A55" s="67"/>
      <c r="B55" s="102"/>
      <c r="C55" s="102"/>
      <c r="D55" s="67" t="s">
        <v>46</v>
      </c>
      <c r="E55" s="67" t="s">
        <v>46</v>
      </c>
      <c r="F55" s="67" t="s">
        <v>46</v>
      </c>
      <c r="G55" s="67"/>
      <c r="H55" s="67"/>
      <c r="I55" s="67"/>
      <c r="J55" s="67" t="s">
        <v>154</v>
      </c>
      <c r="K55" s="67" t="s">
        <v>435</v>
      </c>
    </row>
    <row r="56" spans="1:11">
      <c r="A56" s="67"/>
      <c r="B56" s="102" t="s">
        <v>121</v>
      </c>
      <c r="C56" s="102"/>
      <c r="D56" s="67"/>
      <c r="E56" s="67"/>
      <c r="F56" s="67"/>
      <c r="G56" s="67"/>
      <c r="H56" s="67"/>
      <c r="I56" s="67"/>
      <c r="J56" s="67"/>
      <c r="K56" s="67"/>
    </row>
    <row r="57" spans="1:11">
      <c r="A57" s="67"/>
      <c r="B57" s="102"/>
      <c r="C57" s="102"/>
      <c r="D57" s="67" t="s">
        <v>121</v>
      </c>
      <c r="E57" s="67" t="s">
        <v>122</v>
      </c>
      <c r="F57" s="67" t="s">
        <v>122</v>
      </c>
      <c r="G57" s="67"/>
      <c r="H57" s="67"/>
      <c r="I57" s="67"/>
      <c r="J57" s="67" t="s">
        <v>124</v>
      </c>
      <c r="K57" s="67" t="s">
        <v>435</v>
      </c>
    </row>
    <row r="58" spans="1:11">
      <c r="A58" s="67"/>
      <c r="B58" s="102" t="s">
        <v>48</v>
      </c>
      <c r="C58" s="102"/>
      <c r="D58" s="67"/>
      <c r="E58" s="67"/>
      <c r="F58" s="67"/>
      <c r="G58" s="67"/>
      <c r="H58" s="67"/>
      <c r="I58" s="67"/>
      <c r="J58" s="67"/>
      <c r="K58" s="67"/>
    </row>
    <row r="59" spans="1:11">
      <c r="A59" s="67"/>
      <c r="B59" s="102"/>
      <c r="C59" s="102"/>
      <c r="D59" s="67" t="s">
        <v>48</v>
      </c>
      <c r="E59" s="67" t="s">
        <v>127</v>
      </c>
      <c r="F59" s="67" t="s">
        <v>127</v>
      </c>
      <c r="G59" s="67"/>
      <c r="H59" s="67"/>
      <c r="I59" s="67"/>
      <c r="J59" s="67" t="s">
        <v>155</v>
      </c>
      <c r="K59" s="67" t="s">
        <v>435</v>
      </c>
    </row>
    <row r="60" spans="1:11">
      <c r="A60" s="67"/>
      <c r="B60" s="102" t="s">
        <v>52</v>
      </c>
      <c r="C60" s="102"/>
      <c r="D60" s="67"/>
      <c r="E60" s="67"/>
      <c r="F60" s="67"/>
      <c r="G60" s="67"/>
      <c r="H60" s="67"/>
      <c r="I60" s="67"/>
      <c r="J60" s="67"/>
      <c r="K60" s="67"/>
    </row>
    <row r="61" spans="1:11">
      <c r="A61" s="67"/>
      <c r="B61" s="102"/>
      <c r="C61" s="102" t="s">
        <v>54</v>
      </c>
      <c r="D61" s="67"/>
      <c r="E61" s="67"/>
      <c r="F61" s="67"/>
      <c r="G61" s="67"/>
      <c r="H61" s="67"/>
      <c r="I61" s="67"/>
      <c r="J61" s="67"/>
      <c r="K61" s="67"/>
    </row>
    <row r="62" spans="1:11">
      <c r="A62" s="67"/>
      <c r="B62" s="102"/>
      <c r="C62" s="102"/>
      <c r="D62" s="67" t="s">
        <v>52</v>
      </c>
      <c r="E62" s="67" t="s">
        <v>54</v>
      </c>
      <c r="F62" s="67" t="s">
        <v>55</v>
      </c>
      <c r="G62" s="67"/>
      <c r="H62" s="67"/>
      <c r="I62" s="67"/>
      <c r="J62" s="67" t="s">
        <v>156</v>
      </c>
      <c r="K62" s="67" t="s">
        <v>435</v>
      </c>
    </row>
    <row r="63" spans="1:11">
      <c r="A63" s="67"/>
      <c r="B63" s="102"/>
      <c r="C63" s="102"/>
      <c r="D63" s="67" t="s">
        <v>52</v>
      </c>
      <c r="E63" s="67" t="s">
        <v>54</v>
      </c>
      <c r="F63" s="67" t="s">
        <v>58</v>
      </c>
      <c r="G63" s="67"/>
      <c r="H63" s="67"/>
      <c r="I63" s="67"/>
      <c r="J63" s="67" t="s">
        <v>124</v>
      </c>
      <c r="K63" s="67" t="s">
        <v>435</v>
      </c>
    </row>
    <row r="64" spans="1:11">
      <c r="A64" s="67"/>
      <c r="B64" s="102"/>
      <c r="C64" s="102"/>
      <c r="D64" s="67" t="s">
        <v>52</v>
      </c>
      <c r="E64" s="67" t="s">
        <v>54</v>
      </c>
      <c r="F64" s="67" t="s">
        <v>59</v>
      </c>
      <c r="G64" s="67"/>
      <c r="H64" s="67"/>
      <c r="I64" s="67"/>
      <c r="J64" s="67" t="s">
        <v>124</v>
      </c>
      <c r="K64" s="67" t="s">
        <v>435</v>
      </c>
    </row>
    <row r="65" spans="1:11">
      <c r="A65" s="67"/>
      <c r="B65" s="102"/>
      <c r="C65" s="102"/>
      <c r="D65" s="67" t="s">
        <v>52</v>
      </c>
      <c r="E65" s="67" t="s">
        <v>54</v>
      </c>
      <c r="F65" s="67" t="s">
        <v>64</v>
      </c>
      <c r="G65" s="67"/>
      <c r="H65" s="67"/>
      <c r="I65" s="67"/>
      <c r="J65" s="67"/>
      <c r="K65" s="67" t="s">
        <v>435</v>
      </c>
    </row>
    <row r="66" spans="1:11">
      <c r="A66" s="67"/>
      <c r="B66" s="102"/>
      <c r="C66" s="102"/>
      <c r="D66" s="67" t="s">
        <v>52</v>
      </c>
      <c r="E66" s="67" t="s">
        <v>54</v>
      </c>
      <c r="F66" s="67" t="s">
        <v>60</v>
      </c>
      <c r="G66" s="67"/>
      <c r="H66" s="67"/>
      <c r="I66" s="67"/>
      <c r="J66" s="67" t="s">
        <v>157</v>
      </c>
      <c r="K66" s="67" t="s">
        <v>435</v>
      </c>
    </row>
    <row r="67" spans="1:11">
      <c r="A67" s="67"/>
      <c r="B67" s="102"/>
      <c r="C67" s="102"/>
      <c r="D67" s="67" t="s">
        <v>52</v>
      </c>
      <c r="E67" s="67" t="s">
        <v>54</v>
      </c>
      <c r="F67" s="67" t="s">
        <v>61</v>
      </c>
      <c r="G67" s="67"/>
      <c r="H67" s="67"/>
      <c r="I67" s="67"/>
      <c r="J67" s="67" t="s">
        <v>124</v>
      </c>
      <c r="K67" s="67" t="s">
        <v>435</v>
      </c>
    </row>
    <row r="68" spans="1:11">
      <c r="A68" s="67"/>
      <c r="B68" s="102"/>
      <c r="C68" s="102"/>
      <c r="D68" s="67" t="s">
        <v>52</v>
      </c>
      <c r="E68" s="67" t="s">
        <v>54</v>
      </c>
      <c r="F68" s="67" t="s">
        <v>62</v>
      </c>
      <c r="G68" s="67"/>
      <c r="H68" s="67"/>
      <c r="I68" s="67"/>
      <c r="J68" s="67" t="s">
        <v>158</v>
      </c>
      <c r="K68" s="67" t="s">
        <v>435</v>
      </c>
    </row>
    <row r="69" spans="1:11">
      <c r="A69" s="67"/>
      <c r="B69" s="102"/>
      <c r="C69" s="102"/>
      <c r="D69" s="67" t="s">
        <v>52</v>
      </c>
      <c r="E69" s="67" t="s">
        <v>54</v>
      </c>
      <c r="F69" s="67" t="s">
        <v>63</v>
      </c>
      <c r="G69" s="67"/>
      <c r="H69" s="67"/>
      <c r="I69" s="67"/>
      <c r="J69" s="67" t="s">
        <v>436</v>
      </c>
      <c r="K69" s="67" t="s">
        <v>435</v>
      </c>
    </row>
    <row r="70" spans="1:11">
      <c r="A70" s="67"/>
      <c r="B70" s="102"/>
      <c r="C70" s="102" t="s">
        <v>65</v>
      </c>
      <c r="D70" s="67"/>
      <c r="E70" s="67"/>
      <c r="F70" s="67"/>
      <c r="G70" s="67"/>
      <c r="H70" s="67"/>
      <c r="I70" s="67"/>
      <c r="J70" s="67"/>
      <c r="K70" s="67"/>
    </row>
    <row r="71" spans="1:11">
      <c r="A71" s="67"/>
      <c r="B71" s="102"/>
      <c r="C71" s="102"/>
      <c r="D71" s="67" t="s">
        <v>52</v>
      </c>
      <c r="E71" s="67" t="s">
        <v>65</v>
      </c>
      <c r="F71" s="67" t="s">
        <v>66</v>
      </c>
      <c r="G71" s="67"/>
      <c r="H71" s="67"/>
      <c r="I71" s="67"/>
      <c r="J71" s="67" t="s">
        <v>124</v>
      </c>
      <c r="K71" s="67" t="s">
        <v>435</v>
      </c>
    </row>
    <row r="72" spans="1:11">
      <c r="A72" s="67"/>
      <c r="B72" s="102"/>
      <c r="C72" s="102"/>
      <c r="D72" s="67" t="s">
        <v>52</v>
      </c>
      <c r="E72" s="67" t="s">
        <v>65</v>
      </c>
      <c r="F72" s="67" t="s">
        <v>67</v>
      </c>
      <c r="G72" s="67"/>
      <c r="H72" s="67"/>
      <c r="I72" s="67"/>
      <c r="J72" s="67" t="s">
        <v>124</v>
      </c>
      <c r="K72" s="67" t="s">
        <v>435</v>
      </c>
    </row>
    <row r="73" spans="1:11">
      <c r="A73" s="67"/>
      <c r="B73" s="102"/>
      <c r="C73" s="102"/>
      <c r="D73" s="67" t="s">
        <v>52</v>
      </c>
      <c r="E73" s="67" t="s">
        <v>65</v>
      </c>
      <c r="F73" s="67" t="s">
        <v>68</v>
      </c>
      <c r="G73" s="67"/>
      <c r="H73" s="67"/>
      <c r="I73" s="67"/>
      <c r="J73" s="67" t="s">
        <v>124</v>
      </c>
      <c r="K73" s="67" t="s">
        <v>435</v>
      </c>
    </row>
    <row r="74" spans="1:11">
      <c r="A74" s="67"/>
      <c r="B74" s="102"/>
      <c r="C74" s="102"/>
      <c r="D74" s="67" t="s">
        <v>52</v>
      </c>
      <c r="E74" s="67" t="s">
        <v>65</v>
      </c>
      <c r="F74" s="67" t="s">
        <v>69</v>
      </c>
      <c r="G74" s="67"/>
      <c r="H74" s="67"/>
      <c r="I74" s="67"/>
      <c r="J74" s="67" t="s">
        <v>124</v>
      </c>
      <c r="K74" s="67" t="s">
        <v>435</v>
      </c>
    </row>
    <row r="75" spans="1:11">
      <c r="A75" s="67"/>
      <c r="B75" s="102"/>
      <c r="C75" s="102" t="s">
        <v>70</v>
      </c>
      <c r="D75" s="67"/>
      <c r="E75" s="67"/>
      <c r="F75" s="67"/>
      <c r="G75" s="67"/>
      <c r="H75" s="67"/>
      <c r="I75" s="67"/>
      <c r="J75" s="67"/>
      <c r="K75" s="67"/>
    </row>
    <row r="76" spans="1:11">
      <c r="A76" s="67"/>
      <c r="B76" s="102"/>
      <c r="C76" s="102"/>
      <c r="D76" s="67" t="s">
        <v>52</v>
      </c>
      <c r="E76" s="67" t="s">
        <v>70</v>
      </c>
      <c r="F76" s="67" t="s">
        <v>73</v>
      </c>
      <c r="G76" s="67"/>
      <c r="H76" s="67"/>
      <c r="I76" s="67"/>
      <c r="J76" s="67" t="s">
        <v>124</v>
      </c>
      <c r="K76" s="67" t="s">
        <v>435</v>
      </c>
    </row>
    <row r="77" spans="1:11">
      <c r="A77" s="67"/>
      <c r="B77" s="102"/>
      <c r="C77" s="102"/>
      <c r="D77" s="67" t="s">
        <v>52</v>
      </c>
      <c r="E77" s="67" t="s">
        <v>70</v>
      </c>
      <c r="F77" s="67" t="s">
        <v>71</v>
      </c>
      <c r="G77" s="67"/>
      <c r="H77" s="67"/>
      <c r="I77" s="67"/>
      <c r="J77" s="67" t="s">
        <v>159</v>
      </c>
      <c r="K77" s="67" t="s">
        <v>435</v>
      </c>
    </row>
    <row r="78" spans="1:11">
      <c r="A78" s="67"/>
      <c r="B78" s="102"/>
      <c r="C78" s="102"/>
      <c r="D78" s="67" t="s">
        <v>52</v>
      </c>
      <c r="E78" s="67" t="s">
        <v>70</v>
      </c>
      <c r="F78" s="67" t="s">
        <v>72</v>
      </c>
      <c r="G78" s="67"/>
      <c r="H78" s="67"/>
      <c r="I78" s="67"/>
      <c r="J78" s="67" t="s">
        <v>124</v>
      </c>
      <c r="K78" s="67" t="s">
        <v>435</v>
      </c>
    </row>
    <row r="79" spans="1:11">
      <c r="A79" s="67"/>
      <c r="B79" s="102"/>
      <c r="C79" s="102" t="s">
        <v>74</v>
      </c>
      <c r="D79" s="67"/>
      <c r="E79" s="67"/>
      <c r="F79" s="67"/>
      <c r="G79" s="67"/>
      <c r="H79" s="67"/>
      <c r="I79" s="67"/>
      <c r="J79" s="67"/>
      <c r="K79" s="67"/>
    </row>
    <row r="80" spans="1:11">
      <c r="A80" s="67"/>
      <c r="B80" s="102"/>
      <c r="C80" s="102"/>
      <c r="D80" s="67" t="s">
        <v>52</v>
      </c>
      <c r="E80" s="67" t="s">
        <v>74</v>
      </c>
      <c r="F80" s="67" t="s">
        <v>75</v>
      </c>
      <c r="G80" s="67"/>
      <c r="H80" s="67"/>
      <c r="I80" s="67"/>
      <c r="J80" s="67" t="s">
        <v>124</v>
      </c>
      <c r="K80" s="67" t="s">
        <v>435</v>
      </c>
    </row>
    <row r="81" spans="1:11">
      <c r="A81" s="67"/>
      <c r="B81" s="102"/>
      <c r="C81" s="102"/>
      <c r="D81" s="67" t="s">
        <v>52</v>
      </c>
      <c r="E81" s="67" t="s">
        <v>74</v>
      </c>
      <c r="F81" s="67" t="s">
        <v>76</v>
      </c>
      <c r="G81" s="67"/>
      <c r="H81" s="67"/>
      <c r="I81" s="67"/>
      <c r="J81" s="67" t="s">
        <v>140</v>
      </c>
      <c r="K81" s="67" t="s">
        <v>435</v>
      </c>
    </row>
    <row r="82" spans="1:11">
      <c r="A82" s="67"/>
      <c r="B82" s="102"/>
      <c r="C82" s="102"/>
      <c r="D82" s="67" t="s">
        <v>52</v>
      </c>
      <c r="E82" s="67" t="s">
        <v>74</v>
      </c>
      <c r="F82" s="67" t="s">
        <v>77</v>
      </c>
      <c r="G82" s="67"/>
      <c r="H82" s="67"/>
      <c r="I82" s="67"/>
      <c r="J82" s="67" t="s">
        <v>437</v>
      </c>
      <c r="K82" s="67" t="s">
        <v>435</v>
      </c>
    </row>
    <row r="83" spans="1:11">
      <c r="A83" s="67"/>
      <c r="B83" s="102"/>
      <c r="C83" s="102"/>
      <c r="D83" s="67" t="s">
        <v>52</v>
      </c>
      <c r="E83" s="67" t="s">
        <v>74</v>
      </c>
      <c r="F83" s="67" t="s">
        <v>78</v>
      </c>
      <c r="G83" s="67"/>
      <c r="H83" s="67"/>
      <c r="I83" s="67"/>
      <c r="J83" s="67" t="s">
        <v>143</v>
      </c>
      <c r="K83" s="67" t="s">
        <v>435</v>
      </c>
    </row>
    <row r="84" spans="1:11">
      <c r="A84" s="67"/>
      <c r="B84" s="102"/>
      <c r="C84" s="102" t="s">
        <v>79</v>
      </c>
      <c r="D84" s="67"/>
      <c r="E84" s="67"/>
      <c r="F84" s="67"/>
      <c r="G84" s="67"/>
      <c r="H84" s="67"/>
      <c r="I84" s="67"/>
      <c r="J84" s="67"/>
      <c r="K84" s="67"/>
    </row>
    <row r="85" spans="1:11">
      <c r="A85" s="67"/>
      <c r="B85" s="102"/>
      <c r="C85" s="102"/>
      <c r="D85" s="67" t="s">
        <v>52</v>
      </c>
      <c r="E85" s="67" t="s">
        <v>79</v>
      </c>
      <c r="F85" s="67" t="s">
        <v>80</v>
      </c>
      <c r="G85" s="67"/>
      <c r="H85" s="67"/>
      <c r="I85" s="67"/>
      <c r="J85" s="67" t="s">
        <v>160</v>
      </c>
      <c r="K85" s="67" t="s">
        <v>435</v>
      </c>
    </row>
    <row r="86" spans="1:11">
      <c r="A86" s="67"/>
      <c r="B86" s="102"/>
      <c r="C86" s="102"/>
      <c r="D86" s="67" t="s">
        <v>52</v>
      </c>
      <c r="E86" s="67" t="s">
        <v>79</v>
      </c>
      <c r="F86" s="67" t="s">
        <v>81</v>
      </c>
      <c r="G86" s="67"/>
      <c r="H86" s="67"/>
      <c r="I86" s="67"/>
      <c r="J86" s="67"/>
      <c r="K86" s="67" t="s">
        <v>435</v>
      </c>
    </row>
    <row r="87" spans="1:11">
      <c r="A87" s="67"/>
      <c r="B87" s="102"/>
      <c r="C87" s="102"/>
      <c r="D87" s="67" t="s">
        <v>52</v>
      </c>
      <c r="E87" s="67" t="s">
        <v>79</v>
      </c>
      <c r="F87" s="67" t="s">
        <v>82</v>
      </c>
      <c r="G87" s="67"/>
      <c r="H87" s="67"/>
      <c r="I87" s="67"/>
      <c r="J87" s="67" t="s">
        <v>161</v>
      </c>
      <c r="K87" s="67" t="s">
        <v>435</v>
      </c>
    </row>
    <row r="88" spans="1:11">
      <c r="A88" s="67"/>
      <c r="B88" s="102" t="s">
        <v>85</v>
      </c>
      <c r="C88" s="102"/>
      <c r="D88" s="67"/>
      <c r="E88" s="67"/>
      <c r="F88" s="67"/>
      <c r="G88" s="67"/>
      <c r="H88" s="67"/>
      <c r="I88" s="67"/>
      <c r="J88" s="67"/>
      <c r="K88" s="67"/>
    </row>
    <row r="89" spans="1:11">
      <c r="A89" s="67"/>
      <c r="B89" s="102"/>
      <c r="C89" s="102" t="s">
        <v>79</v>
      </c>
      <c r="D89" s="67"/>
      <c r="E89" s="67"/>
      <c r="F89" s="67"/>
      <c r="G89" s="67"/>
      <c r="H89" s="67"/>
      <c r="I89" s="67"/>
      <c r="J89" s="67"/>
      <c r="K89" s="67"/>
    </row>
    <row r="90" spans="1:11">
      <c r="A90" s="67"/>
      <c r="B90" s="102"/>
      <c r="C90" s="102"/>
      <c r="D90" s="67" t="s">
        <v>85</v>
      </c>
      <c r="E90" s="67" t="s">
        <v>79</v>
      </c>
      <c r="F90" s="67" t="s">
        <v>80</v>
      </c>
      <c r="G90" s="67"/>
      <c r="H90" s="67"/>
      <c r="I90" s="67"/>
      <c r="J90" s="67" t="s">
        <v>124</v>
      </c>
      <c r="K90" s="67" t="s">
        <v>435</v>
      </c>
    </row>
    <row r="91" spans="1:11">
      <c r="A91" s="67"/>
      <c r="B91" s="102"/>
      <c r="C91" s="102"/>
      <c r="D91" s="67" t="s">
        <v>85</v>
      </c>
      <c r="E91" s="67" t="s">
        <v>79</v>
      </c>
      <c r="F91" s="67" t="s">
        <v>81</v>
      </c>
      <c r="G91" s="67"/>
      <c r="H91" s="67"/>
      <c r="I91" s="67"/>
      <c r="J91" s="67" t="s">
        <v>124</v>
      </c>
      <c r="K91" s="67" t="s">
        <v>435</v>
      </c>
    </row>
    <row r="92" spans="1:11">
      <c r="A92" s="67"/>
      <c r="B92" s="102"/>
      <c r="C92" s="102"/>
      <c r="D92" s="67" t="s">
        <v>85</v>
      </c>
      <c r="E92" s="67" t="s">
        <v>79</v>
      </c>
      <c r="F92" s="67" t="s">
        <v>82</v>
      </c>
      <c r="G92" s="67"/>
      <c r="H92" s="67"/>
      <c r="I92" s="67"/>
      <c r="J92" s="67" t="s">
        <v>124</v>
      </c>
      <c r="K92" s="67" t="s">
        <v>435</v>
      </c>
    </row>
    <row r="93" spans="1:11">
      <c r="A93" s="67"/>
      <c r="B93" s="102"/>
      <c r="C93" s="102" t="s">
        <v>90</v>
      </c>
      <c r="D93" s="67"/>
      <c r="E93" s="67"/>
      <c r="F93" s="67"/>
      <c r="G93" s="67"/>
      <c r="H93" s="67"/>
      <c r="I93" s="67"/>
      <c r="J93" s="67"/>
      <c r="K93" s="67"/>
    </row>
    <row r="94" spans="1:11">
      <c r="A94" s="67"/>
      <c r="B94" s="102"/>
      <c r="C94" s="102"/>
      <c r="D94" s="67" t="s">
        <v>85</v>
      </c>
      <c r="E94" s="67" t="s">
        <v>90</v>
      </c>
      <c r="F94" s="67" t="s">
        <v>90</v>
      </c>
      <c r="G94" s="67"/>
      <c r="H94" s="67"/>
      <c r="I94" s="67"/>
      <c r="J94" s="67" t="s">
        <v>162</v>
      </c>
      <c r="K94" s="67" t="s">
        <v>435</v>
      </c>
    </row>
    <row r="95" spans="1:11">
      <c r="A95" s="67"/>
      <c r="B95" s="102"/>
      <c r="C95" s="102" t="s">
        <v>93</v>
      </c>
      <c r="D95" s="67"/>
      <c r="E95" s="67"/>
      <c r="F95" s="67"/>
      <c r="G95" s="67"/>
      <c r="H95" s="67"/>
      <c r="I95" s="67"/>
      <c r="J95" s="67"/>
      <c r="K95" s="67"/>
    </row>
    <row r="96" spans="1:11">
      <c r="A96" s="67"/>
      <c r="B96" s="102"/>
      <c r="C96" s="102"/>
      <c r="D96" s="67" t="s">
        <v>85</v>
      </c>
      <c r="E96" s="67" t="s">
        <v>93</v>
      </c>
      <c r="F96" s="67" t="s">
        <v>143</v>
      </c>
      <c r="G96" s="67"/>
      <c r="H96" s="67"/>
      <c r="I96" s="67"/>
      <c r="J96" s="67" t="s">
        <v>124</v>
      </c>
      <c r="K96" s="67" t="s">
        <v>435</v>
      </c>
    </row>
    <row r="97" spans="1:11">
      <c r="A97" s="67"/>
      <c r="B97" s="102"/>
      <c r="C97" s="102" t="s">
        <v>152</v>
      </c>
      <c r="D97" s="67"/>
      <c r="E97" s="67"/>
      <c r="F97" s="67"/>
      <c r="G97" s="67"/>
      <c r="H97" s="67"/>
      <c r="I97" s="67"/>
      <c r="J97" s="67"/>
      <c r="K97" s="67"/>
    </row>
    <row r="98" spans="1:11">
      <c r="A98" s="67"/>
      <c r="B98" s="102"/>
      <c r="C98" s="102"/>
      <c r="D98" s="67" t="s">
        <v>85</v>
      </c>
      <c r="E98" s="67" t="s">
        <v>152</v>
      </c>
      <c r="F98" s="67" t="s">
        <v>152</v>
      </c>
      <c r="G98" s="67"/>
      <c r="H98" s="67"/>
      <c r="I98" s="67"/>
      <c r="J98" s="67" t="s">
        <v>124</v>
      </c>
      <c r="K98" s="67" t="s">
        <v>435</v>
      </c>
    </row>
  </sheetData>
  <phoneticPr fontId="14" type="noConversion"/>
  <hyperlinks>
    <hyperlink ref="A1" location="'目录及说明'!A1" display="返回目录" xr:uid="{00000000-0004-0000-0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6"/>
  <sheetViews>
    <sheetView showGridLines="0" topLeftCell="A7" zoomScale="125" zoomScaleNormal="100" workbookViewId="0">
      <selection activeCell="B55" sqref="B55"/>
    </sheetView>
  </sheetViews>
  <sheetFormatPr baseColWidth="10" defaultColWidth="10.59765625" defaultRowHeight="13"/>
  <cols>
    <col min="1" max="1" width="28.796875" style="286" customWidth="1"/>
    <col min="2" max="2" width="45.796875" customWidth="1"/>
    <col min="3" max="3" width="21.59765625" customWidth="1"/>
    <col min="4" max="4" width="28.796875" customWidth="1"/>
    <col min="5" max="5" width="21.59765625" customWidth="1"/>
    <col min="6" max="6" width="38.59765625" customWidth="1"/>
  </cols>
  <sheetData>
    <row r="1" spans="1:6" ht="18" customHeight="1">
      <c r="A1" s="279" t="s">
        <v>28</v>
      </c>
      <c r="B1" s="42"/>
      <c r="C1" s="42"/>
      <c r="D1" s="42"/>
      <c r="E1" s="42"/>
      <c r="F1" s="42"/>
    </row>
    <row r="2" spans="1:6" ht="16" customHeight="1">
      <c r="A2" s="280" t="s">
        <v>438</v>
      </c>
      <c r="B2" s="42"/>
      <c r="C2" s="42"/>
      <c r="D2" s="42"/>
      <c r="E2" s="42"/>
      <c r="F2" s="42"/>
    </row>
    <row r="3" spans="1:6">
      <c r="A3" s="281"/>
      <c r="B3" s="42"/>
      <c r="C3" s="42"/>
      <c r="D3" s="42"/>
      <c r="E3" s="42"/>
      <c r="F3" s="42"/>
    </row>
    <row r="4" spans="1:6" ht="16" customHeight="1">
      <c r="A4" s="282" t="s">
        <v>439</v>
      </c>
      <c r="B4" s="105" t="s">
        <v>163</v>
      </c>
      <c r="C4" s="105" t="s">
        <v>164</v>
      </c>
      <c r="D4" s="105" t="s">
        <v>5</v>
      </c>
      <c r="E4" s="42"/>
      <c r="F4" s="42"/>
    </row>
    <row r="5" spans="1:6" ht="16" customHeight="1">
      <c r="A5" s="283" t="s">
        <v>165</v>
      </c>
      <c r="B5" s="106" t="s">
        <v>440</v>
      </c>
      <c r="C5" s="106" t="s">
        <v>166</v>
      </c>
      <c r="D5" s="106" t="s">
        <v>441</v>
      </c>
      <c r="E5" s="42"/>
      <c r="F5" s="42"/>
    </row>
    <row r="6" spans="1:6" ht="16" customHeight="1">
      <c r="A6" s="283" t="s">
        <v>167</v>
      </c>
      <c r="B6" s="106" t="s">
        <v>442</v>
      </c>
      <c r="C6" s="106" t="s">
        <v>168</v>
      </c>
      <c r="D6" s="106" t="s">
        <v>169</v>
      </c>
      <c r="E6" s="42"/>
      <c r="F6" s="42"/>
    </row>
    <row r="7" spans="1:6" ht="16" customHeight="1">
      <c r="A7" s="283" t="s">
        <v>170</v>
      </c>
      <c r="B7" s="106" t="s">
        <v>171</v>
      </c>
      <c r="C7" s="106" t="s">
        <v>443</v>
      </c>
      <c r="D7" s="106" t="s">
        <v>444</v>
      </c>
      <c r="E7" s="42"/>
      <c r="F7" s="42"/>
    </row>
    <row r="8" spans="1:6" ht="16" customHeight="1">
      <c r="A8" s="283" t="s">
        <v>46</v>
      </c>
      <c r="B8" s="106" t="s">
        <v>172</v>
      </c>
      <c r="C8" s="106" t="s">
        <v>173</v>
      </c>
      <c r="D8" s="106" t="s">
        <v>445</v>
      </c>
      <c r="E8" s="42"/>
      <c r="F8" s="42"/>
    </row>
    <row r="9" spans="1:6" ht="16" customHeight="1">
      <c r="A9" s="283" t="s">
        <v>174</v>
      </c>
      <c r="B9" s="106" t="s">
        <v>446</v>
      </c>
      <c r="C9" s="106" t="s">
        <v>175</v>
      </c>
      <c r="D9" s="106" t="s">
        <v>176</v>
      </c>
      <c r="E9" s="42"/>
      <c r="F9" s="42"/>
    </row>
    <row r="10" spans="1:6" ht="16" customHeight="1">
      <c r="A10" s="283" t="s">
        <v>447</v>
      </c>
      <c r="B10" s="106" t="s">
        <v>177</v>
      </c>
      <c r="C10" s="106" t="s">
        <v>175</v>
      </c>
      <c r="D10" s="106" t="s">
        <v>178</v>
      </c>
      <c r="E10" s="42"/>
      <c r="F10" s="42"/>
    </row>
    <row r="11" spans="1:6" ht="16" customHeight="1">
      <c r="A11" s="283" t="s">
        <v>179</v>
      </c>
      <c r="B11" s="106" t="s">
        <v>180</v>
      </c>
      <c r="C11" s="106" t="s">
        <v>181</v>
      </c>
      <c r="D11" s="106" t="s">
        <v>182</v>
      </c>
      <c r="E11" s="42"/>
      <c r="F11" s="42"/>
    </row>
    <row r="12" spans="1:6">
      <c r="A12" s="281"/>
      <c r="B12" s="42"/>
      <c r="C12" s="42"/>
      <c r="D12" s="42"/>
      <c r="E12" s="42"/>
      <c r="F12" s="42"/>
    </row>
    <row r="13" spans="1:6">
      <c r="A13" s="281"/>
      <c r="B13" s="42"/>
      <c r="C13" s="42"/>
      <c r="D13" s="42"/>
      <c r="E13" s="42"/>
      <c r="F13" s="42"/>
    </row>
    <row r="14" spans="1:6" ht="16" customHeight="1">
      <c r="A14" s="284" t="s">
        <v>448</v>
      </c>
      <c r="B14" s="42"/>
      <c r="C14" s="42"/>
      <c r="D14" s="42"/>
      <c r="E14" s="42"/>
      <c r="F14" s="42"/>
    </row>
    <row r="15" spans="1:6" ht="16" customHeight="1">
      <c r="A15" s="282" t="s">
        <v>183</v>
      </c>
      <c r="B15" s="105" t="s">
        <v>449</v>
      </c>
      <c r="C15" s="105" t="s">
        <v>450</v>
      </c>
      <c r="D15" s="105" t="s">
        <v>451</v>
      </c>
      <c r="E15" s="105" t="s">
        <v>452</v>
      </c>
      <c r="F15" s="105" t="s">
        <v>5</v>
      </c>
    </row>
    <row r="16" spans="1:6" ht="16" customHeight="1">
      <c r="A16" s="283" t="s">
        <v>453</v>
      </c>
      <c r="B16" s="106" t="str">
        <f>'假设-成本与任务量'!$C$4</f>
        <v>伊利高个子蓝金版</v>
      </c>
      <c r="C16" s="107">
        <v>0.5</v>
      </c>
      <c r="D16" s="108">
        <f>'假设-成本与任务量'!$H$4</f>
        <v>90</v>
      </c>
      <c r="E16" s="108">
        <f>'假设-成本与任务量'!$I$4</f>
        <v>105</v>
      </c>
      <c r="F16" s="106" t="s">
        <v>184</v>
      </c>
    </row>
    <row r="17" spans="1:6" ht="16" customHeight="1">
      <c r="A17" s="283" t="s">
        <v>454</v>
      </c>
      <c r="B17" s="106" t="str">
        <f>'假设-成本与任务量'!$C$6</f>
        <v>伊利高个子蓝金版</v>
      </c>
      <c r="C17" s="107">
        <v>0.5</v>
      </c>
      <c r="D17" s="108">
        <f>'假设-成本与任务量'!$H$6</f>
        <v>33</v>
      </c>
      <c r="E17" s="108">
        <f>'假设-成本与任务量'!$I$6</f>
        <v>38</v>
      </c>
      <c r="F17" s="106" t="s">
        <v>184</v>
      </c>
    </row>
    <row r="18" spans="1:6" ht="16" customHeight="1">
      <c r="A18" s="283" t="s">
        <v>455</v>
      </c>
      <c r="B18" s="106" t="str">
        <f>'假设-成本与任务量'!$C$8</f>
        <v>伊利高个子蓝金版</v>
      </c>
      <c r="C18" s="107">
        <v>0</v>
      </c>
      <c r="D18" s="108">
        <f>'假设-成本与任务量'!$H$8</f>
        <v>6.8</v>
      </c>
      <c r="E18" s="108">
        <f>'假设-成本与任务量'!$I$8</f>
        <v>8</v>
      </c>
      <c r="F18" s="106" t="s">
        <v>185</v>
      </c>
    </row>
    <row r="19" spans="1:6" ht="16" customHeight="1">
      <c r="A19" s="283" t="s">
        <v>186</v>
      </c>
      <c r="B19" s="106"/>
      <c r="C19" s="109">
        <f>SUM(C16:C18)</f>
        <v>1</v>
      </c>
      <c r="D19" s="108">
        <f>SUMPRODUCT(C16:C18,D16:D18)</f>
        <v>61.5</v>
      </c>
      <c r="E19" s="108">
        <f>SUMPRODUCT(C16:C18,E16:E18)</f>
        <v>71.5</v>
      </c>
      <c r="F19" s="106" t="s">
        <v>456</v>
      </c>
    </row>
    <row r="20" spans="1:6">
      <c r="A20" s="281"/>
      <c r="B20" s="42"/>
      <c r="C20" s="42"/>
      <c r="D20" s="42"/>
      <c r="E20" s="42"/>
      <c r="F20" s="42"/>
    </row>
    <row r="21" spans="1:6">
      <c r="A21" s="281"/>
      <c r="B21" s="42"/>
      <c r="C21" s="42"/>
      <c r="D21" s="42"/>
      <c r="E21" s="42"/>
      <c r="F21" s="42"/>
    </row>
    <row r="22" spans="1:6" ht="16" customHeight="1">
      <c r="A22" s="282" t="s">
        <v>187</v>
      </c>
      <c r="B22" s="105" t="s">
        <v>188</v>
      </c>
      <c r="C22" s="105" t="s">
        <v>189</v>
      </c>
      <c r="D22" s="105" t="s">
        <v>5</v>
      </c>
      <c r="E22" s="42"/>
      <c r="F22" s="42"/>
    </row>
    <row r="23" spans="1:6" ht="16" customHeight="1">
      <c r="A23" s="283" t="s">
        <v>190</v>
      </c>
      <c r="B23" s="107">
        <v>0.05</v>
      </c>
      <c r="C23" s="106" t="s">
        <v>457</v>
      </c>
      <c r="D23" s="106" t="s">
        <v>458</v>
      </c>
      <c r="E23" s="42"/>
      <c r="F23" s="42"/>
    </row>
    <row r="24" spans="1:6" ht="16" customHeight="1">
      <c r="A24" s="283" t="s">
        <v>191</v>
      </c>
      <c r="B24" s="107">
        <v>0</v>
      </c>
      <c r="C24" s="106" t="s">
        <v>457</v>
      </c>
      <c r="D24" s="106"/>
      <c r="E24" s="69" t="s">
        <v>459</v>
      </c>
      <c r="F24" s="42"/>
    </row>
    <row r="25" spans="1:6" ht="16" customHeight="1">
      <c r="A25" s="283" t="s">
        <v>192</v>
      </c>
      <c r="B25" s="107">
        <v>8.6E-3</v>
      </c>
      <c r="C25" s="106" t="s">
        <v>457</v>
      </c>
      <c r="D25" s="106" t="s">
        <v>193</v>
      </c>
      <c r="E25" s="42"/>
      <c r="F25" s="42"/>
    </row>
    <row r="26" spans="1:6" ht="16" customHeight="1">
      <c r="A26" s="283" t="s">
        <v>194</v>
      </c>
      <c r="B26" s="107">
        <v>0.01</v>
      </c>
      <c r="C26" s="106" t="s">
        <v>457</v>
      </c>
      <c r="D26" s="106" t="s">
        <v>193</v>
      </c>
      <c r="E26" s="42"/>
      <c r="F26" s="42"/>
    </row>
    <row r="27" spans="1:6">
      <c r="A27" s="281"/>
      <c r="B27" s="42"/>
      <c r="C27" s="42"/>
      <c r="D27" s="42"/>
      <c r="E27" s="42"/>
      <c r="F27" s="42"/>
    </row>
    <row r="28" spans="1:6">
      <c r="A28" s="281"/>
      <c r="B28" s="42"/>
      <c r="C28" s="42"/>
      <c r="D28" s="42"/>
      <c r="E28" s="42"/>
      <c r="F28" s="42"/>
    </row>
    <row r="29" spans="1:6">
      <c r="A29" s="281"/>
      <c r="B29" s="42"/>
      <c r="C29" s="42"/>
      <c r="D29" s="42"/>
      <c r="E29" s="42"/>
      <c r="F29" s="42"/>
    </row>
    <row r="30" spans="1:6" ht="16" customHeight="1">
      <c r="A30" s="282" t="s">
        <v>460</v>
      </c>
      <c r="B30" s="105" t="s">
        <v>188</v>
      </c>
      <c r="C30" s="105" t="s">
        <v>189</v>
      </c>
      <c r="D30" s="105" t="s">
        <v>5</v>
      </c>
      <c r="E30" s="42"/>
      <c r="F30" s="42"/>
    </row>
    <row r="31" spans="1:6" ht="16" customHeight="1">
      <c r="A31" s="283" t="s">
        <v>195</v>
      </c>
      <c r="B31" s="107">
        <v>0.01</v>
      </c>
      <c r="C31" s="106" t="s">
        <v>461</v>
      </c>
      <c r="D31" s="106" t="s">
        <v>196</v>
      </c>
      <c r="E31" s="42"/>
      <c r="F31" s="42"/>
    </row>
    <row r="32" spans="1:6" ht="16" customHeight="1">
      <c r="A32" s="283" t="s">
        <v>197</v>
      </c>
      <c r="B32" s="107">
        <v>2E-3</v>
      </c>
      <c r="C32" s="106" t="s">
        <v>461</v>
      </c>
      <c r="D32" s="106" t="s">
        <v>198</v>
      </c>
      <c r="E32" s="42"/>
      <c r="F32" s="42"/>
    </row>
    <row r="33" spans="1:6" ht="16" customHeight="1">
      <c r="A33" s="283" t="s">
        <v>199</v>
      </c>
      <c r="B33" s="107">
        <v>3.0000000000000001E-3</v>
      </c>
      <c r="C33" s="106" t="s">
        <v>461</v>
      </c>
      <c r="D33" s="106" t="s">
        <v>198</v>
      </c>
      <c r="E33" s="42"/>
      <c r="F33" s="42"/>
    </row>
    <row r="34" spans="1:6" ht="16" customHeight="1">
      <c r="A34" s="283" t="s">
        <v>200</v>
      </c>
      <c r="B34" s="110">
        <v>0</v>
      </c>
      <c r="C34" s="106" t="s">
        <v>201</v>
      </c>
      <c r="D34" s="106" t="s">
        <v>462</v>
      </c>
      <c r="E34" s="42"/>
      <c r="F34" s="42"/>
    </row>
    <row r="35" spans="1:6" ht="16" customHeight="1">
      <c r="A35" s="283" t="s">
        <v>202</v>
      </c>
      <c r="B35" s="107">
        <v>0.25</v>
      </c>
      <c r="C35" s="106" t="s">
        <v>203</v>
      </c>
      <c r="D35" s="106" t="s">
        <v>198</v>
      </c>
      <c r="E35" s="42"/>
      <c r="F35" s="42"/>
    </row>
    <row r="36" spans="1:6" ht="16" customHeight="1">
      <c r="A36" s="283" t="s">
        <v>463</v>
      </c>
      <c r="B36" s="110">
        <v>30</v>
      </c>
      <c r="C36" s="106" t="s">
        <v>204</v>
      </c>
      <c r="D36" s="106" t="s">
        <v>205</v>
      </c>
      <c r="E36" s="42"/>
      <c r="F36" s="42"/>
    </row>
    <row r="37" spans="1:6" ht="16" customHeight="1">
      <c r="A37" s="283" t="s">
        <v>464</v>
      </c>
      <c r="B37" s="110">
        <v>30</v>
      </c>
      <c r="C37" s="106" t="s">
        <v>206</v>
      </c>
      <c r="D37" s="106" t="s">
        <v>205</v>
      </c>
      <c r="E37" s="42"/>
      <c r="F37" s="42"/>
    </row>
    <row r="38" spans="1:6" ht="16" customHeight="1">
      <c r="A38" s="283" t="s">
        <v>207</v>
      </c>
      <c r="B38" s="110">
        <v>45</v>
      </c>
      <c r="C38" s="106" t="s">
        <v>208</v>
      </c>
      <c r="D38" s="106" t="s">
        <v>205</v>
      </c>
      <c r="E38" s="42"/>
      <c r="F38" s="42"/>
    </row>
    <row r="39" spans="1:6" ht="16" customHeight="1">
      <c r="A39" s="283" t="s">
        <v>209</v>
      </c>
      <c r="B39" s="110">
        <v>1</v>
      </c>
      <c r="C39" s="106" t="s">
        <v>210</v>
      </c>
      <c r="D39" s="106" t="s">
        <v>211</v>
      </c>
      <c r="E39" s="42"/>
      <c r="F39" s="42"/>
    </row>
    <row r="40" spans="1:6" ht="16" customHeight="1">
      <c r="A40" s="285" t="s">
        <v>212</v>
      </c>
      <c r="B40" s="112">
        <v>0.03</v>
      </c>
      <c r="C40" s="111" t="s">
        <v>213</v>
      </c>
      <c r="D40" s="111" t="s">
        <v>465</v>
      </c>
      <c r="E40" s="42"/>
      <c r="F40" s="42"/>
    </row>
    <row r="41" spans="1:6">
      <c r="A41" s="281"/>
      <c r="B41" s="42"/>
      <c r="C41" s="42"/>
      <c r="D41" s="42"/>
      <c r="E41" s="42"/>
      <c r="F41" s="42"/>
    </row>
    <row r="42" spans="1:6" ht="16">
      <c r="A42" s="68" t="s">
        <v>466</v>
      </c>
      <c r="B42" s="42"/>
      <c r="C42" s="42"/>
      <c r="D42" s="42"/>
      <c r="E42" s="42"/>
      <c r="F42" s="42"/>
    </row>
    <row r="43" spans="1:6" ht="16">
      <c r="A43" s="68" t="s">
        <v>467</v>
      </c>
      <c r="B43" s="287">
        <v>33</v>
      </c>
      <c r="C43" s="42"/>
      <c r="D43" s="42"/>
      <c r="E43" s="42"/>
      <c r="F43" s="42"/>
    </row>
    <row r="44" spans="1:6" ht="16">
      <c r="A44" s="68" t="s">
        <v>468</v>
      </c>
      <c r="B44" s="287">
        <v>90</v>
      </c>
      <c r="C44" s="42"/>
      <c r="D44" s="42"/>
      <c r="E44" s="42"/>
      <c r="F44" s="42"/>
    </row>
    <row r="45" spans="1:6" ht="16">
      <c r="A45" s="68" t="s">
        <v>469</v>
      </c>
      <c r="B45" s="287">
        <v>1.1299999999999999</v>
      </c>
      <c r="C45" s="42"/>
      <c r="D45" s="42"/>
      <c r="E45" s="42"/>
      <c r="F45" s="42"/>
    </row>
    <row r="46" spans="1:6" ht="16">
      <c r="A46" s="68" t="s">
        <v>470</v>
      </c>
      <c r="B46" s="287">
        <v>5.2600000000000001E-2</v>
      </c>
      <c r="C46" s="42"/>
      <c r="D46" s="42"/>
      <c r="E46" s="42"/>
      <c r="F46" s="42"/>
    </row>
    <row r="47" spans="1:6" ht="16">
      <c r="A47" s="68" t="s">
        <v>471</v>
      </c>
      <c r="B47" s="287">
        <v>5.7599999999999998E-2</v>
      </c>
      <c r="C47" s="42"/>
      <c r="D47" s="42"/>
      <c r="E47" s="42"/>
      <c r="F47" s="42"/>
    </row>
    <row r="48" spans="1:6" ht="16">
      <c r="A48" s="68" t="s">
        <v>472</v>
      </c>
      <c r="B48" s="287">
        <v>0.7</v>
      </c>
      <c r="C48" s="42"/>
      <c r="D48" s="42"/>
      <c r="E48" s="42"/>
      <c r="F48" s="42"/>
    </row>
    <row r="49" spans="1:6" ht="16">
      <c r="A49" s="68" t="s">
        <v>473</v>
      </c>
      <c r="B49" s="287">
        <v>4000</v>
      </c>
      <c r="C49" s="42"/>
      <c r="D49" s="42"/>
      <c r="E49" s="42"/>
      <c r="F49" s="42"/>
    </row>
    <row r="50" spans="1:6" ht="16">
      <c r="A50" s="68" t="s">
        <v>474</v>
      </c>
      <c r="B50" s="287">
        <v>1000</v>
      </c>
      <c r="C50" s="42"/>
      <c r="D50" s="42"/>
      <c r="E50" s="42"/>
      <c r="F50" s="42"/>
    </row>
    <row r="51" spans="1:6" ht="16">
      <c r="A51" s="68" t="s">
        <v>475</v>
      </c>
      <c r="B51" s="287" cm="1">
        <f t="array" ref="B51">IFERROR(SUMPRODUCT(('参考值-平台主推SKU占比'!$B$3:$B$500="袋装320g")*'参考值-平台主推SKU占比'!$C$3:$C$500*'参考值-平台主推SKU占比'!$D$3:$D$500*$B$43)/(SUMPRODUCT(('参考值-平台主推SKU占比'!$B$3:$B$500="袋装320g")*'参考值-平台主推SKU占比'!$C$3:$C$500*'参考值-平台主推SKU占比'!$D$3:$D$500*$B$43)+SUMPRODUCT(('参考值-平台主推SKU占比'!$B$3:$B$500="罐装700g")*'参考值-平台主推SKU占比'!$C$3:$C$500*'参考值-平台主推SKU占比'!$D$3:$D$500*$B$44)),0)</f>
        <v>0.60439842272304689</v>
      </c>
      <c r="C51" s="42"/>
      <c r="D51" s="42"/>
      <c r="E51" s="42"/>
      <c r="F51" s="42"/>
    </row>
    <row r="52" spans="1:6" ht="16">
      <c r="A52" s="68" t="s">
        <v>476</v>
      </c>
      <c r="B52" s="287">
        <f>1-B51</f>
        <v>0.39560157727695311</v>
      </c>
      <c r="C52" s="42"/>
      <c r="D52" s="42"/>
      <c r="E52" s="42"/>
      <c r="F52" s="42"/>
    </row>
    <row r="53" spans="1:6" ht="16">
      <c r="A53" s="68" t="s">
        <v>477</v>
      </c>
      <c r="B53" s="287" cm="1">
        <f t="array" ref="B53">SUMPRODUCT(('参考值-平台主推SKU占比'!$B$3:$B$500="袋装320g")*'参考值-平台主推SKU占比'!$C$3:$C$500*'参考值-平台主推SKU占比'!$D$3:$D$500*$B$43)</f>
        <v>1866447</v>
      </c>
      <c r="C53" s="42"/>
      <c r="D53" s="42"/>
      <c r="E53" s="42"/>
      <c r="F53" s="42"/>
    </row>
    <row r="54" spans="1:6" ht="16">
      <c r="A54" s="68" t="s">
        <v>478</v>
      </c>
      <c r="B54" s="287" cm="1">
        <f t="array" ref="B54">SUMPRODUCT(('参考值-平台主推SKU占比'!$B$3:$B$500="罐装700g")*'参考值-平台主推SKU占比'!$C$3:$C$500*'参考值-平台主推SKU占比'!$D$3:$D$500*$B$44)</f>
        <v>1221660</v>
      </c>
      <c r="C54" s="42"/>
      <c r="D54" s="42"/>
      <c r="E54" s="42"/>
      <c r="F54" s="42"/>
    </row>
    <row r="55" spans="1:6" ht="16">
      <c r="A55" s="68" t="s">
        <v>479</v>
      </c>
      <c r="B55" s="288">
        <v>0.15</v>
      </c>
      <c r="C55" s="42"/>
      <c r="D55" s="42"/>
      <c r="E55" s="42"/>
      <c r="F55" s="42"/>
    </row>
    <row r="56" spans="1:6" ht="16">
      <c r="A56" s="68" t="s">
        <v>480</v>
      </c>
      <c r="B56" s="288">
        <v>0.4</v>
      </c>
      <c r="C56" s="42"/>
      <c r="D56" s="42"/>
      <c r="E56" s="42"/>
      <c r="F56" s="42"/>
    </row>
  </sheetData>
  <phoneticPr fontId="14" type="noConversion"/>
  <hyperlinks>
    <hyperlink ref="A1" location="'目录及说明'!A1" display="返回目录" xr:uid="{00000000-0004-0000-0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S42"/>
  <sheetViews>
    <sheetView showGridLines="0" topLeftCell="G1" zoomScaleNormal="100" workbookViewId="0">
      <selection activeCell="R10" sqref="R10"/>
    </sheetView>
  </sheetViews>
  <sheetFormatPr baseColWidth="10" defaultColWidth="10.59765625" defaultRowHeight="14"/>
  <cols>
    <col min="1" max="1" width="21.59765625" style="14" customWidth="1"/>
    <col min="2" max="97" width="16.796875" style="14" customWidth="1"/>
    <col min="98" max="16384" width="10.59765625" style="14"/>
  </cols>
  <sheetData>
    <row r="1" spans="1:97" ht="19" customHeight="1">
      <c r="A1" s="379" t="s">
        <v>214</v>
      </c>
      <c r="B1" s="379"/>
      <c r="C1" s="379"/>
      <c r="D1" s="379"/>
      <c r="E1" s="379"/>
      <c r="F1" s="379"/>
      <c r="G1" s="379"/>
      <c r="H1" s="379"/>
      <c r="I1" s="379"/>
      <c r="J1" s="379"/>
      <c r="K1" s="379"/>
      <c r="L1" s="379"/>
      <c r="M1" s="379"/>
      <c r="N1" s="379"/>
      <c r="O1" s="379"/>
      <c r="P1" s="379"/>
      <c r="Q1" s="379"/>
      <c r="R1" s="379"/>
      <c r="S1" s="379"/>
      <c r="T1" s="379"/>
      <c r="U1" s="379"/>
      <c r="V1" s="379"/>
      <c r="W1" s="379"/>
      <c r="X1" s="379"/>
      <c r="Y1" s="379"/>
      <c r="Z1" s="379"/>
      <c r="AA1" s="379"/>
      <c r="AB1" s="379"/>
      <c r="AC1" s="379"/>
      <c r="AD1" s="379"/>
      <c r="AE1" s="379"/>
      <c r="AF1" s="379"/>
      <c r="AG1" s="379"/>
      <c r="AH1" s="379"/>
      <c r="AI1" s="379"/>
      <c r="AJ1" s="379"/>
      <c r="AK1" s="379"/>
      <c r="AL1" s="379"/>
      <c r="AM1" s="379"/>
      <c r="AN1" s="379"/>
      <c r="AO1" s="379"/>
      <c r="AP1" s="379"/>
      <c r="AQ1" s="379"/>
      <c r="AR1" s="379"/>
      <c r="AS1" s="379"/>
      <c r="AT1" s="379"/>
      <c r="AU1" s="379"/>
      <c r="AV1" s="379"/>
      <c r="AW1" s="379"/>
      <c r="AX1" s="379"/>
      <c r="AY1" s="379"/>
      <c r="AZ1" s="379"/>
      <c r="BA1" s="379"/>
      <c r="BB1" s="379"/>
      <c r="BC1" s="379"/>
      <c r="BD1" s="379"/>
      <c r="BE1" s="379"/>
      <c r="BF1" s="379"/>
      <c r="BG1" s="379"/>
      <c r="BH1" s="379"/>
      <c r="BI1" s="379"/>
      <c r="BJ1" s="379"/>
      <c r="BK1" s="379"/>
      <c r="BL1" s="379"/>
      <c r="BM1" s="379"/>
      <c r="BN1" s="379"/>
      <c r="BO1" s="379"/>
      <c r="BP1" s="379"/>
      <c r="BQ1" s="379"/>
      <c r="BR1" s="379"/>
      <c r="BS1" s="379"/>
      <c r="BT1" s="379"/>
      <c r="BU1" s="379"/>
      <c r="BV1" s="379"/>
      <c r="BW1" s="379"/>
      <c r="BX1" s="379"/>
      <c r="BY1" s="379"/>
      <c r="BZ1" s="379"/>
      <c r="CA1" s="379"/>
      <c r="CB1" s="379"/>
      <c r="CC1" s="379"/>
      <c r="CD1" s="379"/>
      <c r="CE1" s="379"/>
      <c r="CF1" s="379"/>
      <c r="CG1" s="379"/>
      <c r="CH1" s="379"/>
      <c r="CI1" s="379"/>
      <c r="CJ1" s="379"/>
      <c r="CK1" s="379"/>
      <c r="CL1" s="379"/>
      <c r="CM1" s="379"/>
      <c r="CN1" s="379"/>
      <c r="CO1" s="379"/>
      <c r="CP1" s="379"/>
      <c r="CQ1" s="379"/>
      <c r="CR1" s="379"/>
      <c r="CS1" s="379"/>
    </row>
    <row r="2" spans="1:97" ht="34" customHeight="1">
      <c r="A2" s="380" t="s">
        <v>481</v>
      </c>
      <c r="B2" s="380"/>
      <c r="C2" s="380"/>
      <c r="D2" s="380"/>
      <c r="E2" s="380"/>
      <c r="F2" s="380"/>
      <c r="G2" s="380"/>
      <c r="H2" s="380"/>
      <c r="I2" s="380"/>
      <c r="J2" s="380"/>
      <c r="K2" s="380"/>
      <c r="L2" s="380"/>
      <c r="M2" s="380"/>
      <c r="N2" s="380"/>
      <c r="O2" s="380"/>
      <c r="P2" s="380"/>
      <c r="Q2" s="380"/>
      <c r="R2" s="380"/>
      <c r="S2" s="380"/>
      <c r="T2" s="380"/>
      <c r="U2" s="380"/>
      <c r="V2" s="380"/>
      <c r="W2" s="380"/>
      <c r="X2" s="380"/>
      <c r="Y2" s="380"/>
      <c r="Z2" s="380"/>
      <c r="AA2" s="380"/>
      <c r="AB2" s="380"/>
      <c r="AC2" s="380"/>
      <c r="AD2" s="380"/>
      <c r="AE2" s="380"/>
      <c r="AF2" s="380"/>
      <c r="AG2" s="380"/>
      <c r="AH2" s="380"/>
      <c r="AI2" s="380"/>
      <c r="AJ2" s="380"/>
      <c r="AK2" s="380"/>
      <c r="AL2" s="380"/>
      <c r="AM2" s="380"/>
      <c r="AN2" s="380"/>
      <c r="AO2" s="380"/>
      <c r="AP2" s="380"/>
      <c r="AQ2" s="380"/>
      <c r="AR2" s="380"/>
      <c r="AS2" s="380"/>
      <c r="AT2" s="380"/>
      <c r="AU2" s="380"/>
      <c r="AV2" s="380"/>
      <c r="AW2" s="380"/>
      <c r="AX2" s="380"/>
      <c r="AY2" s="380"/>
      <c r="AZ2" s="380"/>
      <c r="BA2" s="380"/>
      <c r="BB2" s="380"/>
      <c r="BC2" s="380"/>
      <c r="BD2" s="380"/>
      <c r="BE2" s="380"/>
      <c r="BF2" s="380"/>
      <c r="BG2" s="380"/>
      <c r="BH2" s="380"/>
      <c r="BI2" s="380"/>
      <c r="BJ2" s="380"/>
      <c r="BK2" s="380"/>
      <c r="BL2" s="380"/>
      <c r="BM2" s="380"/>
      <c r="BN2" s="380"/>
      <c r="BO2" s="380"/>
      <c r="BP2" s="380"/>
      <c r="BQ2" s="380"/>
      <c r="BR2" s="380"/>
      <c r="BS2" s="380"/>
      <c r="BT2" s="380"/>
      <c r="BU2" s="380"/>
      <c r="BV2" s="380"/>
      <c r="BW2" s="380"/>
      <c r="BX2" s="380"/>
      <c r="BY2" s="380"/>
      <c r="BZ2" s="380"/>
      <c r="CA2" s="380"/>
      <c r="CB2" s="380"/>
      <c r="CC2" s="380"/>
      <c r="CD2" s="380"/>
      <c r="CE2" s="380"/>
      <c r="CF2" s="380"/>
      <c r="CG2" s="380"/>
      <c r="CH2" s="380"/>
      <c r="CI2" s="380"/>
      <c r="CJ2" s="380"/>
      <c r="CK2" s="380"/>
      <c r="CL2" s="380"/>
      <c r="CM2" s="380"/>
      <c r="CN2" s="380"/>
      <c r="CO2" s="380"/>
      <c r="CP2" s="380"/>
      <c r="CQ2" s="380"/>
      <c r="CR2" s="380"/>
      <c r="CS2" s="380"/>
    </row>
    <row r="3" spans="1:97" ht="15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  <c r="CO3" s="113"/>
      <c r="CP3" s="113"/>
      <c r="CQ3" s="113"/>
      <c r="CR3" s="113"/>
      <c r="CS3" s="113"/>
    </row>
    <row r="4" spans="1:97" ht="15" customHeight="1">
      <c r="A4" s="114" t="s">
        <v>215</v>
      </c>
      <c r="B4" s="381" t="s">
        <v>482</v>
      </c>
      <c r="C4" s="381"/>
      <c r="D4" s="381"/>
      <c r="E4" s="381"/>
      <c r="F4" s="381"/>
      <c r="G4" s="381"/>
      <c r="H4" s="381"/>
      <c r="I4" s="381"/>
      <c r="J4" s="381" t="s">
        <v>483</v>
      </c>
      <c r="K4" s="381"/>
      <c r="L4" s="381"/>
      <c r="M4" s="381"/>
      <c r="N4" s="381"/>
      <c r="O4" s="381"/>
      <c r="P4" s="381"/>
      <c r="Q4" s="381"/>
      <c r="R4" s="381" t="s">
        <v>484</v>
      </c>
      <c r="S4" s="381"/>
      <c r="T4" s="381"/>
      <c r="U4" s="381"/>
      <c r="V4" s="381"/>
      <c r="W4" s="381"/>
      <c r="X4" s="381"/>
      <c r="Y4" s="381"/>
      <c r="Z4" s="381" t="s">
        <v>485</v>
      </c>
      <c r="AA4" s="381"/>
      <c r="AB4" s="381"/>
      <c r="AC4" s="381"/>
      <c r="AD4" s="381"/>
      <c r="AE4" s="381"/>
      <c r="AF4" s="381"/>
      <c r="AG4" s="381"/>
      <c r="AH4" s="381" t="s">
        <v>486</v>
      </c>
      <c r="AI4" s="381"/>
      <c r="AJ4" s="381"/>
      <c r="AK4" s="381"/>
      <c r="AL4" s="381"/>
      <c r="AM4" s="381"/>
      <c r="AN4" s="381"/>
      <c r="AO4" s="381"/>
      <c r="AP4" s="381" t="s">
        <v>487</v>
      </c>
      <c r="AQ4" s="381"/>
      <c r="AR4" s="381"/>
      <c r="AS4" s="381"/>
      <c r="AT4" s="381"/>
      <c r="AU4" s="381"/>
      <c r="AV4" s="381"/>
      <c r="AW4" s="381"/>
      <c r="AX4" s="381" t="s">
        <v>488</v>
      </c>
      <c r="AY4" s="381"/>
      <c r="AZ4" s="381"/>
      <c r="BA4" s="381"/>
      <c r="BB4" s="381"/>
      <c r="BC4" s="381"/>
      <c r="BD4" s="381"/>
      <c r="BE4" s="381"/>
      <c r="BF4" s="381" t="s">
        <v>489</v>
      </c>
      <c r="BG4" s="381"/>
      <c r="BH4" s="381"/>
      <c r="BI4" s="381"/>
      <c r="BJ4" s="381"/>
      <c r="BK4" s="381"/>
      <c r="BL4" s="381"/>
      <c r="BM4" s="381"/>
      <c r="BN4" s="381" t="s">
        <v>490</v>
      </c>
      <c r="BO4" s="381"/>
      <c r="BP4" s="381"/>
      <c r="BQ4" s="381"/>
      <c r="BR4" s="381"/>
      <c r="BS4" s="381"/>
      <c r="BT4" s="381"/>
      <c r="BU4" s="381"/>
      <c r="BV4" s="381" t="s">
        <v>491</v>
      </c>
      <c r="BW4" s="381"/>
      <c r="BX4" s="381"/>
      <c r="BY4" s="381"/>
      <c r="BZ4" s="381"/>
      <c r="CA4" s="381"/>
      <c r="CB4" s="381"/>
      <c r="CC4" s="381"/>
      <c r="CD4" s="381" t="s">
        <v>492</v>
      </c>
      <c r="CE4" s="381"/>
      <c r="CF4" s="381"/>
      <c r="CG4" s="381"/>
      <c r="CH4" s="381"/>
      <c r="CI4" s="381"/>
      <c r="CJ4" s="381"/>
      <c r="CK4" s="381"/>
      <c r="CL4" s="381" t="s">
        <v>493</v>
      </c>
      <c r="CM4" s="381"/>
      <c r="CN4" s="381"/>
      <c r="CO4" s="381"/>
      <c r="CP4" s="381"/>
      <c r="CQ4" s="381"/>
      <c r="CR4" s="381"/>
      <c r="CS4" s="381"/>
    </row>
    <row r="5" spans="1:97" ht="32" customHeight="1">
      <c r="A5" s="115"/>
      <c r="B5" s="116" t="s">
        <v>216</v>
      </c>
      <c r="C5" s="116" t="s">
        <v>217</v>
      </c>
      <c r="D5" s="116" t="s">
        <v>218</v>
      </c>
      <c r="E5" s="116" t="s">
        <v>219</v>
      </c>
      <c r="F5" s="116" t="s">
        <v>220</v>
      </c>
      <c r="G5" s="116" t="s">
        <v>55</v>
      </c>
      <c r="H5" s="116" t="s">
        <v>221</v>
      </c>
      <c r="I5" s="116" t="s">
        <v>222</v>
      </c>
      <c r="J5" s="116" t="s">
        <v>216</v>
      </c>
      <c r="K5" s="116" t="s">
        <v>217</v>
      </c>
      <c r="L5" s="116" t="s">
        <v>218</v>
      </c>
      <c r="M5" s="116" t="s">
        <v>219</v>
      </c>
      <c r="N5" s="116" t="s">
        <v>220</v>
      </c>
      <c r="O5" s="116" t="s">
        <v>55</v>
      </c>
      <c r="P5" s="116" t="s">
        <v>221</v>
      </c>
      <c r="Q5" s="116" t="s">
        <v>222</v>
      </c>
      <c r="R5" s="116" t="s">
        <v>216</v>
      </c>
      <c r="S5" s="116" t="s">
        <v>217</v>
      </c>
      <c r="T5" s="116" t="s">
        <v>218</v>
      </c>
      <c r="U5" s="116" t="s">
        <v>219</v>
      </c>
      <c r="V5" s="116" t="s">
        <v>220</v>
      </c>
      <c r="W5" s="116" t="s">
        <v>55</v>
      </c>
      <c r="X5" s="116" t="s">
        <v>221</v>
      </c>
      <c r="Y5" s="116" t="s">
        <v>222</v>
      </c>
      <c r="Z5" s="116" t="s">
        <v>216</v>
      </c>
      <c r="AA5" s="116" t="s">
        <v>217</v>
      </c>
      <c r="AB5" s="116" t="s">
        <v>218</v>
      </c>
      <c r="AC5" s="116" t="s">
        <v>219</v>
      </c>
      <c r="AD5" s="116" t="s">
        <v>220</v>
      </c>
      <c r="AE5" s="116" t="s">
        <v>55</v>
      </c>
      <c r="AF5" s="116" t="s">
        <v>221</v>
      </c>
      <c r="AG5" s="116" t="s">
        <v>222</v>
      </c>
      <c r="AH5" s="116" t="s">
        <v>216</v>
      </c>
      <c r="AI5" s="116" t="s">
        <v>217</v>
      </c>
      <c r="AJ5" s="116" t="s">
        <v>218</v>
      </c>
      <c r="AK5" s="116" t="s">
        <v>219</v>
      </c>
      <c r="AL5" s="116" t="s">
        <v>220</v>
      </c>
      <c r="AM5" s="116" t="s">
        <v>55</v>
      </c>
      <c r="AN5" s="116" t="s">
        <v>221</v>
      </c>
      <c r="AO5" s="116" t="s">
        <v>222</v>
      </c>
      <c r="AP5" s="116" t="s">
        <v>216</v>
      </c>
      <c r="AQ5" s="116" t="s">
        <v>217</v>
      </c>
      <c r="AR5" s="116" t="s">
        <v>218</v>
      </c>
      <c r="AS5" s="116" t="s">
        <v>219</v>
      </c>
      <c r="AT5" s="116" t="s">
        <v>220</v>
      </c>
      <c r="AU5" s="116" t="s">
        <v>55</v>
      </c>
      <c r="AV5" s="116" t="s">
        <v>221</v>
      </c>
      <c r="AW5" s="116" t="s">
        <v>222</v>
      </c>
      <c r="AX5" s="116" t="s">
        <v>216</v>
      </c>
      <c r="AY5" s="116" t="s">
        <v>217</v>
      </c>
      <c r="AZ5" s="116" t="s">
        <v>218</v>
      </c>
      <c r="BA5" s="116" t="s">
        <v>219</v>
      </c>
      <c r="BB5" s="116" t="s">
        <v>220</v>
      </c>
      <c r="BC5" s="116" t="s">
        <v>55</v>
      </c>
      <c r="BD5" s="116" t="s">
        <v>221</v>
      </c>
      <c r="BE5" s="116" t="s">
        <v>222</v>
      </c>
      <c r="BF5" s="116" t="s">
        <v>216</v>
      </c>
      <c r="BG5" s="116" t="s">
        <v>217</v>
      </c>
      <c r="BH5" s="116" t="s">
        <v>218</v>
      </c>
      <c r="BI5" s="116" t="s">
        <v>219</v>
      </c>
      <c r="BJ5" s="116" t="s">
        <v>220</v>
      </c>
      <c r="BK5" s="116" t="s">
        <v>55</v>
      </c>
      <c r="BL5" s="116" t="s">
        <v>221</v>
      </c>
      <c r="BM5" s="116" t="s">
        <v>222</v>
      </c>
      <c r="BN5" s="116" t="s">
        <v>216</v>
      </c>
      <c r="BO5" s="116" t="s">
        <v>217</v>
      </c>
      <c r="BP5" s="116" t="s">
        <v>218</v>
      </c>
      <c r="BQ5" s="116" t="s">
        <v>219</v>
      </c>
      <c r="BR5" s="116" t="s">
        <v>220</v>
      </c>
      <c r="BS5" s="116" t="s">
        <v>55</v>
      </c>
      <c r="BT5" s="116" t="s">
        <v>221</v>
      </c>
      <c r="BU5" s="116" t="s">
        <v>222</v>
      </c>
      <c r="BV5" s="116" t="s">
        <v>216</v>
      </c>
      <c r="BW5" s="116" t="s">
        <v>217</v>
      </c>
      <c r="BX5" s="116" t="s">
        <v>218</v>
      </c>
      <c r="BY5" s="116" t="s">
        <v>219</v>
      </c>
      <c r="BZ5" s="116" t="s">
        <v>220</v>
      </c>
      <c r="CA5" s="116" t="s">
        <v>55</v>
      </c>
      <c r="CB5" s="116" t="s">
        <v>221</v>
      </c>
      <c r="CC5" s="116" t="s">
        <v>222</v>
      </c>
      <c r="CD5" s="116" t="s">
        <v>216</v>
      </c>
      <c r="CE5" s="116" t="s">
        <v>217</v>
      </c>
      <c r="CF5" s="116" t="s">
        <v>218</v>
      </c>
      <c r="CG5" s="116" t="s">
        <v>219</v>
      </c>
      <c r="CH5" s="116" t="s">
        <v>220</v>
      </c>
      <c r="CI5" s="116" t="s">
        <v>55</v>
      </c>
      <c r="CJ5" s="116" t="s">
        <v>221</v>
      </c>
      <c r="CK5" s="116" t="s">
        <v>222</v>
      </c>
      <c r="CL5" s="116" t="s">
        <v>216</v>
      </c>
      <c r="CM5" s="116" t="s">
        <v>217</v>
      </c>
      <c r="CN5" s="116" t="s">
        <v>218</v>
      </c>
      <c r="CO5" s="116" t="s">
        <v>219</v>
      </c>
      <c r="CP5" s="116" t="s">
        <v>220</v>
      </c>
      <c r="CQ5" s="116" t="s">
        <v>55</v>
      </c>
      <c r="CR5" s="116" t="s">
        <v>221</v>
      </c>
      <c r="CS5" s="117" t="s">
        <v>222</v>
      </c>
    </row>
    <row r="6" spans="1:97" ht="13" customHeight="1">
      <c r="A6" s="118" t="s">
        <v>223</v>
      </c>
      <c r="B6" s="119">
        <v>194785.91439444301</v>
      </c>
      <c r="C6" s="119">
        <v>39370.952282222999</v>
      </c>
      <c r="D6" s="119">
        <v>4127360.88</v>
      </c>
      <c r="E6" s="120">
        <v>9.5390137734268094E-3</v>
      </c>
      <c r="F6" s="119">
        <v>4331.1447249864004</v>
      </c>
      <c r="G6" s="119">
        <v>1563242.4158415799</v>
      </c>
      <c r="H6" s="120">
        <v>2.7706161764135002E-3</v>
      </c>
      <c r="I6" s="119">
        <v>43702.097007209399</v>
      </c>
      <c r="J6" s="119">
        <v>166433.68543976301</v>
      </c>
      <c r="K6" s="119">
        <v>14563.2701805</v>
      </c>
      <c r="L6" s="119">
        <v>2363088.44</v>
      </c>
      <c r="M6" s="120">
        <v>6.1628121630944999E-3</v>
      </c>
      <c r="N6" s="119">
        <v>2147.3147609501402</v>
      </c>
      <c r="O6" s="119">
        <v>1000865.64356436</v>
      </c>
      <c r="P6" s="120">
        <v>2.1454575594212302E-3</v>
      </c>
      <c r="Q6" s="119">
        <v>16710.584941450099</v>
      </c>
      <c r="R6" s="119">
        <v>233120.71374049201</v>
      </c>
      <c r="S6" s="119">
        <v>34874.2583059229</v>
      </c>
      <c r="T6" s="119">
        <v>4809678.45</v>
      </c>
      <c r="U6" s="120">
        <v>7.2508502737688996E-3</v>
      </c>
      <c r="V6" s="119">
        <v>3667.4226696389501</v>
      </c>
      <c r="W6" s="119">
        <v>2035457.2574257499</v>
      </c>
      <c r="X6" s="120">
        <v>1.8017684509264299E-3</v>
      </c>
      <c r="Y6" s="119">
        <v>38541.680975561801</v>
      </c>
      <c r="Z6" s="119">
        <v>226077.21227929299</v>
      </c>
      <c r="AA6" s="119">
        <v>28649.421815761802</v>
      </c>
      <c r="AB6" s="119">
        <v>2901973.82</v>
      </c>
      <c r="AC6" s="120">
        <v>9.8723915489222994E-3</v>
      </c>
      <c r="AD6" s="119">
        <v>3268.1320954978901</v>
      </c>
      <c r="AE6" s="119">
        <v>1183289.1881188201</v>
      </c>
      <c r="AF6" s="120">
        <v>2.7619048059532602E-3</v>
      </c>
      <c r="AG6" s="119">
        <v>31917.5539112597</v>
      </c>
      <c r="AH6" s="119">
        <v>235097.55377605601</v>
      </c>
      <c r="AI6" s="119">
        <v>28820.380204849698</v>
      </c>
      <c r="AJ6" s="119">
        <v>3832808.9</v>
      </c>
      <c r="AK6" s="120">
        <v>7.5193887712089501E-3</v>
      </c>
      <c r="AL6" s="119">
        <v>2800.3690067649</v>
      </c>
      <c r="AM6" s="119">
        <v>1496230.9900990101</v>
      </c>
      <c r="AN6" s="120">
        <v>1.8716154292323501E-3</v>
      </c>
      <c r="AO6" s="119">
        <v>31620.749211614599</v>
      </c>
      <c r="AP6" s="119">
        <v>246334.05429455201</v>
      </c>
      <c r="AQ6" s="119">
        <v>20353.808881529199</v>
      </c>
      <c r="AR6" s="119">
        <v>2715264.98</v>
      </c>
      <c r="AS6" s="120">
        <v>7.4960672462726701E-3</v>
      </c>
      <c r="AT6" s="119">
        <v>2398.1832457149198</v>
      </c>
      <c r="AU6" s="119">
        <v>1001980.03960396</v>
      </c>
      <c r="AV6" s="120">
        <v>2.3934441315446001E-3</v>
      </c>
      <c r="AW6" s="119">
        <v>22751.992127244201</v>
      </c>
      <c r="AX6" s="121"/>
      <c r="AY6" s="121"/>
      <c r="AZ6" s="121"/>
      <c r="BA6" s="122"/>
      <c r="BB6" s="121"/>
      <c r="BC6" s="121"/>
      <c r="BD6" s="122"/>
      <c r="BE6" s="121"/>
      <c r="BF6" s="121"/>
      <c r="BG6" s="121"/>
      <c r="BH6" s="121"/>
      <c r="BI6" s="122"/>
      <c r="BJ6" s="121"/>
      <c r="BK6" s="121"/>
      <c r="BL6" s="122"/>
      <c r="BM6" s="121"/>
      <c r="BN6" s="121"/>
      <c r="BO6" s="121"/>
      <c r="BP6" s="121"/>
      <c r="BQ6" s="122"/>
      <c r="BR6" s="121"/>
      <c r="BS6" s="121"/>
      <c r="BT6" s="122"/>
      <c r="BU6" s="121"/>
      <c r="BV6" s="121"/>
      <c r="BW6" s="121"/>
      <c r="BX6" s="121"/>
      <c r="BY6" s="122"/>
      <c r="BZ6" s="121"/>
      <c r="CA6" s="121"/>
      <c r="CB6" s="122"/>
      <c r="CC6" s="121"/>
      <c r="CD6" s="121"/>
      <c r="CE6" s="121"/>
      <c r="CF6" s="121"/>
      <c r="CG6" s="122"/>
      <c r="CH6" s="121"/>
      <c r="CI6" s="121"/>
      <c r="CJ6" s="122"/>
      <c r="CK6" s="121"/>
      <c r="CL6" s="121"/>
      <c r="CM6" s="121"/>
      <c r="CN6" s="121"/>
      <c r="CO6" s="122"/>
      <c r="CP6" s="121"/>
      <c r="CQ6" s="121"/>
      <c r="CR6" s="122"/>
      <c r="CS6" s="123"/>
    </row>
    <row r="7" spans="1:97" ht="13" customHeight="1">
      <c r="A7" s="118" t="s">
        <v>224</v>
      </c>
      <c r="B7" s="119">
        <v>22634.2182942607</v>
      </c>
      <c r="C7" s="119">
        <v>163.40630218471199</v>
      </c>
      <c r="D7" s="119">
        <v>156332</v>
      </c>
      <c r="E7" s="120">
        <v>1.04525178584494E-3</v>
      </c>
      <c r="F7" s="119">
        <v>128.510598357058</v>
      </c>
      <c r="G7" s="119">
        <v>46383.4</v>
      </c>
      <c r="H7" s="120">
        <v>2.7706161764135002E-3</v>
      </c>
      <c r="I7" s="119">
        <v>291.91690054177002</v>
      </c>
      <c r="J7" s="119">
        <v>22893.171533486198</v>
      </c>
      <c r="K7" s="119">
        <v>85.741162399999993</v>
      </c>
      <c r="L7" s="119">
        <v>53377</v>
      </c>
      <c r="M7" s="120">
        <v>1.6063316109935001E-3</v>
      </c>
      <c r="N7" s="119">
        <v>29.448335914859801</v>
      </c>
      <c r="O7" s="119">
        <v>13725.9</v>
      </c>
      <c r="P7" s="120">
        <v>2.1454575594212302E-3</v>
      </c>
      <c r="Q7" s="119">
        <v>115.18949831486</v>
      </c>
      <c r="R7" s="119">
        <v>23586.043062672401</v>
      </c>
      <c r="S7" s="119">
        <v>341.31808586071202</v>
      </c>
      <c r="T7" s="119">
        <v>113282.5</v>
      </c>
      <c r="U7" s="120">
        <v>3.0129815802150601E-3</v>
      </c>
      <c r="V7" s="119">
        <v>81.212226485046699</v>
      </c>
      <c r="W7" s="119">
        <v>45073.62</v>
      </c>
      <c r="X7" s="120">
        <v>1.8017684509264299E-3</v>
      </c>
      <c r="Y7" s="119">
        <v>422.530312345759</v>
      </c>
      <c r="Z7" s="119">
        <v>34664.224341929301</v>
      </c>
      <c r="AA7" s="119">
        <v>254.78672846524501</v>
      </c>
      <c r="AB7" s="119">
        <v>74995</v>
      </c>
      <c r="AC7" s="120">
        <v>3.39738287172805E-3</v>
      </c>
      <c r="AD7" s="119">
        <v>178.234306652111</v>
      </c>
      <c r="AE7" s="119">
        <v>64533.11</v>
      </c>
      <c r="AF7" s="120">
        <v>2.7619048059532602E-3</v>
      </c>
      <c r="AG7" s="119">
        <v>433.02103511735601</v>
      </c>
      <c r="AH7" s="119">
        <v>70082.156799792501</v>
      </c>
      <c r="AI7" s="119">
        <v>2436.35858432139</v>
      </c>
      <c r="AJ7" s="119">
        <v>673865.25</v>
      </c>
      <c r="AK7" s="120">
        <v>3.6154981790816401E-3</v>
      </c>
      <c r="AL7" s="119">
        <v>1109.9135982350999</v>
      </c>
      <c r="AM7" s="119">
        <v>593024.39</v>
      </c>
      <c r="AN7" s="120">
        <v>1.8716154292323501E-3</v>
      </c>
      <c r="AO7" s="119">
        <v>3546.2721825565</v>
      </c>
      <c r="AP7" s="119">
        <v>79985.931629289495</v>
      </c>
      <c r="AQ7" s="119">
        <v>2634.64876284206</v>
      </c>
      <c r="AR7" s="119">
        <v>705358.52</v>
      </c>
      <c r="AS7" s="120">
        <v>3.7351909534488301E-3</v>
      </c>
      <c r="AT7" s="119">
        <v>1090.9931073277901</v>
      </c>
      <c r="AU7" s="119">
        <v>455825.6</v>
      </c>
      <c r="AV7" s="120">
        <v>2.3934441315445901E-3</v>
      </c>
      <c r="AW7" s="119">
        <v>3725.6418701698499</v>
      </c>
      <c r="AX7" s="121"/>
      <c r="AY7" s="121"/>
      <c r="AZ7" s="121"/>
      <c r="BA7" s="122"/>
      <c r="BB7" s="121"/>
      <c r="BC7" s="121"/>
      <c r="BD7" s="122"/>
      <c r="BE7" s="121"/>
      <c r="BF7" s="121"/>
      <c r="BG7" s="121"/>
      <c r="BH7" s="121"/>
      <c r="BI7" s="122"/>
      <c r="BJ7" s="121"/>
      <c r="BK7" s="121"/>
      <c r="BL7" s="122"/>
      <c r="BM7" s="121"/>
      <c r="BN7" s="121"/>
      <c r="BO7" s="121"/>
      <c r="BP7" s="121"/>
      <c r="BQ7" s="122"/>
      <c r="BR7" s="121"/>
      <c r="BS7" s="121"/>
      <c r="BT7" s="122"/>
      <c r="BU7" s="121"/>
      <c r="BV7" s="121"/>
      <c r="BW7" s="121"/>
      <c r="BX7" s="121"/>
      <c r="BY7" s="122"/>
      <c r="BZ7" s="121"/>
      <c r="CA7" s="121"/>
      <c r="CB7" s="122"/>
      <c r="CC7" s="121"/>
      <c r="CD7" s="121"/>
      <c r="CE7" s="121"/>
      <c r="CF7" s="121"/>
      <c r="CG7" s="122"/>
      <c r="CH7" s="121"/>
      <c r="CI7" s="121"/>
      <c r="CJ7" s="122"/>
      <c r="CK7" s="121"/>
      <c r="CL7" s="121"/>
      <c r="CM7" s="121"/>
      <c r="CN7" s="121"/>
      <c r="CO7" s="122"/>
      <c r="CP7" s="121"/>
      <c r="CQ7" s="121"/>
      <c r="CR7" s="122"/>
      <c r="CS7" s="123"/>
    </row>
    <row r="8" spans="1:97" ht="13" customHeight="1">
      <c r="A8" s="118" t="s">
        <v>225</v>
      </c>
      <c r="B8" s="119">
        <v>8905.4088642984807</v>
      </c>
      <c r="C8" s="119">
        <v>502.86600978889402</v>
      </c>
      <c r="D8" s="119">
        <v>136692</v>
      </c>
      <c r="E8" s="120">
        <v>3.67882546007736E-3</v>
      </c>
      <c r="F8" s="119">
        <v>0</v>
      </c>
      <c r="G8" s="119">
        <v>34212.32</v>
      </c>
      <c r="H8" s="120">
        <v>0</v>
      </c>
      <c r="I8" s="119">
        <v>502.86600978889402</v>
      </c>
      <c r="J8" s="119">
        <v>8929.0108868044208</v>
      </c>
      <c r="K8" s="119">
        <v>288.58055999999999</v>
      </c>
      <c r="L8" s="119">
        <v>85720.73</v>
      </c>
      <c r="M8" s="120">
        <v>3.3665200937976199E-3</v>
      </c>
      <c r="N8" s="119">
        <v>0</v>
      </c>
      <c r="O8" s="119">
        <v>21340.51</v>
      </c>
      <c r="P8" s="120">
        <v>0</v>
      </c>
      <c r="Q8" s="119">
        <v>288.58055999999999</v>
      </c>
      <c r="R8" s="119">
        <v>9896.4975986748104</v>
      </c>
      <c r="S8" s="119">
        <v>1250.7801811258701</v>
      </c>
      <c r="T8" s="119">
        <v>232636.56</v>
      </c>
      <c r="U8" s="120">
        <v>5.3765417659454298E-3</v>
      </c>
      <c r="V8" s="119">
        <v>0</v>
      </c>
      <c r="W8" s="119">
        <v>48647.13</v>
      </c>
      <c r="X8" s="120">
        <v>0</v>
      </c>
      <c r="Y8" s="119">
        <v>1250.7801811258701</v>
      </c>
      <c r="Z8" s="119">
        <v>9595.6018165474306</v>
      </c>
      <c r="AA8" s="119">
        <v>903.012169170981</v>
      </c>
      <c r="AB8" s="119">
        <v>194663</v>
      </c>
      <c r="AC8" s="120">
        <v>4.6388485185730301E-3</v>
      </c>
      <c r="AD8" s="119">
        <v>0</v>
      </c>
      <c r="AE8" s="119">
        <v>40773.660000000003</v>
      </c>
      <c r="AF8" s="120">
        <v>0</v>
      </c>
      <c r="AG8" s="119">
        <v>903.012169170981</v>
      </c>
      <c r="AH8" s="119">
        <v>9372.48282809995</v>
      </c>
      <c r="AI8" s="119">
        <v>20.902455120343401</v>
      </c>
      <c r="AJ8" s="119">
        <v>192214.55</v>
      </c>
      <c r="AK8" s="120">
        <v>1.08745436390447E-4</v>
      </c>
      <c r="AL8" s="119">
        <v>0</v>
      </c>
      <c r="AM8" s="119">
        <v>49455.32</v>
      </c>
      <c r="AN8" s="120">
        <v>0</v>
      </c>
      <c r="AO8" s="119">
        <v>20.902455120343401</v>
      </c>
      <c r="AP8" s="119">
        <v>10418.1056102154</v>
      </c>
      <c r="AQ8" s="119">
        <v>36.969914458368898</v>
      </c>
      <c r="AR8" s="119">
        <v>166707.37</v>
      </c>
      <c r="AS8" s="120">
        <v>2.21765327221999E-4</v>
      </c>
      <c r="AT8" s="119">
        <v>0</v>
      </c>
      <c r="AU8" s="119">
        <v>47959.98</v>
      </c>
      <c r="AV8" s="120">
        <v>0</v>
      </c>
      <c r="AW8" s="119">
        <v>36.969914458368898</v>
      </c>
      <c r="AX8" s="121"/>
      <c r="AY8" s="121"/>
      <c r="AZ8" s="121"/>
      <c r="BA8" s="122"/>
      <c r="BB8" s="121"/>
      <c r="BC8" s="121"/>
      <c r="BD8" s="122"/>
      <c r="BE8" s="121"/>
      <c r="BF8" s="121"/>
      <c r="BG8" s="121"/>
      <c r="BH8" s="121"/>
      <c r="BI8" s="122"/>
      <c r="BJ8" s="121"/>
      <c r="BK8" s="121"/>
      <c r="BL8" s="122"/>
      <c r="BM8" s="121"/>
      <c r="BN8" s="121"/>
      <c r="BO8" s="121"/>
      <c r="BP8" s="121"/>
      <c r="BQ8" s="122"/>
      <c r="BR8" s="121"/>
      <c r="BS8" s="121"/>
      <c r="BT8" s="122"/>
      <c r="BU8" s="121"/>
      <c r="BV8" s="121"/>
      <c r="BW8" s="121"/>
      <c r="BX8" s="121"/>
      <c r="BY8" s="122"/>
      <c r="BZ8" s="121"/>
      <c r="CA8" s="121"/>
      <c r="CB8" s="122"/>
      <c r="CC8" s="121"/>
      <c r="CD8" s="121"/>
      <c r="CE8" s="121"/>
      <c r="CF8" s="121"/>
      <c r="CG8" s="122"/>
      <c r="CH8" s="121"/>
      <c r="CI8" s="121"/>
      <c r="CJ8" s="122"/>
      <c r="CK8" s="121"/>
      <c r="CL8" s="121"/>
      <c r="CM8" s="121"/>
      <c r="CN8" s="121"/>
      <c r="CO8" s="122"/>
      <c r="CP8" s="121"/>
      <c r="CQ8" s="121"/>
      <c r="CR8" s="122"/>
      <c r="CS8" s="123"/>
    </row>
    <row r="9" spans="1:97" ht="13" customHeight="1">
      <c r="A9" s="118" t="s">
        <v>153</v>
      </c>
      <c r="B9" s="119">
        <v>53207.634936345399</v>
      </c>
      <c r="C9" s="119">
        <v>36930.023430610803</v>
      </c>
      <c r="D9" s="119">
        <v>4006629.4</v>
      </c>
      <c r="E9" s="120">
        <v>9.2172296820391703E-3</v>
      </c>
      <c r="F9" s="119">
        <v>0</v>
      </c>
      <c r="G9" s="119">
        <v>1323981.8799999999</v>
      </c>
      <c r="H9" s="120">
        <v>0</v>
      </c>
      <c r="I9" s="119">
        <v>36930.023430610803</v>
      </c>
      <c r="J9" s="119">
        <v>52326.235155232898</v>
      </c>
      <c r="K9" s="119">
        <v>26231.006880000001</v>
      </c>
      <c r="L9" s="119">
        <v>3011688</v>
      </c>
      <c r="M9" s="120">
        <v>8.7097358292094005E-3</v>
      </c>
      <c r="N9" s="119">
        <v>0</v>
      </c>
      <c r="O9" s="119">
        <v>914320.32</v>
      </c>
      <c r="P9" s="120">
        <v>0</v>
      </c>
      <c r="Q9" s="119">
        <v>26231.006880000001</v>
      </c>
      <c r="R9" s="119">
        <v>32229.2765099998</v>
      </c>
      <c r="S9" s="119">
        <v>53584.149352361899</v>
      </c>
      <c r="T9" s="119">
        <v>405224.1</v>
      </c>
      <c r="U9" s="120">
        <v>0.13223337247799899</v>
      </c>
      <c r="V9" s="119">
        <v>0</v>
      </c>
      <c r="W9" s="119">
        <v>1874731.99</v>
      </c>
      <c r="X9" s="120">
        <v>0</v>
      </c>
      <c r="Y9" s="119">
        <v>53584.149352361899</v>
      </c>
      <c r="Z9" s="119">
        <v>65076.406609321202</v>
      </c>
      <c r="AA9" s="119">
        <v>29709.087545849601</v>
      </c>
      <c r="AB9" s="119">
        <v>4389112.0999999996</v>
      </c>
      <c r="AC9" s="120">
        <v>6.7688149377295804E-3</v>
      </c>
      <c r="AD9" s="119">
        <v>0</v>
      </c>
      <c r="AE9" s="119">
        <v>1429385.28</v>
      </c>
      <c r="AF9" s="120">
        <v>0</v>
      </c>
      <c r="AG9" s="119">
        <v>29709.087545849601</v>
      </c>
      <c r="AH9" s="119">
        <v>64140.880319711803</v>
      </c>
      <c r="AI9" s="119">
        <v>30571.0331807271</v>
      </c>
      <c r="AJ9" s="119">
        <v>4462289.7</v>
      </c>
      <c r="AK9" s="120">
        <v>6.8509745525323204E-3</v>
      </c>
      <c r="AL9" s="119">
        <v>0</v>
      </c>
      <c r="AM9" s="119">
        <v>1422493.83</v>
      </c>
      <c r="AN9" s="120">
        <v>0</v>
      </c>
      <c r="AO9" s="119">
        <v>30571.0331807271</v>
      </c>
      <c r="AP9" s="119"/>
      <c r="AQ9" s="119"/>
      <c r="AR9" s="119"/>
      <c r="AS9" s="120"/>
      <c r="AT9" s="119"/>
      <c r="AU9" s="119"/>
      <c r="AV9" s="120"/>
      <c r="AW9" s="119"/>
      <c r="AX9" s="121"/>
      <c r="AY9" s="121"/>
      <c r="AZ9" s="121"/>
      <c r="BA9" s="122"/>
      <c r="BB9" s="121"/>
      <c r="BC9" s="121"/>
      <c r="BD9" s="122"/>
      <c r="BE9" s="121"/>
      <c r="BF9" s="121"/>
      <c r="BG9" s="121"/>
      <c r="BH9" s="121"/>
      <c r="BI9" s="122"/>
      <c r="BJ9" s="121"/>
      <c r="BK9" s="121"/>
      <c r="BL9" s="122"/>
      <c r="BM9" s="121"/>
      <c r="BN9" s="121"/>
      <c r="BO9" s="121"/>
      <c r="BP9" s="121"/>
      <c r="BQ9" s="122"/>
      <c r="BR9" s="121"/>
      <c r="BS9" s="121"/>
      <c r="BT9" s="122"/>
      <c r="BU9" s="121"/>
      <c r="BV9" s="121"/>
      <c r="BW9" s="121"/>
      <c r="BX9" s="121"/>
      <c r="BY9" s="122"/>
      <c r="BZ9" s="121"/>
      <c r="CA9" s="121"/>
      <c r="CB9" s="122"/>
      <c r="CC9" s="121"/>
      <c r="CD9" s="121"/>
      <c r="CE9" s="121"/>
      <c r="CF9" s="121"/>
      <c r="CG9" s="122"/>
      <c r="CH9" s="121"/>
      <c r="CI9" s="121"/>
      <c r="CJ9" s="122"/>
      <c r="CK9" s="121"/>
      <c r="CL9" s="121"/>
      <c r="CM9" s="121"/>
      <c r="CN9" s="121"/>
      <c r="CO9" s="122"/>
      <c r="CP9" s="121"/>
      <c r="CQ9" s="121"/>
      <c r="CR9" s="122"/>
      <c r="CS9" s="123"/>
    </row>
    <row r="10" spans="1:97" ht="13" customHeight="1">
      <c r="A10" s="118" t="s">
        <v>226</v>
      </c>
      <c r="B10" s="119">
        <v>35244.680485726698</v>
      </c>
      <c r="C10" s="119">
        <v>7776.6797582131103</v>
      </c>
      <c r="D10" s="119">
        <v>516735.64</v>
      </c>
      <c r="E10" s="120">
        <v>1.50496291647565E-2</v>
      </c>
      <c r="F10" s="119">
        <v>0</v>
      </c>
      <c r="G10" s="119">
        <v>0</v>
      </c>
      <c r="H10" s="120"/>
      <c r="I10" s="119">
        <v>7776.6797582131103</v>
      </c>
      <c r="J10" s="119">
        <v>32609.821117240001</v>
      </c>
      <c r="K10" s="119">
        <v>423.76</v>
      </c>
      <c r="L10" s="119">
        <v>42376</v>
      </c>
      <c r="M10" s="120">
        <v>0.01</v>
      </c>
      <c r="N10" s="119">
        <v>0</v>
      </c>
      <c r="O10" s="119">
        <v>0</v>
      </c>
      <c r="P10" s="120"/>
      <c r="Q10" s="119">
        <v>423.76</v>
      </c>
      <c r="R10" s="119">
        <v>46874.9303332934</v>
      </c>
      <c r="S10" s="119">
        <v>15266.191397680899</v>
      </c>
      <c r="T10" s="119">
        <v>1900322.78</v>
      </c>
      <c r="U10" s="120">
        <v>8.0334728175393798E-3</v>
      </c>
      <c r="V10" s="119">
        <v>0</v>
      </c>
      <c r="W10" s="119">
        <v>686.65</v>
      </c>
      <c r="X10" s="120">
        <v>0</v>
      </c>
      <c r="Y10" s="119">
        <v>15266.191397680899</v>
      </c>
      <c r="Z10" s="119">
        <v>35299.227778147899</v>
      </c>
      <c r="AA10" s="119">
        <v>3024.9206825880301</v>
      </c>
      <c r="AB10" s="119">
        <v>378104.97</v>
      </c>
      <c r="AC10" s="120">
        <v>8.0002140214872793E-3</v>
      </c>
      <c r="AD10" s="119">
        <v>0</v>
      </c>
      <c r="AE10" s="119">
        <v>30312.22</v>
      </c>
      <c r="AF10" s="120">
        <v>0</v>
      </c>
      <c r="AG10" s="119">
        <v>3024.9206825880301</v>
      </c>
      <c r="AH10" s="119">
        <v>42071.494359159398</v>
      </c>
      <c r="AI10" s="119">
        <v>6574.37195939703</v>
      </c>
      <c r="AJ10" s="119">
        <v>811389.63</v>
      </c>
      <c r="AK10" s="120">
        <v>8.1026078178951296E-3</v>
      </c>
      <c r="AL10" s="119">
        <v>0</v>
      </c>
      <c r="AM10" s="119">
        <v>49.87</v>
      </c>
      <c r="AN10" s="120">
        <v>0</v>
      </c>
      <c r="AO10" s="119">
        <v>6574.37195939703</v>
      </c>
      <c r="AP10" s="119">
        <v>40671.7746517177</v>
      </c>
      <c r="AQ10" s="119">
        <v>2246.2984377524699</v>
      </c>
      <c r="AR10" s="119">
        <v>273819.34999999998</v>
      </c>
      <c r="AS10" s="120">
        <v>8.2035781538173404E-3</v>
      </c>
      <c r="AT10" s="119">
        <v>0</v>
      </c>
      <c r="AU10" s="119">
        <v>81.81</v>
      </c>
      <c r="AV10" s="120">
        <v>0</v>
      </c>
      <c r="AW10" s="119">
        <v>2246.2984377524699</v>
      </c>
      <c r="AX10" s="121"/>
      <c r="AY10" s="121"/>
      <c r="AZ10" s="121"/>
      <c r="BA10" s="122"/>
      <c r="BB10" s="121"/>
      <c r="BC10" s="121"/>
      <c r="BD10" s="122"/>
      <c r="BE10" s="121"/>
      <c r="BF10" s="121"/>
      <c r="BG10" s="121"/>
      <c r="BH10" s="121"/>
      <c r="BI10" s="122"/>
      <c r="BJ10" s="121"/>
      <c r="BK10" s="121"/>
      <c r="BL10" s="122"/>
      <c r="BM10" s="121"/>
      <c r="BN10" s="121"/>
      <c r="BO10" s="121"/>
      <c r="BP10" s="121"/>
      <c r="BQ10" s="122"/>
      <c r="BR10" s="121"/>
      <c r="BS10" s="121"/>
      <c r="BT10" s="122"/>
      <c r="BU10" s="121"/>
      <c r="BV10" s="121"/>
      <c r="BW10" s="121"/>
      <c r="BX10" s="121"/>
      <c r="BY10" s="122"/>
      <c r="BZ10" s="121"/>
      <c r="CA10" s="121"/>
      <c r="CB10" s="122"/>
      <c r="CC10" s="121"/>
      <c r="CD10" s="121"/>
      <c r="CE10" s="121"/>
      <c r="CF10" s="121"/>
      <c r="CG10" s="122"/>
      <c r="CH10" s="121"/>
      <c r="CI10" s="121"/>
      <c r="CJ10" s="122"/>
      <c r="CK10" s="121"/>
      <c r="CL10" s="121"/>
      <c r="CM10" s="121"/>
      <c r="CN10" s="121"/>
      <c r="CO10" s="122"/>
      <c r="CP10" s="121"/>
      <c r="CQ10" s="121"/>
      <c r="CR10" s="122"/>
      <c r="CS10" s="123"/>
    </row>
    <row r="11" spans="1:97" ht="13" customHeight="1">
      <c r="A11" s="118" t="s">
        <v>227</v>
      </c>
      <c r="B11" s="119">
        <v>9.1054827095390092</v>
      </c>
      <c r="C11" s="119">
        <v>7.6694926048088502E-2</v>
      </c>
      <c r="D11" s="119">
        <v>1545.36</v>
      </c>
      <c r="E11" s="120">
        <v>4.9629164756489398E-5</v>
      </c>
      <c r="F11" s="119">
        <v>0</v>
      </c>
      <c r="G11" s="119">
        <v>317.08999999999997</v>
      </c>
      <c r="H11" s="120">
        <v>0</v>
      </c>
      <c r="I11" s="119">
        <v>7.6694926048088502E-2</v>
      </c>
      <c r="J11" s="119">
        <v>26.7181589198517</v>
      </c>
      <c r="K11" s="119">
        <v>0</v>
      </c>
      <c r="L11" s="119">
        <v>2762.69</v>
      </c>
      <c r="M11" s="120">
        <v>0</v>
      </c>
      <c r="N11" s="119">
        <v>0</v>
      </c>
      <c r="O11" s="119">
        <v>960.74</v>
      </c>
      <c r="P11" s="120">
        <v>0</v>
      </c>
      <c r="Q11" s="119">
        <v>0</v>
      </c>
      <c r="R11" s="119">
        <v>28.294483341709199</v>
      </c>
      <c r="S11" s="119">
        <v>0.122643734007943</v>
      </c>
      <c r="T11" s="119">
        <v>3663.98</v>
      </c>
      <c r="U11" s="120">
        <v>3.3472817539381503E-5</v>
      </c>
      <c r="V11" s="119">
        <v>0</v>
      </c>
      <c r="W11" s="119">
        <v>937.28</v>
      </c>
      <c r="X11" s="120">
        <v>0</v>
      </c>
      <c r="Y11" s="119">
        <v>0.122643734007943</v>
      </c>
      <c r="Z11" s="119">
        <v>9.6623979768331392</v>
      </c>
      <c r="AA11" s="119">
        <v>3.7684394204058301E-2</v>
      </c>
      <c r="AB11" s="119">
        <v>1178.81</v>
      </c>
      <c r="AC11" s="120">
        <v>3.1968166374613599E-5</v>
      </c>
      <c r="AD11" s="119">
        <v>0</v>
      </c>
      <c r="AE11" s="119">
        <v>204.37</v>
      </c>
      <c r="AF11" s="120">
        <v>0</v>
      </c>
      <c r="AG11" s="119">
        <v>3.7684394204058301E-2</v>
      </c>
      <c r="AH11" s="119">
        <v>9029.8713585510595</v>
      </c>
      <c r="AI11" s="119">
        <v>0.49068224553534001</v>
      </c>
      <c r="AJ11" s="119">
        <v>4512.21</v>
      </c>
      <c r="AK11" s="120">
        <v>1.08745436390447E-4</v>
      </c>
      <c r="AL11" s="119">
        <v>0</v>
      </c>
      <c r="AM11" s="119">
        <v>2537.509</v>
      </c>
      <c r="AN11" s="120">
        <v>0</v>
      </c>
      <c r="AO11" s="119">
        <v>0.49068224553534001</v>
      </c>
      <c r="AP11" s="119">
        <v>9712.2398682913808</v>
      </c>
      <c r="AQ11" s="119">
        <v>10.88928742125</v>
      </c>
      <c r="AR11" s="119">
        <v>49102.75</v>
      </c>
      <c r="AS11" s="120">
        <v>2.21765327221999E-4</v>
      </c>
      <c r="AT11" s="119">
        <v>0</v>
      </c>
      <c r="AU11" s="119">
        <v>14909.28</v>
      </c>
      <c r="AV11" s="120">
        <v>0</v>
      </c>
      <c r="AW11" s="119">
        <v>10.88928742125</v>
      </c>
      <c r="AX11" s="121"/>
      <c r="AY11" s="121"/>
      <c r="AZ11" s="121"/>
      <c r="BA11" s="122"/>
      <c r="BB11" s="121"/>
      <c r="BC11" s="121"/>
      <c r="BD11" s="122"/>
      <c r="BE11" s="121"/>
      <c r="BF11" s="121"/>
      <c r="BG11" s="121"/>
      <c r="BH11" s="121"/>
      <c r="BI11" s="122"/>
      <c r="BJ11" s="121"/>
      <c r="BK11" s="121"/>
      <c r="BL11" s="122"/>
      <c r="BM11" s="121"/>
      <c r="BN11" s="121"/>
      <c r="BO11" s="121"/>
      <c r="BP11" s="121"/>
      <c r="BQ11" s="122"/>
      <c r="BR11" s="121"/>
      <c r="BS11" s="121"/>
      <c r="BT11" s="122"/>
      <c r="BU11" s="121"/>
      <c r="BV11" s="121"/>
      <c r="BW11" s="121"/>
      <c r="BX11" s="121"/>
      <c r="BY11" s="122"/>
      <c r="BZ11" s="121"/>
      <c r="CA11" s="121"/>
      <c r="CB11" s="122"/>
      <c r="CC11" s="121"/>
      <c r="CD11" s="121"/>
      <c r="CE11" s="121"/>
      <c r="CF11" s="121"/>
      <c r="CG11" s="122"/>
      <c r="CH11" s="121"/>
      <c r="CI11" s="121"/>
      <c r="CJ11" s="122"/>
      <c r="CK11" s="121"/>
      <c r="CL11" s="121"/>
      <c r="CM11" s="121"/>
      <c r="CN11" s="121"/>
      <c r="CO11" s="122"/>
      <c r="CP11" s="121"/>
      <c r="CQ11" s="121"/>
      <c r="CR11" s="122"/>
      <c r="CS11" s="123"/>
    </row>
    <row r="12" spans="1:97" ht="13" customHeight="1">
      <c r="A12" s="118" t="s">
        <v>228</v>
      </c>
      <c r="B12" s="119">
        <v>11998.272539330899</v>
      </c>
      <c r="C12" s="119">
        <v>1396.21120830619</v>
      </c>
      <c r="D12" s="119">
        <v>277011.68</v>
      </c>
      <c r="E12" s="120">
        <v>5.0402611482165396E-3</v>
      </c>
      <c r="F12" s="119">
        <v>0</v>
      </c>
      <c r="G12" s="119">
        <v>61176.67</v>
      </c>
      <c r="H12" s="120">
        <v>0</v>
      </c>
      <c r="I12" s="119">
        <v>1396.21120830619</v>
      </c>
      <c r="J12" s="119">
        <v>11178.261028114401</v>
      </c>
      <c r="K12" s="119">
        <v>0</v>
      </c>
      <c r="L12" s="119">
        <v>142513.85999999999</v>
      </c>
      <c r="M12" s="120">
        <v>0</v>
      </c>
      <c r="N12" s="119">
        <v>0</v>
      </c>
      <c r="O12" s="119">
        <v>40272.79</v>
      </c>
      <c r="P12" s="120">
        <v>0</v>
      </c>
      <c r="Q12" s="119">
        <v>0</v>
      </c>
      <c r="R12" s="119">
        <v>12754.5559665372</v>
      </c>
      <c r="S12" s="119">
        <v>2331.2849780103702</v>
      </c>
      <c r="T12" s="119">
        <v>325621.17</v>
      </c>
      <c r="U12" s="120">
        <v>7.1595006492064699E-3</v>
      </c>
      <c r="V12" s="119">
        <v>0</v>
      </c>
      <c r="W12" s="119">
        <v>82254.16</v>
      </c>
      <c r="X12" s="120">
        <v>0</v>
      </c>
      <c r="Y12" s="119">
        <v>2331.2849780103702</v>
      </c>
      <c r="Z12" s="119">
        <v>12507.354359098101</v>
      </c>
      <c r="AA12" s="119">
        <v>2065.0109447750401</v>
      </c>
      <c r="AB12" s="119">
        <v>342496.49</v>
      </c>
      <c r="AC12" s="120">
        <v>6.0292908250681402E-3</v>
      </c>
      <c r="AD12" s="119">
        <v>0</v>
      </c>
      <c r="AE12" s="119">
        <v>120361.5</v>
      </c>
      <c r="AF12" s="120">
        <v>0</v>
      </c>
      <c r="AG12" s="119">
        <v>2065.0109447750401</v>
      </c>
      <c r="AH12" s="119">
        <v>11957.923158367499</v>
      </c>
      <c r="AI12" s="119">
        <v>35.447151800293902</v>
      </c>
      <c r="AJ12" s="119">
        <v>325964.5</v>
      </c>
      <c r="AK12" s="120">
        <v>1.08745436390447E-4</v>
      </c>
      <c r="AL12" s="119">
        <v>0</v>
      </c>
      <c r="AM12" s="119">
        <v>89143.08</v>
      </c>
      <c r="AN12" s="120">
        <v>0</v>
      </c>
      <c r="AO12" s="119">
        <v>35.447151800293902</v>
      </c>
      <c r="AP12" s="119">
        <v>13510.793232895699</v>
      </c>
      <c r="AQ12" s="119">
        <v>58.262426274317001</v>
      </c>
      <c r="AR12" s="119">
        <v>262721.08</v>
      </c>
      <c r="AS12" s="120">
        <v>2.21765327221999E-4</v>
      </c>
      <c r="AT12" s="119">
        <v>0</v>
      </c>
      <c r="AU12" s="119">
        <v>86273.13</v>
      </c>
      <c r="AV12" s="120">
        <v>0</v>
      </c>
      <c r="AW12" s="119">
        <v>58.262426274317001</v>
      </c>
      <c r="AX12" s="121"/>
      <c r="AY12" s="121"/>
      <c r="AZ12" s="121"/>
      <c r="BA12" s="122"/>
      <c r="BB12" s="121"/>
      <c r="BC12" s="121"/>
      <c r="BD12" s="122"/>
      <c r="BE12" s="121"/>
      <c r="BF12" s="121"/>
      <c r="BG12" s="121"/>
      <c r="BH12" s="121"/>
      <c r="BI12" s="122"/>
      <c r="BJ12" s="121"/>
      <c r="BK12" s="121"/>
      <c r="BL12" s="122"/>
      <c r="BM12" s="121"/>
      <c r="BN12" s="121"/>
      <c r="BO12" s="121"/>
      <c r="BP12" s="121"/>
      <c r="BQ12" s="122"/>
      <c r="BR12" s="121"/>
      <c r="BS12" s="121"/>
      <c r="BT12" s="122"/>
      <c r="BU12" s="121"/>
      <c r="BV12" s="121"/>
      <c r="BW12" s="121"/>
      <c r="BX12" s="121"/>
      <c r="BY12" s="122"/>
      <c r="BZ12" s="121"/>
      <c r="CA12" s="121"/>
      <c r="CB12" s="122"/>
      <c r="CC12" s="121"/>
      <c r="CD12" s="121"/>
      <c r="CE12" s="121"/>
      <c r="CF12" s="121"/>
      <c r="CG12" s="122"/>
      <c r="CH12" s="121"/>
      <c r="CI12" s="121"/>
      <c r="CJ12" s="122"/>
      <c r="CK12" s="121"/>
      <c r="CL12" s="121"/>
      <c r="CM12" s="121"/>
      <c r="CN12" s="121"/>
      <c r="CO12" s="122"/>
      <c r="CP12" s="121"/>
      <c r="CQ12" s="121"/>
      <c r="CR12" s="122"/>
      <c r="CS12" s="123"/>
    </row>
    <row r="13" spans="1:97" ht="13" customHeight="1">
      <c r="A13" s="118" t="s">
        <v>229</v>
      </c>
      <c r="B13" s="119">
        <v>8000.75419435395</v>
      </c>
      <c r="C13" s="119">
        <v>6.3525330888306404E-3</v>
      </c>
      <c r="D13" s="119">
        <v>128</v>
      </c>
      <c r="E13" s="120">
        <v>4.9629164756489398E-5</v>
      </c>
      <c r="F13" s="119">
        <v>0</v>
      </c>
      <c r="G13" s="119">
        <v>0</v>
      </c>
      <c r="H13" s="120"/>
      <c r="I13" s="119">
        <v>6.3525330888306404E-3</v>
      </c>
      <c r="J13" s="119">
        <v>8000</v>
      </c>
      <c r="K13" s="119">
        <v>0</v>
      </c>
      <c r="L13" s="119">
        <v>0</v>
      </c>
      <c r="M13" s="120"/>
      <c r="N13" s="119">
        <v>0</v>
      </c>
      <c r="O13" s="119">
        <v>0</v>
      </c>
      <c r="P13" s="120"/>
      <c r="Q13" s="119">
        <v>0</v>
      </c>
      <c r="R13" s="119">
        <v>8120.4547674646601</v>
      </c>
      <c r="S13" s="119">
        <v>0.52211670672730703</v>
      </c>
      <c r="T13" s="119">
        <v>15598.23</v>
      </c>
      <c r="U13" s="120">
        <v>3.3472817539381503E-5</v>
      </c>
      <c r="V13" s="119">
        <v>0</v>
      </c>
      <c r="W13" s="119">
        <v>0</v>
      </c>
      <c r="X13" s="120"/>
      <c r="Y13" s="119">
        <v>0.52211670672730703</v>
      </c>
      <c r="Z13" s="119">
        <v>7927.5654168854398</v>
      </c>
      <c r="AA13" s="119">
        <v>-0.28250268625246</v>
      </c>
      <c r="AB13" s="119">
        <v>-8837</v>
      </c>
      <c r="AC13" s="120">
        <v>3.1968166374613599E-5</v>
      </c>
      <c r="AD13" s="119">
        <v>0</v>
      </c>
      <c r="AE13" s="119">
        <v>0</v>
      </c>
      <c r="AF13" s="120"/>
      <c r="AG13" s="119">
        <v>-0.28250268625246</v>
      </c>
      <c r="AH13" s="119">
        <v>7962.7155005286604</v>
      </c>
      <c r="AI13" s="119">
        <v>-0.61245429775099902</v>
      </c>
      <c r="AJ13" s="119">
        <v>-5632</v>
      </c>
      <c r="AK13" s="120">
        <v>1.08745436390447E-4</v>
      </c>
      <c r="AL13" s="119">
        <v>0</v>
      </c>
      <c r="AM13" s="119">
        <v>0</v>
      </c>
      <c r="AN13" s="120"/>
      <c r="AO13" s="119">
        <v>-0.61245429775099902</v>
      </c>
      <c r="AP13" s="119">
        <v>8000</v>
      </c>
      <c r="AQ13" s="119">
        <v>0</v>
      </c>
      <c r="AR13" s="119">
        <v>0</v>
      </c>
      <c r="AS13" s="120"/>
      <c r="AT13" s="119">
        <v>0</v>
      </c>
      <c r="AU13" s="119">
        <v>0</v>
      </c>
      <c r="AV13" s="120"/>
      <c r="AW13" s="119">
        <v>0</v>
      </c>
      <c r="AX13" s="121"/>
      <c r="AY13" s="121"/>
      <c r="AZ13" s="121"/>
      <c r="BA13" s="122"/>
      <c r="BB13" s="121"/>
      <c r="BC13" s="121"/>
      <c r="BD13" s="122"/>
      <c r="BE13" s="121"/>
      <c r="BF13" s="121"/>
      <c r="BG13" s="121"/>
      <c r="BH13" s="121"/>
      <c r="BI13" s="122"/>
      <c r="BJ13" s="121"/>
      <c r="BK13" s="121"/>
      <c r="BL13" s="122"/>
      <c r="BM13" s="121"/>
      <c r="BN13" s="121"/>
      <c r="BO13" s="121"/>
      <c r="BP13" s="121"/>
      <c r="BQ13" s="122"/>
      <c r="BR13" s="121"/>
      <c r="BS13" s="121"/>
      <c r="BT13" s="122"/>
      <c r="BU13" s="121"/>
      <c r="BV13" s="121"/>
      <c r="BW13" s="121"/>
      <c r="BX13" s="121"/>
      <c r="BY13" s="122"/>
      <c r="BZ13" s="121"/>
      <c r="CA13" s="121"/>
      <c r="CB13" s="122"/>
      <c r="CC13" s="121"/>
      <c r="CD13" s="121"/>
      <c r="CE13" s="121"/>
      <c r="CF13" s="121"/>
      <c r="CG13" s="122"/>
      <c r="CH13" s="121"/>
      <c r="CI13" s="121"/>
      <c r="CJ13" s="122"/>
      <c r="CK13" s="121"/>
      <c r="CL13" s="121"/>
      <c r="CM13" s="121"/>
      <c r="CN13" s="121"/>
      <c r="CO13" s="122"/>
      <c r="CP13" s="121"/>
      <c r="CQ13" s="121"/>
      <c r="CR13" s="122"/>
      <c r="CS13" s="123"/>
    </row>
    <row r="14" spans="1:97" ht="13" customHeight="1">
      <c r="A14" s="118" t="s">
        <v>230</v>
      </c>
      <c r="B14" s="119">
        <v>34660.090808531299</v>
      </c>
      <c r="C14" s="119">
        <v>16554.588255914201</v>
      </c>
      <c r="D14" s="119">
        <v>247803</v>
      </c>
      <c r="E14" s="120">
        <v>6.6805439223553198E-2</v>
      </c>
      <c r="F14" s="119">
        <v>0</v>
      </c>
      <c r="G14" s="119">
        <v>0</v>
      </c>
      <c r="H14" s="120"/>
      <c r="I14" s="119">
        <v>16554.588255914201</v>
      </c>
      <c r="J14" s="119">
        <v>33860.155503968701</v>
      </c>
      <c r="K14" s="119">
        <v>6354.23</v>
      </c>
      <c r="L14" s="119">
        <v>78601</v>
      </c>
      <c r="M14" s="120">
        <v>8.0841592346153401E-2</v>
      </c>
      <c r="N14" s="119">
        <v>0</v>
      </c>
      <c r="O14" s="119">
        <v>0</v>
      </c>
      <c r="P14" s="120"/>
      <c r="Q14" s="119">
        <v>6354.23</v>
      </c>
      <c r="R14" s="119">
        <v>35409.496990907297</v>
      </c>
      <c r="S14" s="119">
        <v>20274.6882567475</v>
      </c>
      <c r="T14" s="119">
        <v>260218.81</v>
      </c>
      <c r="U14" s="120">
        <v>7.7913999594216299E-2</v>
      </c>
      <c r="V14" s="119">
        <v>0</v>
      </c>
      <c r="W14" s="119">
        <v>4210</v>
      </c>
      <c r="X14" s="120">
        <v>0</v>
      </c>
      <c r="Y14" s="119">
        <v>20274.6882567475</v>
      </c>
      <c r="Z14" s="119">
        <v>34711.5997786757</v>
      </c>
      <c r="AA14" s="119">
        <v>12136.923391378599</v>
      </c>
      <c r="AB14" s="119">
        <v>172214.8</v>
      </c>
      <c r="AC14" s="120">
        <v>7.0475495668075996E-2</v>
      </c>
      <c r="AD14" s="119">
        <v>0</v>
      </c>
      <c r="AE14" s="119">
        <v>0</v>
      </c>
      <c r="AF14" s="120"/>
      <c r="AG14" s="119">
        <v>12136.923391378599</v>
      </c>
      <c r="AH14" s="119">
        <v>53753.833750334299</v>
      </c>
      <c r="AI14" s="119">
        <v>13877.1693578962</v>
      </c>
      <c r="AJ14" s="119">
        <v>185785.8</v>
      </c>
      <c r="AK14" s="120">
        <v>7.4694456507957793E-2</v>
      </c>
      <c r="AL14" s="119">
        <v>0</v>
      </c>
      <c r="AM14" s="119">
        <v>5815</v>
      </c>
      <c r="AN14" s="120">
        <v>0</v>
      </c>
      <c r="AO14" s="119">
        <v>13877.1693578962</v>
      </c>
      <c r="AP14" s="119">
        <v>48225.798933543701</v>
      </c>
      <c r="AQ14" s="119">
        <v>13989.3590443128</v>
      </c>
      <c r="AR14" s="119">
        <v>201019</v>
      </c>
      <c r="AS14" s="120">
        <v>6.9592222846162996E-2</v>
      </c>
      <c r="AT14" s="119">
        <v>0</v>
      </c>
      <c r="AU14" s="119">
        <v>3555</v>
      </c>
      <c r="AV14" s="120">
        <v>0</v>
      </c>
      <c r="AW14" s="119">
        <v>13989.3590443128</v>
      </c>
      <c r="AX14" s="121"/>
      <c r="AY14" s="121"/>
      <c r="AZ14" s="121"/>
      <c r="BA14" s="122"/>
      <c r="BB14" s="121"/>
      <c r="BC14" s="121"/>
      <c r="BD14" s="122"/>
      <c r="BE14" s="121"/>
      <c r="BF14" s="121"/>
      <c r="BG14" s="121"/>
      <c r="BH14" s="121"/>
      <c r="BI14" s="122"/>
      <c r="BJ14" s="121"/>
      <c r="BK14" s="121"/>
      <c r="BL14" s="122"/>
      <c r="BM14" s="121"/>
      <c r="BN14" s="121"/>
      <c r="BO14" s="121"/>
      <c r="BP14" s="121"/>
      <c r="BQ14" s="122"/>
      <c r="BR14" s="121"/>
      <c r="BS14" s="121"/>
      <c r="BT14" s="122"/>
      <c r="BU14" s="121"/>
      <c r="BV14" s="121"/>
      <c r="BW14" s="121"/>
      <c r="BX14" s="121"/>
      <c r="BY14" s="122"/>
      <c r="BZ14" s="121"/>
      <c r="CA14" s="121"/>
      <c r="CB14" s="122"/>
      <c r="CC14" s="121"/>
      <c r="CD14" s="121"/>
      <c r="CE14" s="121"/>
      <c r="CF14" s="121"/>
      <c r="CG14" s="122"/>
      <c r="CH14" s="121"/>
      <c r="CI14" s="121"/>
      <c r="CJ14" s="122"/>
      <c r="CK14" s="121"/>
      <c r="CL14" s="121"/>
      <c r="CM14" s="121"/>
      <c r="CN14" s="121"/>
      <c r="CO14" s="122"/>
      <c r="CP14" s="121"/>
      <c r="CQ14" s="121"/>
      <c r="CR14" s="122"/>
      <c r="CS14" s="123"/>
    </row>
    <row r="15" spans="1:97" ht="13" customHeight="1">
      <c r="A15" s="118" t="s">
        <v>231</v>
      </c>
      <c r="B15" s="119">
        <v>0</v>
      </c>
      <c r="C15" s="119">
        <v>0</v>
      </c>
      <c r="D15" s="119">
        <v>1495293.32</v>
      </c>
      <c r="E15" s="120">
        <v>0</v>
      </c>
      <c r="F15" s="119">
        <v>0</v>
      </c>
      <c r="G15" s="119">
        <v>0</v>
      </c>
      <c r="H15" s="120"/>
      <c r="I15" s="119">
        <v>0</v>
      </c>
      <c r="J15" s="119">
        <v>0</v>
      </c>
      <c r="K15" s="119">
        <v>0</v>
      </c>
      <c r="L15" s="119">
        <v>869468.38</v>
      </c>
      <c r="M15" s="120">
        <v>0</v>
      </c>
      <c r="N15" s="119">
        <v>0</v>
      </c>
      <c r="O15" s="119">
        <v>0</v>
      </c>
      <c r="P15" s="120"/>
      <c r="Q15" s="119">
        <v>0</v>
      </c>
      <c r="R15" s="119">
        <v>1609.7365466163701</v>
      </c>
      <c r="S15" s="119">
        <v>0</v>
      </c>
      <c r="T15" s="119">
        <v>2031924.35</v>
      </c>
      <c r="U15" s="120">
        <v>0</v>
      </c>
      <c r="V15" s="119">
        <v>0</v>
      </c>
      <c r="W15" s="119">
        <v>0</v>
      </c>
      <c r="X15" s="120"/>
      <c r="Y15" s="119">
        <v>0</v>
      </c>
      <c r="Z15" s="119">
        <v>1071.1452221248401</v>
      </c>
      <c r="AA15" s="119">
        <v>0</v>
      </c>
      <c r="AB15" s="119">
        <v>1305668.52</v>
      </c>
      <c r="AC15" s="120">
        <v>0</v>
      </c>
      <c r="AD15" s="119">
        <v>0</v>
      </c>
      <c r="AE15" s="119">
        <v>0</v>
      </c>
      <c r="AF15" s="120"/>
      <c r="AG15" s="119">
        <v>0</v>
      </c>
      <c r="AH15" s="119">
        <v>1099.9981493990001</v>
      </c>
      <c r="AI15" s="119">
        <v>0</v>
      </c>
      <c r="AJ15" s="119">
        <v>1671231.29</v>
      </c>
      <c r="AK15" s="120">
        <v>0</v>
      </c>
      <c r="AL15" s="119">
        <v>0</v>
      </c>
      <c r="AM15" s="119">
        <v>0</v>
      </c>
      <c r="AN15" s="120"/>
      <c r="AO15" s="119">
        <v>0</v>
      </c>
      <c r="AP15" s="119">
        <v>1954.8317794949901</v>
      </c>
      <c r="AQ15" s="119">
        <v>0</v>
      </c>
      <c r="AR15" s="119">
        <v>1414422.28</v>
      </c>
      <c r="AS15" s="120">
        <v>0</v>
      </c>
      <c r="AT15" s="119">
        <v>0</v>
      </c>
      <c r="AU15" s="119">
        <v>0</v>
      </c>
      <c r="AV15" s="120"/>
      <c r="AW15" s="119">
        <v>0</v>
      </c>
      <c r="AX15" s="121"/>
      <c r="AY15" s="121"/>
      <c r="AZ15" s="121"/>
      <c r="BA15" s="122"/>
      <c r="BB15" s="121"/>
      <c r="BC15" s="121"/>
      <c r="BD15" s="122"/>
      <c r="BE15" s="121"/>
      <c r="BF15" s="121"/>
      <c r="BG15" s="121"/>
      <c r="BH15" s="121"/>
      <c r="BI15" s="122"/>
      <c r="BJ15" s="121"/>
      <c r="BK15" s="121"/>
      <c r="BL15" s="122"/>
      <c r="BM15" s="121"/>
      <c r="BN15" s="121"/>
      <c r="BO15" s="121"/>
      <c r="BP15" s="121"/>
      <c r="BQ15" s="122"/>
      <c r="BR15" s="121"/>
      <c r="BS15" s="121"/>
      <c r="BT15" s="122"/>
      <c r="BU15" s="121"/>
      <c r="BV15" s="121"/>
      <c r="BW15" s="121"/>
      <c r="BX15" s="121"/>
      <c r="BY15" s="122"/>
      <c r="BZ15" s="121"/>
      <c r="CA15" s="121"/>
      <c r="CB15" s="122"/>
      <c r="CC15" s="121"/>
      <c r="CD15" s="121"/>
      <c r="CE15" s="121"/>
      <c r="CF15" s="121"/>
      <c r="CG15" s="122"/>
      <c r="CH15" s="121"/>
      <c r="CI15" s="121"/>
      <c r="CJ15" s="122"/>
      <c r="CK15" s="121"/>
      <c r="CL15" s="121"/>
      <c r="CM15" s="121"/>
      <c r="CN15" s="121"/>
      <c r="CO15" s="122"/>
      <c r="CP15" s="121"/>
      <c r="CQ15" s="121"/>
      <c r="CR15" s="122"/>
      <c r="CS15" s="123"/>
    </row>
    <row r="16" spans="1:97" ht="13" customHeight="1">
      <c r="A16" s="124" t="s">
        <v>232</v>
      </c>
      <c r="B16" s="125">
        <v>210709.03996495099</v>
      </c>
      <c r="C16" s="125"/>
      <c r="D16" s="125"/>
      <c r="E16" s="126"/>
      <c r="F16" s="125"/>
      <c r="G16" s="125"/>
      <c r="H16" s="126"/>
      <c r="I16" s="125"/>
      <c r="J16" s="125">
        <v>213107.79061213901</v>
      </c>
      <c r="K16" s="125"/>
      <c r="L16" s="125"/>
      <c r="M16" s="126"/>
      <c r="N16" s="125"/>
      <c r="O16" s="125"/>
      <c r="P16" s="126"/>
      <c r="Q16" s="125"/>
      <c r="R16" s="125">
        <v>224977.68005373701</v>
      </c>
      <c r="S16" s="125"/>
      <c r="T16" s="125"/>
      <c r="U16" s="126"/>
      <c r="V16" s="125"/>
      <c r="W16" s="125"/>
      <c r="X16" s="126"/>
      <c r="Y16" s="125"/>
      <c r="Z16" s="125">
        <v>244276.477788374</v>
      </c>
      <c r="AA16" s="125"/>
      <c r="AB16" s="125"/>
      <c r="AC16" s="126"/>
      <c r="AD16" s="125"/>
      <c r="AE16" s="125"/>
      <c r="AF16" s="126"/>
      <c r="AG16" s="125"/>
      <c r="AH16" s="127">
        <v>246772.11704044201</v>
      </c>
      <c r="AI16" s="125"/>
      <c r="AJ16" s="125"/>
      <c r="AK16" s="126"/>
      <c r="AL16" s="125"/>
      <c r="AM16" s="125"/>
      <c r="AN16" s="126"/>
      <c r="AO16" s="125"/>
      <c r="AP16" s="125">
        <v>231444.94704925499</v>
      </c>
      <c r="AQ16" s="125"/>
      <c r="AR16" s="125"/>
      <c r="AS16" s="126"/>
      <c r="AT16" s="125"/>
      <c r="AU16" s="125"/>
      <c r="AV16" s="126"/>
      <c r="AW16" s="125"/>
      <c r="AX16" s="125"/>
      <c r="AY16" s="125"/>
      <c r="AZ16" s="125"/>
      <c r="BA16" s="126"/>
      <c r="BB16" s="125"/>
      <c r="BC16" s="125"/>
      <c r="BD16" s="126"/>
      <c r="BE16" s="125"/>
      <c r="BF16" s="125"/>
      <c r="BG16" s="125"/>
      <c r="BH16" s="125"/>
      <c r="BI16" s="126"/>
      <c r="BJ16" s="125"/>
      <c r="BK16" s="125"/>
      <c r="BL16" s="126"/>
      <c r="BM16" s="125"/>
      <c r="BN16" s="125"/>
      <c r="BO16" s="125"/>
      <c r="BP16" s="125"/>
      <c r="BQ16" s="126"/>
      <c r="BR16" s="125"/>
      <c r="BS16" s="125"/>
      <c r="BT16" s="126"/>
      <c r="BU16" s="125"/>
      <c r="BV16" s="125"/>
      <c r="BW16" s="125"/>
      <c r="BX16" s="125"/>
      <c r="BY16" s="126"/>
      <c r="BZ16" s="125"/>
      <c r="CA16" s="125"/>
      <c r="CB16" s="126"/>
      <c r="CC16" s="125"/>
      <c r="CD16" s="125"/>
      <c r="CE16" s="125"/>
      <c r="CF16" s="125"/>
      <c r="CG16" s="126"/>
      <c r="CH16" s="125"/>
      <c r="CI16" s="125"/>
      <c r="CJ16" s="126"/>
      <c r="CK16" s="125"/>
      <c r="CL16" s="125"/>
      <c r="CM16" s="125"/>
      <c r="CN16" s="125"/>
      <c r="CO16" s="126"/>
      <c r="CP16" s="125"/>
      <c r="CQ16" s="125"/>
      <c r="CR16" s="126"/>
      <c r="CS16" s="128"/>
    </row>
    <row r="17" spans="1:97" ht="15">
      <c r="A17" s="113"/>
      <c r="B17" s="113"/>
      <c r="C17" s="113"/>
      <c r="D17" s="113"/>
      <c r="E17" s="113"/>
      <c r="F17" s="113"/>
      <c r="G17" s="113"/>
      <c r="H17" s="113"/>
      <c r="I17" s="113" t="str">
        <f t="shared" ref="I17:I42" si="0">IF(COUNT(C17,F17)=0,"",SUM(C17,F17))</f>
        <v/>
      </c>
      <c r="J17" s="113"/>
      <c r="K17" s="113"/>
      <c r="L17" s="113"/>
      <c r="M17" s="113"/>
      <c r="N17" s="113" t="str">
        <f t="shared" ref="N17:N42" si="1">IF(K17="","",IFERROR(K17/L17,""))</f>
        <v/>
      </c>
      <c r="O17" s="113"/>
      <c r="P17" s="113"/>
      <c r="Q17" s="113"/>
      <c r="R17" s="113"/>
      <c r="S17" s="113" t="str">
        <f t="shared" ref="S17:S42" si="2">IF(P17="","",IFERROR(P17/Q17,""))</f>
        <v/>
      </c>
      <c r="T17" s="113"/>
      <c r="U17" s="113"/>
      <c r="V17" s="113"/>
      <c r="W17" s="113"/>
      <c r="X17" s="113" t="str">
        <f t="shared" ref="X17:X42" si="3">IF(V17="","",IFERROR(V17/W17,""))</f>
        <v/>
      </c>
      <c r="Y17" s="113"/>
      <c r="Z17" s="113"/>
      <c r="AA17" s="113"/>
      <c r="AB17" s="113"/>
      <c r="AC17" s="113" t="str">
        <f t="shared" ref="AC17:AC42" si="4">IF(AA17="","",IFERROR(AA17/AB17,""))</f>
        <v/>
      </c>
      <c r="AD17" s="113"/>
      <c r="AE17" s="113"/>
      <c r="AF17" s="113"/>
      <c r="AG17" s="113"/>
      <c r="AH17" s="113" t="str">
        <f t="shared" ref="AH17:AH42" si="5">IF(AE17="","",IFERROR(AE17/AF17,""))</f>
        <v/>
      </c>
      <c r="AI17" s="113"/>
      <c r="AJ17" s="113"/>
      <c r="AK17" s="113"/>
      <c r="AL17" s="113"/>
      <c r="AM17" s="113" t="str">
        <f t="shared" ref="AM17:AM42" si="6">IF(AJ17="","",IFERROR(AJ17/AK17,""))</f>
        <v/>
      </c>
      <c r="AN17" s="113"/>
      <c r="AO17" s="113"/>
      <c r="AP17" s="113"/>
      <c r="AQ17" s="113"/>
      <c r="AR17" s="113" t="str">
        <f t="shared" ref="AR17:AR42" si="7">IF(AO17="","",IFERROR(AO17/AP17,""))</f>
        <v/>
      </c>
      <c r="AS17" s="113"/>
      <c r="AT17" s="113"/>
      <c r="AU17" s="113"/>
      <c r="AV17" s="113"/>
      <c r="AW17" s="113" t="str">
        <f t="shared" ref="AW17:AW42" si="8">IF(COUNT(AQ17,AT17)=0,"",SUM(AQ17,AT17))</f>
        <v/>
      </c>
      <c r="AX17" s="113"/>
      <c r="AY17" s="113"/>
      <c r="AZ17" s="113"/>
      <c r="BA17" s="113"/>
      <c r="BB17" s="113" t="str">
        <f t="shared" ref="BB17:BB42" si="9">IF(AY17="","",IFERROR(AY17/AZ17,""))</f>
        <v/>
      </c>
      <c r="BC17" s="113"/>
      <c r="BD17" s="113"/>
      <c r="BE17" s="113"/>
      <c r="BF17" s="113"/>
      <c r="BG17" s="113" t="str">
        <f t="shared" ref="BG17:BG42" si="10">IF(BD17="","",IFERROR(BD17/BE17,""))</f>
        <v/>
      </c>
      <c r="BH17" s="113"/>
      <c r="BI17" s="113"/>
      <c r="BJ17" s="113"/>
      <c r="BK17" s="113"/>
      <c r="BL17" s="113" t="str">
        <f t="shared" ref="BL17:BL42" si="11">IF(BJ17="","",IFERROR(BJ17/BK17,""))</f>
        <v/>
      </c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</row>
    <row r="18" spans="1:97" ht="15">
      <c r="A18" s="113"/>
      <c r="B18" s="113"/>
      <c r="C18" s="113"/>
      <c r="D18" s="113"/>
      <c r="E18" s="113"/>
      <c r="F18" s="113"/>
      <c r="G18" s="113"/>
      <c r="H18" s="113"/>
      <c r="I18" s="113" t="str">
        <f t="shared" si="0"/>
        <v/>
      </c>
      <c r="J18" s="113"/>
      <c r="K18" s="113"/>
      <c r="L18" s="113"/>
      <c r="M18" s="113"/>
      <c r="N18" s="113" t="str">
        <f t="shared" si="1"/>
        <v/>
      </c>
      <c r="O18" s="113"/>
      <c r="P18" s="113"/>
      <c r="Q18" s="113"/>
      <c r="R18" s="113"/>
      <c r="S18" s="113" t="str">
        <f t="shared" si="2"/>
        <v/>
      </c>
      <c r="T18" s="113"/>
      <c r="U18" s="113"/>
      <c r="V18" s="113"/>
      <c r="W18" s="113"/>
      <c r="X18" s="113" t="str">
        <f t="shared" si="3"/>
        <v/>
      </c>
      <c r="Y18" s="113"/>
      <c r="Z18" s="113"/>
      <c r="AA18" s="113"/>
      <c r="AB18" s="113"/>
      <c r="AC18" s="113" t="str">
        <f t="shared" si="4"/>
        <v/>
      </c>
      <c r="AD18" s="113"/>
      <c r="AE18" s="113"/>
      <c r="AF18" s="113"/>
      <c r="AG18" s="113"/>
      <c r="AH18" s="113" t="str">
        <f t="shared" si="5"/>
        <v/>
      </c>
      <c r="AI18" s="113"/>
      <c r="AJ18" s="113"/>
      <c r="AK18" s="113"/>
      <c r="AL18" s="113"/>
      <c r="AM18" s="113" t="str">
        <f t="shared" si="6"/>
        <v/>
      </c>
      <c r="AN18" s="113"/>
      <c r="AO18" s="113"/>
      <c r="AP18" s="113"/>
      <c r="AQ18" s="113"/>
      <c r="AR18" s="113" t="str">
        <f t="shared" si="7"/>
        <v/>
      </c>
      <c r="AS18" s="113"/>
      <c r="AT18" s="113"/>
      <c r="AU18" s="113"/>
      <c r="AV18" s="113"/>
      <c r="AW18" s="113" t="str">
        <f t="shared" si="8"/>
        <v/>
      </c>
      <c r="AX18" s="113"/>
      <c r="AY18" s="113"/>
      <c r="AZ18" s="113"/>
      <c r="BA18" s="113"/>
      <c r="BB18" s="113" t="str">
        <f t="shared" si="9"/>
        <v/>
      </c>
      <c r="BC18" s="113"/>
      <c r="BD18" s="113"/>
      <c r="BE18" s="113"/>
      <c r="BF18" s="113"/>
      <c r="BG18" s="113" t="str">
        <f t="shared" si="10"/>
        <v/>
      </c>
      <c r="BH18" s="113"/>
      <c r="BI18" s="113"/>
      <c r="BJ18" s="113"/>
      <c r="BK18" s="113"/>
      <c r="BL18" s="113" t="str">
        <f t="shared" si="11"/>
        <v/>
      </c>
      <c r="BM18" s="113"/>
      <c r="BN18" s="113"/>
      <c r="BO18" s="113"/>
      <c r="BP18" s="113"/>
      <c r="BQ18" s="113"/>
      <c r="BR18" s="113"/>
      <c r="BS18" s="113"/>
      <c r="BT18" s="113"/>
      <c r="BU18" s="113"/>
      <c r="BV18" s="113"/>
      <c r="BW18" s="113"/>
      <c r="BX18" s="113"/>
      <c r="BY18" s="113"/>
      <c r="BZ18" s="113"/>
      <c r="CA18" s="113"/>
      <c r="CB18" s="113"/>
      <c r="CC18" s="113"/>
      <c r="CD18" s="113"/>
      <c r="CE18" s="113"/>
      <c r="CF18" s="113"/>
      <c r="CG18" s="113"/>
      <c r="CH18" s="113"/>
      <c r="CI18" s="113"/>
      <c r="CJ18" s="113"/>
      <c r="CK18" s="113"/>
      <c r="CL18" s="113"/>
      <c r="CM18" s="113"/>
      <c r="CN18" s="113"/>
      <c r="CO18" s="113"/>
      <c r="CP18" s="113"/>
      <c r="CQ18" s="113"/>
      <c r="CR18" s="113"/>
      <c r="CS18" s="113"/>
    </row>
    <row r="19" spans="1:97" ht="15">
      <c r="A19" s="113"/>
      <c r="B19" s="113"/>
      <c r="C19" s="113"/>
      <c r="D19" s="113"/>
      <c r="E19" s="113"/>
      <c r="F19" s="113"/>
      <c r="G19" s="113"/>
      <c r="H19" s="113"/>
      <c r="I19" s="113" t="str">
        <f t="shared" si="0"/>
        <v/>
      </c>
      <c r="J19" s="113"/>
      <c r="K19" s="113"/>
      <c r="L19" s="113"/>
      <c r="M19" s="113"/>
      <c r="N19" s="113" t="str">
        <f t="shared" si="1"/>
        <v/>
      </c>
      <c r="O19" s="113"/>
      <c r="P19" s="113"/>
      <c r="Q19" s="113"/>
      <c r="R19" s="113"/>
      <c r="S19" s="113" t="str">
        <f t="shared" si="2"/>
        <v/>
      </c>
      <c r="T19" s="113"/>
      <c r="U19" s="113"/>
      <c r="V19" s="113"/>
      <c r="W19" s="113"/>
      <c r="X19" s="113" t="str">
        <f t="shared" si="3"/>
        <v/>
      </c>
      <c r="Y19" s="113"/>
      <c r="Z19" s="113"/>
      <c r="AA19" s="113"/>
      <c r="AB19" s="113"/>
      <c r="AC19" s="113" t="str">
        <f t="shared" si="4"/>
        <v/>
      </c>
      <c r="AD19" s="113"/>
      <c r="AE19" s="113"/>
      <c r="AF19" s="113"/>
      <c r="AG19" s="113"/>
      <c r="AH19" s="113" t="str">
        <f t="shared" si="5"/>
        <v/>
      </c>
      <c r="AI19" s="113"/>
      <c r="AJ19" s="113"/>
      <c r="AK19" s="113"/>
      <c r="AL19" s="113"/>
      <c r="AM19" s="113" t="str">
        <f t="shared" si="6"/>
        <v/>
      </c>
      <c r="AN19" s="113"/>
      <c r="AO19" s="113"/>
      <c r="AP19" s="113"/>
      <c r="AQ19" s="113"/>
      <c r="AR19" s="113" t="str">
        <f t="shared" si="7"/>
        <v/>
      </c>
      <c r="AS19" s="113"/>
      <c r="AT19" s="113"/>
      <c r="AU19" s="113"/>
      <c r="AV19" s="113"/>
      <c r="AW19" s="113" t="str">
        <f t="shared" si="8"/>
        <v/>
      </c>
      <c r="AX19" s="113"/>
      <c r="AY19" s="113"/>
      <c r="AZ19" s="113"/>
      <c r="BA19" s="113"/>
      <c r="BB19" s="113" t="str">
        <f t="shared" si="9"/>
        <v/>
      </c>
      <c r="BC19" s="113"/>
      <c r="BD19" s="113"/>
      <c r="BE19" s="113"/>
      <c r="BF19" s="113"/>
      <c r="BG19" s="113" t="str">
        <f t="shared" si="10"/>
        <v/>
      </c>
      <c r="BH19" s="113"/>
      <c r="BI19" s="113"/>
      <c r="BJ19" s="113"/>
      <c r="BK19" s="113"/>
      <c r="BL19" s="113" t="str">
        <f t="shared" si="11"/>
        <v/>
      </c>
      <c r="BM19" s="113"/>
      <c r="BN19" s="113"/>
      <c r="BO19" s="113"/>
      <c r="BP19" s="113"/>
      <c r="BQ19" s="113"/>
      <c r="BR19" s="113"/>
      <c r="BS19" s="113"/>
      <c r="BT19" s="113"/>
      <c r="BU19" s="113"/>
      <c r="BV19" s="113"/>
      <c r="BW19" s="113"/>
      <c r="BX19" s="113"/>
      <c r="BY19" s="113"/>
      <c r="BZ19" s="113"/>
      <c r="CA19" s="113"/>
      <c r="CB19" s="113"/>
      <c r="CC19" s="113"/>
      <c r="CD19" s="113"/>
      <c r="CE19" s="113"/>
      <c r="CF19" s="113"/>
      <c r="CG19" s="113"/>
      <c r="CH19" s="113"/>
      <c r="CI19" s="113"/>
      <c r="CJ19" s="113"/>
      <c r="CK19" s="113"/>
      <c r="CL19" s="113"/>
      <c r="CM19" s="113"/>
      <c r="CN19" s="113"/>
      <c r="CO19" s="113"/>
      <c r="CP19" s="113"/>
      <c r="CQ19" s="113"/>
      <c r="CR19" s="113"/>
      <c r="CS19" s="113"/>
    </row>
    <row r="20" spans="1:97" ht="15">
      <c r="A20" s="113"/>
      <c r="B20" s="113"/>
      <c r="C20" s="113"/>
      <c r="D20" s="113"/>
      <c r="E20" s="113"/>
      <c r="F20" s="113"/>
      <c r="G20" s="113"/>
      <c r="H20" s="113"/>
      <c r="I20" s="113" t="str">
        <f t="shared" si="0"/>
        <v/>
      </c>
      <c r="J20" s="113"/>
      <c r="K20" s="113"/>
      <c r="L20" s="113"/>
      <c r="M20" s="113"/>
      <c r="N20" s="113" t="str">
        <f t="shared" si="1"/>
        <v/>
      </c>
      <c r="O20" s="113"/>
      <c r="P20" s="113"/>
      <c r="Q20" s="113"/>
      <c r="R20" s="113"/>
      <c r="S20" s="113" t="str">
        <f t="shared" si="2"/>
        <v/>
      </c>
      <c r="T20" s="113"/>
      <c r="U20" s="113"/>
      <c r="V20" s="113"/>
      <c r="W20" s="113"/>
      <c r="X20" s="113" t="str">
        <f t="shared" si="3"/>
        <v/>
      </c>
      <c r="Y20" s="113"/>
      <c r="Z20" s="113"/>
      <c r="AA20" s="113"/>
      <c r="AB20" s="113"/>
      <c r="AC20" s="113" t="str">
        <f t="shared" si="4"/>
        <v/>
      </c>
      <c r="AD20" s="113"/>
      <c r="AE20" s="113"/>
      <c r="AF20" s="113"/>
      <c r="AG20" s="113"/>
      <c r="AH20" s="113" t="str">
        <f t="shared" si="5"/>
        <v/>
      </c>
      <c r="AI20" s="113"/>
      <c r="AJ20" s="113"/>
      <c r="AK20" s="113"/>
      <c r="AL20" s="113"/>
      <c r="AM20" s="113" t="str">
        <f t="shared" si="6"/>
        <v/>
      </c>
      <c r="AN20" s="113"/>
      <c r="AO20" s="113"/>
      <c r="AP20" s="113"/>
      <c r="AQ20" s="113"/>
      <c r="AR20" s="113" t="str">
        <f t="shared" si="7"/>
        <v/>
      </c>
      <c r="AS20" s="113"/>
      <c r="AT20" s="113"/>
      <c r="AU20" s="113"/>
      <c r="AV20" s="113"/>
      <c r="AW20" s="113" t="str">
        <f t="shared" si="8"/>
        <v/>
      </c>
      <c r="AX20" s="113"/>
      <c r="AY20" s="113"/>
      <c r="AZ20" s="113"/>
      <c r="BA20" s="113"/>
      <c r="BB20" s="113" t="str">
        <f t="shared" si="9"/>
        <v/>
      </c>
      <c r="BC20" s="113"/>
      <c r="BD20" s="113"/>
      <c r="BE20" s="113"/>
      <c r="BF20" s="113"/>
      <c r="BG20" s="113" t="str">
        <f t="shared" si="10"/>
        <v/>
      </c>
      <c r="BH20" s="113"/>
      <c r="BI20" s="113"/>
      <c r="BJ20" s="113"/>
      <c r="BK20" s="113"/>
      <c r="BL20" s="113" t="str">
        <f t="shared" si="11"/>
        <v/>
      </c>
      <c r="BM20" s="113"/>
      <c r="BN20" s="113"/>
      <c r="BO20" s="113"/>
      <c r="BP20" s="113"/>
      <c r="BQ20" s="113"/>
      <c r="BR20" s="113"/>
      <c r="BS20" s="113"/>
      <c r="BT20" s="113"/>
      <c r="BU20" s="113"/>
      <c r="BV20" s="113"/>
      <c r="BW20" s="113"/>
      <c r="BX20" s="113"/>
      <c r="BY20" s="113"/>
      <c r="BZ20" s="113"/>
      <c r="CA20" s="113"/>
      <c r="CB20" s="113"/>
      <c r="CC20" s="113"/>
      <c r="CD20" s="113"/>
      <c r="CE20" s="113"/>
      <c r="CF20" s="113"/>
      <c r="CG20" s="113"/>
      <c r="CH20" s="113"/>
      <c r="CI20" s="113"/>
      <c r="CJ20" s="113"/>
      <c r="CK20" s="113"/>
      <c r="CL20" s="113"/>
      <c r="CM20" s="113"/>
      <c r="CN20" s="113"/>
      <c r="CO20" s="113"/>
      <c r="CP20" s="113"/>
      <c r="CQ20" s="113"/>
      <c r="CR20" s="113"/>
      <c r="CS20" s="113"/>
    </row>
    <row r="21" spans="1:97" ht="15">
      <c r="A21" s="113"/>
      <c r="B21" s="113"/>
      <c r="C21" s="113"/>
      <c r="D21" s="113"/>
      <c r="E21" s="113"/>
      <c r="F21" s="113"/>
      <c r="G21" s="113"/>
      <c r="H21" s="113"/>
      <c r="I21" s="113" t="str">
        <f t="shared" si="0"/>
        <v/>
      </c>
      <c r="J21" s="113"/>
      <c r="K21" s="113"/>
      <c r="L21" s="113"/>
      <c r="M21" s="113"/>
      <c r="N21" s="113" t="str">
        <f t="shared" si="1"/>
        <v/>
      </c>
      <c r="O21" s="113"/>
      <c r="P21" s="113"/>
      <c r="Q21" s="113"/>
      <c r="R21" s="113"/>
      <c r="S21" s="113" t="str">
        <f t="shared" si="2"/>
        <v/>
      </c>
      <c r="T21" s="113"/>
      <c r="U21" s="113"/>
      <c r="V21" s="113"/>
      <c r="W21" s="113"/>
      <c r="X21" s="113" t="str">
        <f t="shared" si="3"/>
        <v/>
      </c>
      <c r="Y21" s="113"/>
      <c r="Z21" s="113"/>
      <c r="AA21" s="113"/>
      <c r="AB21" s="113"/>
      <c r="AC21" s="113" t="str">
        <f t="shared" si="4"/>
        <v/>
      </c>
      <c r="AD21" s="113"/>
      <c r="AE21" s="113"/>
      <c r="AF21" s="113"/>
      <c r="AG21" s="113"/>
      <c r="AH21" s="113" t="str">
        <f t="shared" si="5"/>
        <v/>
      </c>
      <c r="AI21" s="113"/>
      <c r="AJ21" s="113"/>
      <c r="AK21" s="113"/>
      <c r="AL21" s="113"/>
      <c r="AM21" s="113" t="str">
        <f t="shared" si="6"/>
        <v/>
      </c>
      <c r="AN21" s="113"/>
      <c r="AO21" s="113"/>
      <c r="AP21" s="113"/>
      <c r="AQ21" s="113"/>
      <c r="AR21" s="113" t="str">
        <f t="shared" si="7"/>
        <v/>
      </c>
      <c r="AS21" s="113"/>
      <c r="AT21" s="113"/>
      <c r="AU21" s="113"/>
      <c r="AV21" s="113"/>
      <c r="AW21" s="113" t="str">
        <f t="shared" si="8"/>
        <v/>
      </c>
      <c r="AX21" s="113"/>
      <c r="AY21" s="113"/>
      <c r="AZ21" s="113"/>
      <c r="BA21" s="113"/>
      <c r="BB21" s="113" t="str">
        <f t="shared" si="9"/>
        <v/>
      </c>
      <c r="BC21" s="113"/>
      <c r="BD21" s="113"/>
      <c r="BE21" s="113"/>
      <c r="BF21" s="113"/>
      <c r="BG21" s="113" t="str">
        <f t="shared" si="10"/>
        <v/>
      </c>
      <c r="BH21" s="113"/>
      <c r="BI21" s="113"/>
      <c r="BJ21" s="113"/>
      <c r="BK21" s="113"/>
      <c r="BL21" s="113" t="str">
        <f t="shared" si="11"/>
        <v/>
      </c>
      <c r="BM21" s="113"/>
      <c r="BN21" s="113"/>
      <c r="BO21" s="113"/>
      <c r="BP21" s="113"/>
      <c r="BQ21" s="113"/>
      <c r="BR21" s="113"/>
      <c r="BS21" s="113"/>
      <c r="BT21" s="113"/>
      <c r="BU21" s="113"/>
      <c r="BV21" s="113"/>
      <c r="BW21" s="113"/>
      <c r="BX21" s="113"/>
      <c r="BY21" s="113"/>
      <c r="BZ21" s="113"/>
      <c r="CA21" s="113"/>
      <c r="CB21" s="113"/>
      <c r="CC21" s="113"/>
      <c r="CD21" s="113"/>
      <c r="CE21" s="113"/>
      <c r="CF21" s="113"/>
      <c r="CG21" s="113"/>
      <c r="CH21" s="113"/>
      <c r="CI21" s="113"/>
      <c r="CJ21" s="113"/>
      <c r="CK21" s="113"/>
      <c r="CL21" s="113"/>
      <c r="CM21" s="113"/>
      <c r="CN21" s="113"/>
      <c r="CO21" s="113"/>
      <c r="CP21" s="113"/>
      <c r="CQ21" s="113"/>
      <c r="CR21" s="113"/>
      <c r="CS21" s="113"/>
    </row>
    <row r="22" spans="1:97" ht="15">
      <c r="A22" s="113"/>
      <c r="B22" s="113"/>
      <c r="C22" s="113"/>
      <c r="D22" s="113"/>
      <c r="E22" s="113"/>
      <c r="F22" s="113"/>
      <c r="G22" s="113"/>
      <c r="H22" s="113"/>
      <c r="I22" s="113" t="str">
        <f t="shared" si="0"/>
        <v/>
      </c>
      <c r="J22" s="113"/>
      <c r="K22" s="113"/>
      <c r="L22" s="113"/>
      <c r="M22" s="113"/>
      <c r="N22" s="113" t="str">
        <f t="shared" si="1"/>
        <v/>
      </c>
      <c r="O22" s="113"/>
      <c r="P22" s="113"/>
      <c r="Q22" s="113"/>
      <c r="R22" s="113"/>
      <c r="S22" s="113" t="str">
        <f t="shared" si="2"/>
        <v/>
      </c>
      <c r="T22" s="113"/>
      <c r="U22" s="113"/>
      <c r="V22" s="113"/>
      <c r="W22" s="113"/>
      <c r="X22" s="113" t="str">
        <f t="shared" si="3"/>
        <v/>
      </c>
      <c r="Y22" s="113"/>
      <c r="Z22" s="113"/>
      <c r="AA22" s="113"/>
      <c r="AB22" s="113"/>
      <c r="AC22" s="113" t="str">
        <f t="shared" si="4"/>
        <v/>
      </c>
      <c r="AD22" s="113"/>
      <c r="AE22" s="113"/>
      <c r="AF22" s="113"/>
      <c r="AG22" s="113"/>
      <c r="AH22" s="113" t="str">
        <f t="shared" si="5"/>
        <v/>
      </c>
      <c r="AI22" s="113"/>
      <c r="AJ22" s="113"/>
      <c r="AK22" s="113"/>
      <c r="AL22" s="113"/>
      <c r="AM22" s="113" t="str">
        <f t="shared" si="6"/>
        <v/>
      </c>
      <c r="AN22" s="113"/>
      <c r="AO22" s="113"/>
      <c r="AP22" s="113"/>
      <c r="AQ22" s="113"/>
      <c r="AR22" s="113" t="str">
        <f t="shared" si="7"/>
        <v/>
      </c>
      <c r="AS22" s="113"/>
      <c r="AT22" s="113"/>
      <c r="AU22" s="113"/>
      <c r="AV22" s="113"/>
      <c r="AW22" s="113" t="str">
        <f t="shared" si="8"/>
        <v/>
      </c>
      <c r="AX22" s="113"/>
      <c r="AY22" s="113"/>
      <c r="AZ22" s="113"/>
      <c r="BA22" s="113"/>
      <c r="BB22" s="113" t="str">
        <f t="shared" si="9"/>
        <v/>
      </c>
      <c r="BC22" s="113"/>
      <c r="BD22" s="113"/>
      <c r="BE22" s="113"/>
      <c r="BF22" s="113"/>
      <c r="BG22" s="113" t="str">
        <f t="shared" si="10"/>
        <v/>
      </c>
      <c r="BH22" s="113"/>
      <c r="BI22" s="113"/>
      <c r="BJ22" s="113"/>
      <c r="BK22" s="113"/>
      <c r="BL22" s="113" t="str">
        <f t="shared" si="11"/>
        <v/>
      </c>
      <c r="BM22" s="113"/>
      <c r="BN22" s="113"/>
      <c r="BO22" s="113"/>
      <c r="BP22" s="113"/>
      <c r="BQ22" s="113"/>
      <c r="BR22" s="113"/>
      <c r="BS22" s="113"/>
      <c r="BT22" s="113"/>
      <c r="BU22" s="113"/>
      <c r="BV22" s="113"/>
      <c r="BW22" s="113"/>
      <c r="BX22" s="113"/>
      <c r="BY22" s="113"/>
      <c r="BZ22" s="113"/>
      <c r="CA22" s="113"/>
      <c r="CB22" s="113"/>
      <c r="CC22" s="113"/>
      <c r="CD22" s="113"/>
      <c r="CE22" s="113"/>
      <c r="CF22" s="113"/>
      <c r="CG22" s="113"/>
      <c r="CH22" s="113"/>
      <c r="CI22" s="113"/>
      <c r="CJ22" s="113"/>
      <c r="CK22" s="113"/>
      <c r="CL22" s="113"/>
      <c r="CM22" s="113"/>
      <c r="CN22" s="113"/>
      <c r="CO22" s="113"/>
      <c r="CP22" s="113"/>
      <c r="CQ22" s="113"/>
      <c r="CR22" s="113"/>
      <c r="CS22" s="113"/>
    </row>
    <row r="23" spans="1:97" ht="15">
      <c r="A23" s="113"/>
      <c r="B23" s="113"/>
      <c r="C23" s="113"/>
      <c r="D23" s="113"/>
      <c r="E23" s="113"/>
      <c r="F23" s="113"/>
      <c r="G23" s="113"/>
      <c r="H23" s="113"/>
      <c r="I23" s="113" t="str">
        <f t="shared" si="0"/>
        <v/>
      </c>
      <c r="J23" s="113"/>
      <c r="K23" s="113"/>
      <c r="L23" s="113"/>
      <c r="M23" s="113"/>
      <c r="N23" s="113" t="str">
        <f t="shared" si="1"/>
        <v/>
      </c>
      <c r="O23" s="113"/>
      <c r="P23" s="113"/>
      <c r="Q23" s="113"/>
      <c r="R23" s="113"/>
      <c r="S23" s="113" t="str">
        <f t="shared" si="2"/>
        <v/>
      </c>
      <c r="T23" s="113"/>
      <c r="U23" s="113"/>
      <c r="V23" s="113"/>
      <c r="W23" s="113"/>
      <c r="X23" s="113" t="str">
        <f t="shared" si="3"/>
        <v/>
      </c>
      <c r="Y23" s="113"/>
      <c r="Z23" s="113"/>
      <c r="AA23" s="113"/>
      <c r="AB23" s="113"/>
      <c r="AC23" s="113" t="str">
        <f t="shared" si="4"/>
        <v/>
      </c>
      <c r="AD23" s="113"/>
      <c r="AE23" s="113"/>
      <c r="AF23" s="113"/>
      <c r="AG23" s="113"/>
      <c r="AH23" s="113" t="str">
        <f t="shared" si="5"/>
        <v/>
      </c>
      <c r="AI23" s="113"/>
      <c r="AJ23" s="113"/>
      <c r="AK23" s="113"/>
      <c r="AL23" s="113"/>
      <c r="AM23" s="113" t="str">
        <f t="shared" si="6"/>
        <v/>
      </c>
      <c r="AN23" s="113"/>
      <c r="AO23" s="113"/>
      <c r="AP23" s="113"/>
      <c r="AQ23" s="113"/>
      <c r="AR23" s="113" t="str">
        <f t="shared" si="7"/>
        <v/>
      </c>
      <c r="AS23" s="113"/>
      <c r="AT23" s="113"/>
      <c r="AU23" s="113"/>
      <c r="AV23" s="113"/>
      <c r="AW23" s="113" t="str">
        <f t="shared" si="8"/>
        <v/>
      </c>
      <c r="AX23" s="113"/>
      <c r="AY23" s="113"/>
      <c r="AZ23" s="113"/>
      <c r="BA23" s="113"/>
      <c r="BB23" s="113" t="str">
        <f t="shared" si="9"/>
        <v/>
      </c>
      <c r="BC23" s="113"/>
      <c r="BD23" s="113"/>
      <c r="BE23" s="113"/>
      <c r="BF23" s="113"/>
      <c r="BG23" s="113" t="str">
        <f t="shared" si="10"/>
        <v/>
      </c>
      <c r="BH23" s="113"/>
      <c r="BI23" s="113"/>
      <c r="BJ23" s="113"/>
      <c r="BK23" s="113"/>
      <c r="BL23" s="113" t="str">
        <f t="shared" si="11"/>
        <v/>
      </c>
      <c r="BM23" s="113"/>
      <c r="BN23" s="113"/>
      <c r="BO23" s="113"/>
      <c r="BP23" s="113"/>
      <c r="BQ23" s="113"/>
      <c r="BR23" s="113"/>
      <c r="BS23" s="113"/>
      <c r="BT23" s="113"/>
      <c r="BU23" s="113"/>
      <c r="BV23" s="113"/>
      <c r="BW23" s="113"/>
      <c r="BX23" s="113"/>
      <c r="BY23" s="113"/>
      <c r="BZ23" s="113"/>
      <c r="CA23" s="113"/>
      <c r="CB23" s="113"/>
      <c r="CC23" s="113"/>
      <c r="CD23" s="113"/>
      <c r="CE23" s="113"/>
      <c r="CF23" s="113"/>
      <c r="CG23" s="113"/>
      <c r="CH23" s="113"/>
      <c r="CI23" s="113"/>
      <c r="CJ23" s="113"/>
      <c r="CK23" s="113"/>
      <c r="CL23" s="113"/>
      <c r="CM23" s="113"/>
      <c r="CN23" s="113"/>
      <c r="CO23" s="113"/>
      <c r="CP23" s="113"/>
      <c r="CQ23" s="113"/>
      <c r="CR23" s="113"/>
      <c r="CS23" s="113"/>
    </row>
    <row r="24" spans="1:97" ht="15">
      <c r="A24" s="113"/>
      <c r="B24" s="113"/>
      <c r="C24" s="113"/>
      <c r="D24" s="113"/>
      <c r="E24" s="113"/>
      <c r="F24" s="113"/>
      <c r="G24" s="113"/>
      <c r="H24" s="113"/>
      <c r="I24" s="113" t="str">
        <f t="shared" si="0"/>
        <v/>
      </c>
      <c r="J24" s="113"/>
      <c r="K24" s="113"/>
      <c r="L24" s="113"/>
      <c r="M24" s="113"/>
      <c r="N24" s="113" t="str">
        <f t="shared" si="1"/>
        <v/>
      </c>
      <c r="O24" s="113"/>
      <c r="P24" s="113"/>
      <c r="Q24" s="113"/>
      <c r="R24" s="113"/>
      <c r="S24" s="113" t="str">
        <f t="shared" si="2"/>
        <v/>
      </c>
      <c r="T24" s="113"/>
      <c r="U24" s="113"/>
      <c r="V24" s="113"/>
      <c r="W24" s="113"/>
      <c r="X24" s="113" t="str">
        <f t="shared" si="3"/>
        <v/>
      </c>
      <c r="Y24" s="113"/>
      <c r="Z24" s="113"/>
      <c r="AA24" s="113"/>
      <c r="AB24" s="113"/>
      <c r="AC24" s="113" t="str">
        <f t="shared" si="4"/>
        <v/>
      </c>
      <c r="AD24" s="113"/>
      <c r="AE24" s="113"/>
      <c r="AF24" s="113"/>
      <c r="AG24" s="113"/>
      <c r="AH24" s="113" t="str">
        <f t="shared" si="5"/>
        <v/>
      </c>
      <c r="AI24" s="113"/>
      <c r="AJ24" s="113"/>
      <c r="AK24" s="113"/>
      <c r="AL24" s="113"/>
      <c r="AM24" s="113" t="str">
        <f t="shared" si="6"/>
        <v/>
      </c>
      <c r="AN24" s="113"/>
      <c r="AO24" s="113"/>
      <c r="AP24" s="113"/>
      <c r="AQ24" s="113"/>
      <c r="AR24" s="113" t="str">
        <f t="shared" si="7"/>
        <v/>
      </c>
      <c r="AS24" s="113"/>
      <c r="AT24" s="113"/>
      <c r="AU24" s="113"/>
      <c r="AV24" s="113"/>
      <c r="AW24" s="113" t="str">
        <f t="shared" si="8"/>
        <v/>
      </c>
      <c r="AX24" s="113"/>
      <c r="AY24" s="113"/>
      <c r="AZ24" s="113"/>
      <c r="BA24" s="113"/>
      <c r="BB24" s="113" t="str">
        <f t="shared" si="9"/>
        <v/>
      </c>
      <c r="BC24" s="113"/>
      <c r="BD24" s="113"/>
      <c r="BE24" s="113"/>
      <c r="BF24" s="113"/>
      <c r="BG24" s="113" t="str">
        <f t="shared" si="10"/>
        <v/>
      </c>
      <c r="BH24" s="113"/>
      <c r="BI24" s="113"/>
      <c r="BJ24" s="113"/>
      <c r="BK24" s="113"/>
      <c r="BL24" s="113" t="str">
        <f t="shared" si="11"/>
        <v/>
      </c>
      <c r="BM24" s="113"/>
      <c r="BN24" s="113"/>
      <c r="BO24" s="113"/>
      <c r="BP24" s="113"/>
      <c r="BQ24" s="113"/>
      <c r="BR24" s="113"/>
      <c r="BS24" s="113"/>
      <c r="BT24" s="113"/>
      <c r="BU24" s="113"/>
      <c r="BV24" s="113"/>
      <c r="BW24" s="113"/>
      <c r="BX24" s="113"/>
      <c r="BY24" s="113"/>
      <c r="BZ24" s="113"/>
      <c r="CA24" s="113"/>
      <c r="CB24" s="113"/>
      <c r="CC24" s="113"/>
      <c r="CD24" s="113"/>
      <c r="CE24" s="113"/>
      <c r="CF24" s="113"/>
      <c r="CG24" s="113"/>
      <c r="CH24" s="113"/>
      <c r="CI24" s="113"/>
      <c r="CJ24" s="113"/>
      <c r="CK24" s="113"/>
      <c r="CL24" s="113"/>
      <c r="CM24" s="113"/>
      <c r="CN24" s="113"/>
      <c r="CO24" s="113"/>
      <c r="CP24" s="113"/>
      <c r="CQ24" s="113"/>
      <c r="CR24" s="113"/>
      <c r="CS24" s="113"/>
    </row>
    <row r="25" spans="1:97" ht="15">
      <c r="A25" s="113"/>
      <c r="B25" s="113"/>
      <c r="C25" s="113"/>
      <c r="D25" s="113"/>
      <c r="E25" s="113"/>
      <c r="F25" s="113"/>
      <c r="G25" s="113"/>
      <c r="H25" s="113"/>
      <c r="I25" s="113" t="str">
        <f t="shared" si="0"/>
        <v/>
      </c>
      <c r="J25" s="113"/>
      <c r="K25" s="113"/>
      <c r="L25" s="113"/>
      <c r="M25" s="113"/>
      <c r="N25" s="113" t="str">
        <f t="shared" si="1"/>
        <v/>
      </c>
      <c r="O25" s="113"/>
      <c r="P25" s="113"/>
      <c r="Q25" s="113"/>
      <c r="R25" s="113"/>
      <c r="S25" s="113" t="str">
        <f t="shared" si="2"/>
        <v/>
      </c>
      <c r="T25" s="113"/>
      <c r="U25" s="113"/>
      <c r="V25" s="113"/>
      <c r="W25" s="113"/>
      <c r="X25" s="113" t="str">
        <f t="shared" si="3"/>
        <v/>
      </c>
      <c r="Y25" s="113"/>
      <c r="Z25" s="113"/>
      <c r="AA25" s="113"/>
      <c r="AB25" s="113"/>
      <c r="AC25" s="113" t="str">
        <f t="shared" si="4"/>
        <v/>
      </c>
      <c r="AD25" s="113"/>
      <c r="AE25" s="113"/>
      <c r="AF25" s="113"/>
      <c r="AG25" s="113"/>
      <c r="AH25" s="113" t="str">
        <f t="shared" si="5"/>
        <v/>
      </c>
      <c r="AI25" s="113"/>
      <c r="AJ25" s="113"/>
      <c r="AK25" s="113"/>
      <c r="AL25" s="113"/>
      <c r="AM25" s="113" t="str">
        <f t="shared" si="6"/>
        <v/>
      </c>
      <c r="AN25" s="113"/>
      <c r="AO25" s="113"/>
      <c r="AP25" s="113"/>
      <c r="AQ25" s="113"/>
      <c r="AR25" s="113" t="str">
        <f t="shared" si="7"/>
        <v/>
      </c>
      <c r="AS25" s="113"/>
      <c r="AT25" s="113"/>
      <c r="AU25" s="113"/>
      <c r="AV25" s="113"/>
      <c r="AW25" s="113" t="str">
        <f t="shared" si="8"/>
        <v/>
      </c>
      <c r="AX25" s="113"/>
      <c r="AY25" s="113"/>
      <c r="AZ25" s="113"/>
      <c r="BA25" s="113"/>
      <c r="BB25" s="113" t="str">
        <f t="shared" si="9"/>
        <v/>
      </c>
      <c r="BC25" s="113"/>
      <c r="BD25" s="113"/>
      <c r="BE25" s="113"/>
      <c r="BF25" s="113"/>
      <c r="BG25" s="113" t="str">
        <f t="shared" si="10"/>
        <v/>
      </c>
      <c r="BH25" s="113"/>
      <c r="BI25" s="113"/>
      <c r="BJ25" s="113"/>
      <c r="BK25" s="113"/>
      <c r="BL25" s="113" t="str">
        <f t="shared" si="11"/>
        <v/>
      </c>
      <c r="BM25" s="113"/>
      <c r="BN25" s="113"/>
      <c r="BO25" s="113"/>
      <c r="BP25" s="113"/>
      <c r="BQ25" s="113"/>
      <c r="BR25" s="113"/>
      <c r="BS25" s="113"/>
      <c r="BT25" s="113"/>
      <c r="BU25" s="113"/>
      <c r="BV25" s="113"/>
      <c r="BW25" s="113"/>
      <c r="BX25" s="113"/>
      <c r="BY25" s="113"/>
      <c r="BZ25" s="113"/>
      <c r="CA25" s="113"/>
      <c r="CB25" s="113"/>
      <c r="CC25" s="113"/>
      <c r="CD25" s="113"/>
      <c r="CE25" s="113"/>
      <c r="CF25" s="113"/>
      <c r="CG25" s="113"/>
      <c r="CH25" s="113"/>
      <c r="CI25" s="113"/>
      <c r="CJ25" s="113"/>
      <c r="CK25" s="113"/>
      <c r="CL25" s="113"/>
      <c r="CM25" s="113"/>
      <c r="CN25" s="113"/>
      <c r="CO25" s="113"/>
      <c r="CP25" s="113"/>
      <c r="CQ25" s="113"/>
      <c r="CR25" s="113"/>
      <c r="CS25" s="113"/>
    </row>
    <row r="26" spans="1:97" ht="15">
      <c r="A26" s="113"/>
      <c r="B26" s="113"/>
      <c r="C26" s="113"/>
      <c r="D26" s="113"/>
      <c r="E26" s="113"/>
      <c r="F26" s="113"/>
      <c r="G26" s="113"/>
      <c r="H26" s="113"/>
      <c r="I26" s="113" t="str">
        <f t="shared" si="0"/>
        <v/>
      </c>
      <c r="J26" s="113"/>
      <c r="K26" s="113"/>
      <c r="L26" s="113"/>
      <c r="M26" s="113"/>
      <c r="N26" s="113" t="str">
        <f t="shared" si="1"/>
        <v/>
      </c>
      <c r="O26" s="113"/>
      <c r="P26" s="113"/>
      <c r="Q26" s="113"/>
      <c r="R26" s="113"/>
      <c r="S26" s="113" t="str">
        <f t="shared" si="2"/>
        <v/>
      </c>
      <c r="T26" s="113"/>
      <c r="U26" s="113"/>
      <c r="V26" s="113"/>
      <c r="W26" s="113"/>
      <c r="X26" s="113" t="str">
        <f t="shared" si="3"/>
        <v/>
      </c>
      <c r="Y26" s="113"/>
      <c r="Z26" s="113"/>
      <c r="AA26" s="113"/>
      <c r="AB26" s="113"/>
      <c r="AC26" s="113" t="str">
        <f t="shared" si="4"/>
        <v/>
      </c>
      <c r="AD26" s="113"/>
      <c r="AE26" s="113"/>
      <c r="AF26" s="113"/>
      <c r="AG26" s="113"/>
      <c r="AH26" s="113" t="str">
        <f t="shared" si="5"/>
        <v/>
      </c>
      <c r="AI26" s="113"/>
      <c r="AJ26" s="113"/>
      <c r="AK26" s="113"/>
      <c r="AL26" s="113"/>
      <c r="AM26" s="113" t="str">
        <f t="shared" si="6"/>
        <v/>
      </c>
      <c r="AN26" s="113"/>
      <c r="AO26" s="113"/>
      <c r="AP26" s="113"/>
      <c r="AQ26" s="113"/>
      <c r="AR26" s="113" t="str">
        <f t="shared" si="7"/>
        <v/>
      </c>
      <c r="AS26" s="113"/>
      <c r="AT26" s="113"/>
      <c r="AU26" s="113"/>
      <c r="AV26" s="113"/>
      <c r="AW26" s="113" t="str">
        <f t="shared" si="8"/>
        <v/>
      </c>
      <c r="AX26" s="113"/>
      <c r="AY26" s="113"/>
      <c r="AZ26" s="113"/>
      <c r="BA26" s="113"/>
      <c r="BB26" s="113" t="str">
        <f t="shared" si="9"/>
        <v/>
      </c>
      <c r="BC26" s="113"/>
      <c r="BD26" s="113"/>
      <c r="BE26" s="113"/>
      <c r="BF26" s="113"/>
      <c r="BG26" s="113" t="str">
        <f t="shared" si="10"/>
        <v/>
      </c>
      <c r="BH26" s="113"/>
      <c r="BI26" s="113"/>
      <c r="BJ26" s="113"/>
      <c r="BK26" s="113"/>
      <c r="BL26" s="113" t="str">
        <f t="shared" si="11"/>
        <v/>
      </c>
      <c r="BM26" s="113"/>
      <c r="BN26" s="113"/>
      <c r="BO26" s="113"/>
      <c r="BP26" s="113"/>
      <c r="BQ26" s="113"/>
      <c r="BR26" s="113"/>
      <c r="BS26" s="113"/>
      <c r="BT26" s="113"/>
      <c r="BU26" s="113"/>
      <c r="BV26" s="113"/>
      <c r="BW26" s="113"/>
      <c r="BX26" s="113"/>
      <c r="BY26" s="113"/>
      <c r="BZ26" s="113"/>
      <c r="CA26" s="113"/>
      <c r="CB26" s="113"/>
      <c r="CC26" s="113"/>
      <c r="CD26" s="113"/>
      <c r="CE26" s="113"/>
      <c r="CF26" s="113"/>
      <c r="CG26" s="113"/>
      <c r="CH26" s="113"/>
      <c r="CI26" s="113"/>
      <c r="CJ26" s="113"/>
      <c r="CK26" s="113"/>
      <c r="CL26" s="113"/>
      <c r="CM26" s="113"/>
      <c r="CN26" s="113"/>
      <c r="CO26" s="113"/>
      <c r="CP26" s="113"/>
      <c r="CQ26" s="113"/>
      <c r="CR26" s="113"/>
      <c r="CS26" s="113"/>
    </row>
    <row r="27" spans="1:97" ht="15">
      <c r="A27" s="113"/>
      <c r="B27" s="113"/>
      <c r="C27" s="113"/>
      <c r="D27" s="113"/>
      <c r="E27" s="113"/>
      <c r="F27" s="113"/>
      <c r="G27" s="113"/>
      <c r="H27" s="113"/>
      <c r="I27" s="113" t="str">
        <f t="shared" si="0"/>
        <v/>
      </c>
      <c r="J27" s="113"/>
      <c r="K27" s="113"/>
      <c r="L27" s="113"/>
      <c r="M27" s="113"/>
      <c r="N27" s="113" t="str">
        <f t="shared" si="1"/>
        <v/>
      </c>
      <c r="O27" s="113"/>
      <c r="P27" s="113"/>
      <c r="Q27" s="113"/>
      <c r="R27" s="113"/>
      <c r="S27" s="113" t="str">
        <f t="shared" si="2"/>
        <v/>
      </c>
      <c r="T27" s="113"/>
      <c r="U27" s="113"/>
      <c r="V27" s="113"/>
      <c r="W27" s="113"/>
      <c r="X27" s="113" t="str">
        <f t="shared" si="3"/>
        <v/>
      </c>
      <c r="Y27" s="113"/>
      <c r="Z27" s="113"/>
      <c r="AA27" s="113"/>
      <c r="AB27" s="113"/>
      <c r="AC27" s="113" t="str">
        <f t="shared" si="4"/>
        <v/>
      </c>
      <c r="AD27" s="113"/>
      <c r="AE27" s="113"/>
      <c r="AF27" s="113"/>
      <c r="AG27" s="113"/>
      <c r="AH27" s="113" t="str">
        <f t="shared" si="5"/>
        <v/>
      </c>
      <c r="AI27" s="113"/>
      <c r="AJ27" s="113"/>
      <c r="AK27" s="113"/>
      <c r="AL27" s="113"/>
      <c r="AM27" s="113" t="str">
        <f t="shared" si="6"/>
        <v/>
      </c>
      <c r="AN27" s="113"/>
      <c r="AO27" s="113"/>
      <c r="AP27" s="113"/>
      <c r="AQ27" s="113"/>
      <c r="AR27" s="113" t="str">
        <f t="shared" si="7"/>
        <v/>
      </c>
      <c r="AS27" s="113"/>
      <c r="AT27" s="113"/>
      <c r="AU27" s="113"/>
      <c r="AV27" s="113"/>
      <c r="AW27" s="113" t="str">
        <f t="shared" si="8"/>
        <v/>
      </c>
      <c r="AX27" s="113"/>
      <c r="AY27" s="113"/>
      <c r="AZ27" s="113"/>
      <c r="BA27" s="113"/>
      <c r="BB27" s="113" t="str">
        <f t="shared" si="9"/>
        <v/>
      </c>
      <c r="BC27" s="113"/>
      <c r="BD27" s="113"/>
      <c r="BE27" s="113"/>
      <c r="BF27" s="113"/>
      <c r="BG27" s="113" t="str">
        <f t="shared" si="10"/>
        <v/>
      </c>
      <c r="BH27" s="113"/>
      <c r="BI27" s="113"/>
      <c r="BJ27" s="113"/>
      <c r="BK27" s="113"/>
      <c r="BL27" s="113" t="str">
        <f t="shared" si="11"/>
        <v/>
      </c>
      <c r="BM27" s="113"/>
      <c r="BN27" s="113"/>
      <c r="BO27" s="113"/>
      <c r="BP27" s="113"/>
      <c r="BQ27" s="113"/>
      <c r="BR27" s="113"/>
      <c r="BS27" s="113"/>
      <c r="BT27" s="113"/>
      <c r="BU27" s="113"/>
      <c r="BV27" s="113"/>
      <c r="BW27" s="113"/>
      <c r="BX27" s="113"/>
      <c r="BY27" s="113"/>
      <c r="BZ27" s="113"/>
      <c r="CA27" s="113"/>
      <c r="CB27" s="113"/>
      <c r="CC27" s="113"/>
      <c r="CD27" s="113"/>
      <c r="CE27" s="113"/>
      <c r="CF27" s="113"/>
      <c r="CG27" s="113"/>
      <c r="CH27" s="113"/>
      <c r="CI27" s="113"/>
      <c r="CJ27" s="113"/>
      <c r="CK27" s="113"/>
      <c r="CL27" s="113"/>
      <c r="CM27" s="113"/>
      <c r="CN27" s="113"/>
      <c r="CO27" s="113"/>
      <c r="CP27" s="113"/>
      <c r="CQ27" s="113"/>
      <c r="CR27" s="113"/>
      <c r="CS27" s="113"/>
    </row>
    <row r="28" spans="1:97" ht="15">
      <c r="A28" s="113"/>
      <c r="B28" s="113"/>
      <c r="C28" s="113"/>
      <c r="D28" s="113"/>
      <c r="E28" s="113"/>
      <c r="F28" s="113"/>
      <c r="G28" s="113"/>
      <c r="H28" s="113"/>
      <c r="I28" s="113" t="str">
        <f t="shared" si="0"/>
        <v/>
      </c>
      <c r="J28" s="113"/>
      <c r="K28" s="113"/>
      <c r="L28" s="113"/>
      <c r="M28" s="113"/>
      <c r="N28" s="113" t="str">
        <f t="shared" si="1"/>
        <v/>
      </c>
      <c r="O28" s="113"/>
      <c r="P28" s="113"/>
      <c r="Q28" s="113"/>
      <c r="R28" s="113"/>
      <c r="S28" s="113" t="str">
        <f t="shared" si="2"/>
        <v/>
      </c>
      <c r="T28" s="113"/>
      <c r="U28" s="113"/>
      <c r="V28" s="113"/>
      <c r="W28" s="113"/>
      <c r="X28" s="113" t="str">
        <f t="shared" si="3"/>
        <v/>
      </c>
      <c r="Y28" s="113"/>
      <c r="Z28" s="113"/>
      <c r="AA28" s="113"/>
      <c r="AB28" s="113"/>
      <c r="AC28" s="113" t="str">
        <f t="shared" si="4"/>
        <v/>
      </c>
      <c r="AD28" s="113"/>
      <c r="AE28" s="113"/>
      <c r="AF28" s="113"/>
      <c r="AG28" s="113"/>
      <c r="AH28" s="113" t="str">
        <f t="shared" si="5"/>
        <v/>
      </c>
      <c r="AI28" s="113"/>
      <c r="AJ28" s="113"/>
      <c r="AK28" s="113"/>
      <c r="AL28" s="113"/>
      <c r="AM28" s="113" t="str">
        <f t="shared" si="6"/>
        <v/>
      </c>
      <c r="AN28" s="113"/>
      <c r="AO28" s="113"/>
      <c r="AP28" s="113"/>
      <c r="AQ28" s="113"/>
      <c r="AR28" s="113" t="str">
        <f t="shared" si="7"/>
        <v/>
      </c>
      <c r="AS28" s="113"/>
      <c r="AT28" s="113"/>
      <c r="AU28" s="113"/>
      <c r="AV28" s="113"/>
      <c r="AW28" s="113" t="str">
        <f t="shared" si="8"/>
        <v/>
      </c>
      <c r="AX28" s="113"/>
      <c r="AY28" s="113"/>
      <c r="AZ28" s="113"/>
      <c r="BA28" s="113"/>
      <c r="BB28" s="113" t="str">
        <f t="shared" si="9"/>
        <v/>
      </c>
      <c r="BC28" s="113"/>
      <c r="BD28" s="113"/>
      <c r="BE28" s="113"/>
      <c r="BF28" s="113"/>
      <c r="BG28" s="113" t="str">
        <f t="shared" si="10"/>
        <v/>
      </c>
      <c r="BH28" s="113"/>
      <c r="BI28" s="113"/>
      <c r="BJ28" s="113"/>
      <c r="BK28" s="113"/>
      <c r="BL28" s="113" t="str">
        <f t="shared" si="11"/>
        <v/>
      </c>
      <c r="BM28" s="113"/>
      <c r="BN28" s="113"/>
      <c r="BO28" s="113"/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3"/>
      <c r="CA28" s="113"/>
      <c r="CB28" s="113"/>
      <c r="CC28" s="113"/>
      <c r="CD28" s="113"/>
      <c r="CE28" s="113"/>
      <c r="CF28" s="113"/>
      <c r="CG28" s="113"/>
      <c r="CH28" s="113"/>
      <c r="CI28" s="113"/>
      <c r="CJ28" s="113"/>
      <c r="CK28" s="113"/>
      <c r="CL28" s="113"/>
      <c r="CM28" s="113"/>
      <c r="CN28" s="113"/>
      <c r="CO28" s="113"/>
      <c r="CP28" s="113"/>
      <c r="CQ28" s="113"/>
      <c r="CR28" s="113"/>
      <c r="CS28" s="113"/>
    </row>
    <row r="29" spans="1:97" ht="15">
      <c r="A29" s="113"/>
      <c r="B29" s="113"/>
      <c r="C29" s="113"/>
      <c r="D29" s="113"/>
      <c r="E29" s="113"/>
      <c r="F29" s="113"/>
      <c r="G29" s="113"/>
      <c r="H29" s="113"/>
      <c r="I29" s="113" t="str">
        <f t="shared" si="0"/>
        <v/>
      </c>
      <c r="J29" s="113"/>
      <c r="K29" s="113"/>
      <c r="L29" s="113"/>
      <c r="M29" s="113"/>
      <c r="N29" s="113" t="str">
        <f t="shared" si="1"/>
        <v/>
      </c>
      <c r="O29" s="113"/>
      <c r="P29" s="113"/>
      <c r="Q29" s="113"/>
      <c r="R29" s="113"/>
      <c r="S29" s="113" t="str">
        <f t="shared" si="2"/>
        <v/>
      </c>
      <c r="T29" s="113"/>
      <c r="U29" s="113"/>
      <c r="V29" s="113"/>
      <c r="W29" s="113"/>
      <c r="X29" s="113" t="str">
        <f t="shared" si="3"/>
        <v/>
      </c>
      <c r="Y29" s="113"/>
      <c r="Z29" s="113"/>
      <c r="AA29" s="113"/>
      <c r="AB29" s="113"/>
      <c r="AC29" s="113" t="str">
        <f t="shared" si="4"/>
        <v/>
      </c>
      <c r="AD29" s="113"/>
      <c r="AE29" s="113"/>
      <c r="AF29" s="113"/>
      <c r="AG29" s="113"/>
      <c r="AH29" s="113" t="str">
        <f t="shared" si="5"/>
        <v/>
      </c>
      <c r="AI29" s="113"/>
      <c r="AJ29" s="113"/>
      <c r="AK29" s="113"/>
      <c r="AL29" s="113"/>
      <c r="AM29" s="113" t="str">
        <f t="shared" si="6"/>
        <v/>
      </c>
      <c r="AN29" s="113"/>
      <c r="AO29" s="113"/>
      <c r="AP29" s="113"/>
      <c r="AQ29" s="113"/>
      <c r="AR29" s="113" t="str">
        <f t="shared" si="7"/>
        <v/>
      </c>
      <c r="AS29" s="113"/>
      <c r="AT29" s="113"/>
      <c r="AU29" s="113"/>
      <c r="AV29" s="113"/>
      <c r="AW29" s="113" t="str">
        <f t="shared" si="8"/>
        <v/>
      </c>
      <c r="AX29" s="113"/>
      <c r="AY29" s="113"/>
      <c r="AZ29" s="113"/>
      <c r="BA29" s="113"/>
      <c r="BB29" s="113" t="str">
        <f t="shared" si="9"/>
        <v/>
      </c>
      <c r="BC29" s="113"/>
      <c r="BD29" s="113"/>
      <c r="BE29" s="113"/>
      <c r="BF29" s="113"/>
      <c r="BG29" s="113" t="str">
        <f t="shared" si="10"/>
        <v/>
      </c>
      <c r="BH29" s="113"/>
      <c r="BI29" s="113"/>
      <c r="BJ29" s="113"/>
      <c r="BK29" s="113"/>
      <c r="BL29" s="113" t="str">
        <f t="shared" si="11"/>
        <v/>
      </c>
      <c r="BM29" s="113"/>
      <c r="BN29" s="113"/>
      <c r="BO29" s="113"/>
      <c r="BP29" s="113"/>
      <c r="BQ29" s="113"/>
      <c r="BR29" s="113"/>
      <c r="BS29" s="113"/>
      <c r="BT29" s="113"/>
      <c r="BU29" s="113"/>
      <c r="BV29" s="113"/>
      <c r="BW29" s="113"/>
      <c r="BX29" s="113"/>
      <c r="BY29" s="113"/>
      <c r="BZ29" s="113"/>
      <c r="CA29" s="113"/>
      <c r="CB29" s="113"/>
      <c r="CC29" s="113"/>
      <c r="CD29" s="113"/>
      <c r="CE29" s="113"/>
      <c r="CF29" s="113"/>
      <c r="CG29" s="113"/>
      <c r="CH29" s="113"/>
      <c r="CI29" s="113"/>
      <c r="CJ29" s="113"/>
      <c r="CK29" s="113"/>
      <c r="CL29" s="113"/>
      <c r="CM29" s="113"/>
      <c r="CN29" s="113"/>
      <c r="CO29" s="113"/>
      <c r="CP29" s="113"/>
      <c r="CQ29" s="113"/>
      <c r="CR29" s="113"/>
      <c r="CS29" s="113"/>
    </row>
    <row r="30" spans="1:97" ht="15">
      <c r="A30" s="113"/>
      <c r="B30" s="113"/>
      <c r="C30" s="113"/>
      <c r="D30" s="113"/>
      <c r="E30" s="113"/>
      <c r="F30" s="113"/>
      <c r="G30" s="113"/>
      <c r="H30" s="113"/>
      <c r="I30" s="113" t="str">
        <f t="shared" si="0"/>
        <v/>
      </c>
      <c r="J30" s="113"/>
      <c r="K30" s="113"/>
      <c r="L30" s="113"/>
      <c r="M30" s="113"/>
      <c r="N30" s="113" t="str">
        <f t="shared" si="1"/>
        <v/>
      </c>
      <c r="O30" s="113"/>
      <c r="P30" s="113"/>
      <c r="Q30" s="113"/>
      <c r="R30" s="113"/>
      <c r="S30" s="113" t="str">
        <f t="shared" si="2"/>
        <v/>
      </c>
      <c r="T30" s="113"/>
      <c r="U30" s="113"/>
      <c r="V30" s="113"/>
      <c r="W30" s="113"/>
      <c r="X30" s="113" t="str">
        <f t="shared" si="3"/>
        <v/>
      </c>
      <c r="Y30" s="113"/>
      <c r="Z30" s="113"/>
      <c r="AA30" s="113"/>
      <c r="AB30" s="113"/>
      <c r="AC30" s="113" t="str">
        <f t="shared" si="4"/>
        <v/>
      </c>
      <c r="AD30" s="113"/>
      <c r="AE30" s="113"/>
      <c r="AF30" s="113"/>
      <c r="AG30" s="113"/>
      <c r="AH30" s="113" t="str">
        <f t="shared" si="5"/>
        <v/>
      </c>
      <c r="AI30" s="113"/>
      <c r="AJ30" s="113"/>
      <c r="AK30" s="113"/>
      <c r="AL30" s="113"/>
      <c r="AM30" s="113" t="str">
        <f t="shared" si="6"/>
        <v/>
      </c>
      <c r="AN30" s="113"/>
      <c r="AO30" s="113"/>
      <c r="AP30" s="113"/>
      <c r="AQ30" s="113"/>
      <c r="AR30" s="113" t="str">
        <f t="shared" si="7"/>
        <v/>
      </c>
      <c r="AS30" s="113"/>
      <c r="AT30" s="113"/>
      <c r="AU30" s="113"/>
      <c r="AV30" s="113"/>
      <c r="AW30" s="113" t="str">
        <f t="shared" si="8"/>
        <v/>
      </c>
      <c r="AX30" s="113"/>
      <c r="AY30" s="113"/>
      <c r="AZ30" s="113"/>
      <c r="BA30" s="113"/>
      <c r="BB30" s="113" t="str">
        <f t="shared" si="9"/>
        <v/>
      </c>
      <c r="BC30" s="113"/>
      <c r="BD30" s="113"/>
      <c r="BE30" s="113"/>
      <c r="BF30" s="113"/>
      <c r="BG30" s="113" t="str">
        <f t="shared" si="10"/>
        <v/>
      </c>
      <c r="BH30" s="113"/>
      <c r="BI30" s="113"/>
      <c r="BJ30" s="113"/>
      <c r="BK30" s="113"/>
      <c r="BL30" s="113" t="str">
        <f t="shared" si="11"/>
        <v/>
      </c>
      <c r="BM30" s="113"/>
      <c r="BN30" s="113"/>
      <c r="BO30" s="113"/>
      <c r="BP30" s="113"/>
      <c r="BQ30" s="113"/>
      <c r="BR30" s="113"/>
      <c r="BS30" s="113"/>
      <c r="BT30" s="113"/>
      <c r="BU30" s="113"/>
      <c r="BV30" s="113"/>
      <c r="BW30" s="113"/>
      <c r="BX30" s="113"/>
      <c r="BY30" s="113"/>
      <c r="BZ30" s="113"/>
      <c r="CA30" s="113"/>
      <c r="CB30" s="113"/>
      <c r="CC30" s="113"/>
      <c r="CD30" s="113"/>
      <c r="CE30" s="113"/>
      <c r="CF30" s="113"/>
      <c r="CG30" s="113"/>
      <c r="CH30" s="113"/>
      <c r="CI30" s="113"/>
      <c r="CJ30" s="113"/>
      <c r="CK30" s="113"/>
      <c r="CL30" s="113"/>
      <c r="CM30" s="113"/>
      <c r="CN30" s="113"/>
      <c r="CO30" s="113"/>
      <c r="CP30" s="113"/>
      <c r="CQ30" s="113"/>
      <c r="CR30" s="113"/>
      <c r="CS30" s="113"/>
    </row>
    <row r="31" spans="1:97" ht="15">
      <c r="A31" s="113"/>
      <c r="B31" s="113"/>
      <c r="C31" s="113"/>
      <c r="D31" s="113"/>
      <c r="E31" s="113"/>
      <c r="F31" s="113"/>
      <c r="G31" s="113"/>
      <c r="H31" s="113"/>
      <c r="I31" s="113" t="str">
        <f t="shared" si="0"/>
        <v/>
      </c>
      <c r="J31" s="113"/>
      <c r="K31" s="113"/>
      <c r="L31" s="113"/>
      <c r="M31" s="113"/>
      <c r="N31" s="113" t="str">
        <f t="shared" si="1"/>
        <v/>
      </c>
      <c r="O31" s="113"/>
      <c r="P31" s="113"/>
      <c r="Q31" s="113"/>
      <c r="R31" s="113"/>
      <c r="S31" s="113" t="str">
        <f t="shared" si="2"/>
        <v/>
      </c>
      <c r="T31" s="113"/>
      <c r="U31" s="113"/>
      <c r="V31" s="113"/>
      <c r="W31" s="113"/>
      <c r="X31" s="113" t="str">
        <f t="shared" si="3"/>
        <v/>
      </c>
      <c r="Y31" s="113"/>
      <c r="Z31" s="113"/>
      <c r="AA31" s="113"/>
      <c r="AB31" s="113"/>
      <c r="AC31" s="113" t="str">
        <f t="shared" si="4"/>
        <v/>
      </c>
      <c r="AD31" s="113"/>
      <c r="AE31" s="113"/>
      <c r="AF31" s="113"/>
      <c r="AG31" s="113"/>
      <c r="AH31" s="113" t="str">
        <f t="shared" si="5"/>
        <v/>
      </c>
      <c r="AI31" s="113"/>
      <c r="AJ31" s="113"/>
      <c r="AK31" s="113"/>
      <c r="AL31" s="113"/>
      <c r="AM31" s="113" t="str">
        <f t="shared" si="6"/>
        <v/>
      </c>
      <c r="AN31" s="113"/>
      <c r="AO31" s="113"/>
      <c r="AP31" s="113"/>
      <c r="AQ31" s="113"/>
      <c r="AR31" s="113" t="str">
        <f t="shared" si="7"/>
        <v/>
      </c>
      <c r="AS31" s="113"/>
      <c r="AT31" s="113"/>
      <c r="AU31" s="113"/>
      <c r="AV31" s="113"/>
      <c r="AW31" s="113" t="str">
        <f t="shared" si="8"/>
        <v/>
      </c>
      <c r="AX31" s="113"/>
      <c r="AY31" s="113"/>
      <c r="AZ31" s="113"/>
      <c r="BA31" s="113"/>
      <c r="BB31" s="113" t="str">
        <f t="shared" si="9"/>
        <v/>
      </c>
      <c r="BC31" s="113"/>
      <c r="BD31" s="113"/>
      <c r="BE31" s="113"/>
      <c r="BF31" s="113"/>
      <c r="BG31" s="113" t="str">
        <f t="shared" si="10"/>
        <v/>
      </c>
      <c r="BH31" s="113"/>
      <c r="BI31" s="113"/>
      <c r="BJ31" s="113"/>
      <c r="BK31" s="113"/>
      <c r="BL31" s="113" t="str">
        <f t="shared" si="11"/>
        <v/>
      </c>
      <c r="BM31" s="113"/>
      <c r="BN31" s="113"/>
      <c r="BO31" s="113"/>
      <c r="BP31" s="113"/>
      <c r="BQ31" s="113"/>
      <c r="BR31" s="113"/>
      <c r="BS31" s="113"/>
      <c r="BT31" s="113"/>
      <c r="BU31" s="113"/>
      <c r="BV31" s="113"/>
      <c r="BW31" s="113"/>
      <c r="BX31" s="113"/>
      <c r="BY31" s="113"/>
      <c r="BZ31" s="113"/>
      <c r="CA31" s="113"/>
      <c r="CB31" s="113"/>
      <c r="CC31" s="113"/>
      <c r="CD31" s="113"/>
      <c r="CE31" s="113"/>
      <c r="CF31" s="113"/>
      <c r="CG31" s="113"/>
      <c r="CH31" s="113"/>
      <c r="CI31" s="113"/>
      <c r="CJ31" s="113"/>
      <c r="CK31" s="113"/>
      <c r="CL31" s="113"/>
      <c r="CM31" s="113"/>
      <c r="CN31" s="113"/>
      <c r="CO31" s="113"/>
      <c r="CP31" s="113"/>
      <c r="CQ31" s="113"/>
      <c r="CR31" s="113"/>
      <c r="CS31" s="113"/>
    </row>
    <row r="32" spans="1:97" ht="15">
      <c r="A32" s="113"/>
      <c r="B32" s="113"/>
      <c r="C32" s="113"/>
      <c r="D32" s="113"/>
      <c r="E32" s="113"/>
      <c r="F32" s="113"/>
      <c r="G32" s="113"/>
      <c r="H32" s="113"/>
      <c r="I32" s="113" t="str">
        <f t="shared" si="0"/>
        <v/>
      </c>
      <c r="J32" s="113"/>
      <c r="K32" s="113"/>
      <c r="L32" s="113"/>
      <c r="M32" s="113"/>
      <c r="N32" s="113" t="str">
        <f t="shared" si="1"/>
        <v/>
      </c>
      <c r="O32" s="113"/>
      <c r="P32" s="113"/>
      <c r="Q32" s="113"/>
      <c r="R32" s="113"/>
      <c r="S32" s="113" t="str">
        <f t="shared" si="2"/>
        <v/>
      </c>
      <c r="T32" s="113"/>
      <c r="U32" s="113"/>
      <c r="V32" s="113"/>
      <c r="W32" s="113"/>
      <c r="X32" s="113" t="str">
        <f t="shared" si="3"/>
        <v/>
      </c>
      <c r="Y32" s="113"/>
      <c r="Z32" s="113"/>
      <c r="AA32" s="113"/>
      <c r="AB32" s="113"/>
      <c r="AC32" s="113" t="str">
        <f t="shared" si="4"/>
        <v/>
      </c>
      <c r="AD32" s="113"/>
      <c r="AE32" s="113"/>
      <c r="AF32" s="113"/>
      <c r="AG32" s="113"/>
      <c r="AH32" s="113" t="str">
        <f t="shared" si="5"/>
        <v/>
      </c>
      <c r="AI32" s="113"/>
      <c r="AJ32" s="113"/>
      <c r="AK32" s="113"/>
      <c r="AL32" s="113"/>
      <c r="AM32" s="113" t="str">
        <f t="shared" si="6"/>
        <v/>
      </c>
      <c r="AN32" s="113"/>
      <c r="AO32" s="113"/>
      <c r="AP32" s="113"/>
      <c r="AQ32" s="113"/>
      <c r="AR32" s="113" t="str">
        <f t="shared" si="7"/>
        <v/>
      </c>
      <c r="AS32" s="113"/>
      <c r="AT32" s="113"/>
      <c r="AU32" s="113"/>
      <c r="AV32" s="113"/>
      <c r="AW32" s="113" t="str">
        <f t="shared" si="8"/>
        <v/>
      </c>
      <c r="AX32" s="113"/>
      <c r="AY32" s="113"/>
      <c r="AZ32" s="113"/>
      <c r="BA32" s="113"/>
      <c r="BB32" s="113" t="str">
        <f t="shared" si="9"/>
        <v/>
      </c>
      <c r="BC32" s="113"/>
      <c r="BD32" s="113"/>
      <c r="BE32" s="113"/>
      <c r="BF32" s="113"/>
      <c r="BG32" s="113" t="str">
        <f t="shared" si="10"/>
        <v/>
      </c>
      <c r="BH32" s="113"/>
      <c r="BI32" s="113"/>
      <c r="BJ32" s="113"/>
      <c r="BK32" s="113"/>
      <c r="BL32" s="113" t="str">
        <f t="shared" si="11"/>
        <v/>
      </c>
      <c r="BM32" s="113"/>
      <c r="BN32" s="113"/>
      <c r="BO32" s="113"/>
      <c r="BP32" s="113"/>
      <c r="BQ32" s="113"/>
      <c r="BR32" s="113"/>
      <c r="BS32" s="113"/>
      <c r="BT32" s="113"/>
      <c r="BU32" s="113"/>
      <c r="BV32" s="113"/>
      <c r="BW32" s="113"/>
      <c r="BX32" s="113"/>
      <c r="BY32" s="113"/>
      <c r="BZ32" s="113"/>
      <c r="CA32" s="113"/>
      <c r="CB32" s="113"/>
      <c r="CC32" s="113"/>
      <c r="CD32" s="113"/>
      <c r="CE32" s="113"/>
      <c r="CF32" s="113"/>
      <c r="CG32" s="113"/>
      <c r="CH32" s="113"/>
      <c r="CI32" s="113"/>
      <c r="CJ32" s="113"/>
      <c r="CK32" s="113"/>
      <c r="CL32" s="113"/>
      <c r="CM32" s="113"/>
      <c r="CN32" s="113"/>
      <c r="CO32" s="113"/>
      <c r="CP32" s="113"/>
      <c r="CQ32" s="113"/>
      <c r="CR32" s="113"/>
      <c r="CS32" s="113"/>
    </row>
    <row r="33" spans="1:97" ht="15">
      <c r="A33" s="113"/>
      <c r="B33" s="113"/>
      <c r="C33" s="113"/>
      <c r="D33" s="113"/>
      <c r="E33" s="113"/>
      <c r="F33" s="113"/>
      <c r="G33" s="113"/>
      <c r="H33" s="113"/>
      <c r="I33" s="113" t="str">
        <f t="shared" si="0"/>
        <v/>
      </c>
      <c r="J33" s="113"/>
      <c r="K33" s="113"/>
      <c r="L33" s="113"/>
      <c r="M33" s="113"/>
      <c r="N33" s="113" t="str">
        <f t="shared" si="1"/>
        <v/>
      </c>
      <c r="O33" s="113"/>
      <c r="P33" s="113"/>
      <c r="Q33" s="113"/>
      <c r="R33" s="113"/>
      <c r="S33" s="113" t="str">
        <f t="shared" si="2"/>
        <v/>
      </c>
      <c r="T33" s="113"/>
      <c r="U33" s="113"/>
      <c r="V33" s="113"/>
      <c r="W33" s="113"/>
      <c r="X33" s="113" t="str">
        <f t="shared" si="3"/>
        <v/>
      </c>
      <c r="Y33" s="113"/>
      <c r="Z33" s="113"/>
      <c r="AA33" s="113"/>
      <c r="AB33" s="113"/>
      <c r="AC33" s="113" t="str">
        <f t="shared" si="4"/>
        <v/>
      </c>
      <c r="AD33" s="113"/>
      <c r="AE33" s="113"/>
      <c r="AF33" s="113"/>
      <c r="AG33" s="113"/>
      <c r="AH33" s="113" t="str">
        <f t="shared" si="5"/>
        <v/>
      </c>
      <c r="AI33" s="113"/>
      <c r="AJ33" s="113"/>
      <c r="AK33" s="113"/>
      <c r="AL33" s="113"/>
      <c r="AM33" s="113" t="str">
        <f t="shared" si="6"/>
        <v/>
      </c>
      <c r="AN33" s="113"/>
      <c r="AO33" s="113"/>
      <c r="AP33" s="113"/>
      <c r="AQ33" s="113"/>
      <c r="AR33" s="113" t="str">
        <f t="shared" si="7"/>
        <v/>
      </c>
      <c r="AS33" s="113"/>
      <c r="AT33" s="113"/>
      <c r="AU33" s="113"/>
      <c r="AV33" s="113"/>
      <c r="AW33" s="113" t="str">
        <f t="shared" si="8"/>
        <v/>
      </c>
      <c r="AX33" s="113"/>
      <c r="AY33" s="113"/>
      <c r="AZ33" s="113"/>
      <c r="BA33" s="113"/>
      <c r="BB33" s="113" t="str">
        <f t="shared" si="9"/>
        <v/>
      </c>
      <c r="BC33" s="113"/>
      <c r="BD33" s="113"/>
      <c r="BE33" s="113"/>
      <c r="BF33" s="113"/>
      <c r="BG33" s="113" t="str">
        <f t="shared" si="10"/>
        <v/>
      </c>
      <c r="BH33" s="113"/>
      <c r="BI33" s="113"/>
      <c r="BJ33" s="113"/>
      <c r="BK33" s="113"/>
      <c r="BL33" s="113" t="str">
        <f t="shared" si="11"/>
        <v/>
      </c>
      <c r="BM33" s="113"/>
      <c r="BN33" s="113"/>
      <c r="BO33" s="113"/>
      <c r="BP33" s="113"/>
      <c r="BQ33" s="113"/>
      <c r="BR33" s="113"/>
      <c r="BS33" s="113"/>
      <c r="BT33" s="113"/>
      <c r="BU33" s="113"/>
      <c r="BV33" s="113"/>
      <c r="BW33" s="113"/>
      <c r="BX33" s="113"/>
      <c r="BY33" s="113"/>
      <c r="BZ33" s="113"/>
      <c r="CA33" s="113"/>
      <c r="CB33" s="113"/>
      <c r="CC33" s="113"/>
      <c r="CD33" s="113"/>
      <c r="CE33" s="113"/>
      <c r="CF33" s="113"/>
      <c r="CG33" s="113"/>
      <c r="CH33" s="113"/>
      <c r="CI33" s="113"/>
      <c r="CJ33" s="113"/>
      <c r="CK33" s="113"/>
      <c r="CL33" s="113"/>
      <c r="CM33" s="113"/>
      <c r="CN33" s="113"/>
      <c r="CO33" s="113"/>
      <c r="CP33" s="113"/>
      <c r="CQ33" s="113"/>
      <c r="CR33" s="113"/>
      <c r="CS33" s="113"/>
    </row>
    <row r="34" spans="1:97" ht="15">
      <c r="A34" s="113"/>
      <c r="B34" s="113"/>
      <c r="C34" s="113"/>
      <c r="D34" s="113"/>
      <c r="E34" s="113"/>
      <c r="F34" s="113"/>
      <c r="G34" s="113"/>
      <c r="H34" s="113"/>
      <c r="I34" s="113" t="str">
        <f t="shared" si="0"/>
        <v/>
      </c>
      <c r="J34" s="113"/>
      <c r="K34" s="113"/>
      <c r="L34" s="113"/>
      <c r="M34" s="113"/>
      <c r="N34" s="113" t="str">
        <f t="shared" si="1"/>
        <v/>
      </c>
      <c r="O34" s="113"/>
      <c r="P34" s="113"/>
      <c r="Q34" s="113"/>
      <c r="R34" s="113"/>
      <c r="S34" s="113" t="str">
        <f t="shared" si="2"/>
        <v/>
      </c>
      <c r="T34" s="113"/>
      <c r="U34" s="113"/>
      <c r="V34" s="113"/>
      <c r="W34" s="113"/>
      <c r="X34" s="113" t="str">
        <f t="shared" si="3"/>
        <v/>
      </c>
      <c r="Y34" s="113"/>
      <c r="Z34" s="113"/>
      <c r="AA34" s="113"/>
      <c r="AB34" s="113"/>
      <c r="AC34" s="113" t="str">
        <f t="shared" si="4"/>
        <v/>
      </c>
      <c r="AD34" s="113"/>
      <c r="AE34" s="113"/>
      <c r="AF34" s="113"/>
      <c r="AG34" s="113"/>
      <c r="AH34" s="113" t="str">
        <f t="shared" si="5"/>
        <v/>
      </c>
      <c r="AI34" s="113"/>
      <c r="AJ34" s="113"/>
      <c r="AK34" s="113"/>
      <c r="AL34" s="113"/>
      <c r="AM34" s="113" t="str">
        <f t="shared" si="6"/>
        <v/>
      </c>
      <c r="AN34" s="113"/>
      <c r="AO34" s="113"/>
      <c r="AP34" s="113"/>
      <c r="AQ34" s="113"/>
      <c r="AR34" s="113" t="str">
        <f t="shared" si="7"/>
        <v/>
      </c>
      <c r="AS34" s="113"/>
      <c r="AT34" s="113"/>
      <c r="AU34" s="113"/>
      <c r="AV34" s="113"/>
      <c r="AW34" s="113" t="str">
        <f t="shared" si="8"/>
        <v/>
      </c>
      <c r="AX34" s="113"/>
      <c r="AY34" s="113"/>
      <c r="AZ34" s="113"/>
      <c r="BA34" s="113"/>
      <c r="BB34" s="113" t="str">
        <f t="shared" si="9"/>
        <v/>
      </c>
      <c r="BC34" s="113"/>
      <c r="BD34" s="113"/>
      <c r="BE34" s="113"/>
      <c r="BF34" s="113"/>
      <c r="BG34" s="113" t="str">
        <f t="shared" si="10"/>
        <v/>
      </c>
      <c r="BH34" s="113"/>
      <c r="BI34" s="113"/>
      <c r="BJ34" s="113"/>
      <c r="BK34" s="113"/>
      <c r="BL34" s="113" t="str">
        <f t="shared" si="11"/>
        <v/>
      </c>
      <c r="BM34" s="113"/>
      <c r="BN34" s="113"/>
      <c r="BO34" s="113"/>
      <c r="BP34" s="113"/>
      <c r="BQ34" s="113"/>
      <c r="BR34" s="113"/>
      <c r="BS34" s="113"/>
      <c r="BT34" s="113"/>
      <c r="BU34" s="113"/>
      <c r="BV34" s="113"/>
      <c r="BW34" s="113"/>
      <c r="BX34" s="113"/>
      <c r="BY34" s="113"/>
      <c r="BZ34" s="113"/>
      <c r="CA34" s="113"/>
      <c r="CB34" s="113"/>
      <c r="CC34" s="113"/>
      <c r="CD34" s="113"/>
      <c r="CE34" s="113"/>
      <c r="CF34" s="113"/>
      <c r="CG34" s="113"/>
      <c r="CH34" s="113"/>
      <c r="CI34" s="113"/>
      <c r="CJ34" s="113"/>
      <c r="CK34" s="113"/>
      <c r="CL34" s="113"/>
      <c r="CM34" s="113"/>
      <c r="CN34" s="113"/>
      <c r="CO34" s="113"/>
      <c r="CP34" s="113"/>
      <c r="CQ34" s="113"/>
      <c r="CR34" s="113"/>
      <c r="CS34" s="113"/>
    </row>
    <row r="35" spans="1:97" ht="15">
      <c r="A35" s="113"/>
      <c r="B35" s="113"/>
      <c r="C35" s="113"/>
      <c r="D35" s="113"/>
      <c r="E35" s="113"/>
      <c r="F35" s="113"/>
      <c r="G35" s="113"/>
      <c r="H35" s="113"/>
      <c r="I35" s="113" t="str">
        <f t="shared" si="0"/>
        <v/>
      </c>
      <c r="J35" s="113"/>
      <c r="K35" s="113"/>
      <c r="L35" s="113"/>
      <c r="M35" s="113"/>
      <c r="N35" s="113" t="str">
        <f t="shared" si="1"/>
        <v/>
      </c>
      <c r="O35" s="113"/>
      <c r="P35" s="113"/>
      <c r="Q35" s="113"/>
      <c r="R35" s="113"/>
      <c r="S35" s="113" t="str">
        <f t="shared" si="2"/>
        <v/>
      </c>
      <c r="T35" s="113"/>
      <c r="U35" s="113"/>
      <c r="V35" s="113"/>
      <c r="W35" s="113"/>
      <c r="X35" s="113" t="str">
        <f t="shared" si="3"/>
        <v/>
      </c>
      <c r="Y35" s="113"/>
      <c r="Z35" s="113"/>
      <c r="AA35" s="113"/>
      <c r="AB35" s="113"/>
      <c r="AC35" s="113" t="str">
        <f t="shared" si="4"/>
        <v/>
      </c>
      <c r="AD35" s="113"/>
      <c r="AE35" s="113"/>
      <c r="AF35" s="113"/>
      <c r="AG35" s="113"/>
      <c r="AH35" s="113" t="str">
        <f t="shared" si="5"/>
        <v/>
      </c>
      <c r="AI35" s="113"/>
      <c r="AJ35" s="113"/>
      <c r="AK35" s="113"/>
      <c r="AL35" s="113"/>
      <c r="AM35" s="113" t="str">
        <f t="shared" si="6"/>
        <v/>
      </c>
      <c r="AN35" s="113"/>
      <c r="AO35" s="113"/>
      <c r="AP35" s="113"/>
      <c r="AQ35" s="113"/>
      <c r="AR35" s="113" t="str">
        <f t="shared" si="7"/>
        <v/>
      </c>
      <c r="AS35" s="113"/>
      <c r="AT35" s="113"/>
      <c r="AU35" s="113"/>
      <c r="AV35" s="113"/>
      <c r="AW35" s="113" t="str">
        <f t="shared" si="8"/>
        <v/>
      </c>
      <c r="AX35" s="113"/>
      <c r="AY35" s="113"/>
      <c r="AZ35" s="113"/>
      <c r="BA35" s="113"/>
      <c r="BB35" s="113" t="str">
        <f t="shared" si="9"/>
        <v/>
      </c>
      <c r="BC35" s="113"/>
      <c r="BD35" s="113"/>
      <c r="BE35" s="113"/>
      <c r="BF35" s="113"/>
      <c r="BG35" s="113" t="str">
        <f t="shared" si="10"/>
        <v/>
      </c>
      <c r="BH35" s="113"/>
      <c r="BI35" s="113"/>
      <c r="BJ35" s="113"/>
      <c r="BK35" s="113"/>
      <c r="BL35" s="113" t="str">
        <f t="shared" si="11"/>
        <v/>
      </c>
      <c r="BM35" s="113"/>
      <c r="BN35" s="113"/>
      <c r="BO35" s="113"/>
      <c r="BP35" s="113"/>
      <c r="BQ35" s="113"/>
      <c r="BR35" s="113"/>
      <c r="BS35" s="113"/>
      <c r="BT35" s="113"/>
      <c r="BU35" s="113"/>
      <c r="BV35" s="113"/>
      <c r="BW35" s="113"/>
      <c r="BX35" s="113"/>
      <c r="BY35" s="113"/>
      <c r="BZ35" s="113"/>
      <c r="CA35" s="113"/>
      <c r="CB35" s="113"/>
      <c r="CC35" s="113"/>
      <c r="CD35" s="113"/>
      <c r="CE35" s="113"/>
      <c r="CF35" s="113"/>
      <c r="CG35" s="113"/>
      <c r="CH35" s="113"/>
      <c r="CI35" s="113"/>
      <c r="CJ35" s="113"/>
      <c r="CK35" s="113"/>
      <c r="CL35" s="113"/>
      <c r="CM35" s="113"/>
      <c r="CN35" s="113"/>
      <c r="CO35" s="113"/>
      <c r="CP35" s="113"/>
      <c r="CQ35" s="113"/>
      <c r="CR35" s="113"/>
      <c r="CS35" s="113"/>
    </row>
    <row r="36" spans="1:97" ht="15">
      <c r="A36" s="113"/>
      <c r="B36" s="113"/>
      <c r="C36" s="113"/>
      <c r="D36" s="113"/>
      <c r="E36" s="113"/>
      <c r="F36" s="113"/>
      <c r="G36" s="113"/>
      <c r="H36" s="113"/>
      <c r="I36" s="113" t="str">
        <f t="shared" si="0"/>
        <v/>
      </c>
      <c r="J36" s="113"/>
      <c r="K36" s="113"/>
      <c r="L36" s="113"/>
      <c r="M36" s="113"/>
      <c r="N36" s="113" t="str">
        <f t="shared" si="1"/>
        <v/>
      </c>
      <c r="O36" s="113"/>
      <c r="P36" s="113"/>
      <c r="Q36" s="113"/>
      <c r="R36" s="113"/>
      <c r="S36" s="113" t="str">
        <f t="shared" si="2"/>
        <v/>
      </c>
      <c r="T36" s="113"/>
      <c r="U36" s="113"/>
      <c r="V36" s="113"/>
      <c r="W36" s="113"/>
      <c r="X36" s="113" t="str">
        <f t="shared" si="3"/>
        <v/>
      </c>
      <c r="Y36" s="113"/>
      <c r="Z36" s="113"/>
      <c r="AA36" s="113"/>
      <c r="AB36" s="113"/>
      <c r="AC36" s="113" t="str">
        <f t="shared" si="4"/>
        <v/>
      </c>
      <c r="AD36" s="113"/>
      <c r="AE36" s="113"/>
      <c r="AF36" s="113"/>
      <c r="AG36" s="113"/>
      <c r="AH36" s="113" t="str">
        <f t="shared" si="5"/>
        <v/>
      </c>
      <c r="AI36" s="113"/>
      <c r="AJ36" s="113"/>
      <c r="AK36" s="113"/>
      <c r="AL36" s="113"/>
      <c r="AM36" s="113" t="str">
        <f t="shared" si="6"/>
        <v/>
      </c>
      <c r="AN36" s="113"/>
      <c r="AO36" s="113"/>
      <c r="AP36" s="113"/>
      <c r="AQ36" s="113"/>
      <c r="AR36" s="113" t="str">
        <f t="shared" si="7"/>
        <v/>
      </c>
      <c r="AS36" s="113"/>
      <c r="AT36" s="113"/>
      <c r="AU36" s="113"/>
      <c r="AV36" s="113"/>
      <c r="AW36" s="113" t="str">
        <f t="shared" si="8"/>
        <v/>
      </c>
      <c r="AX36" s="113"/>
      <c r="AY36" s="113"/>
      <c r="AZ36" s="113"/>
      <c r="BA36" s="113"/>
      <c r="BB36" s="113" t="str">
        <f t="shared" si="9"/>
        <v/>
      </c>
      <c r="BC36" s="113"/>
      <c r="BD36" s="113"/>
      <c r="BE36" s="113"/>
      <c r="BF36" s="113"/>
      <c r="BG36" s="113" t="str">
        <f t="shared" si="10"/>
        <v/>
      </c>
      <c r="BH36" s="113"/>
      <c r="BI36" s="113"/>
      <c r="BJ36" s="113"/>
      <c r="BK36" s="113"/>
      <c r="BL36" s="113" t="str">
        <f t="shared" si="11"/>
        <v/>
      </c>
      <c r="BM36" s="113"/>
      <c r="BN36" s="113"/>
      <c r="BO36" s="113"/>
      <c r="BP36" s="113"/>
      <c r="BQ36" s="113"/>
      <c r="BR36" s="113"/>
      <c r="BS36" s="113"/>
      <c r="BT36" s="113"/>
      <c r="BU36" s="113"/>
      <c r="BV36" s="113"/>
      <c r="BW36" s="113"/>
      <c r="BX36" s="113"/>
      <c r="BY36" s="113"/>
      <c r="BZ36" s="113"/>
      <c r="CA36" s="113"/>
      <c r="CB36" s="113"/>
      <c r="CC36" s="113"/>
      <c r="CD36" s="113"/>
      <c r="CE36" s="113"/>
      <c r="CF36" s="113"/>
      <c r="CG36" s="113"/>
      <c r="CH36" s="113"/>
      <c r="CI36" s="113"/>
      <c r="CJ36" s="113"/>
      <c r="CK36" s="113"/>
      <c r="CL36" s="113"/>
      <c r="CM36" s="113"/>
      <c r="CN36" s="113"/>
      <c r="CO36" s="113"/>
      <c r="CP36" s="113"/>
      <c r="CQ36" s="113"/>
      <c r="CR36" s="113"/>
      <c r="CS36" s="113"/>
    </row>
    <row r="37" spans="1:97" ht="15">
      <c r="A37" s="113"/>
      <c r="B37" s="113"/>
      <c r="C37" s="113"/>
      <c r="D37" s="113"/>
      <c r="E37" s="113"/>
      <c r="F37" s="113"/>
      <c r="G37" s="113"/>
      <c r="H37" s="113"/>
      <c r="I37" s="113" t="str">
        <f t="shared" si="0"/>
        <v/>
      </c>
      <c r="J37" s="113"/>
      <c r="K37" s="113"/>
      <c r="L37" s="113"/>
      <c r="M37" s="113"/>
      <c r="N37" s="113" t="str">
        <f t="shared" si="1"/>
        <v/>
      </c>
      <c r="O37" s="113"/>
      <c r="P37" s="113"/>
      <c r="Q37" s="113"/>
      <c r="R37" s="113"/>
      <c r="S37" s="113" t="str">
        <f t="shared" si="2"/>
        <v/>
      </c>
      <c r="T37" s="113"/>
      <c r="U37" s="113"/>
      <c r="V37" s="113"/>
      <c r="W37" s="113"/>
      <c r="X37" s="113" t="str">
        <f t="shared" si="3"/>
        <v/>
      </c>
      <c r="Y37" s="113"/>
      <c r="Z37" s="113"/>
      <c r="AA37" s="113"/>
      <c r="AB37" s="113"/>
      <c r="AC37" s="113" t="str">
        <f t="shared" si="4"/>
        <v/>
      </c>
      <c r="AD37" s="113"/>
      <c r="AE37" s="113"/>
      <c r="AF37" s="113"/>
      <c r="AG37" s="113"/>
      <c r="AH37" s="113" t="str">
        <f t="shared" si="5"/>
        <v/>
      </c>
      <c r="AI37" s="113"/>
      <c r="AJ37" s="113"/>
      <c r="AK37" s="113"/>
      <c r="AL37" s="113"/>
      <c r="AM37" s="113" t="str">
        <f t="shared" si="6"/>
        <v/>
      </c>
      <c r="AN37" s="113"/>
      <c r="AO37" s="113"/>
      <c r="AP37" s="113"/>
      <c r="AQ37" s="113"/>
      <c r="AR37" s="113" t="str">
        <f t="shared" si="7"/>
        <v/>
      </c>
      <c r="AS37" s="113"/>
      <c r="AT37" s="113"/>
      <c r="AU37" s="113"/>
      <c r="AV37" s="113"/>
      <c r="AW37" s="113" t="str">
        <f t="shared" si="8"/>
        <v/>
      </c>
      <c r="AX37" s="113"/>
      <c r="AY37" s="113"/>
      <c r="AZ37" s="113"/>
      <c r="BA37" s="113"/>
      <c r="BB37" s="113" t="str">
        <f t="shared" si="9"/>
        <v/>
      </c>
      <c r="BC37" s="113"/>
      <c r="BD37" s="113"/>
      <c r="BE37" s="113"/>
      <c r="BF37" s="113"/>
      <c r="BG37" s="113" t="str">
        <f t="shared" si="10"/>
        <v/>
      </c>
      <c r="BH37" s="113"/>
      <c r="BI37" s="113"/>
      <c r="BJ37" s="113"/>
      <c r="BK37" s="113"/>
      <c r="BL37" s="113" t="str">
        <f t="shared" si="11"/>
        <v/>
      </c>
      <c r="BM37" s="113"/>
      <c r="BN37" s="113"/>
      <c r="BO37" s="113"/>
      <c r="BP37" s="113"/>
      <c r="BQ37" s="113"/>
      <c r="BR37" s="113"/>
      <c r="BS37" s="113"/>
      <c r="BT37" s="113"/>
      <c r="BU37" s="113"/>
      <c r="BV37" s="113"/>
      <c r="BW37" s="113"/>
      <c r="BX37" s="113"/>
      <c r="BY37" s="113"/>
      <c r="BZ37" s="113"/>
      <c r="CA37" s="113"/>
      <c r="CB37" s="113"/>
      <c r="CC37" s="113"/>
      <c r="CD37" s="113"/>
      <c r="CE37" s="113"/>
      <c r="CF37" s="113"/>
      <c r="CG37" s="113"/>
      <c r="CH37" s="113"/>
      <c r="CI37" s="113"/>
      <c r="CJ37" s="113"/>
      <c r="CK37" s="113"/>
      <c r="CL37" s="113"/>
      <c r="CM37" s="113"/>
      <c r="CN37" s="113"/>
      <c r="CO37" s="113"/>
      <c r="CP37" s="113"/>
      <c r="CQ37" s="113"/>
      <c r="CR37" s="113"/>
      <c r="CS37" s="113"/>
    </row>
    <row r="38" spans="1:97" ht="15">
      <c r="A38" s="113"/>
      <c r="B38" s="113"/>
      <c r="C38" s="113"/>
      <c r="D38" s="113"/>
      <c r="E38" s="113"/>
      <c r="F38" s="113"/>
      <c r="G38" s="113"/>
      <c r="H38" s="113"/>
      <c r="I38" s="113" t="str">
        <f t="shared" si="0"/>
        <v/>
      </c>
      <c r="J38" s="113"/>
      <c r="K38" s="113"/>
      <c r="L38" s="113"/>
      <c r="M38" s="113"/>
      <c r="N38" s="113" t="str">
        <f t="shared" si="1"/>
        <v/>
      </c>
      <c r="O38" s="113"/>
      <c r="P38" s="113"/>
      <c r="Q38" s="113"/>
      <c r="R38" s="113"/>
      <c r="S38" s="113" t="str">
        <f t="shared" si="2"/>
        <v/>
      </c>
      <c r="T38" s="113"/>
      <c r="U38" s="113"/>
      <c r="V38" s="113"/>
      <c r="W38" s="113"/>
      <c r="X38" s="113" t="str">
        <f t="shared" si="3"/>
        <v/>
      </c>
      <c r="Y38" s="113"/>
      <c r="Z38" s="113"/>
      <c r="AA38" s="113"/>
      <c r="AB38" s="113"/>
      <c r="AC38" s="113" t="str">
        <f t="shared" si="4"/>
        <v/>
      </c>
      <c r="AD38" s="113"/>
      <c r="AE38" s="113"/>
      <c r="AF38" s="113"/>
      <c r="AG38" s="113"/>
      <c r="AH38" s="113" t="str">
        <f t="shared" si="5"/>
        <v/>
      </c>
      <c r="AI38" s="113"/>
      <c r="AJ38" s="113"/>
      <c r="AK38" s="113"/>
      <c r="AL38" s="113"/>
      <c r="AM38" s="113" t="str">
        <f t="shared" si="6"/>
        <v/>
      </c>
      <c r="AN38" s="113"/>
      <c r="AO38" s="113"/>
      <c r="AP38" s="113"/>
      <c r="AQ38" s="113"/>
      <c r="AR38" s="113" t="str">
        <f t="shared" si="7"/>
        <v/>
      </c>
      <c r="AS38" s="113"/>
      <c r="AT38" s="113"/>
      <c r="AU38" s="113"/>
      <c r="AV38" s="113"/>
      <c r="AW38" s="113" t="str">
        <f t="shared" si="8"/>
        <v/>
      </c>
      <c r="AX38" s="113"/>
      <c r="AY38" s="113"/>
      <c r="AZ38" s="113"/>
      <c r="BA38" s="113"/>
      <c r="BB38" s="113" t="str">
        <f t="shared" si="9"/>
        <v/>
      </c>
      <c r="BC38" s="113"/>
      <c r="BD38" s="113"/>
      <c r="BE38" s="113"/>
      <c r="BF38" s="113"/>
      <c r="BG38" s="113" t="str">
        <f t="shared" si="10"/>
        <v/>
      </c>
      <c r="BH38" s="113"/>
      <c r="BI38" s="113"/>
      <c r="BJ38" s="113"/>
      <c r="BK38" s="113"/>
      <c r="BL38" s="113" t="str">
        <f t="shared" si="11"/>
        <v/>
      </c>
      <c r="BM38" s="113"/>
      <c r="BN38" s="113"/>
      <c r="BO38" s="113"/>
      <c r="BP38" s="113"/>
      <c r="BQ38" s="113"/>
      <c r="BR38" s="113"/>
      <c r="BS38" s="113"/>
      <c r="BT38" s="113"/>
      <c r="BU38" s="113"/>
      <c r="BV38" s="113"/>
      <c r="BW38" s="113"/>
      <c r="BX38" s="113"/>
      <c r="BY38" s="113"/>
      <c r="BZ38" s="113"/>
      <c r="CA38" s="113"/>
      <c r="CB38" s="113"/>
      <c r="CC38" s="113"/>
      <c r="CD38" s="113"/>
      <c r="CE38" s="113"/>
      <c r="CF38" s="113"/>
      <c r="CG38" s="113"/>
      <c r="CH38" s="113"/>
      <c r="CI38" s="113"/>
      <c r="CJ38" s="113"/>
      <c r="CK38" s="113"/>
      <c r="CL38" s="113"/>
      <c r="CM38" s="113"/>
      <c r="CN38" s="113"/>
      <c r="CO38" s="113"/>
      <c r="CP38" s="113"/>
      <c r="CQ38" s="113"/>
      <c r="CR38" s="113"/>
      <c r="CS38" s="113"/>
    </row>
    <row r="39" spans="1:97" ht="15">
      <c r="A39" s="113"/>
      <c r="B39" s="113"/>
      <c r="C39" s="113"/>
      <c r="D39" s="113"/>
      <c r="E39" s="113"/>
      <c r="F39" s="113"/>
      <c r="G39" s="113"/>
      <c r="H39" s="113"/>
      <c r="I39" s="113" t="str">
        <f t="shared" si="0"/>
        <v/>
      </c>
      <c r="J39" s="113"/>
      <c r="K39" s="113"/>
      <c r="L39" s="113"/>
      <c r="M39" s="113"/>
      <c r="N39" s="113" t="str">
        <f t="shared" si="1"/>
        <v/>
      </c>
      <c r="O39" s="113"/>
      <c r="P39" s="113"/>
      <c r="Q39" s="113"/>
      <c r="R39" s="113"/>
      <c r="S39" s="113" t="str">
        <f t="shared" si="2"/>
        <v/>
      </c>
      <c r="T39" s="113"/>
      <c r="U39" s="113"/>
      <c r="V39" s="113"/>
      <c r="W39" s="113"/>
      <c r="X39" s="113" t="str">
        <f t="shared" si="3"/>
        <v/>
      </c>
      <c r="Y39" s="113"/>
      <c r="Z39" s="113"/>
      <c r="AA39" s="113"/>
      <c r="AB39" s="113"/>
      <c r="AC39" s="113" t="str">
        <f t="shared" si="4"/>
        <v/>
      </c>
      <c r="AD39" s="113"/>
      <c r="AE39" s="113"/>
      <c r="AF39" s="113"/>
      <c r="AG39" s="113"/>
      <c r="AH39" s="113" t="str">
        <f t="shared" si="5"/>
        <v/>
      </c>
      <c r="AI39" s="113"/>
      <c r="AJ39" s="113"/>
      <c r="AK39" s="113"/>
      <c r="AL39" s="113"/>
      <c r="AM39" s="113" t="str">
        <f t="shared" si="6"/>
        <v/>
      </c>
      <c r="AN39" s="113"/>
      <c r="AO39" s="113"/>
      <c r="AP39" s="113"/>
      <c r="AQ39" s="113"/>
      <c r="AR39" s="113" t="str">
        <f t="shared" si="7"/>
        <v/>
      </c>
      <c r="AS39" s="113"/>
      <c r="AT39" s="113"/>
      <c r="AU39" s="113"/>
      <c r="AV39" s="113"/>
      <c r="AW39" s="113" t="str">
        <f t="shared" si="8"/>
        <v/>
      </c>
      <c r="AX39" s="113"/>
      <c r="AY39" s="113"/>
      <c r="AZ39" s="113"/>
      <c r="BA39" s="113"/>
      <c r="BB39" s="113" t="str">
        <f t="shared" si="9"/>
        <v/>
      </c>
      <c r="BC39" s="113"/>
      <c r="BD39" s="113"/>
      <c r="BE39" s="113"/>
      <c r="BF39" s="113"/>
      <c r="BG39" s="113" t="str">
        <f t="shared" si="10"/>
        <v/>
      </c>
      <c r="BH39" s="113"/>
      <c r="BI39" s="113"/>
      <c r="BJ39" s="113"/>
      <c r="BK39" s="113"/>
      <c r="BL39" s="113" t="str">
        <f t="shared" si="11"/>
        <v/>
      </c>
      <c r="BM39" s="113"/>
      <c r="BN39" s="113"/>
      <c r="BO39" s="113"/>
      <c r="BP39" s="113"/>
      <c r="BQ39" s="113"/>
      <c r="BR39" s="113"/>
      <c r="BS39" s="113"/>
      <c r="BT39" s="113"/>
      <c r="BU39" s="113"/>
      <c r="BV39" s="113"/>
      <c r="BW39" s="113"/>
      <c r="BX39" s="113"/>
      <c r="BY39" s="113"/>
      <c r="BZ39" s="113"/>
      <c r="CA39" s="113"/>
      <c r="CB39" s="113"/>
      <c r="CC39" s="113"/>
      <c r="CD39" s="113"/>
      <c r="CE39" s="113"/>
      <c r="CF39" s="113"/>
      <c r="CG39" s="113"/>
      <c r="CH39" s="113"/>
      <c r="CI39" s="113"/>
      <c r="CJ39" s="113"/>
      <c r="CK39" s="113"/>
      <c r="CL39" s="113"/>
      <c r="CM39" s="113"/>
      <c r="CN39" s="113"/>
      <c r="CO39" s="113"/>
      <c r="CP39" s="113"/>
      <c r="CQ39" s="113"/>
      <c r="CR39" s="113"/>
      <c r="CS39" s="113"/>
    </row>
    <row r="40" spans="1:97" ht="15">
      <c r="A40" s="113"/>
      <c r="B40" s="113"/>
      <c r="C40" s="113"/>
      <c r="D40" s="113"/>
      <c r="E40" s="113"/>
      <c r="F40" s="113"/>
      <c r="G40" s="113"/>
      <c r="H40" s="113"/>
      <c r="I40" s="113" t="str">
        <f t="shared" si="0"/>
        <v/>
      </c>
      <c r="J40" s="113"/>
      <c r="K40" s="113"/>
      <c r="L40" s="113"/>
      <c r="M40" s="113"/>
      <c r="N40" s="113" t="str">
        <f t="shared" si="1"/>
        <v/>
      </c>
      <c r="O40" s="113"/>
      <c r="P40" s="113"/>
      <c r="Q40" s="113"/>
      <c r="R40" s="113"/>
      <c r="S40" s="113" t="str">
        <f t="shared" si="2"/>
        <v/>
      </c>
      <c r="T40" s="113"/>
      <c r="U40" s="113"/>
      <c r="V40" s="113"/>
      <c r="W40" s="113"/>
      <c r="X40" s="113" t="str">
        <f t="shared" si="3"/>
        <v/>
      </c>
      <c r="Y40" s="113"/>
      <c r="Z40" s="113"/>
      <c r="AA40" s="113"/>
      <c r="AB40" s="113"/>
      <c r="AC40" s="113" t="str">
        <f t="shared" si="4"/>
        <v/>
      </c>
      <c r="AD40" s="113"/>
      <c r="AE40" s="113"/>
      <c r="AF40" s="113"/>
      <c r="AG40" s="113"/>
      <c r="AH40" s="113" t="str">
        <f t="shared" si="5"/>
        <v/>
      </c>
      <c r="AI40" s="113"/>
      <c r="AJ40" s="113"/>
      <c r="AK40" s="113"/>
      <c r="AL40" s="113"/>
      <c r="AM40" s="113" t="str">
        <f t="shared" si="6"/>
        <v/>
      </c>
      <c r="AN40" s="113"/>
      <c r="AO40" s="113"/>
      <c r="AP40" s="113"/>
      <c r="AQ40" s="113"/>
      <c r="AR40" s="113" t="str">
        <f t="shared" si="7"/>
        <v/>
      </c>
      <c r="AS40" s="113"/>
      <c r="AT40" s="113"/>
      <c r="AU40" s="113"/>
      <c r="AV40" s="113"/>
      <c r="AW40" s="113" t="str">
        <f t="shared" si="8"/>
        <v/>
      </c>
      <c r="AX40" s="113"/>
      <c r="AY40" s="113"/>
      <c r="AZ40" s="113"/>
      <c r="BA40" s="113"/>
      <c r="BB40" s="113" t="str">
        <f t="shared" si="9"/>
        <v/>
      </c>
      <c r="BC40" s="113"/>
      <c r="BD40" s="113"/>
      <c r="BE40" s="113"/>
      <c r="BF40" s="113"/>
      <c r="BG40" s="113" t="str">
        <f t="shared" si="10"/>
        <v/>
      </c>
      <c r="BH40" s="113"/>
      <c r="BI40" s="113"/>
      <c r="BJ40" s="113"/>
      <c r="BK40" s="113"/>
      <c r="BL40" s="113" t="str">
        <f t="shared" si="11"/>
        <v/>
      </c>
      <c r="BM40" s="113"/>
      <c r="BN40" s="113"/>
      <c r="BO40" s="113"/>
      <c r="BP40" s="113"/>
      <c r="BQ40" s="113"/>
      <c r="BR40" s="113"/>
      <c r="BS40" s="113"/>
      <c r="BT40" s="113"/>
      <c r="BU40" s="113"/>
      <c r="BV40" s="113"/>
      <c r="BW40" s="113"/>
      <c r="BX40" s="113"/>
      <c r="BY40" s="113"/>
      <c r="BZ40" s="113"/>
      <c r="CA40" s="113"/>
      <c r="CB40" s="113"/>
      <c r="CC40" s="113"/>
      <c r="CD40" s="113"/>
      <c r="CE40" s="113"/>
      <c r="CF40" s="113"/>
      <c r="CG40" s="113"/>
      <c r="CH40" s="113"/>
      <c r="CI40" s="113"/>
      <c r="CJ40" s="113"/>
      <c r="CK40" s="113"/>
      <c r="CL40" s="113"/>
      <c r="CM40" s="113"/>
      <c r="CN40" s="113"/>
      <c r="CO40" s="113"/>
      <c r="CP40" s="113"/>
      <c r="CQ40" s="113"/>
      <c r="CR40" s="113"/>
      <c r="CS40" s="113"/>
    </row>
    <row r="41" spans="1:97" ht="15">
      <c r="A41" s="113"/>
      <c r="B41" s="113"/>
      <c r="C41" s="113"/>
      <c r="D41" s="113"/>
      <c r="E41" s="113"/>
      <c r="F41" s="113"/>
      <c r="G41" s="113"/>
      <c r="H41" s="113"/>
      <c r="I41" s="113" t="str">
        <f t="shared" si="0"/>
        <v/>
      </c>
      <c r="J41" s="113"/>
      <c r="K41" s="113"/>
      <c r="L41" s="113"/>
      <c r="M41" s="113"/>
      <c r="N41" s="113" t="str">
        <f t="shared" si="1"/>
        <v/>
      </c>
      <c r="O41" s="113"/>
      <c r="P41" s="113"/>
      <c r="Q41" s="113"/>
      <c r="R41" s="113"/>
      <c r="S41" s="113" t="str">
        <f t="shared" si="2"/>
        <v/>
      </c>
      <c r="T41" s="113"/>
      <c r="U41" s="113"/>
      <c r="V41" s="113"/>
      <c r="W41" s="113"/>
      <c r="X41" s="113" t="str">
        <f t="shared" si="3"/>
        <v/>
      </c>
      <c r="Y41" s="113"/>
      <c r="Z41" s="113"/>
      <c r="AA41" s="113"/>
      <c r="AB41" s="113"/>
      <c r="AC41" s="113" t="str">
        <f t="shared" si="4"/>
        <v/>
      </c>
      <c r="AD41" s="113"/>
      <c r="AE41" s="113"/>
      <c r="AF41" s="113"/>
      <c r="AG41" s="113"/>
      <c r="AH41" s="113" t="str">
        <f t="shared" si="5"/>
        <v/>
      </c>
      <c r="AI41" s="113"/>
      <c r="AJ41" s="113"/>
      <c r="AK41" s="113"/>
      <c r="AL41" s="113"/>
      <c r="AM41" s="113" t="str">
        <f t="shared" si="6"/>
        <v/>
      </c>
      <c r="AN41" s="113"/>
      <c r="AO41" s="113"/>
      <c r="AP41" s="113"/>
      <c r="AQ41" s="113"/>
      <c r="AR41" s="113" t="str">
        <f t="shared" si="7"/>
        <v/>
      </c>
      <c r="AS41" s="113"/>
      <c r="AT41" s="113"/>
      <c r="AU41" s="113"/>
      <c r="AV41" s="113"/>
      <c r="AW41" s="113" t="str">
        <f t="shared" si="8"/>
        <v/>
      </c>
      <c r="AX41" s="113"/>
      <c r="AY41" s="113"/>
      <c r="AZ41" s="113"/>
      <c r="BA41" s="113"/>
      <c r="BB41" s="113" t="str">
        <f t="shared" si="9"/>
        <v/>
      </c>
      <c r="BC41" s="113"/>
      <c r="BD41" s="113"/>
      <c r="BE41" s="113"/>
      <c r="BF41" s="113"/>
      <c r="BG41" s="113" t="str">
        <f t="shared" si="10"/>
        <v/>
      </c>
      <c r="BH41" s="113"/>
      <c r="BI41" s="113"/>
      <c r="BJ41" s="113"/>
      <c r="BK41" s="113"/>
      <c r="BL41" s="113" t="str">
        <f t="shared" si="11"/>
        <v/>
      </c>
      <c r="BM41" s="113"/>
      <c r="BN41" s="113"/>
      <c r="BO41" s="113"/>
      <c r="BP41" s="113"/>
      <c r="BQ41" s="113"/>
      <c r="BR41" s="113"/>
      <c r="BS41" s="113"/>
      <c r="BT41" s="113"/>
      <c r="BU41" s="113"/>
      <c r="BV41" s="113"/>
      <c r="BW41" s="113"/>
      <c r="BX41" s="113"/>
      <c r="BY41" s="113"/>
      <c r="BZ41" s="113"/>
      <c r="CA41" s="113"/>
      <c r="CB41" s="113"/>
      <c r="CC41" s="113"/>
      <c r="CD41" s="113"/>
      <c r="CE41" s="113"/>
      <c r="CF41" s="113"/>
      <c r="CG41" s="113"/>
      <c r="CH41" s="113"/>
      <c r="CI41" s="113"/>
      <c r="CJ41" s="113"/>
      <c r="CK41" s="113"/>
      <c r="CL41" s="113"/>
      <c r="CM41" s="113"/>
      <c r="CN41" s="113"/>
      <c r="CO41" s="113"/>
      <c r="CP41" s="113"/>
      <c r="CQ41" s="113"/>
      <c r="CR41" s="113"/>
      <c r="CS41" s="113"/>
    </row>
    <row r="42" spans="1:97" ht="15">
      <c r="A42" s="113"/>
      <c r="B42" s="113"/>
      <c r="C42" s="113"/>
      <c r="D42" s="113"/>
      <c r="E42" s="113"/>
      <c r="F42" s="113"/>
      <c r="G42" s="113"/>
      <c r="H42" s="113"/>
      <c r="I42" s="113" t="str">
        <f t="shared" si="0"/>
        <v/>
      </c>
      <c r="J42" s="113"/>
      <c r="K42" s="113"/>
      <c r="L42" s="113"/>
      <c r="M42" s="113"/>
      <c r="N42" s="113" t="str">
        <f t="shared" si="1"/>
        <v/>
      </c>
      <c r="O42" s="113"/>
      <c r="P42" s="113"/>
      <c r="Q42" s="113"/>
      <c r="R42" s="113"/>
      <c r="S42" s="113" t="str">
        <f t="shared" si="2"/>
        <v/>
      </c>
      <c r="T42" s="113"/>
      <c r="U42" s="113"/>
      <c r="V42" s="113"/>
      <c r="W42" s="113"/>
      <c r="X42" s="113" t="str">
        <f t="shared" si="3"/>
        <v/>
      </c>
      <c r="Y42" s="113"/>
      <c r="Z42" s="113"/>
      <c r="AA42" s="113"/>
      <c r="AB42" s="113"/>
      <c r="AC42" s="113" t="str">
        <f t="shared" si="4"/>
        <v/>
      </c>
      <c r="AD42" s="113"/>
      <c r="AE42" s="113"/>
      <c r="AF42" s="113"/>
      <c r="AG42" s="113"/>
      <c r="AH42" s="113" t="str">
        <f t="shared" si="5"/>
        <v/>
      </c>
      <c r="AI42" s="113"/>
      <c r="AJ42" s="113"/>
      <c r="AK42" s="113"/>
      <c r="AL42" s="113"/>
      <c r="AM42" s="113" t="str">
        <f t="shared" si="6"/>
        <v/>
      </c>
      <c r="AN42" s="113"/>
      <c r="AO42" s="113"/>
      <c r="AP42" s="113"/>
      <c r="AQ42" s="113"/>
      <c r="AR42" s="113" t="str">
        <f t="shared" si="7"/>
        <v/>
      </c>
      <c r="AS42" s="113"/>
      <c r="AT42" s="113"/>
      <c r="AU42" s="113"/>
      <c r="AV42" s="113"/>
      <c r="AW42" s="113" t="str">
        <f t="shared" si="8"/>
        <v/>
      </c>
      <c r="AX42" s="113"/>
      <c r="AY42" s="113"/>
      <c r="AZ42" s="113"/>
      <c r="BA42" s="113"/>
      <c r="BB42" s="113" t="str">
        <f t="shared" si="9"/>
        <v/>
      </c>
      <c r="BC42" s="113"/>
      <c r="BD42" s="113"/>
      <c r="BE42" s="113"/>
      <c r="BF42" s="113"/>
      <c r="BG42" s="113" t="str">
        <f t="shared" si="10"/>
        <v/>
      </c>
      <c r="BH42" s="113"/>
      <c r="BI42" s="113"/>
      <c r="BJ42" s="113"/>
      <c r="BK42" s="113"/>
      <c r="BL42" s="113" t="str">
        <f t="shared" si="11"/>
        <v/>
      </c>
      <c r="BM42" s="113"/>
      <c r="BN42" s="113"/>
      <c r="BO42" s="113"/>
      <c r="BP42" s="113"/>
      <c r="BQ42" s="113"/>
      <c r="BR42" s="113"/>
      <c r="BS42" s="113"/>
      <c r="BT42" s="113"/>
      <c r="BU42" s="113"/>
      <c r="BV42" s="113"/>
      <c r="BW42" s="113"/>
      <c r="BX42" s="113"/>
      <c r="BY42" s="113"/>
      <c r="BZ42" s="113"/>
      <c r="CA42" s="113"/>
      <c r="CB42" s="113"/>
      <c r="CC42" s="113"/>
      <c r="CD42" s="113"/>
      <c r="CE42" s="113"/>
      <c r="CF42" s="113"/>
      <c r="CG42" s="113"/>
      <c r="CH42" s="113"/>
      <c r="CI42" s="113"/>
      <c r="CJ42" s="113"/>
      <c r="CK42" s="113"/>
      <c r="CL42" s="113"/>
      <c r="CM42" s="113"/>
      <c r="CN42" s="113"/>
      <c r="CO42" s="113"/>
      <c r="CP42" s="113"/>
      <c r="CQ42" s="113"/>
      <c r="CR42" s="113"/>
      <c r="CS42" s="113"/>
    </row>
  </sheetData>
  <mergeCells count="14">
    <mergeCell ref="A1:CS1"/>
    <mergeCell ref="A2:CS2"/>
    <mergeCell ref="B4:I4"/>
    <mergeCell ref="J4:Q4"/>
    <mergeCell ref="R4:Y4"/>
    <mergeCell ref="Z4:AG4"/>
    <mergeCell ref="AH4:AO4"/>
    <mergeCell ref="AP4:AW4"/>
    <mergeCell ref="AX4:BE4"/>
    <mergeCell ref="BF4:BM4"/>
    <mergeCell ref="BN4:BU4"/>
    <mergeCell ref="BV4:CC4"/>
    <mergeCell ref="CD4:CK4"/>
    <mergeCell ref="CL4:CS4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3"/>
  <sheetViews>
    <sheetView showGridLines="0" zoomScaleNormal="100" workbookViewId="0">
      <selection activeCell="N47" sqref="N47"/>
    </sheetView>
  </sheetViews>
  <sheetFormatPr baseColWidth="10" defaultColWidth="13.19921875" defaultRowHeight="16"/>
  <cols>
    <col min="1" max="1" width="4" style="16" customWidth="1"/>
    <col min="2" max="4" width="4.3984375" style="16" customWidth="1"/>
    <col min="10" max="14" width="13" style="16" customWidth="1"/>
  </cols>
  <sheetData>
    <row r="1" spans="1:14">
      <c r="A1" s="70" t="s">
        <v>28</v>
      </c>
      <c r="B1" s="67"/>
      <c r="C1" s="67"/>
      <c r="D1" s="67"/>
      <c r="E1" s="42"/>
      <c r="F1" s="42"/>
      <c r="G1" s="42"/>
      <c r="H1" s="42"/>
      <c r="I1" s="42"/>
      <c r="J1" s="67"/>
      <c r="K1" s="67"/>
      <c r="L1" s="67"/>
      <c r="M1" s="67"/>
      <c r="N1" s="67"/>
    </row>
    <row r="2" spans="1:14">
      <c r="A2" s="67"/>
      <c r="B2" s="129" t="s">
        <v>233</v>
      </c>
      <c r="C2" s="129"/>
      <c r="D2" s="129"/>
      <c r="E2" s="130"/>
      <c r="F2" s="131" t="s">
        <v>234</v>
      </c>
      <c r="G2" s="131" t="s">
        <v>235</v>
      </c>
      <c r="H2" s="131" t="s">
        <v>237</v>
      </c>
      <c r="I2" s="131" t="s">
        <v>261</v>
      </c>
      <c r="J2" s="131" t="s">
        <v>262</v>
      </c>
      <c r="K2" s="131" t="s">
        <v>263</v>
      </c>
      <c r="L2" s="131" t="s">
        <v>264</v>
      </c>
      <c r="M2" s="131" t="s">
        <v>265</v>
      </c>
      <c r="N2" s="129" t="s">
        <v>266</v>
      </c>
    </row>
    <row r="3" spans="1:14">
      <c r="A3" s="67"/>
      <c r="B3" s="67"/>
      <c r="C3" s="67" t="s">
        <v>242</v>
      </c>
      <c r="D3" s="67"/>
      <c r="E3" s="42"/>
      <c r="F3" s="73">
        <v>700</v>
      </c>
      <c r="G3" s="73" t="s">
        <v>243</v>
      </c>
      <c r="H3" s="73">
        <v>105</v>
      </c>
      <c r="I3" s="73">
        <v>105</v>
      </c>
      <c r="J3" s="73">
        <v>229</v>
      </c>
      <c r="K3" s="73">
        <v>288</v>
      </c>
      <c r="L3" s="73">
        <v>258</v>
      </c>
      <c r="M3" s="73">
        <v>199</v>
      </c>
      <c r="N3" s="73">
        <v>105</v>
      </c>
    </row>
    <row r="4" spans="1:14">
      <c r="A4" s="67"/>
      <c r="B4" s="67"/>
      <c r="C4" s="67"/>
      <c r="D4" s="67" t="s">
        <v>494</v>
      </c>
      <c r="E4" s="42"/>
      <c r="F4" s="73"/>
      <c r="G4" s="73"/>
      <c r="H4" s="73"/>
      <c r="I4" s="73"/>
      <c r="J4" s="73"/>
      <c r="K4" s="132">
        <f>IFERROR(1/K5/0.67,0)</f>
        <v>2.3489111817959385</v>
      </c>
      <c r="L4" s="132">
        <f>IFERROR(1/L5/0.67,0)</f>
        <v>2.5168276265730167</v>
      </c>
      <c r="M4" s="132">
        <f>IFERROR(1/M5/0.67,0)</f>
        <v>3.1597332486503653</v>
      </c>
      <c r="N4" s="132">
        <f>IFERROR(1/N5/0.67,0)</f>
        <v>0</v>
      </c>
    </row>
    <row r="5" spans="1:14">
      <c r="A5" s="67"/>
      <c r="B5" s="67"/>
      <c r="C5" s="133"/>
      <c r="D5" s="134"/>
      <c r="E5" s="134" t="s">
        <v>108</v>
      </c>
      <c r="F5" s="135"/>
      <c r="G5" s="135"/>
      <c r="H5" s="135"/>
      <c r="I5" s="136">
        <f t="shared" ref="I5:N5" si="0">IFERROR((I3-$H3)/I3,0)</f>
        <v>0</v>
      </c>
      <c r="J5" s="136">
        <f t="shared" si="0"/>
        <v>0.54148471615720528</v>
      </c>
      <c r="K5" s="136">
        <f t="shared" si="0"/>
        <v>0.63541666666666663</v>
      </c>
      <c r="L5" s="136">
        <f t="shared" si="0"/>
        <v>0.59302325581395354</v>
      </c>
      <c r="M5" s="136">
        <f t="shared" si="0"/>
        <v>0.47236180904522612</v>
      </c>
      <c r="N5" s="136">
        <f t="shared" si="0"/>
        <v>0</v>
      </c>
    </row>
    <row r="6" spans="1:14">
      <c r="A6" s="67"/>
      <c r="B6" s="67"/>
      <c r="C6" s="67" t="s">
        <v>242</v>
      </c>
      <c r="D6" s="67"/>
      <c r="E6" s="42"/>
      <c r="F6" s="73">
        <v>320</v>
      </c>
      <c r="G6" s="73" t="s">
        <v>245</v>
      </c>
      <c r="H6" s="73">
        <v>38</v>
      </c>
      <c r="I6" s="73">
        <v>38</v>
      </c>
      <c r="J6" s="73">
        <v>119</v>
      </c>
      <c r="K6" s="73">
        <v>138</v>
      </c>
      <c r="L6" s="73">
        <v>120</v>
      </c>
      <c r="M6" s="73">
        <v>93</v>
      </c>
      <c r="N6" s="73">
        <v>38</v>
      </c>
    </row>
    <row r="7" spans="1:14">
      <c r="A7" s="67"/>
      <c r="B7" s="67"/>
      <c r="C7" s="67"/>
      <c r="D7" s="67" t="s">
        <v>494</v>
      </c>
      <c r="E7" s="42"/>
      <c r="F7" s="73"/>
      <c r="G7" s="73"/>
      <c r="H7" s="73"/>
      <c r="I7" s="73"/>
      <c r="J7" s="73"/>
      <c r="K7" s="132">
        <f>IFERROR(1/K8/0.67,0)</f>
        <v>2.0597014925373132</v>
      </c>
      <c r="L7" s="132">
        <f>IFERROR(1/L8/0.67,0)</f>
        <v>2.1842009464870764</v>
      </c>
      <c r="M7" s="132">
        <f>IFERROR(1/M8/0.67,0)</f>
        <v>2.5237449118046134</v>
      </c>
      <c r="N7" s="132">
        <f>IFERROR(1/N8/0.67,0)</f>
        <v>0</v>
      </c>
    </row>
    <row r="8" spans="1:14">
      <c r="A8" s="67"/>
      <c r="B8" s="67"/>
      <c r="C8" s="133"/>
      <c r="D8" s="134"/>
      <c r="E8" s="134" t="s">
        <v>108</v>
      </c>
      <c r="F8" s="135"/>
      <c r="G8" s="135"/>
      <c r="H8" s="135"/>
      <c r="I8" s="136">
        <f t="shared" ref="I8:N8" si="1">IFERROR((I6-$H6)/I6,0)</f>
        <v>0</v>
      </c>
      <c r="J8" s="136">
        <f t="shared" si="1"/>
        <v>0.68067226890756305</v>
      </c>
      <c r="K8" s="136">
        <f t="shared" si="1"/>
        <v>0.72463768115942029</v>
      </c>
      <c r="L8" s="136">
        <f t="shared" si="1"/>
        <v>0.68333333333333335</v>
      </c>
      <c r="M8" s="136">
        <f t="shared" si="1"/>
        <v>0.59139784946236562</v>
      </c>
      <c r="N8" s="136">
        <f t="shared" si="1"/>
        <v>0</v>
      </c>
    </row>
    <row r="9" spans="1:14">
      <c r="A9" s="67"/>
      <c r="B9" s="67"/>
      <c r="C9" s="67" t="s">
        <v>267</v>
      </c>
      <c r="D9" s="67"/>
      <c r="E9" s="42"/>
      <c r="F9" s="73">
        <v>700</v>
      </c>
      <c r="G9" s="73" t="s">
        <v>243</v>
      </c>
      <c r="H9" s="73">
        <v>105</v>
      </c>
      <c r="I9" s="73"/>
      <c r="J9" s="73"/>
      <c r="K9" s="73"/>
      <c r="L9" s="73"/>
      <c r="M9" s="73"/>
      <c r="N9" s="73"/>
    </row>
    <row r="10" spans="1:14">
      <c r="A10" s="67"/>
      <c r="B10" s="67"/>
      <c r="C10" s="67"/>
      <c r="D10" s="67" t="s">
        <v>494</v>
      </c>
      <c r="E10" s="42"/>
      <c r="F10" s="73"/>
      <c r="G10" s="73"/>
      <c r="H10" s="73"/>
      <c r="I10" s="73"/>
      <c r="J10" s="73"/>
      <c r="K10" s="132">
        <f>IFERROR(1/K11/0.67,0)</f>
        <v>0</v>
      </c>
      <c r="L10" s="132">
        <f>IFERROR(1/L11/0.67,0)</f>
        <v>0</v>
      </c>
      <c r="M10" s="132">
        <f>IFERROR(1/M11/0.67,0)</f>
        <v>0</v>
      </c>
      <c r="N10" s="132">
        <f>IFERROR(1/N11/0.67,0)</f>
        <v>0</v>
      </c>
    </row>
    <row r="11" spans="1:14">
      <c r="A11" s="67"/>
      <c r="B11" s="67"/>
      <c r="C11" s="133"/>
      <c r="D11" s="134"/>
      <c r="E11" s="134" t="s">
        <v>108</v>
      </c>
      <c r="F11" s="135"/>
      <c r="G11" s="135"/>
      <c r="H11" s="135"/>
      <c r="I11" s="136">
        <f t="shared" ref="I11:N11" si="2">IFERROR((I9-$H9)/I9,0)</f>
        <v>0</v>
      </c>
      <c r="J11" s="136">
        <f t="shared" si="2"/>
        <v>0</v>
      </c>
      <c r="K11" s="136">
        <f t="shared" si="2"/>
        <v>0</v>
      </c>
      <c r="L11" s="136">
        <f t="shared" si="2"/>
        <v>0</v>
      </c>
      <c r="M11" s="136">
        <f t="shared" si="2"/>
        <v>0</v>
      </c>
      <c r="N11" s="136">
        <f t="shared" si="2"/>
        <v>0</v>
      </c>
    </row>
    <row r="12" spans="1:14">
      <c r="A12" s="67"/>
      <c r="B12" s="67"/>
      <c r="C12" s="67" t="s">
        <v>267</v>
      </c>
      <c r="D12" s="67"/>
      <c r="E12" s="42"/>
      <c r="F12" s="73">
        <v>320</v>
      </c>
      <c r="G12" s="73" t="s">
        <v>247</v>
      </c>
      <c r="H12" s="73">
        <v>105</v>
      </c>
      <c r="I12" s="73"/>
      <c r="J12" s="73"/>
      <c r="K12" s="73"/>
      <c r="L12" s="73"/>
      <c r="M12" s="73"/>
      <c r="N12" s="73"/>
    </row>
    <row r="13" spans="1:14">
      <c r="A13" s="67"/>
      <c r="B13" s="67"/>
      <c r="C13" s="67"/>
      <c r="D13" s="67" t="s">
        <v>494</v>
      </c>
      <c r="E13" s="42"/>
      <c r="F13" s="73"/>
      <c r="G13" s="73"/>
      <c r="H13" s="73"/>
      <c r="I13" s="73"/>
      <c r="J13" s="73"/>
      <c r="K13" s="132">
        <f>IFERROR(1/K14/0.67,0)</f>
        <v>0</v>
      </c>
      <c r="L13" s="132">
        <f>IFERROR(1/L14/0.67,0)</f>
        <v>0</v>
      </c>
      <c r="M13" s="132">
        <f>IFERROR(1/M14/0.67,0)</f>
        <v>0</v>
      </c>
      <c r="N13" s="132">
        <f>IFERROR(1/N14/0.67,0)</f>
        <v>0</v>
      </c>
    </row>
    <row r="14" spans="1:14">
      <c r="A14" s="67"/>
      <c r="B14" s="67"/>
      <c r="C14" s="133"/>
      <c r="D14" s="134"/>
      <c r="E14" s="134" t="s">
        <v>108</v>
      </c>
      <c r="F14" s="135"/>
      <c r="G14" s="135"/>
      <c r="H14" s="135"/>
      <c r="I14" s="136">
        <f t="shared" ref="I14:N14" si="3">IFERROR((I12-$H12)/I12,0)</f>
        <v>0</v>
      </c>
      <c r="J14" s="136">
        <f t="shared" si="3"/>
        <v>0</v>
      </c>
      <c r="K14" s="136">
        <f t="shared" si="3"/>
        <v>0</v>
      </c>
      <c r="L14" s="136">
        <f t="shared" si="3"/>
        <v>0</v>
      </c>
      <c r="M14" s="136">
        <f t="shared" si="3"/>
        <v>0</v>
      </c>
      <c r="N14" s="136">
        <f t="shared" si="3"/>
        <v>0</v>
      </c>
    </row>
    <row r="15" spans="1:14">
      <c r="A15" s="67"/>
      <c r="B15" s="67"/>
      <c r="C15" s="67" t="s">
        <v>268</v>
      </c>
      <c r="D15" s="67"/>
      <c r="E15" s="42"/>
      <c r="F15" s="73">
        <v>700</v>
      </c>
      <c r="G15" s="73" t="s">
        <v>243</v>
      </c>
      <c r="H15" s="73">
        <v>86.8</v>
      </c>
      <c r="I15" s="73">
        <v>106.7</v>
      </c>
      <c r="J15" s="73">
        <v>309</v>
      </c>
      <c r="K15" s="73">
        <v>299</v>
      </c>
      <c r="L15" s="73">
        <v>279</v>
      </c>
      <c r="M15" s="73">
        <v>199</v>
      </c>
      <c r="N15" s="73">
        <v>106.7</v>
      </c>
    </row>
    <row r="16" spans="1:14">
      <c r="A16" s="67"/>
      <c r="B16" s="67"/>
      <c r="C16" s="67"/>
      <c r="D16" s="67" t="s">
        <v>494</v>
      </c>
      <c r="E16" s="42"/>
      <c r="F16" s="73"/>
      <c r="G16" s="73"/>
      <c r="H16" s="73"/>
      <c r="I16" s="73"/>
      <c r="J16" s="73"/>
      <c r="K16" s="132">
        <f>IFERROR(1/K17/0.67,0)</f>
        <v>2.1030568177022522</v>
      </c>
      <c r="L16" s="132">
        <f>IFERROR(1/L17/0.67,0)</f>
        <v>2.1665864227250844</v>
      </c>
      <c r="M16" s="132">
        <f>IFERROR(1/M17/0.67,0)</f>
        <v>2.6471918482454035</v>
      </c>
      <c r="N16" s="132">
        <f>IFERROR(1/N17/0.67,0)</f>
        <v>8.0027000675016851</v>
      </c>
    </row>
    <row r="17" spans="1:14">
      <c r="A17" s="67"/>
      <c r="B17" s="67"/>
      <c r="C17" s="133"/>
      <c r="D17" s="134"/>
      <c r="E17" s="134" t="s">
        <v>108</v>
      </c>
      <c r="F17" s="135"/>
      <c r="G17" s="135"/>
      <c r="H17" s="135"/>
      <c r="I17" s="136">
        <f t="shared" ref="I17:N17" si="4">IFERROR((I15-$H15)/I15,0)</f>
        <v>0.18650421743205253</v>
      </c>
      <c r="J17" s="136">
        <f t="shared" si="4"/>
        <v>0.71909385113268609</v>
      </c>
      <c r="K17" s="136">
        <f t="shared" si="4"/>
        <v>0.70969899665551839</v>
      </c>
      <c r="L17" s="136">
        <f t="shared" si="4"/>
        <v>0.68888888888888888</v>
      </c>
      <c r="M17" s="136">
        <f t="shared" si="4"/>
        <v>0.56381909547738696</v>
      </c>
      <c r="N17" s="136">
        <f t="shared" si="4"/>
        <v>0.18650421743205253</v>
      </c>
    </row>
    <row r="18" spans="1:14">
      <c r="A18" s="67"/>
      <c r="B18" s="67"/>
      <c r="C18" s="67" t="s">
        <v>268</v>
      </c>
      <c r="D18" s="67"/>
      <c r="E18" s="42"/>
      <c r="F18" s="73">
        <v>320</v>
      </c>
      <c r="G18" s="73" t="s">
        <v>245</v>
      </c>
      <c r="H18" s="73">
        <v>31.3</v>
      </c>
      <c r="I18" s="73">
        <v>40</v>
      </c>
      <c r="J18" s="73">
        <v>119</v>
      </c>
      <c r="K18" s="73">
        <v>119</v>
      </c>
      <c r="L18" s="73">
        <v>99</v>
      </c>
      <c r="M18" s="73">
        <v>79</v>
      </c>
      <c r="N18" s="73">
        <v>40</v>
      </c>
    </row>
    <row r="19" spans="1:14">
      <c r="A19" s="67"/>
      <c r="B19" s="67"/>
      <c r="C19" s="67"/>
      <c r="D19" s="67" t="s">
        <v>494</v>
      </c>
      <c r="E19" s="42"/>
      <c r="F19" s="73"/>
      <c r="G19" s="73"/>
      <c r="H19" s="73"/>
      <c r="I19" s="73"/>
      <c r="J19" s="73"/>
      <c r="K19" s="132">
        <f>IFERROR(1/K20/0.67,0)</f>
        <v>2.0252216681699822</v>
      </c>
      <c r="L19" s="132">
        <f>IFERROR(1/L20/0.67,0)</f>
        <v>2.1825877995546636</v>
      </c>
      <c r="M19" s="132">
        <f>IFERROR(1/M20/0.67,0)</f>
        <v>2.4719171438405456</v>
      </c>
      <c r="N19" s="132">
        <f>IFERROR(1/N20/0.67,0)</f>
        <v>6.8622405215302802</v>
      </c>
    </row>
    <row r="20" spans="1:14">
      <c r="A20" s="67"/>
      <c r="B20" s="67"/>
      <c r="C20" s="133"/>
      <c r="D20" s="134"/>
      <c r="E20" s="134" t="s">
        <v>108</v>
      </c>
      <c r="F20" s="135"/>
      <c r="G20" s="135"/>
      <c r="H20" s="135"/>
      <c r="I20" s="136">
        <f t="shared" ref="I20:N20" si="5">IFERROR((I18-$H18)/I18,0)</f>
        <v>0.21749999999999997</v>
      </c>
      <c r="J20" s="136">
        <f t="shared" si="5"/>
        <v>0.73697478991596643</v>
      </c>
      <c r="K20" s="136">
        <f t="shared" si="5"/>
        <v>0.73697478991596643</v>
      </c>
      <c r="L20" s="136">
        <f t="shared" si="5"/>
        <v>0.68383838383838391</v>
      </c>
      <c r="M20" s="136">
        <f t="shared" si="5"/>
        <v>0.60379746835443038</v>
      </c>
      <c r="N20" s="136">
        <f t="shared" si="5"/>
        <v>0.21749999999999997</v>
      </c>
    </row>
    <row r="21" spans="1:14">
      <c r="A21" s="67"/>
      <c r="B21" s="67"/>
      <c r="C21" s="67" t="s">
        <v>268</v>
      </c>
      <c r="D21" s="67"/>
      <c r="E21" s="42"/>
      <c r="F21" s="73">
        <v>200</v>
      </c>
      <c r="G21" s="73" t="s">
        <v>243</v>
      </c>
      <c r="H21" s="73">
        <v>24.3</v>
      </c>
      <c r="I21" s="73">
        <v>27</v>
      </c>
      <c r="J21" s="73">
        <v>89</v>
      </c>
      <c r="K21" s="73">
        <v>79</v>
      </c>
      <c r="L21" s="73">
        <v>59</v>
      </c>
      <c r="M21" s="73">
        <v>33</v>
      </c>
      <c r="N21" s="73">
        <v>20</v>
      </c>
    </row>
    <row r="22" spans="1:14">
      <c r="A22" s="67"/>
      <c r="B22" s="67"/>
      <c r="C22" s="67"/>
      <c r="D22" s="67" t="s">
        <v>494</v>
      </c>
      <c r="E22" s="42"/>
      <c r="F22" s="73"/>
      <c r="G22" s="73"/>
      <c r="H22" s="73"/>
      <c r="I22" s="73"/>
      <c r="J22" s="73"/>
      <c r="K22" s="132">
        <f>IFERROR(1/K23/0.67,0)</f>
        <v>2.1555840541351743</v>
      </c>
      <c r="L22" s="132">
        <f>IFERROR(1/L23/0.67,0)</f>
        <v>2.5377435588627466</v>
      </c>
      <c r="M22" s="132">
        <f>IFERROR(1/M23/0.67,0)</f>
        <v>5.661348430262481</v>
      </c>
      <c r="N22" s="132">
        <f>IFERROR(1/N23/0.67,0)</f>
        <v>-6.9420340159666765</v>
      </c>
    </row>
    <row r="23" spans="1:14">
      <c r="A23" s="67"/>
      <c r="B23" s="67"/>
      <c r="C23" s="67"/>
      <c r="D23" s="137"/>
      <c r="E23" s="137" t="s">
        <v>108</v>
      </c>
      <c r="F23" s="138"/>
      <c r="G23" s="138"/>
      <c r="H23" s="138"/>
      <c r="I23" s="139">
        <f t="shared" ref="I23:N23" si="6">IFERROR((I21-$H21)/I21,0)</f>
        <v>9.9999999999999978E-2</v>
      </c>
      <c r="J23" s="139">
        <f t="shared" si="6"/>
        <v>0.72696629213483144</v>
      </c>
      <c r="K23" s="139">
        <f t="shared" si="6"/>
        <v>0.69240506329113927</v>
      </c>
      <c r="L23" s="139">
        <f t="shared" si="6"/>
        <v>0.58813559322033904</v>
      </c>
      <c r="M23" s="139">
        <f t="shared" si="6"/>
        <v>0.26363636363636361</v>
      </c>
      <c r="N23" s="139">
        <f t="shared" si="6"/>
        <v>-0.21500000000000002</v>
      </c>
    </row>
  </sheetData>
  <phoneticPr fontId="14" type="noConversion"/>
  <hyperlinks>
    <hyperlink ref="A1" location="'目录及说明'!A1" display="返回目录" xr:uid="{00000000-0004-0000-08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44"/>
  <sheetViews>
    <sheetView showGridLines="0" topLeftCell="A15" zoomScale="106" zoomScaleNormal="100" workbookViewId="0">
      <selection activeCell="I35" sqref="I35"/>
    </sheetView>
  </sheetViews>
  <sheetFormatPr baseColWidth="10" defaultColWidth="13.19921875" defaultRowHeight="16"/>
  <cols>
    <col min="1" max="1" width="4" style="1" customWidth="1"/>
    <col min="2" max="4" width="4.3984375" style="1" customWidth="1"/>
    <col min="6" max="6" width="16.19921875" style="1" customWidth="1"/>
    <col min="7" max="7" width="13" style="1" customWidth="1"/>
    <col min="8" max="8" width="13" style="15" customWidth="1"/>
    <col min="9" max="9" width="16.19921875" style="1" bestFit="1" customWidth="1"/>
    <col min="10" max="10" width="4" style="1" customWidth="1"/>
    <col min="11" max="22" width="16" style="1" customWidth="1"/>
    <col min="23" max="24" width="13.796875" style="1" customWidth="1"/>
  </cols>
  <sheetData>
    <row r="1" spans="1:24">
      <c r="A1" s="70" t="s">
        <v>28</v>
      </c>
      <c r="B1" s="67"/>
      <c r="C1" s="67"/>
      <c r="D1" s="67"/>
      <c r="E1" s="42"/>
      <c r="F1" s="67"/>
      <c r="G1" s="67"/>
      <c r="H1" s="140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</row>
    <row r="2" spans="1:24">
      <c r="A2" s="67"/>
      <c r="B2" s="129" t="s">
        <v>233</v>
      </c>
      <c r="C2" s="129"/>
      <c r="D2" s="129"/>
      <c r="E2" s="130"/>
      <c r="F2" s="131" t="s">
        <v>234</v>
      </c>
      <c r="G2" s="131" t="s">
        <v>235</v>
      </c>
      <c r="H2" s="141" t="s">
        <v>236</v>
      </c>
      <c r="I2" s="129" t="s">
        <v>237</v>
      </c>
      <c r="J2" s="67"/>
      <c r="K2" s="67" t="s">
        <v>238</v>
      </c>
      <c r="L2" s="67" t="s">
        <v>239</v>
      </c>
      <c r="M2" s="67" t="s">
        <v>236</v>
      </c>
      <c r="N2" s="67" t="s">
        <v>240</v>
      </c>
      <c r="O2" s="67"/>
      <c r="P2" s="67"/>
      <c r="Q2" s="67"/>
      <c r="R2" s="67"/>
      <c r="S2" s="67"/>
      <c r="T2" s="67"/>
      <c r="U2" s="67"/>
      <c r="V2" s="67"/>
    </row>
    <row r="3" spans="1:24">
      <c r="A3" s="67"/>
      <c r="B3" s="102" t="s">
        <v>241</v>
      </c>
      <c r="C3" s="67"/>
      <c r="D3" s="67"/>
      <c r="E3" s="42"/>
      <c r="F3" s="67"/>
      <c r="G3" s="67"/>
      <c r="H3" s="140"/>
      <c r="I3" s="67"/>
      <c r="J3" s="67"/>
      <c r="K3" s="67" t="s">
        <v>495</v>
      </c>
      <c r="L3" s="155">
        <f>F28</f>
        <v>0.45</v>
      </c>
      <c r="M3" s="322">
        <f>H4</f>
        <v>90</v>
      </c>
      <c r="N3" s="322">
        <f>I4</f>
        <v>105</v>
      </c>
      <c r="O3" s="67"/>
      <c r="P3" s="67"/>
      <c r="Q3" s="67"/>
      <c r="R3" s="67"/>
      <c r="S3" s="67"/>
      <c r="T3" s="67"/>
      <c r="U3" s="67"/>
      <c r="V3" s="67"/>
      <c r="W3" s="16"/>
      <c r="X3" s="16"/>
    </row>
    <row r="4" spans="1:24">
      <c r="A4" s="67"/>
      <c r="B4" s="67"/>
      <c r="C4" s="67" t="s">
        <v>242</v>
      </c>
      <c r="D4" s="67"/>
      <c r="E4" s="42"/>
      <c r="F4" s="73">
        <v>700</v>
      </c>
      <c r="G4" s="73" t="s">
        <v>243</v>
      </c>
      <c r="H4" s="142">
        <v>90</v>
      </c>
      <c r="I4" s="143">
        <v>105</v>
      </c>
      <c r="J4" s="67"/>
      <c r="K4" s="67" t="s">
        <v>496</v>
      </c>
      <c r="L4" s="155">
        <f>F34</f>
        <v>0.55000000000000004</v>
      </c>
      <c r="M4" s="322">
        <f>H6</f>
        <v>33</v>
      </c>
      <c r="N4" s="322">
        <f>I6</f>
        <v>38</v>
      </c>
      <c r="O4" s="67"/>
      <c r="P4" s="67"/>
      <c r="Q4" s="67"/>
      <c r="R4" s="67"/>
      <c r="S4" s="67"/>
      <c r="T4" s="67"/>
      <c r="U4" s="67"/>
      <c r="V4" s="67"/>
      <c r="W4" s="16"/>
      <c r="X4" s="16"/>
    </row>
    <row r="5" spans="1:24">
      <c r="A5" s="67"/>
      <c r="B5" s="67"/>
      <c r="C5" s="67"/>
      <c r="D5" s="137" t="s">
        <v>244</v>
      </c>
      <c r="E5" s="42"/>
      <c r="F5" s="138"/>
      <c r="G5" s="138"/>
      <c r="H5" s="144"/>
      <c r="I5" s="145">
        <f>(I4-$H4)/I4</f>
        <v>0.14285714285714285</v>
      </c>
      <c r="J5" s="67"/>
      <c r="K5" s="67" t="s">
        <v>497</v>
      </c>
      <c r="L5" s="323">
        <v>0</v>
      </c>
      <c r="M5" s="322">
        <f>H8</f>
        <v>6.8</v>
      </c>
      <c r="N5" s="322">
        <f>I8</f>
        <v>8</v>
      </c>
      <c r="O5" s="67"/>
      <c r="P5" s="67"/>
      <c r="Q5" s="67"/>
      <c r="R5" s="67"/>
      <c r="S5" s="67"/>
      <c r="T5" s="67"/>
      <c r="U5" s="67"/>
      <c r="V5" s="67"/>
      <c r="W5" s="16"/>
      <c r="X5" s="16"/>
    </row>
    <row r="6" spans="1:24">
      <c r="A6" s="67"/>
      <c r="B6" s="67"/>
      <c r="C6" s="67" t="s">
        <v>242</v>
      </c>
      <c r="D6" s="67"/>
      <c r="E6" s="42"/>
      <c r="F6" s="73">
        <v>320</v>
      </c>
      <c r="G6" s="73" t="s">
        <v>245</v>
      </c>
      <c r="H6" s="142">
        <v>33</v>
      </c>
      <c r="I6" s="143">
        <v>38</v>
      </c>
      <c r="J6" s="67"/>
      <c r="K6" s="140" t="s">
        <v>246</v>
      </c>
      <c r="L6" s="323">
        <f>SUM(L3:L5)</f>
        <v>1</v>
      </c>
      <c r="M6" s="322">
        <f>SUMPRODUCT(L3:L5,M3:M5)</f>
        <v>58.650000000000006</v>
      </c>
      <c r="N6" s="322">
        <f>SUMPRODUCT(L3:L5,N3:N5)</f>
        <v>68.150000000000006</v>
      </c>
      <c r="O6" s="67"/>
      <c r="P6" s="67"/>
      <c r="Q6" s="67"/>
      <c r="R6" s="67"/>
      <c r="S6" s="67"/>
      <c r="T6" s="67"/>
      <c r="U6" s="67"/>
      <c r="V6" s="67"/>
      <c r="W6" s="16"/>
      <c r="X6" s="16"/>
    </row>
    <row r="7" spans="1:24">
      <c r="A7" s="67"/>
      <c r="B7" s="67"/>
      <c r="C7" s="67"/>
      <c r="D7" s="137" t="s">
        <v>244</v>
      </c>
      <c r="E7" s="137"/>
      <c r="F7" s="138"/>
      <c r="G7" s="138"/>
      <c r="H7" s="144"/>
      <c r="I7" s="145">
        <f>(I6-$H6)/I6</f>
        <v>0.13157894736842105</v>
      </c>
      <c r="J7" s="67"/>
      <c r="K7" s="140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16"/>
      <c r="X7" s="16"/>
    </row>
    <row r="8" spans="1:24">
      <c r="A8" s="67"/>
      <c r="B8" s="67"/>
      <c r="C8" s="67" t="s">
        <v>242</v>
      </c>
      <c r="D8" s="67"/>
      <c r="E8" s="42"/>
      <c r="F8" s="73">
        <v>60</v>
      </c>
      <c r="G8" s="73" t="s">
        <v>247</v>
      </c>
      <c r="H8" s="142">
        <v>6.8</v>
      </c>
      <c r="I8" s="143">
        <v>8</v>
      </c>
      <c r="J8" s="67"/>
      <c r="K8" s="67"/>
      <c r="L8" s="140"/>
      <c r="M8" s="140"/>
      <c r="N8" s="67"/>
      <c r="O8" s="67"/>
      <c r="P8" s="67"/>
      <c r="Q8" s="67"/>
      <c r="R8" s="67"/>
      <c r="S8" s="67"/>
      <c r="T8" s="67"/>
      <c r="U8" s="67"/>
      <c r="V8" s="67"/>
      <c r="W8" s="16"/>
      <c r="X8" s="16"/>
    </row>
    <row r="9" spans="1:24">
      <c r="A9" s="67"/>
      <c r="B9" s="67"/>
      <c r="C9" s="67"/>
      <c r="D9" s="137" t="s">
        <v>244</v>
      </c>
      <c r="E9" s="137"/>
      <c r="F9" s="138"/>
      <c r="G9" s="138"/>
      <c r="H9" s="144"/>
      <c r="I9" s="145">
        <f>(I8-$H8)/I8</f>
        <v>0.15000000000000002</v>
      </c>
      <c r="J9" s="67"/>
      <c r="K9" s="67"/>
      <c r="L9" s="67"/>
      <c r="M9" s="67"/>
      <c r="N9" s="140"/>
      <c r="O9" s="67"/>
      <c r="P9" s="67"/>
      <c r="Q9" s="67"/>
      <c r="R9" s="67"/>
      <c r="S9" s="67"/>
      <c r="T9" s="67"/>
      <c r="U9" s="67"/>
      <c r="V9" s="67"/>
      <c r="W9" s="16"/>
      <c r="X9" s="16"/>
    </row>
    <row r="10" spans="1:24">
      <c r="A10" s="67"/>
      <c r="B10" s="67"/>
      <c r="C10" s="67"/>
      <c r="D10" s="67"/>
      <c r="E10" s="42"/>
      <c r="F10" s="73"/>
      <c r="G10" s="73"/>
      <c r="H10" s="142"/>
      <c r="I10" s="143"/>
      <c r="J10" s="67"/>
      <c r="K10" s="67"/>
      <c r="L10" s="67"/>
      <c r="M10" s="67"/>
      <c r="N10" s="67"/>
      <c r="O10" s="67"/>
      <c r="P10" s="67"/>
      <c r="Q10" s="146"/>
      <c r="R10" s="67"/>
      <c r="S10" s="67"/>
      <c r="T10" s="67"/>
      <c r="U10" s="67"/>
      <c r="V10" s="67"/>
      <c r="W10" s="16"/>
      <c r="X10" s="16"/>
    </row>
    <row r="11" spans="1:24">
      <c r="A11" s="67"/>
      <c r="B11" s="102" t="s">
        <v>248</v>
      </c>
      <c r="C11" s="67"/>
      <c r="D11" s="137"/>
      <c r="E11" s="137"/>
      <c r="F11" s="138"/>
      <c r="G11" s="138"/>
      <c r="H11" s="144"/>
      <c r="I11" s="145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16"/>
      <c r="X11" s="16"/>
    </row>
    <row r="12" spans="1:24">
      <c r="A12" s="67"/>
      <c r="B12" s="67"/>
      <c r="C12" s="67" t="s">
        <v>498</v>
      </c>
      <c r="D12" s="67"/>
      <c r="E12" s="42"/>
      <c r="F12" s="73">
        <v>30</v>
      </c>
      <c r="G12" s="147" t="s">
        <v>249</v>
      </c>
      <c r="H12" s="148">
        <f>H6/16</f>
        <v>2.0625</v>
      </c>
      <c r="I12" s="143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16"/>
      <c r="X12" s="16"/>
    </row>
    <row r="13" spans="1:24">
      <c r="A13" s="67"/>
      <c r="B13" s="67"/>
      <c r="C13" s="67" t="s">
        <v>499</v>
      </c>
      <c r="D13" s="67"/>
      <c r="E13" s="42"/>
      <c r="F13" s="147">
        <v>60</v>
      </c>
      <c r="G13" s="147" t="s">
        <v>247</v>
      </c>
      <c r="H13" s="148">
        <v>2.75</v>
      </c>
      <c r="I13" s="143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16"/>
      <c r="X13" s="16"/>
    </row>
    <row r="14" spans="1:24">
      <c r="A14" s="67"/>
      <c r="B14" s="67"/>
      <c r="C14" s="67" t="s">
        <v>500</v>
      </c>
      <c r="D14" s="137"/>
      <c r="E14" s="137"/>
      <c r="F14" s="147" t="s">
        <v>250</v>
      </c>
      <c r="G14" s="147" t="s">
        <v>251</v>
      </c>
      <c r="H14" s="148">
        <v>6</v>
      </c>
      <c r="I14" s="145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16"/>
      <c r="X14" s="16"/>
    </row>
    <row r="15" spans="1:24">
      <c r="A15" s="67"/>
      <c r="B15" s="67"/>
      <c r="C15" s="67" t="s">
        <v>501</v>
      </c>
      <c r="D15" s="67"/>
      <c r="E15" s="42"/>
      <c r="F15" s="147" t="s">
        <v>250</v>
      </c>
      <c r="G15" s="147" t="s">
        <v>251</v>
      </c>
      <c r="H15" s="148">
        <v>9.9</v>
      </c>
      <c r="I15" s="143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16"/>
      <c r="X15" s="16"/>
    </row>
    <row r="16" spans="1:24">
      <c r="A16" s="67"/>
      <c r="B16" s="67"/>
      <c r="C16" s="67" t="s">
        <v>502</v>
      </c>
      <c r="D16" s="137"/>
      <c r="E16" s="137"/>
      <c r="F16" s="147" t="s">
        <v>250</v>
      </c>
      <c r="G16" s="147" t="s">
        <v>251</v>
      </c>
      <c r="H16" s="148">
        <v>5.3</v>
      </c>
      <c r="I16" s="145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16"/>
      <c r="X16" s="16"/>
    </row>
    <row r="17" spans="1:24">
      <c r="A17" s="67"/>
      <c r="B17" s="67"/>
      <c r="C17" s="67" t="s">
        <v>503</v>
      </c>
      <c r="D17" s="67"/>
      <c r="E17" s="42"/>
      <c r="F17" s="147" t="s">
        <v>250</v>
      </c>
      <c r="G17" s="147" t="s">
        <v>251</v>
      </c>
      <c r="H17" s="148">
        <v>14.8</v>
      </c>
      <c r="I17" s="143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16"/>
      <c r="X17" s="16"/>
    </row>
    <row r="18" spans="1:24">
      <c r="A18" s="67"/>
      <c r="B18" s="67"/>
      <c r="C18" s="67" t="s">
        <v>504</v>
      </c>
      <c r="D18" s="67"/>
      <c r="E18" s="42"/>
      <c r="F18" s="147" t="s">
        <v>250</v>
      </c>
      <c r="G18" s="147" t="s">
        <v>251</v>
      </c>
      <c r="H18" s="148">
        <v>0.5</v>
      </c>
      <c r="I18" s="143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16"/>
      <c r="X18" s="16"/>
    </row>
    <row r="19" spans="1:24">
      <c r="A19" s="67"/>
      <c r="B19" s="67"/>
      <c r="C19" s="67" t="s">
        <v>505</v>
      </c>
      <c r="D19" s="67"/>
      <c r="E19" s="42"/>
      <c r="F19" s="147" t="s">
        <v>250</v>
      </c>
      <c r="G19" s="147" t="s">
        <v>251</v>
      </c>
      <c r="H19" s="148">
        <v>16.8</v>
      </c>
      <c r="I19" s="143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16"/>
      <c r="X19" s="16"/>
    </row>
    <row r="20" spans="1:24">
      <c r="A20" s="67"/>
      <c r="B20" s="67"/>
      <c r="C20" s="67"/>
      <c r="D20" s="67"/>
      <c r="E20" s="42"/>
      <c r="F20" s="147"/>
      <c r="G20" s="73"/>
      <c r="H20" s="142"/>
      <c r="I20" s="143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16"/>
      <c r="X20" s="16"/>
    </row>
    <row r="21" spans="1:24">
      <c r="A21" s="67"/>
      <c r="B21" s="102" t="s">
        <v>506</v>
      </c>
      <c r="C21" s="67"/>
      <c r="D21" s="67"/>
      <c r="E21" s="42"/>
      <c r="F21" s="73"/>
      <c r="G21" s="73"/>
      <c r="H21" s="142"/>
      <c r="I21" s="143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16"/>
      <c r="X21" s="16"/>
    </row>
    <row r="22" spans="1:24">
      <c r="A22" s="67"/>
      <c r="B22" s="67"/>
      <c r="C22" s="67" t="s">
        <v>252</v>
      </c>
      <c r="D22" s="67"/>
      <c r="E22" s="42"/>
      <c r="F22" s="73">
        <v>1400</v>
      </c>
      <c r="G22" s="73" t="s">
        <v>253</v>
      </c>
      <c r="H22" s="149">
        <v>184.64400000000001</v>
      </c>
      <c r="I22" s="150">
        <v>184.64400000000001</v>
      </c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16"/>
      <c r="X22" s="16"/>
    </row>
    <row r="23" spans="1:24">
      <c r="A23" s="67"/>
      <c r="B23" s="67"/>
      <c r="C23" s="67" t="s">
        <v>254</v>
      </c>
      <c r="D23" s="67"/>
      <c r="E23" s="42"/>
      <c r="F23" s="73">
        <v>20</v>
      </c>
      <c r="G23" s="73" t="s">
        <v>249</v>
      </c>
      <c r="H23" s="149">
        <v>2.38</v>
      </c>
      <c r="I23" s="150">
        <v>2.38</v>
      </c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16"/>
      <c r="X23" s="16"/>
    </row>
    <row r="24" spans="1:24">
      <c r="A24" s="67"/>
      <c r="B24" s="67"/>
      <c r="C24" s="67"/>
      <c r="D24" s="137"/>
      <c r="E24" s="137"/>
      <c r="F24" s="138"/>
      <c r="G24" s="138"/>
      <c r="H24" s="144"/>
      <c r="I24" s="145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16"/>
      <c r="X24" s="16"/>
    </row>
    <row r="25" spans="1:24">
      <c r="A25" s="67"/>
      <c r="B25" s="67"/>
      <c r="C25" s="67"/>
      <c r="D25" s="67"/>
      <c r="E25" s="42"/>
      <c r="F25" s="73"/>
      <c r="G25" s="73"/>
      <c r="H25" s="142"/>
      <c r="I25" s="143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3"/>
      <c r="X25" s="13"/>
    </row>
    <row r="26" spans="1:24">
      <c r="A26" s="67"/>
      <c r="B26" s="192" t="s">
        <v>507</v>
      </c>
      <c r="C26" s="129"/>
      <c r="D26" s="129"/>
      <c r="E26" s="130"/>
      <c r="F26" s="321" t="s">
        <v>892</v>
      </c>
      <c r="G26" s="151"/>
      <c r="H26" s="152" t="s">
        <v>891</v>
      </c>
      <c r="I26" s="192" t="s">
        <v>508</v>
      </c>
      <c r="J26" s="102"/>
      <c r="K26" s="153">
        <v>46023</v>
      </c>
      <c r="L26" s="153">
        <v>46054</v>
      </c>
      <c r="M26" s="318">
        <v>46082</v>
      </c>
      <c r="N26" s="153">
        <v>46113</v>
      </c>
      <c r="O26" s="153">
        <v>46143</v>
      </c>
      <c r="P26" s="318">
        <v>46174</v>
      </c>
      <c r="Q26" s="153">
        <v>46204</v>
      </c>
      <c r="R26" s="153">
        <v>46235</v>
      </c>
      <c r="S26" s="318">
        <v>46266</v>
      </c>
      <c r="T26" s="153">
        <v>46296</v>
      </c>
      <c r="U26" s="153">
        <v>46327</v>
      </c>
      <c r="V26" s="153">
        <v>46357</v>
      </c>
      <c r="W26" s="13"/>
      <c r="X26" s="13"/>
    </row>
    <row r="27" spans="1:24">
      <c r="A27" s="67"/>
      <c r="B27" s="67"/>
      <c r="C27" s="67" t="s">
        <v>255</v>
      </c>
      <c r="D27" s="67"/>
      <c r="E27" s="42"/>
      <c r="F27" s="67"/>
      <c r="G27" s="67"/>
      <c r="H27" s="140"/>
      <c r="I27" s="67"/>
      <c r="J27" s="102"/>
      <c r="K27" s="102"/>
      <c r="L27" s="102"/>
      <c r="M27" s="309"/>
      <c r="N27" s="102"/>
      <c r="O27" s="102"/>
      <c r="P27" s="309"/>
      <c r="Q27" s="102"/>
      <c r="R27" s="102"/>
      <c r="S27" s="309"/>
      <c r="T27" s="102"/>
      <c r="U27" s="102"/>
      <c r="V27" s="102"/>
      <c r="W27" s="13"/>
      <c r="X27" s="13"/>
    </row>
    <row r="28" spans="1:24">
      <c r="A28" s="67"/>
      <c r="B28" s="67"/>
      <c r="C28" s="67"/>
      <c r="D28" s="67" t="s">
        <v>256</v>
      </c>
      <c r="E28" s="42"/>
      <c r="F28" s="298">
        <v>0.45</v>
      </c>
      <c r="G28" s="67"/>
      <c r="H28" s="140"/>
      <c r="I28" s="154">
        <f>I40*F28</f>
        <v>1800</v>
      </c>
      <c r="J28" s="67"/>
      <c r="K28" s="140">
        <f t="shared" ref="K28:V28" si="0">$I$28*K29</f>
        <v>158.39999999999998</v>
      </c>
      <c r="L28" s="140">
        <f t="shared" si="0"/>
        <v>159.12</v>
      </c>
      <c r="M28" s="310">
        <f t="shared" si="0"/>
        <v>136.79999999999998</v>
      </c>
      <c r="N28" s="140">
        <f t="shared" si="0"/>
        <v>163.08000000000001</v>
      </c>
      <c r="O28" s="140">
        <f t="shared" si="0"/>
        <v>131.04000000000002</v>
      </c>
      <c r="P28" s="310">
        <f t="shared" si="0"/>
        <v>179.10000000000002</v>
      </c>
      <c r="Q28" s="140">
        <f t="shared" si="0"/>
        <v>87.47999999999999</v>
      </c>
      <c r="R28" s="140">
        <f t="shared" si="0"/>
        <v>117</v>
      </c>
      <c r="S28" s="310">
        <f t="shared" si="0"/>
        <v>147.95999999999998</v>
      </c>
      <c r="T28" s="140">
        <f t="shared" si="0"/>
        <v>160.02000000000001</v>
      </c>
      <c r="U28" s="140">
        <f t="shared" si="0"/>
        <v>194.4</v>
      </c>
      <c r="V28" s="140">
        <f t="shared" si="0"/>
        <v>165.6</v>
      </c>
      <c r="W28" s="16"/>
      <c r="X28" s="16"/>
    </row>
    <row r="29" spans="1:24">
      <c r="A29" s="67"/>
      <c r="B29" s="67"/>
      <c r="C29" s="67"/>
      <c r="D29" s="320" t="s">
        <v>895</v>
      </c>
      <c r="E29" s="42"/>
      <c r="F29" s="67"/>
      <c r="G29" s="67"/>
      <c r="H29" s="140"/>
      <c r="I29" s="298">
        <v>1.3</v>
      </c>
      <c r="J29" s="155"/>
      <c r="K29" s="298">
        <f>K41</f>
        <v>8.7999999999999995E-2</v>
      </c>
      <c r="L29" s="298">
        <f t="shared" ref="L29:V29" si="1">L41</f>
        <v>8.8400000000000006E-2</v>
      </c>
      <c r="M29" s="311">
        <f t="shared" si="1"/>
        <v>7.5999999999999998E-2</v>
      </c>
      <c r="N29" s="298">
        <f t="shared" si="1"/>
        <v>9.06E-2</v>
      </c>
      <c r="O29" s="298">
        <f t="shared" si="1"/>
        <v>7.2800000000000004E-2</v>
      </c>
      <c r="P29" s="311">
        <f t="shared" si="1"/>
        <v>9.9500000000000005E-2</v>
      </c>
      <c r="Q29" s="298">
        <f t="shared" si="1"/>
        <v>4.8599999999999997E-2</v>
      </c>
      <c r="R29" s="298">
        <f t="shared" si="1"/>
        <v>6.5000000000000002E-2</v>
      </c>
      <c r="S29" s="311">
        <f t="shared" si="1"/>
        <v>8.2199999999999995E-2</v>
      </c>
      <c r="T29" s="298">
        <f t="shared" si="1"/>
        <v>8.8900000000000007E-2</v>
      </c>
      <c r="U29" s="298">
        <f t="shared" si="1"/>
        <v>0.108</v>
      </c>
      <c r="V29" s="298">
        <f t="shared" si="1"/>
        <v>9.1999999999999998E-2</v>
      </c>
      <c r="W29" s="16"/>
      <c r="X29" s="16"/>
    </row>
    <row r="30" spans="1:24">
      <c r="A30" s="67"/>
      <c r="B30" s="67"/>
      <c r="C30" s="67"/>
      <c r="D30" s="67" t="s">
        <v>257</v>
      </c>
      <c r="E30" s="42"/>
      <c r="F30" s="67"/>
      <c r="G30" s="67"/>
      <c r="H30" s="303">
        <f>I30/I28</f>
        <v>0.64080000000000004</v>
      </c>
      <c r="I30" s="154">
        <f>SUM(K30:V30)</f>
        <v>1153.44</v>
      </c>
      <c r="J30" s="67"/>
      <c r="K30" s="304">
        <v>17.334</v>
      </c>
      <c r="L30" s="304">
        <v>285.06599999999997</v>
      </c>
      <c r="M30" s="312">
        <v>203.41800000000001</v>
      </c>
      <c r="N30" s="304">
        <v>339.822</v>
      </c>
      <c r="O30" s="304">
        <v>307.8</v>
      </c>
      <c r="P30" s="317"/>
      <c r="Q30" s="140"/>
      <c r="R30" s="140"/>
      <c r="S30" s="310"/>
      <c r="T30" s="140"/>
      <c r="U30" s="140"/>
      <c r="V30" s="140"/>
      <c r="W30" s="16"/>
      <c r="X30" s="16"/>
    </row>
    <row r="31" spans="1:24">
      <c r="A31" s="67"/>
      <c r="B31" s="67"/>
      <c r="C31" s="67"/>
      <c r="D31" s="67"/>
      <c r="E31" s="67" t="s">
        <v>893</v>
      </c>
      <c r="F31" s="67"/>
      <c r="G31" s="140"/>
      <c r="H31" s="140"/>
      <c r="I31" s="156">
        <f>SUM(K31:V31)</f>
        <v>2340</v>
      </c>
      <c r="J31" s="102"/>
      <c r="K31" s="305">
        <f t="shared" ref="K31:V31" si="2">IF(ISNUMBER(K30),K30,MAX(0,(MIN($I$28*$I$29,IFERROR($I$40*$I$41*($I$28*$I$29)/($I$28*$I$29+$I$34*$I$35),$I$28*$I$29))-SUM($K$30:$V$30))*K29/IFERROR(SUMIFS($K$29:$V$29,$K$30:$V$30,""),1)))</f>
        <v>17.334</v>
      </c>
      <c r="L31" s="305">
        <f t="shared" si="2"/>
        <v>285.06599999999997</v>
      </c>
      <c r="M31" s="313">
        <f t="shared" si="2"/>
        <v>203.41800000000001</v>
      </c>
      <c r="N31" s="305">
        <f t="shared" si="2"/>
        <v>339.822</v>
      </c>
      <c r="O31" s="305">
        <f t="shared" si="2"/>
        <v>307.8</v>
      </c>
      <c r="P31" s="313">
        <f t="shared" si="2"/>
        <v>202.09298185552893</v>
      </c>
      <c r="Q31" s="305">
        <f t="shared" si="2"/>
        <v>98.7107428962684</v>
      </c>
      <c r="R31" s="305">
        <f t="shared" si="2"/>
        <v>132.02054091064707</v>
      </c>
      <c r="S31" s="313">
        <f t="shared" si="2"/>
        <v>166.95520712084902</v>
      </c>
      <c r="T31" s="305">
        <f t="shared" si="2"/>
        <v>180.5634782608696</v>
      </c>
      <c r="U31" s="305">
        <f t="shared" si="2"/>
        <v>219.35720643615204</v>
      </c>
      <c r="V31" s="305">
        <f t="shared" si="2"/>
        <v>186.85984251968503</v>
      </c>
      <c r="W31" s="16"/>
      <c r="X31" s="16"/>
    </row>
    <row r="32" spans="1:24">
      <c r="A32" s="67"/>
      <c r="B32" s="67"/>
      <c r="C32" s="67"/>
      <c r="D32" s="67"/>
      <c r="E32" s="42"/>
      <c r="F32" s="67"/>
      <c r="G32" s="67"/>
      <c r="H32" s="140"/>
      <c r="I32" s="157"/>
      <c r="J32" s="67"/>
      <c r="K32" s="140"/>
      <c r="L32" s="140"/>
      <c r="M32" s="310"/>
      <c r="N32" s="140"/>
      <c r="O32" s="140"/>
      <c r="P32" s="310"/>
      <c r="Q32" s="140"/>
      <c r="R32" s="140"/>
      <c r="S32" s="310"/>
      <c r="T32" s="140"/>
      <c r="U32" s="140"/>
      <c r="V32" s="140"/>
      <c r="W32" s="16"/>
      <c r="X32" s="16"/>
    </row>
    <row r="33" spans="1:24">
      <c r="A33" s="67"/>
      <c r="B33" s="67"/>
      <c r="C33" s="67" t="s">
        <v>258</v>
      </c>
      <c r="D33" s="67"/>
      <c r="E33" s="42"/>
      <c r="F33" s="67"/>
      <c r="G33" s="67"/>
      <c r="H33" s="140"/>
      <c r="I33" s="157"/>
      <c r="J33" s="67"/>
      <c r="K33" s="140"/>
      <c r="L33" s="140"/>
      <c r="M33" s="310"/>
      <c r="N33" s="140"/>
      <c r="O33" s="140"/>
      <c r="P33" s="310"/>
      <c r="Q33" s="140"/>
      <c r="R33" s="140"/>
      <c r="S33" s="310"/>
      <c r="T33" s="140"/>
      <c r="U33" s="140"/>
      <c r="V33" s="140"/>
      <c r="W33" s="16"/>
      <c r="X33" s="16"/>
    </row>
    <row r="34" spans="1:24">
      <c r="A34" s="67"/>
      <c r="B34" s="67"/>
      <c r="C34" s="67"/>
      <c r="D34" s="67" t="s">
        <v>256</v>
      </c>
      <c r="E34" s="42"/>
      <c r="F34" s="298">
        <v>0.55000000000000004</v>
      </c>
      <c r="G34" s="67"/>
      <c r="H34" s="140"/>
      <c r="I34" s="154">
        <f>I40*F34</f>
        <v>2200</v>
      </c>
      <c r="J34" s="67"/>
      <c r="K34" s="140">
        <f t="shared" ref="K34:V34" si="3">$I$34*K35</f>
        <v>193.6</v>
      </c>
      <c r="L34" s="140">
        <f t="shared" si="3"/>
        <v>194.48000000000002</v>
      </c>
      <c r="M34" s="310">
        <f t="shared" si="3"/>
        <v>167.2</v>
      </c>
      <c r="N34" s="140">
        <f t="shared" si="3"/>
        <v>199.32</v>
      </c>
      <c r="O34" s="140">
        <f t="shared" si="3"/>
        <v>160.16</v>
      </c>
      <c r="P34" s="310">
        <f t="shared" si="3"/>
        <v>218.9</v>
      </c>
      <c r="Q34" s="140">
        <f t="shared" si="3"/>
        <v>106.91999999999999</v>
      </c>
      <c r="R34" s="140">
        <f t="shared" si="3"/>
        <v>143</v>
      </c>
      <c r="S34" s="310">
        <f t="shared" si="3"/>
        <v>180.84</v>
      </c>
      <c r="T34" s="140">
        <f t="shared" si="3"/>
        <v>195.58</v>
      </c>
      <c r="U34" s="140">
        <f t="shared" si="3"/>
        <v>237.6</v>
      </c>
      <c r="V34" s="140">
        <f t="shared" si="3"/>
        <v>202.4</v>
      </c>
      <c r="W34" s="16"/>
      <c r="X34" s="16"/>
    </row>
    <row r="35" spans="1:24">
      <c r="A35" s="67"/>
      <c r="B35" s="67"/>
      <c r="C35" s="67"/>
      <c r="D35" s="320" t="s">
        <v>895</v>
      </c>
      <c r="E35" s="42"/>
      <c r="F35" s="67"/>
      <c r="G35" s="67"/>
      <c r="H35" s="140"/>
      <c r="I35" s="298">
        <v>1.2</v>
      </c>
      <c r="J35" s="155"/>
      <c r="K35" s="298">
        <f>K41</f>
        <v>8.7999999999999995E-2</v>
      </c>
      <c r="L35" s="298">
        <f t="shared" ref="L35:V35" si="4">L41</f>
        <v>8.8400000000000006E-2</v>
      </c>
      <c r="M35" s="311">
        <f t="shared" si="4"/>
        <v>7.5999999999999998E-2</v>
      </c>
      <c r="N35" s="298">
        <f t="shared" si="4"/>
        <v>9.06E-2</v>
      </c>
      <c r="O35" s="298">
        <f t="shared" si="4"/>
        <v>7.2800000000000004E-2</v>
      </c>
      <c r="P35" s="311">
        <f t="shared" si="4"/>
        <v>9.9500000000000005E-2</v>
      </c>
      <c r="Q35" s="298">
        <f t="shared" si="4"/>
        <v>4.8599999999999997E-2</v>
      </c>
      <c r="R35" s="298">
        <f t="shared" si="4"/>
        <v>6.5000000000000002E-2</v>
      </c>
      <c r="S35" s="311">
        <f t="shared" si="4"/>
        <v>8.2199999999999995E-2</v>
      </c>
      <c r="T35" s="298">
        <f t="shared" si="4"/>
        <v>8.8900000000000007E-2</v>
      </c>
      <c r="U35" s="298">
        <f t="shared" si="4"/>
        <v>0.108</v>
      </c>
      <c r="V35" s="298">
        <f t="shared" si="4"/>
        <v>9.1999999999999998E-2</v>
      </c>
      <c r="W35" s="16"/>
      <c r="X35" s="16"/>
    </row>
    <row r="36" spans="1:24">
      <c r="A36" s="67"/>
      <c r="B36" s="67"/>
      <c r="C36" s="67"/>
      <c r="D36" s="67" t="s">
        <v>257</v>
      </c>
      <c r="E36" s="42"/>
      <c r="F36" s="67"/>
      <c r="G36" s="67"/>
      <c r="H36" s="303">
        <f>I36/I34</f>
        <v>0.56667599999999996</v>
      </c>
      <c r="I36" s="154">
        <f>SUM(K36:V36)</f>
        <v>1246.6871999999998</v>
      </c>
      <c r="J36" s="67"/>
      <c r="K36" s="304">
        <v>347.68799999999999</v>
      </c>
      <c r="L36" s="304">
        <v>63.36</v>
      </c>
      <c r="M36" s="312">
        <v>292.0104</v>
      </c>
      <c r="N36" s="304">
        <v>210.9888</v>
      </c>
      <c r="O36" s="304">
        <v>332.64</v>
      </c>
      <c r="P36" s="317"/>
      <c r="Q36" s="140"/>
      <c r="R36" s="140"/>
      <c r="S36" s="310"/>
      <c r="T36" s="140"/>
      <c r="U36" s="140"/>
      <c r="V36" s="140"/>
      <c r="W36" s="16"/>
      <c r="X36" s="16"/>
    </row>
    <row r="37" spans="1:24">
      <c r="A37" s="67"/>
      <c r="B37" s="67"/>
      <c r="C37" s="67"/>
      <c r="D37" s="67"/>
      <c r="E37" s="67" t="s">
        <v>893</v>
      </c>
      <c r="F37" s="67"/>
      <c r="G37" s="140"/>
      <c r="H37" s="140"/>
      <c r="I37" s="156">
        <f>SUM(K37:V37)</f>
        <v>2640</v>
      </c>
      <c r="J37" s="102"/>
      <c r="K37" s="305">
        <f t="shared" ref="K37:V37" si="5">IF(ISNUMBER(K36),K36,MAX(0,(MIN($I$34*$I$35,IFERROR($I$40*$I$41*($I$34*$I$35)/($I$28*$I$29+$I$34*$I$35),$I$34*$I$35))-SUM($K$36:$V$36))*K35/IFERROR(SUMIFS($K$35:$V$35,$K$36:$V$36,""),1)))</f>
        <v>347.68799999999999</v>
      </c>
      <c r="L37" s="305">
        <f t="shared" si="5"/>
        <v>63.36</v>
      </c>
      <c r="M37" s="313">
        <f t="shared" si="5"/>
        <v>292.0104</v>
      </c>
      <c r="N37" s="305">
        <f t="shared" si="5"/>
        <v>210.9888</v>
      </c>
      <c r="O37" s="305">
        <f t="shared" si="5"/>
        <v>332.64</v>
      </c>
      <c r="P37" s="313">
        <f t="shared" si="5"/>
        <v>237.30678466278678</v>
      </c>
      <c r="Q37" s="305">
        <f t="shared" si="5"/>
        <v>115.91065059910991</v>
      </c>
      <c r="R37" s="305">
        <f t="shared" si="5"/>
        <v>155.02453269428281</v>
      </c>
      <c r="S37" s="313">
        <f t="shared" si="5"/>
        <v>196.04640903800072</v>
      </c>
      <c r="T37" s="305">
        <f t="shared" si="5"/>
        <v>212.02586086956529</v>
      </c>
      <c r="U37" s="305">
        <f t="shared" si="5"/>
        <v>257.57922355357761</v>
      </c>
      <c r="V37" s="305">
        <f t="shared" si="5"/>
        <v>219.41933858267723</v>
      </c>
      <c r="W37" s="16"/>
      <c r="X37" s="16"/>
    </row>
    <row r="38" spans="1:24">
      <c r="A38" s="67"/>
      <c r="B38" s="67"/>
      <c r="C38" s="67"/>
      <c r="D38" s="67"/>
      <c r="E38" s="42"/>
      <c r="F38" s="67"/>
      <c r="G38" s="67"/>
      <c r="H38" s="140"/>
      <c r="I38" s="67"/>
      <c r="J38" s="67"/>
      <c r="K38" s="140"/>
      <c r="L38" s="140"/>
      <c r="M38" s="310"/>
      <c r="N38" s="140"/>
      <c r="O38" s="140"/>
      <c r="P38" s="310"/>
      <c r="Q38" s="140"/>
      <c r="R38" s="140"/>
      <c r="S38" s="310"/>
      <c r="T38" s="140"/>
      <c r="U38" s="140"/>
      <c r="V38" s="140"/>
      <c r="W38" s="16"/>
      <c r="X38" s="16"/>
    </row>
    <row r="39" spans="1:24">
      <c r="A39" s="67"/>
      <c r="B39" s="67"/>
      <c r="C39" s="67" t="s">
        <v>259</v>
      </c>
      <c r="D39" s="67"/>
      <c r="E39" s="42"/>
      <c r="F39" s="67"/>
      <c r="G39" s="67"/>
      <c r="H39" s="140"/>
      <c r="I39" s="140"/>
      <c r="J39" s="67"/>
      <c r="K39" s="308"/>
      <c r="L39" s="308"/>
      <c r="M39" s="314">
        <f>SUM(K40:M40)</f>
        <v>1009.6</v>
      </c>
      <c r="N39" s="308"/>
      <c r="O39" s="308"/>
      <c r="P39" s="314">
        <f>SUM(N40:P40)</f>
        <v>1051.5999999999999</v>
      </c>
      <c r="Q39" s="308"/>
      <c r="R39" s="308"/>
      <c r="S39" s="314">
        <f>SUM(Q40:S40)</f>
        <v>783.19999999999993</v>
      </c>
      <c r="T39" s="308"/>
      <c r="U39" s="308"/>
      <c r="V39" s="308">
        <f>SUM(T40:V40)</f>
        <v>1155.5999999999999</v>
      </c>
      <c r="W39" s="16"/>
      <c r="X39" s="16"/>
    </row>
    <row r="40" spans="1:24">
      <c r="A40" s="67"/>
      <c r="B40" s="67"/>
      <c r="C40" s="67"/>
      <c r="D40" s="67" t="s">
        <v>260</v>
      </c>
      <c r="E40" s="42"/>
      <c r="F40" s="67"/>
      <c r="G40" s="67"/>
      <c r="H40" s="140"/>
      <c r="I40" s="140">
        <v>4000</v>
      </c>
      <c r="J40" s="67"/>
      <c r="K40" s="302">
        <f t="shared" ref="K40:V40" si="6">$I$40*K41</f>
        <v>352</v>
      </c>
      <c r="L40" s="302">
        <f t="shared" si="6"/>
        <v>353.6</v>
      </c>
      <c r="M40" s="315">
        <f t="shared" si="6"/>
        <v>304</v>
      </c>
      <c r="N40" s="302">
        <f t="shared" si="6"/>
        <v>362.4</v>
      </c>
      <c r="O40" s="302">
        <f t="shared" si="6"/>
        <v>291.2</v>
      </c>
      <c r="P40" s="315">
        <f t="shared" si="6"/>
        <v>398</v>
      </c>
      <c r="Q40" s="302">
        <f t="shared" si="6"/>
        <v>194.39999999999998</v>
      </c>
      <c r="R40" s="302">
        <f t="shared" si="6"/>
        <v>260</v>
      </c>
      <c r="S40" s="315">
        <f t="shared" si="6"/>
        <v>328.79999999999995</v>
      </c>
      <c r="T40" s="302">
        <f t="shared" si="6"/>
        <v>355.6</v>
      </c>
      <c r="U40" s="302">
        <f t="shared" si="6"/>
        <v>432</v>
      </c>
      <c r="V40" s="302">
        <f t="shared" si="6"/>
        <v>368</v>
      </c>
      <c r="W40" s="16"/>
      <c r="X40" s="16"/>
    </row>
    <row r="41" spans="1:24">
      <c r="A41" s="67"/>
      <c r="B41" s="67"/>
      <c r="C41" s="67"/>
      <c r="D41" s="320" t="s">
        <v>894</v>
      </c>
      <c r="E41" s="42"/>
      <c r="F41" s="67"/>
      <c r="G41" s="67"/>
      <c r="H41" s="140"/>
      <c r="I41" s="298">
        <v>1.5</v>
      </c>
      <c r="J41" s="155"/>
      <c r="K41" s="303">
        <f>'假设-目标渠道分解'!L1</f>
        <v>8.7999999999999995E-2</v>
      </c>
      <c r="L41" s="303">
        <f>'假设-目标渠道分解'!M1</f>
        <v>8.8400000000000006E-2</v>
      </c>
      <c r="M41" s="316">
        <f>'假设-目标渠道分解'!N1</f>
        <v>7.5999999999999998E-2</v>
      </c>
      <c r="N41" s="303">
        <f>'假设-目标渠道分解'!O1</f>
        <v>9.06E-2</v>
      </c>
      <c r="O41" s="303">
        <f>'假设-目标渠道分解'!P1</f>
        <v>7.2800000000000004E-2</v>
      </c>
      <c r="P41" s="316">
        <f>'假设-目标渠道分解'!Q1</f>
        <v>9.9500000000000005E-2</v>
      </c>
      <c r="Q41" s="303">
        <f>'假设-目标渠道分解'!R1</f>
        <v>4.8599999999999997E-2</v>
      </c>
      <c r="R41" s="303">
        <f>'假设-目标渠道分解'!S1</f>
        <v>6.5000000000000002E-2</v>
      </c>
      <c r="S41" s="316">
        <f>'假设-目标渠道分解'!T1</f>
        <v>8.2199999999999995E-2</v>
      </c>
      <c r="T41" s="303">
        <f>'假设-目标渠道分解'!U1</f>
        <v>8.8900000000000007E-2</v>
      </c>
      <c r="U41" s="303">
        <f>'假设-目标渠道分解'!V1</f>
        <v>0.108</v>
      </c>
      <c r="V41" s="303">
        <f>'假设-目标渠道分解'!W1</f>
        <v>9.1999999999999998E-2</v>
      </c>
      <c r="W41" s="16"/>
      <c r="X41" s="16"/>
    </row>
    <row r="42" spans="1:24">
      <c r="A42" s="67"/>
      <c r="B42" s="67"/>
      <c r="C42" s="67"/>
      <c r="D42" s="67" t="s">
        <v>257</v>
      </c>
      <c r="E42" s="42"/>
      <c r="F42" s="67"/>
      <c r="G42" s="67"/>
      <c r="H42" s="303">
        <f>I42/I40</f>
        <v>0.6000318</v>
      </c>
      <c r="I42" s="140">
        <f>SUM(K42:V42)</f>
        <v>2400.1271999999999</v>
      </c>
      <c r="J42" s="67"/>
      <c r="K42" s="304">
        <f>K30+K36</f>
        <v>365.02199999999999</v>
      </c>
      <c r="L42" s="304">
        <f>L30+L36</f>
        <v>348.42599999999999</v>
      </c>
      <c r="M42" s="312">
        <f>M30+M36</f>
        <v>495.42840000000001</v>
      </c>
      <c r="N42" s="304">
        <f>N30+N36</f>
        <v>550.81079999999997</v>
      </c>
      <c r="O42" s="304">
        <f>O30+O36</f>
        <v>640.44000000000005</v>
      </c>
      <c r="P42" s="310"/>
      <c r="Q42" s="140"/>
      <c r="R42" s="140"/>
      <c r="S42" s="310"/>
      <c r="T42" s="140"/>
      <c r="U42" s="140"/>
      <c r="V42" s="140"/>
      <c r="W42" s="16"/>
      <c r="X42" s="16"/>
    </row>
    <row r="43" spans="1:24">
      <c r="A43" s="67"/>
      <c r="B43" s="67"/>
      <c r="C43" s="67"/>
      <c r="D43" s="67"/>
      <c r="E43" s="42"/>
      <c r="F43" s="67"/>
      <c r="G43" s="67"/>
      <c r="H43" s="140"/>
      <c r="I43" s="298"/>
      <c r="J43" s="67"/>
      <c r="K43" s="140"/>
      <c r="L43" s="140"/>
      <c r="M43" s="314">
        <f>SUM(K44:M44)</f>
        <v>1208.8764000000001</v>
      </c>
      <c r="N43" s="140"/>
      <c r="O43" s="140"/>
      <c r="P43" s="314">
        <f>SUM(N44:P44)</f>
        <v>1630.6505665183158</v>
      </c>
      <c r="Q43" s="140"/>
      <c r="R43" s="140"/>
      <c r="S43" s="314">
        <f>SUM(Q44:S44)</f>
        <v>864.66808325915792</v>
      </c>
      <c r="T43" s="140"/>
      <c r="U43" s="140"/>
      <c r="V43" s="314">
        <f>SUM(T44:V44)</f>
        <v>1275.8049502225267</v>
      </c>
      <c r="W43" s="16"/>
      <c r="X43" s="16"/>
    </row>
    <row r="44" spans="1:24">
      <c r="A44" s="67"/>
      <c r="B44" s="67"/>
      <c r="C44" s="67"/>
      <c r="D44" s="307"/>
      <c r="E44" s="307" t="s">
        <v>893</v>
      </c>
      <c r="F44" s="307"/>
      <c r="G44" s="306"/>
      <c r="H44" s="306"/>
      <c r="I44" s="306">
        <f>SUM(K44:V44)</f>
        <v>4980.0000000000009</v>
      </c>
      <c r="J44" s="158"/>
      <c r="K44" s="306">
        <f t="shared" ref="K44:V44" si="7">K31+K37</f>
        <v>365.02199999999999</v>
      </c>
      <c r="L44" s="306">
        <f t="shared" si="7"/>
        <v>348.42599999999999</v>
      </c>
      <c r="M44" s="319">
        <f t="shared" si="7"/>
        <v>495.42840000000001</v>
      </c>
      <c r="N44" s="306">
        <f t="shared" si="7"/>
        <v>550.81079999999997</v>
      </c>
      <c r="O44" s="306">
        <f t="shared" si="7"/>
        <v>640.44000000000005</v>
      </c>
      <c r="P44" s="319">
        <f t="shared" si="7"/>
        <v>439.39976651831569</v>
      </c>
      <c r="Q44" s="306">
        <f t="shared" si="7"/>
        <v>214.6213934953783</v>
      </c>
      <c r="R44" s="306">
        <f t="shared" si="7"/>
        <v>287.04507360492988</v>
      </c>
      <c r="S44" s="319">
        <f t="shared" si="7"/>
        <v>363.00161615884974</v>
      </c>
      <c r="T44" s="306">
        <f t="shared" si="7"/>
        <v>392.58933913043489</v>
      </c>
      <c r="U44" s="306">
        <f t="shared" si="7"/>
        <v>476.93642998972962</v>
      </c>
      <c r="V44" s="306">
        <f t="shared" si="7"/>
        <v>406.27918110236226</v>
      </c>
      <c r="W44" s="16"/>
      <c r="X44" s="16"/>
    </row>
    <row r="45" spans="1:24">
      <c r="A45" s="16"/>
      <c r="B45" s="16"/>
      <c r="C45" s="16"/>
      <c r="D45" s="16"/>
      <c r="F45" s="16"/>
      <c r="G45" s="16"/>
      <c r="I45" s="16"/>
      <c r="J45" s="16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6"/>
      <c r="X45" s="16"/>
    </row>
    <row r="46" spans="1:24">
      <c r="A46" s="16"/>
      <c r="B46" s="16"/>
      <c r="C46" s="16"/>
      <c r="D46" s="16"/>
      <c r="F46" s="16"/>
      <c r="G46" s="16"/>
      <c r="I46" s="16"/>
      <c r="J46" s="16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6"/>
      <c r="X46" s="16"/>
    </row>
    <row r="47" spans="1:24">
      <c r="A47" s="16"/>
      <c r="B47" s="16"/>
      <c r="C47" s="16"/>
      <c r="D47" s="16"/>
      <c r="F47" s="16"/>
      <c r="G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</row>
    <row r="48" spans="1:24">
      <c r="A48" s="16"/>
      <c r="B48" s="16"/>
      <c r="C48" s="16"/>
      <c r="D48" s="16"/>
      <c r="F48" s="16"/>
      <c r="G48" s="16"/>
      <c r="I48" s="15"/>
      <c r="J48" s="16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6"/>
      <c r="X48" s="16"/>
    </row>
    <row r="49" spans="1:24">
      <c r="A49" s="16"/>
      <c r="B49" s="16"/>
      <c r="C49" s="16"/>
      <c r="D49" s="16"/>
      <c r="F49" s="16"/>
      <c r="G49" s="16"/>
      <c r="I49" s="15"/>
      <c r="J49" s="16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6"/>
      <c r="X49" s="16"/>
    </row>
    <row r="50" spans="1:24">
      <c r="A50" s="16"/>
      <c r="B50" s="16"/>
      <c r="C50" s="16"/>
      <c r="D50" s="16"/>
      <c r="F50" s="16"/>
      <c r="G50" s="16"/>
      <c r="I50" s="15"/>
      <c r="J50" s="16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6"/>
      <c r="X50" s="16"/>
    </row>
    <row r="51" spans="1:24">
      <c r="A51" s="16"/>
      <c r="B51" s="16"/>
      <c r="C51" s="16"/>
      <c r="D51" s="16"/>
      <c r="F51" s="16"/>
      <c r="G51" s="16"/>
      <c r="I51" s="15"/>
      <c r="J51" s="16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6"/>
      <c r="X51" s="16"/>
    </row>
    <row r="52" spans="1:24">
      <c r="A52" s="16"/>
      <c r="B52" s="16"/>
      <c r="C52" s="16"/>
      <c r="D52" s="16"/>
      <c r="F52" s="16"/>
      <c r="G52" s="16"/>
      <c r="I52" s="15"/>
      <c r="J52" s="16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6"/>
      <c r="X52" s="16"/>
    </row>
    <row r="53" spans="1:24">
      <c r="A53" s="16"/>
      <c r="B53" s="16"/>
      <c r="C53" s="16"/>
      <c r="D53" s="16"/>
      <c r="F53" s="16"/>
      <c r="G53" s="16"/>
      <c r="I53" s="15"/>
      <c r="J53" s="16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6"/>
      <c r="X53" s="16"/>
    </row>
    <row r="54" spans="1:24">
      <c r="A54" s="16"/>
      <c r="B54" s="16"/>
      <c r="C54" s="16"/>
      <c r="D54" s="16"/>
      <c r="F54" s="16"/>
      <c r="G54" s="16"/>
      <c r="I54" s="15"/>
      <c r="J54" s="16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6"/>
      <c r="X54" s="16"/>
    </row>
    <row r="55" spans="1:24">
      <c r="A55" s="16"/>
      <c r="B55" s="16"/>
      <c r="C55" s="16"/>
      <c r="D55" s="16"/>
      <c r="F55" s="16"/>
      <c r="G55" s="16"/>
      <c r="I55" s="15"/>
      <c r="J55" s="16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6"/>
      <c r="X55" s="16"/>
    </row>
    <row r="56" spans="1:24">
      <c r="A56" s="16"/>
      <c r="B56" s="16"/>
      <c r="C56" s="16"/>
      <c r="D56" s="16"/>
      <c r="F56" s="16"/>
      <c r="G56" s="16"/>
      <c r="I56" s="15"/>
      <c r="J56" s="16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6"/>
      <c r="X56" s="16"/>
    </row>
    <row r="57" spans="1:24">
      <c r="A57" s="16"/>
      <c r="B57" s="16"/>
      <c r="C57" s="16"/>
      <c r="D57" s="16"/>
      <c r="F57" s="16"/>
      <c r="G57" s="16"/>
      <c r="I57" s="16"/>
      <c r="J57" s="16"/>
      <c r="K57" s="16"/>
      <c r="L57" s="15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</row>
    <row r="58" spans="1:24">
      <c r="A58" s="16"/>
      <c r="B58" s="16"/>
      <c r="C58" s="16"/>
      <c r="D58" s="16"/>
      <c r="F58" s="16"/>
      <c r="G58" s="16"/>
      <c r="I58" s="16"/>
      <c r="J58" s="16"/>
      <c r="K58" s="16"/>
      <c r="L58" s="15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</row>
    <row r="59" spans="1:24">
      <c r="A59" s="16"/>
      <c r="B59" s="16"/>
      <c r="C59" s="16"/>
      <c r="D59" s="16"/>
      <c r="F59" s="16"/>
      <c r="G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</row>
    <row r="60" spans="1:24">
      <c r="A60" s="16"/>
      <c r="B60" s="16"/>
      <c r="C60" s="16"/>
      <c r="D60" s="16"/>
      <c r="F60" s="16"/>
      <c r="G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</row>
    <row r="61" spans="1:24">
      <c r="A61" s="16"/>
      <c r="B61" s="16"/>
      <c r="C61" s="16"/>
      <c r="D61" s="16"/>
      <c r="F61" s="16"/>
      <c r="G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</row>
    <row r="62" spans="1:24">
      <c r="A62" s="16"/>
      <c r="B62" s="16"/>
      <c r="C62" s="16"/>
      <c r="D62" s="16"/>
      <c r="F62" s="16"/>
      <c r="G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  <row r="63" spans="1:24">
      <c r="A63" s="16"/>
      <c r="B63" s="16"/>
      <c r="C63" s="16"/>
      <c r="D63" s="16"/>
      <c r="F63" s="16"/>
      <c r="G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</row>
    <row r="64" spans="1:24">
      <c r="A64" s="16"/>
      <c r="B64" s="16"/>
      <c r="C64" s="16"/>
      <c r="D64" s="16"/>
      <c r="F64" s="16"/>
      <c r="G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</row>
    <row r="65" spans="1:24">
      <c r="A65" s="16"/>
      <c r="B65" s="16"/>
      <c r="C65" s="16"/>
      <c r="D65" s="16"/>
      <c r="F65" s="16"/>
      <c r="G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</row>
    <row r="66" spans="1:24">
      <c r="A66" s="16"/>
      <c r="B66" s="16"/>
      <c r="C66" s="16"/>
      <c r="D66" s="16"/>
      <c r="F66" s="16"/>
      <c r="G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</row>
    <row r="67" spans="1:24">
      <c r="A67" s="16"/>
      <c r="B67" s="16"/>
      <c r="C67" s="16"/>
      <c r="D67" s="16"/>
      <c r="F67" s="16"/>
      <c r="G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</row>
    <row r="68" spans="1:24">
      <c r="A68" s="16"/>
      <c r="B68" s="16"/>
      <c r="C68" s="16"/>
      <c r="D68" s="16"/>
      <c r="F68" s="16"/>
      <c r="G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</row>
    <row r="69" spans="1:24">
      <c r="A69" s="16"/>
      <c r="B69" s="16"/>
      <c r="C69" s="16"/>
      <c r="D69" s="16"/>
      <c r="F69" s="16"/>
      <c r="G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</row>
    <row r="70" spans="1:24">
      <c r="A70" s="16"/>
      <c r="B70" s="16"/>
      <c r="C70" s="16"/>
      <c r="D70" s="16"/>
      <c r="F70" s="16"/>
      <c r="G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</row>
    <row r="71" spans="1:24">
      <c r="A71" s="16"/>
      <c r="B71" s="16"/>
      <c r="C71" s="16"/>
      <c r="D71" s="16"/>
      <c r="F71" s="16"/>
      <c r="G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</row>
    <row r="72" spans="1:24">
      <c r="A72" s="16"/>
      <c r="B72" s="16"/>
      <c r="C72" s="16"/>
      <c r="D72" s="16"/>
      <c r="F72" s="16"/>
      <c r="G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</row>
    <row r="73" spans="1:24">
      <c r="A73" s="16"/>
      <c r="B73" s="16"/>
      <c r="C73" s="16"/>
      <c r="D73" s="16"/>
      <c r="F73" s="16"/>
      <c r="G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</row>
    <row r="74" spans="1:24">
      <c r="A74" s="16"/>
      <c r="B74" s="16"/>
      <c r="C74" s="16"/>
      <c r="D74" s="16"/>
      <c r="F74" s="16"/>
      <c r="G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</row>
    <row r="75" spans="1:24">
      <c r="A75" s="16"/>
      <c r="B75" s="16"/>
      <c r="C75" s="16"/>
      <c r="D75" s="16"/>
      <c r="F75" s="16"/>
      <c r="G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</row>
    <row r="76" spans="1:24">
      <c r="A76" s="16"/>
      <c r="B76" s="16"/>
      <c r="C76" s="16"/>
      <c r="D76" s="16"/>
      <c r="F76" s="16"/>
      <c r="G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</row>
    <row r="77" spans="1:24">
      <c r="A77" s="16"/>
      <c r="B77" s="16"/>
      <c r="C77" s="16"/>
      <c r="D77" s="16"/>
      <c r="F77" s="16"/>
      <c r="G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</row>
    <row r="78" spans="1:24">
      <c r="A78" s="16"/>
      <c r="B78" s="16"/>
      <c r="C78" s="16"/>
      <c r="D78" s="16"/>
      <c r="F78" s="16"/>
      <c r="G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</row>
    <row r="79" spans="1:24">
      <c r="A79" s="16"/>
      <c r="B79" s="16"/>
      <c r="C79" s="16"/>
      <c r="D79" s="16"/>
      <c r="F79" s="16"/>
      <c r="G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</row>
    <row r="80" spans="1:24">
      <c r="A80" s="16"/>
      <c r="B80" s="16"/>
      <c r="C80" s="16"/>
      <c r="D80" s="16"/>
      <c r="F80" s="16"/>
      <c r="G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</row>
    <row r="81" spans="1:24">
      <c r="A81" s="16"/>
      <c r="B81" s="16"/>
      <c r="C81" s="16"/>
      <c r="D81" s="16"/>
      <c r="F81" s="16"/>
      <c r="G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</row>
    <row r="82" spans="1:24">
      <c r="A82" s="16"/>
      <c r="B82" s="16"/>
      <c r="C82" s="16"/>
      <c r="D82" s="16"/>
      <c r="F82" s="16"/>
      <c r="G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</row>
    <row r="83" spans="1:24">
      <c r="A83" s="16"/>
      <c r="B83" s="16"/>
      <c r="C83" s="16"/>
      <c r="D83" s="16"/>
      <c r="F83" s="16"/>
      <c r="G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</row>
    <row r="84" spans="1:24">
      <c r="A84" s="16"/>
      <c r="B84" s="16"/>
      <c r="C84" s="16"/>
      <c r="D84" s="16"/>
      <c r="F84" s="16"/>
      <c r="G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</row>
    <row r="85" spans="1:24">
      <c r="A85" s="16"/>
      <c r="B85" s="16"/>
      <c r="C85" s="16"/>
      <c r="D85" s="16"/>
      <c r="F85" s="16"/>
      <c r="G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</row>
    <row r="86" spans="1:24">
      <c r="A86" s="16"/>
      <c r="B86" s="16"/>
      <c r="C86" s="16"/>
      <c r="D86" s="16"/>
      <c r="F86" s="16"/>
      <c r="G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</row>
    <row r="87" spans="1:24">
      <c r="A87" s="16"/>
      <c r="B87" s="16"/>
      <c r="C87" s="16"/>
      <c r="D87" s="16"/>
      <c r="F87" s="16"/>
      <c r="G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</row>
    <row r="88" spans="1:24">
      <c r="A88" s="16"/>
      <c r="B88" s="16"/>
      <c r="C88" s="16"/>
      <c r="D88" s="16"/>
      <c r="F88" s="16"/>
      <c r="G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</row>
    <row r="89" spans="1:24">
      <c r="A89" s="16"/>
      <c r="B89" s="16"/>
      <c r="C89" s="16"/>
      <c r="D89" s="16"/>
      <c r="F89" s="16"/>
      <c r="G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</row>
    <row r="90" spans="1:24">
      <c r="A90" s="16"/>
      <c r="B90" s="16"/>
      <c r="C90" s="16"/>
      <c r="D90" s="16"/>
      <c r="F90" s="16"/>
      <c r="G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</row>
    <row r="91" spans="1:24">
      <c r="A91" s="16"/>
      <c r="B91" s="16"/>
      <c r="C91" s="16"/>
      <c r="D91" s="16"/>
      <c r="F91" s="16"/>
      <c r="G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</row>
    <row r="92" spans="1:24">
      <c r="A92" s="16"/>
      <c r="B92" s="16"/>
      <c r="C92" s="16"/>
      <c r="D92" s="16"/>
      <c r="F92" s="16"/>
      <c r="G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</row>
    <row r="93" spans="1:24">
      <c r="A93" s="16"/>
      <c r="B93" s="16"/>
      <c r="C93" s="16"/>
      <c r="D93" s="16"/>
      <c r="F93" s="16"/>
      <c r="G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</row>
    <row r="94" spans="1:24">
      <c r="A94" s="16"/>
      <c r="B94" s="16"/>
      <c r="C94" s="16"/>
      <c r="D94" s="16"/>
      <c r="F94" s="16"/>
      <c r="G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</row>
    <row r="95" spans="1:24">
      <c r="A95" s="16"/>
      <c r="B95" s="16"/>
      <c r="C95" s="16"/>
      <c r="D95" s="16"/>
      <c r="F95" s="16"/>
      <c r="G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</row>
    <row r="96" spans="1:24">
      <c r="A96" s="16"/>
      <c r="B96" s="16"/>
      <c r="C96" s="16"/>
      <c r="D96" s="16"/>
      <c r="F96" s="16"/>
      <c r="G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</row>
    <row r="97" spans="1:24">
      <c r="A97" s="16"/>
      <c r="B97" s="16"/>
      <c r="C97" s="16"/>
      <c r="D97" s="16"/>
      <c r="F97" s="16"/>
      <c r="G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</row>
    <row r="98" spans="1:24">
      <c r="A98" s="16"/>
      <c r="B98" s="16"/>
      <c r="C98" s="16"/>
      <c r="D98" s="16"/>
      <c r="F98" s="16"/>
      <c r="G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</row>
    <row r="99" spans="1:24">
      <c r="A99" s="16"/>
      <c r="B99" s="16"/>
      <c r="C99" s="16"/>
      <c r="D99" s="16"/>
      <c r="F99" s="16"/>
      <c r="G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</row>
    <row r="100" spans="1:24">
      <c r="A100" s="16"/>
      <c r="B100" s="16"/>
      <c r="C100" s="16"/>
      <c r="D100" s="16"/>
      <c r="F100" s="16"/>
      <c r="G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</row>
    <row r="101" spans="1:24">
      <c r="A101" s="16"/>
      <c r="B101" s="16"/>
      <c r="C101" s="16"/>
      <c r="D101" s="16"/>
      <c r="F101" s="16"/>
      <c r="G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</row>
    <row r="102" spans="1:24">
      <c r="A102" s="16"/>
      <c r="B102" s="16"/>
      <c r="C102" s="16"/>
      <c r="D102" s="16"/>
      <c r="F102" s="16"/>
      <c r="G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</row>
    <row r="103" spans="1:24">
      <c r="A103" s="16"/>
      <c r="B103" s="16"/>
      <c r="C103" s="16"/>
      <c r="D103" s="16"/>
      <c r="F103" s="16"/>
      <c r="G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</row>
    <row r="104" spans="1:24">
      <c r="A104" s="16"/>
      <c r="B104" s="16"/>
      <c r="C104" s="16"/>
      <c r="D104" s="16"/>
      <c r="F104" s="16"/>
      <c r="G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</row>
    <row r="105" spans="1:24">
      <c r="A105" s="16"/>
      <c r="B105" s="16"/>
      <c r="C105" s="16"/>
      <c r="D105" s="16"/>
      <c r="F105" s="16"/>
      <c r="G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</row>
    <row r="106" spans="1:24">
      <c r="A106" s="16"/>
      <c r="B106" s="16"/>
      <c r="C106" s="16"/>
      <c r="D106" s="16"/>
      <c r="F106" s="16"/>
      <c r="G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</row>
    <row r="107" spans="1:24">
      <c r="A107" s="16"/>
      <c r="B107" s="16"/>
      <c r="C107" s="16"/>
      <c r="D107" s="16"/>
      <c r="F107" s="16"/>
      <c r="G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</row>
    <row r="108" spans="1:24">
      <c r="A108" s="16"/>
      <c r="B108" s="16"/>
      <c r="C108" s="16"/>
      <c r="D108" s="16"/>
      <c r="F108" s="16"/>
      <c r="G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</row>
    <row r="109" spans="1:24">
      <c r="A109" s="16"/>
      <c r="B109" s="16"/>
      <c r="C109" s="16"/>
      <c r="D109" s="16"/>
      <c r="F109" s="16"/>
      <c r="G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</row>
    <row r="110" spans="1:24">
      <c r="A110" s="16"/>
      <c r="B110" s="16"/>
      <c r="C110" s="16"/>
      <c r="D110" s="16"/>
      <c r="F110" s="16"/>
      <c r="G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</row>
    <row r="111" spans="1:24">
      <c r="A111" s="16"/>
      <c r="B111" s="16"/>
      <c r="C111" s="16"/>
      <c r="D111" s="16"/>
      <c r="F111" s="16"/>
      <c r="G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</row>
    <row r="112" spans="1:24">
      <c r="A112" s="16"/>
      <c r="B112" s="16"/>
      <c r="C112" s="16"/>
      <c r="D112" s="16"/>
      <c r="F112" s="16"/>
      <c r="G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</row>
    <row r="113" spans="1:24">
      <c r="A113" s="16"/>
      <c r="B113" s="16"/>
      <c r="C113" s="16"/>
      <c r="D113" s="16"/>
      <c r="F113" s="16"/>
      <c r="G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</row>
    <row r="114" spans="1:24">
      <c r="A114" s="16"/>
      <c r="B114" s="16"/>
      <c r="C114" s="16"/>
      <c r="D114" s="16"/>
      <c r="F114" s="16"/>
      <c r="G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</row>
    <row r="115" spans="1:24">
      <c r="A115" s="16"/>
      <c r="B115" s="16"/>
      <c r="C115" s="16"/>
      <c r="D115" s="16"/>
      <c r="F115" s="16"/>
      <c r="G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</row>
    <row r="116" spans="1:24">
      <c r="A116" s="16"/>
      <c r="B116" s="16"/>
      <c r="C116" s="16"/>
      <c r="D116" s="16"/>
      <c r="F116" s="16"/>
      <c r="G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</row>
    <row r="117" spans="1:24">
      <c r="A117" s="16"/>
      <c r="B117" s="16"/>
      <c r="C117" s="16"/>
      <c r="D117" s="16"/>
      <c r="F117" s="16"/>
      <c r="G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</row>
    <row r="118" spans="1:24">
      <c r="A118" s="16"/>
      <c r="B118" s="16"/>
      <c r="C118" s="16"/>
      <c r="D118" s="16"/>
      <c r="F118" s="16"/>
      <c r="G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</row>
    <row r="119" spans="1:24">
      <c r="A119" s="16"/>
      <c r="B119" s="16"/>
      <c r="C119" s="16"/>
      <c r="D119" s="16"/>
      <c r="F119" s="16"/>
      <c r="G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</row>
    <row r="120" spans="1:24">
      <c r="A120" s="16"/>
      <c r="B120" s="16"/>
      <c r="C120" s="16"/>
      <c r="D120" s="16"/>
      <c r="F120" s="16"/>
      <c r="G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</row>
    <row r="121" spans="1:24">
      <c r="A121" s="16"/>
      <c r="B121" s="16"/>
      <c r="C121" s="16"/>
      <c r="D121" s="16"/>
      <c r="F121" s="16"/>
      <c r="G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</row>
    <row r="122" spans="1:24">
      <c r="A122" s="16"/>
      <c r="B122" s="16"/>
      <c r="C122" s="16"/>
      <c r="D122" s="16"/>
      <c r="F122" s="16"/>
      <c r="G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</row>
    <row r="123" spans="1:24">
      <c r="A123" s="16"/>
      <c r="B123" s="16"/>
      <c r="C123" s="16"/>
      <c r="D123" s="16"/>
      <c r="F123" s="16"/>
      <c r="G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</row>
    <row r="124" spans="1:24">
      <c r="A124" s="16"/>
      <c r="B124" s="16"/>
      <c r="C124" s="16"/>
      <c r="D124" s="16"/>
      <c r="F124" s="16"/>
      <c r="G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</row>
    <row r="125" spans="1:24">
      <c r="A125" s="16"/>
      <c r="B125" s="16"/>
      <c r="C125" s="16"/>
      <c r="D125" s="16"/>
      <c r="F125" s="16"/>
      <c r="G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</row>
    <row r="126" spans="1:24">
      <c r="A126" s="16"/>
      <c r="B126" s="16"/>
      <c r="C126" s="16"/>
      <c r="D126" s="16"/>
      <c r="F126" s="16"/>
      <c r="G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</row>
    <row r="127" spans="1:24">
      <c r="A127" s="16"/>
      <c r="B127" s="16"/>
      <c r="C127" s="16"/>
      <c r="D127" s="16"/>
      <c r="F127" s="16"/>
      <c r="G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</row>
    <row r="128" spans="1:24">
      <c r="A128" s="16"/>
      <c r="B128" s="16"/>
      <c r="C128" s="16"/>
      <c r="D128" s="16"/>
      <c r="F128" s="16"/>
      <c r="G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</row>
    <row r="129" spans="1:24">
      <c r="A129" s="16"/>
      <c r="B129" s="16"/>
      <c r="C129" s="16"/>
      <c r="D129" s="16"/>
      <c r="F129" s="16"/>
      <c r="G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</row>
    <row r="130" spans="1:24">
      <c r="A130" s="16"/>
      <c r="B130" s="16"/>
      <c r="C130" s="16"/>
      <c r="D130" s="16"/>
      <c r="F130" s="16"/>
      <c r="G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</row>
    <row r="131" spans="1:24">
      <c r="A131" s="16"/>
      <c r="B131" s="16"/>
      <c r="C131" s="16"/>
      <c r="D131" s="16"/>
      <c r="F131" s="16"/>
      <c r="G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</row>
    <row r="132" spans="1:24">
      <c r="A132" s="16"/>
      <c r="B132" s="16"/>
      <c r="C132" s="16"/>
      <c r="D132" s="16"/>
      <c r="F132" s="16"/>
      <c r="G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</row>
    <row r="133" spans="1:24">
      <c r="A133" s="16"/>
      <c r="B133" s="16"/>
      <c r="C133" s="16"/>
      <c r="D133" s="16"/>
      <c r="F133" s="16"/>
      <c r="G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</row>
    <row r="134" spans="1:24">
      <c r="A134" s="16"/>
      <c r="B134" s="16"/>
      <c r="C134" s="16"/>
      <c r="D134" s="16"/>
      <c r="F134" s="16"/>
      <c r="G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</row>
    <row r="135" spans="1:24">
      <c r="A135" s="16"/>
      <c r="B135" s="16"/>
      <c r="C135" s="16"/>
      <c r="D135" s="16"/>
      <c r="F135" s="16"/>
      <c r="G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</row>
    <row r="136" spans="1:24">
      <c r="A136" s="16"/>
      <c r="B136" s="16"/>
      <c r="C136" s="16"/>
      <c r="D136" s="16"/>
      <c r="F136" s="16"/>
      <c r="G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</row>
    <row r="137" spans="1:24">
      <c r="A137" s="16"/>
      <c r="B137" s="16"/>
      <c r="C137" s="16"/>
      <c r="D137" s="16"/>
      <c r="F137" s="16"/>
      <c r="G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</row>
    <row r="138" spans="1:24">
      <c r="A138" s="16"/>
      <c r="B138" s="16"/>
      <c r="C138" s="16"/>
      <c r="D138" s="16"/>
      <c r="F138" s="16"/>
      <c r="G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</row>
    <row r="139" spans="1:24">
      <c r="A139" s="16"/>
      <c r="B139" s="16"/>
      <c r="C139" s="16"/>
      <c r="D139" s="16"/>
      <c r="F139" s="16"/>
      <c r="G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</row>
    <row r="140" spans="1:24">
      <c r="A140" s="16"/>
      <c r="B140" s="16"/>
      <c r="C140" s="16"/>
      <c r="D140" s="16"/>
      <c r="F140" s="16"/>
      <c r="G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</row>
    <row r="141" spans="1:24">
      <c r="A141" s="16"/>
      <c r="B141" s="16"/>
      <c r="C141" s="16"/>
      <c r="D141" s="16"/>
      <c r="F141" s="16"/>
      <c r="G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</row>
    <row r="142" spans="1:24">
      <c r="A142" s="16"/>
      <c r="B142" s="16"/>
      <c r="C142" s="16"/>
      <c r="D142" s="16"/>
      <c r="F142" s="16"/>
      <c r="G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</row>
    <row r="143" spans="1:24">
      <c r="A143" s="16"/>
      <c r="B143" s="16"/>
      <c r="C143" s="16"/>
      <c r="D143" s="16"/>
      <c r="F143" s="16"/>
      <c r="G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</row>
    <row r="144" spans="1:24">
      <c r="A144" s="16"/>
      <c r="B144" s="16"/>
      <c r="C144" s="16"/>
      <c r="D144" s="16"/>
      <c r="F144" s="16"/>
      <c r="G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</row>
    <row r="145" spans="1:24">
      <c r="A145" s="16"/>
      <c r="B145" s="16"/>
      <c r="C145" s="16"/>
      <c r="D145" s="16"/>
      <c r="F145" s="16"/>
      <c r="G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</row>
    <row r="146" spans="1:24">
      <c r="A146" s="16"/>
      <c r="B146" s="16"/>
      <c r="C146" s="16"/>
      <c r="D146" s="16"/>
      <c r="F146" s="16"/>
      <c r="G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</row>
    <row r="147" spans="1:24">
      <c r="A147" s="16"/>
      <c r="B147" s="16"/>
      <c r="C147" s="16"/>
      <c r="D147" s="16"/>
      <c r="F147" s="16"/>
      <c r="G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</row>
    <row r="148" spans="1:24">
      <c r="A148" s="16"/>
      <c r="B148" s="16"/>
      <c r="C148" s="16"/>
      <c r="D148" s="16"/>
      <c r="F148" s="16"/>
      <c r="G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</row>
    <row r="149" spans="1:24">
      <c r="A149" s="16"/>
      <c r="B149" s="16"/>
      <c r="C149" s="16"/>
      <c r="D149" s="16"/>
      <c r="F149" s="16"/>
      <c r="G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</row>
    <row r="150" spans="1:24">
      <c r="A150" s="16"/>
      <c r="B150" s="16"/>
      <c r="C150" s="16"/>
      <c r="D150" s="16"/>
      <c r="F150" s="16"/>
      <c r="G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</row>
    <row r="151" spans="1:24">
      <c r="A151" s="16"/>
      <c r="B151" s="16"/>
      <c r="C151" s="16"/>
      <c r="D151" s="16"/>
      <c r="F151" s="16"/>
      <c r="G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</row>
    <row r="152" spans="1:24">
      <c r="A152" s="16"/>
      <c r="B152" s="16"/>
      <c r="C152" s="16"/>
      <c r="D152" s="16"/>
      <c r="F152" s="16"/>
      <c r="G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</row>
    <row r="153" spans="1:24">
      <c r="A153" s="16"/>
      <c r="B153" s="16"/>
      <c r="C153" s="16"/>
      <c r="D153" s="16"/>
      <c r="F153" s="16"/>
      <c r="G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</row>
    <row r="154" spans="1:24">
      <c r="A154" s="16"/>
      <c r="B154" s="16"/>
      <c r="C154" s="16"/>
      <c r="D154" s="16"/>
      <c r="F154" s="16"/>
      <c r="G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</row>
    <row r="155" spans="1:24">
      <c r="A155" s="16"/>
      <c r="B155" s="16"/>
      <c r="C155" s="16"/>
      <c r="D155" s="16"/>
      <c r="F155" s="16"/>
      <c r="G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</row>
    <row r="156" spans="1:24">
      <c r="A156" s="16"/>
      <c r="B156" s="16"/>
      <c r="C156" s="16"/>
      <c r="D156" s="16"/>
      <c r="F156" s="16"/>
      <c r="G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</row>
    <row r="157" spans="1:24">
      <c r="A157" s="16"/>
      <c r="B157" s="16"/>
      <c r="C157" s="16"/>
      <c r="D157" s="16"/>
      <c r="F157" s="16"/>
      <c r="G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</row>
    <row r="158" spans="1:24">
      <c r="A158" s="16"/>
      <c r="B158" s="16"/>
      <c r="C158" s="16"/>
      <c r="D158" s="16"/>
      <c r="F158" s="16"/>
      <c r="G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</row>
    <row r="159" spans="1:24">
      <c r="A159" s="16"/>
      <c r="B159" s="16"/>
      <c r="C159" s="16"/>
      <c r="D159" s="16"/>
      <c r="F159" s="16"/>
      <c r="G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</row>
    <row r="160" spans="1:24">
      <c r="A160" s="16"/>
      <c r="B160" s="16"/>
      <c r="C160" s="16"/>
      <c r="D160" s="16"/>
      <c r="F160" s="16"/>
      <c r="G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</row>
    <row r="161" spans="1:24">
      <c r="A161" s="16"/>
      <c r="B161" s="16"/>
      <c r="C161" s="16"/>
      <c r="D161" s="16"/>
      <c r="F161" s="16"/>
      <c r="G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</row>
    <row r="162" spans="1:24">
      <c r="A162" s="16"/>
      <c r="B162" s="16"/>
      <c r="C162" s="16"/>
      <c r="D162" s="16"/>
      <c r="F162" s="16"/>
      <c r="G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</row>
    <row r="163" spans="1:24">
      <c r="A163" s="16"/>
      <c r="B163" s="16"/>
      <c r="C163" s="16"/>
      <c r="D163" s="16"/>
      <c r="F163" s="16"/>
      <c r="G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</row>
    <row r="164" spans="1:24">
      <c r="A164" s="16"/>
      <c r="B164" s="16"/>
      <c r="C164" s="16"/>
      <c r="D164" s="16"/>
      <c r="F164" s="16"/>
      <c r="G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</row>
    <row r="165" spans="1:24">
      <c r="A165" s="16"/>
      <c r="B165" s="16"/>
      <c r="C165" s="16"/>
      <c r="D165" s="16"/>
      <c r="F165" s="16"/>
      <c r="G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</row>
    <row r="166" spans="1:24">
      <c r="A166" s="16"/>
      <c r="B166" s="16"/>
      <c r="C166" s="16"/>
      <c r="D166" s="16"/>
      <c r="F166" s="16"/>
      <c r="G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</row>
    <row r="167" spans="1:24">
      <c r="A167" s="16"/>
      <c r="B167" s="16"/>
      <c r="C167" s="16"/>
      <c r="D167" s="16"/>
      <c r="F167" s="16"/>
      <c r="G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</row>
    <row r="168" spans="1:24">
      <c r="A168" s="16"/>
      <c r="B168" s="16"/>
      <c r="C168" s="16"/>
      <c r="D168" s="16"/>
      <c r="F168" s="16"/>
      <c r="G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</row>
    <row r="169" spans="1:24">
      <c r="A169" s="16"/>
      <c r="B169" s="16"/>
      <c r="C169" s="16"/>
      <c r="D169" s="16"/>
      <c r="F169" s="16"/>
      <c r="G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</row>
    <row r="170" spans="1:24">
      <c r="A170" s="16"/>
      <c r="B170" s="16"/>
      <c r="C170" s="16"/>
      <c r="D170" s="16"/>
      <c r="F170" s="16"/>
      <c r="G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</row>
    <row r="171" spans="1:24">
      <c r="A171" s="16"/>
      <c r="B171" s="16"/>
      <c r="C171" s="16"/>
      <c r="D171" s="16"/>
      <c r="F171" s="16"/>
      <c r="G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</row>
    <row r="172" spans="1:24">
      <c r="A172" s="16"/>
      <c r="B172" s="16"/>
      <c r="C172" s="16"/>
      <c r="D172" s="16"/>
      <c r="F172" s="16"/>
      <c r="G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</row>
    <row r="173" spans="1:24">
      <c r="A173" s="16"/>
      <c r="B173" s="16"/>
      <c r="C173" s="16"/>
      <c r="D173" s="16"/>
      <c r="F173" s="16"/>
      <c r="G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</row>
    <row r="174" spans="1:24">
      <c r="A174" s="16"/>
      <c r="B174" s="16"/>
      <c r="C174" s="16"/>
      <c r="D174" s="16"/>
      <c r="F174" s="16"/>
      <c r="G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</row>
    <row r="175" spans="1:24">
      <c r="A175" s="16"/>
      <c r="B175" s="16"/>
      <c r="C175" s="16"/>
      <c r="D175" s="16"/>
      <c r="F175" s="16"/>
      <c r="G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</row>
    <row r="176" spans="1:24">
      <c r="A176" s="16"/>
      <c r="B176" s="16"/>
      <c r="C176" s="16"/>
      <c r="D176" s="16"/>
      <c r="F176" s="16"/>
      <c r="G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</row>
    <row r="177" spans="1:24">
      <c r="A177" s="16"/>
      <c r="B177" s="16"/>
      <c r="C177" s="16"/>
      <c r="D177" s="16"/>
      <c r="F177" s="16"/>
      <c r="G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</row>
    <row r="178" spans="1:24">
      <c r="A178" s="16"/>
      <c r="B178" s="16"/>
      <c r="C178" s="16"/>
      <c r="D178" s="16"/>
      <c r="F178" s="16"/>
      <c r="G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</row>
    <row r="179" spans="1:24">
      <c r="A179" s="16"/>
      <c r="B179" s="16"/>
      <c r="C179" s="16"/>
      <c r="D179" s="16"/>
      <c r="F179" s="16"/>
      <c r="G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</row>
    <row r="180" spans="1:24">
      <c r="A180" s="16"/>
      <c r="B180" s="16"/>
      <c r="C180" s="16"/>
      <c r="D180" s="16"/>
      <c r="F180" s="16"/>
      <c r="G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</row>
    <row r="181" spans="1:24">
      <c r="A181" s="16"/>
      <c r="B181" s="16"/>
      <c r="C181" s="16"/>
      <c r="D181" s="16"/>
      <c r="F181" s="16"/>
      <c r="G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</row>
    <row r="182" spans="1:24">
      <c r="A182" s="16"/>
      <c r="B182" s="16"/>
      <c r="C182" s="16"/>
      <c r="D182" s="16"/>
      <c r="F182" s="16"/>
      <c r="G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</row>
    <row r="183" spans="1:24">
      <c r="A183" s="16"/>
      <c r="B183" s="16"/>
      <c r="C183" s="16"/>
      <c r="D183" s="16"/>
      <c r="F183" s="16"/>
      <c r="G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</row>
    <row r="184" spans="1:24">
      <c r="A184" s="16"/>
      <c r="B184" s="16"/>
      <c r="C184" s="16"/>
      <c r="D184" s="16"/>
      <c r="F184" s="16"/>
      <c r="G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</row>
    <row r="185" spans="1:24">
      <c r="A185" s="16"/>
      <c r="B185" s="16"/>
      <c r="C185" s="16"/>
      <c r="D185" s="16"/>
      <c r="F185" s="16"/>
      <c r="G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</row>
    <row r="186" spans="1:24">
      <c r="A186" s="16"/>
      <c r="B186" s="16"/>
      <c r="C186" s="16"/>
      <c r="D186" s="16"/>
      <c r="F186" s="16"/>
      <c r="G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</row>
    <row r="187" spans="1:24">
      <c r="A187" s="16"/>
      <c r="B187" s="16"/>
      <c r="C187" s="16"/>
      <c r="D187" s="16"/>
      <c r="F187" s="16"/>
      <c r="G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</row>
    <row r="188" spans="1:24">
      <c r="A188" s="16"/>
      <c r="B188" s="16"/>
      <c r="C188" s="16"/>
      <c r="D188" s="16"/>
      <c r="F188" s="16"/>
      <c r="G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</row>
    <row r="189" spans="1:24">
      <c r="A189" s="16"/>
      <c r="B189" s="16"/>
      <c r="C189" s="16"/>
      <c r="D189" s="16"/>
      <c r="F189" s="16"/>
      <c r="G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</row>
    <row r="190" spans="1:24">
      <c r="A190" s="16"/>
      <c r="B190" s="16"/>
      <c r="C190" s="16"/>
      <c r="D190" s="16"/>
      <c r="F190" s="16"/>
      <c r="G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</row>
    <row r="191" spans="1:24">
      <c r="A191" s="16"/>
      <c r="B191" s="16"/>
      <c r="C191" s="16"/>
      <c r="D191" s="16"/>
      <c r="F191" s="16"/>
      <c r="G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</row>
    <row r="192" spans="1:24">
      <c r="A192" s="16"/>
      <c r="B192" s="16"/>
      <c r="C192" s="16"/>
      <c r="D192" s="16"/>
      <c r="F192" s="16"/>
      <c r="G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</row>
    <row r="193" spans="1:24">
      <c r="A193" s="16"/>
      <c r="B193" s="16"/>
      <c r="C193" s="16"/>
      <c r="D193" s="16"/>
      <c r="F193" s="16"/>
      <c r="G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</row>
    <row r="194" spans="1:24">
      <c r="A194" s="16"/>
      <c r="B194" s="16"/>
      <c r="C194" s="16"/>
      <c r="D194" s="16"/>
      <c r="F194" s="16"/>
      <c r="G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</row>
    <row r="195" spans="1:24">
      <c r="A195" s="16"/>
      <c r="B195" s="16"/>
      <c r="C195" s="16"/>
      <c r="D195" s="16"/>
      <c r="F195" s="16"/>
      <c r="G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</row>
    <row r="196" spans="1:24">
      <c r="A196" s="16"/>
      <c r="B196" s="16"/>
      <c r="C196" s="16"/>
      <c r="D196" s="16"/>
      <c r="F196" s="16"/>
      <c r="G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</row>
    <row r="197" spans="1:24">
      <c r="A197" s="16"/>
      <c r="B197" s="16"/>
      <c r="C197" s="16"/>
      <c r="D197" s="16"/>
      <c r="F197" s="16"/>
      <c r="G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</row>
    <row r="198" spans="1:24">
      <c r="A198" s="16"/>
      <c r="B198" s="16"/>
      <c r="C198" s="16"/>
      <c r="D198" s="16"/>
      <c r="F198" s="16"/>
      <c r="G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</row>
    <row r="199" spans="1:24">
      <c r="A199" s="16"/>
      <c r="B199" s="16"/>
      <c r="C199" s="16"/>
      <c r="D199" s="16"/>
      <c r="F199" s="16"/>
      <c r="G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</row>
    <row r="200" spans="1:24">
      <c r="A200" s="16"/>
      <c r="B200" s="16"/>
      <c r="C200" s="16"/>
      <c r="D200" s="16"/>
      <c r="F200" s="16"/>
      <c r="G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</row>
    <row r="201" spans="1:24">
      <c r="A201" s="16"/>
      <c r="B201" s="16"/>
      <c r="C201" s="16"/>
      <c r="D201" s="16"/>
      <c r="F201" s="16"/>
      <c r="G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</row>
    <row r="202" spans="1:24">
      <c r="A202" s="16"/>
      <c r="B202" s="16"/>
      <c r="C202" s="16"/>
      <c r="D202" s="16"/>
      <c r="F202" s="16"/>
      <c r="G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</row>
    <row r="203" spans="1:24">
      <c r="A203" s="16"/>
      <c r="B203" s="16"/>
      <c r="C203" s="16"/>
      <c r="D203" s="16"/>
      <c r="F203" s="16"/>
      <c r="G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</row>
    <row r="204" spans="1:24">
      <c r="A204" s="16"/>
      <c r="B204" s="16"/>
      <c r="C204" s="16"/>
      <c r="D204" s="16"/>
      <c r="F204" s="16"/>
      <c r="G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</row>
    <row r="205" spans="1:24">
      <c r="A205" s="16"/>
      <c r="B205" s="16"/>
      <c r="C205" s="16"/>
      <c r="D205" s="16"/>
      <c r="F205" s="16"/>
      <c r="G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</row>
    <row r="206" spans="1:24">
      <c r="A206" s="16"/>
      <c r="B206" s="16"/>
      <c r="C206" s="16"/>
      <c r="D206" s="16"/>
      <c r="F206" s="16"/>
      <c r="G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</row>
    <row r="207" spans="1:24">
      <c r="A207" s="16"/>
      <c r="B207" s="16"/>
      <c r="C207" s="16"/>
      <c r="D207" s="16"/>
      <c r="F207" s="16"/>
      <c r="G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</row>
    <row r="208" spans="1:24">
      <c r="A208" s="16"/>
      <c r="B208" s="16"/>
      <c r="C208" s="16"/>
      <c r="D208" s="16"/>
      <c r="F208" s="16"/>
      <c r="G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</row>
    <row r="209" spans="1:24">
      <c r="A209" s="16"/>
      <c r="B209" s="16"/>
      <c r="C209" s="16"/>
      <c r="D209" s="16"/>
      <c r="F209" s="16"/>
      <c r="G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</row>
    <row r="210" spans="1:24">
      <c r="A210" s="16"/>
      <c r="B210" s="16"/>
      <c r="C210" s="16"/>
      <c r="D210" s="16"/>
      <c r="F210" s="16"/>
      <c r="G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</row>
    <row r="211" spans="1:24">
      <c r="A211" s="16"/>
      <c r="B211" s="16"/>
      <c r="C211" s="16"/>
      <c r="D211" s="16"/>
      <c r="F211" s="16"/>
      <c r="G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</row>
    <row r="212" spans="1:24">
      <c r="A212" s="16"/>
      <c r="B212" s="16"/>
      <c r="C212" s="16"/>
      <c r="D212" s="16"/>
      <c r="F212" s="16"/>
      <c r="G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</row>
    <row r="213" spans="1:24">
      <c r="A213" s="16"/>
      <c r="B213" s="16"/>
      <c r="C213" s="16"/>
      <c r="D213" s="16"/>
      <c r="F213" s="16"/>
      <c r="G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</row>
    <row r="214" spans="1:24">
      <c r="A214" s="16"/>
      <c r="B214" s="16"/>
      <c r="C214" s="16"/>
      <c r="D214" s="16"/>
      <c r="F214" s="16"/>
      <c r="G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</row>
    <row r="215" spans="1:24">
      <c r="A215" s="16"/>
      <c r="B215" s="16"/>
      <c r="C215" s="16"/>
      <c r="D215" s="16"/>
      <c r="F215" s="16"/>
      <c r="G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</row>
    <row r="216" spans="1:24">
      <c r="A216" s="16"/>
      <c r="B216" s="16"/>
      <c r="C216" s="16"/>
      <c r="D216" s="16"/>
      <c r="F216" s="16"/>
      <c r="G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</row>
    <row r="217" spans="1:24">
      <c r="A217" s="16"/>
      <c r="B217" s="16"/>
      <c r="C217" s="16"/>
      <c r="D217" s="16"/>
      <c r="F217" s="16"/>
      <c r="G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</row>
    <row r="218" spans="1:24">
      <c r="A218" s="16"/>
      <c r="B218" s="16"/>
      <c r="C218" s="16"/>
      <c r="D218" s="16"/>
      <c r="F218" s="16"/>
      <c r="G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</row>
    <row r="219" spans="1:24">
      <c r="A219" s="16"/>
      <c r="B219" s="16"/>
      <c r="C219" s="16"/>
      <c r="D219" s="16"/>
      <c r="F219" s="16"/>
      <c r="G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</row>
    <row r="220" spans="1:24">
      <c r="A220" s="16"/>
      <c r="B220" s="16"/>
      <c r="C220" s="16"/>
      <c r="D220" s="16"/>
      <c r="F220" s="16"/>
      <c r="G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</row>
    <row r="221" spans="1:24">
      <c r="A221" s="16"/>
      <c r="B221" s="16"/>
      <c r="C221" s="16"/>
      <c r="D221" s="16"/>
      <c r="F221" s="16"/>
      <c r="G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</row>
    <row r="222" spans="1:24">
      <c r="A222" s="16"/>
      <c r="B222" s="16"/>
      <c r="C222" s="16"/>
      <c r="D222" s="16"/>
      <c r="F222" s="16"/>
      <c r="G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</row>
    <row r="223" spans="1:24">
      <c r="A223" s="16"/>
      <c r="B223" s="16"/>
      <c r="C223" s="16"/>
      <c r="D223" s="16"/>
      <c r="F223" s="16"/>
      <c r="G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</row>
    <row r="224" spans="1:24">
      <c r="A224" s="16"/>
      <c r="B224" s="16"/>
      <c r="C224" s="16"/>
      <c r="D224" s="16"/>
      <c r="F224" s="16"/>
      <c r="G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</row>
    <row r="225" spans="1:24">
      <c r="A225" s="16"/>
      <c r="B225" s="16"/>
      <c r="C225" s="16"/>
      <c r="D225" s="16"/>
      <c r="F225" s="16"/>
      <c r="G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</row>
    <row r="226" spans="1:24">
      <c r="A226" s="16"/>
      <c r="B226" s="16"/>
      <c r="C226" s="16"/>
      <c r="D226" s="16"/>
      <c r="F226" s="16"/>
      <c r="G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</row>
    <row r="227" spans="1:24">
      <c r="A227" s="16"/>
      <c r="B227" s="16"/>
      <c r="C227" s="16"/>
      <c r="D227" s="16"/>
      <c r="F227" s="16"/>
      <c r="G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</row>
    <row r="228" spans="1:24">
      <c r="A228" s="16"/>
      <c r="B228" s="16"/>
      <c r="C228" s="16"/>
      <c r="D228" s="16"/>
      <c r="F228" s="16"/>
      <c r="G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</row>
    <row r="229" spans="1:24">
      <c r="A229" s="16"/>
      <c r="B229" s="16"/>
      <c r="C229" s="16"/>
      <c r="D229" s="16"/>
      <c r="F229" s="16"/>
      <c r="G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</row>
    <row r="230" spans="1:24">
      <c r="A230" s="16"/>
      <c r="B230" s="16"/>
      <c r="C230" s="16"/>
      <c r="D230" s="16"/>
      <c r="F230" s="16"/>
      <c r="G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</row>
    <row r="231" spans="1:24">
      <c r="A231" s="16"/>
      <c r="B231" s="16"/>
      <c r="C231" s="16"/>
      <c r="D231" s="16"/>
      <c r="F231" s="16"/>
      <c r="G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</row>
    <row r="232" spans="1:24">
      <c r="A232" s="16"/>
      <c r="B232" s="16"/>
      <c r="C232" s="16"/>
      <c r="D232" s="16"/>
      <c r="F232" s="16"/>
      <c r="G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</row>
    <row r="233" spans="1:24">
      <c r="A233" s="16"/>
      <c r="B233" s="16"/>
      <c r="C233" s="16"/>
      <c r="D233" s="16"/>
      <c r="F233" s="16"/>
      <c r="G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</row>
    <row r="234" spans="1:24">
      <c r="A234" s="16"/>
      <c r="B234" s="16"/>
      <c r="C234" s="16"/>
      <c r="D234" s="16"/>
      <c r="F234" s="16"/>
      <c r="G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</row>
    <row r="235" spans="1:24">
      <c r="A235" s="16"/>
      <c r="B235" s="16"/>
      <c r="C235" s="16"/>
      <c r="D235" s="16"/>
      <c r="F235" s="16"/>
      <c r="G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</row>
    <row r="236" spans="1:24">
      <c r="A236" s="16"/>
      <c r="B236" s="16"/>
      <c r="C236" s="16"/>
      <c r="D236" s="16"/>
      <c r="F236" s="16"/>
      <c r="G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</row>
    <row r="237" spans="1:24">
      <c r="A237" s="16"/>
      <c r="B237" s="16"/>
      <c r="C237" s="16"/>
      <c r="D237" s="16"/>
      <c r="F237" s="16"/>
      <c r="G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</row>
    <row r="238" spans="1:24">
      <c r="A238" s="16"/>
      <c r="B238" s="16"/>
      <c r="C238" s="16"/>
      <c r="D238" s="16"/>
      <c r="F238" s="16"/>
      <c r="G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</row>
    <row r="239" spans="1:24">
      <c r="A239" s="16"/>
      <c r="B239" s="16"/>
      <c r="C239" s="16"/>
      <c r="D239" s="16"/>
      <c r="F239" s="16"/>
      <c r="G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</row>
    <row r="240" spans="1:24">
      <c r="A240" s="16"/>
      <c r="B240" s="16"/>
      <c r="C240" s="16"/>
      <c r="D240" s="16"/>
      <c r="F240" s="16"/>
      <c r="G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</row>
    <row r="241" spans="1:24">
      <c r="A241" s="16"/>
      <c r="B241" s="16"/>
      <c r="C241" s="16"/>
      <c r="D241" s="16"/>
      <c r="F241" s="16"/>
      <c r="G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</row>
    <row r="242" spans="1:24">
      <c r="A242" s="16"/>
      <c r="B242" s="16"/>
      <c r="C242" s="16"/>
      <c r="D242" s="16"/>
      <c r="F242" s="16"/>
      <c r="G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</row>
    <row r="243" spans="1:24">
      <c r="A243" s="16"/>
      <c r="B243" s="16"/>
      <c r="C243" s="16"/>
      <c r="D243" s="16"/>
      <c r="F243" s="16"/>
      <c r="G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</row>
    <row r="244" spans="1:24">
      <c r="A244" s="16"/>
      <c r="B244" s="16"/>
      <c r="C244" s="16"/>
      <c r="D244" s="16"/>
      <c r="F244" s="16"/>
      <c r="G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</row>
    <row r="245" spans="1:24">
      <c r="A245" s="16"/>
      <c r="B245" s="16"/>
      <c r="C245" s="16"/>
      <c r="D245" s="16"/>
      <c r="F245" s="16"/>
      <c r="G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</row>
    <row r="246" spans="1:24">
      <c r="A246" s="16"/>
      <c r="B246" s="16"/>
      <c r="C246" s="16"/>
      <c r="D246" s="16"/>
      <c r="F246" s="16"/>
      <c r="G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</row>
    <row r="247" spans="1:24">
      <c r="A247" s="16"/>
      <c r="B247" s="16"/>
      <c r="C247" s="16"/>
      <c r="D247" s="16"/>
      <c r="F247" s="16"/>
      <c r="G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</row>
    <row r="248" spans="1:24">
      <c r="A248" s="16"/>
      <c r="B248" s="16"/>
      <c r="C248" s="16"/>
      <c r="D248" s="16"/>
      <c r="F248" s="16"/>
      <c r="G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</row>
    <row r="249" spans="1:24">
      <c r="A249" s="16"/>
      <c r="B249" s="16"/>
      <c r="C249" s="16"/>
      <c r="D249" s="16"/>
      <c r="F249" s="16"/>
      <c r="G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</row>
    <row r="250" spans="1:24">
      <c r="A250" s="16"/>
      <c r="B250" s="16"/>
      <c r="C250" s="16"/>
      <c r="D250" s="16"/>
      <c r="F250" s="16"/>
      <c r="G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</row>
    <row r="251" spans="1:24">
      <c r="A251" s="16"/>
      <c r="B251" s="16"/>
      <c r="C251" s="16"/>
      <c r="D251" s="16"/>
      <c r="F251" s="16"/>
      <c r="G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</row>
    <row r="252" spans="1:24">
      <c r="A252" s="16"/>
      <c r="B252" s="16"/>
      <c r="C252" s="16"/>
      <c r="D252" s="16"/>
      <c r="F252" s="16"/>
      <c r="G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</row>
    <row r="253" spans="1:24">
      <c r="A253" s="16"/>
      <c r="B253" s="16"/>
      <c r="C253" s="16"/>
      <c r="D253" s="16"/>
      <c r="F253" s="16"/>
      <c r="G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</row>
    <row r="254" spans="1:24">
      <c r="A254" s="16"/>
      <c r="B254" s="16"/>
      <c r="C254" s="16"/>
      <c r="D254" s="16"/>
      <c r="F254" s="16"/>
      <c r="G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</row>
    <row r="255" spans="1:24">
      <c r="A255" s="16"/>
      <c r="B255" s="16"/>
      <c r="C255" s="16"/>
      <c r="D255" s="16"/>
      <c r="F255" s="16"/>
      <c r="G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</row>
    <row r="256" spans="1:24">
      <c r="A256" s="16"/>
      <c r="B256" s="16"/>
      <c r="C256" s="16"/>
      <c r="D256" s="16"/>
      <c r="F256" s="16"/>
      <c r="G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</row>
    <row r="257" spans="1:24">
      <c r="A257" s="16"/>
      <c r="B257" s="16"/>
      <c r="C257" s="16"/>
      <c r="D257" s="16"/>
      <c r="F257" s="16"/>
      <c r="G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</row>
    <row r="258" spans="1:24">
      <c r="A258" s="16"/>
      <c r="B258" s="16"/>
      <c r="C258" s="16"/>
      <c r="D258" s="16"/>
      <c r="F258" s="16"/>
      <c r="G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</row>
    <row r="259" spans="1:24">
      <c r="A259" s="16"/>
      <c r="B259" s="16"/>
      <c r="C259" s="16"/>
      <c r="D259" s="16"/>
      <c r="F259" s="16"/>
      <c r="G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</row>
    <row r="260" spans="1:24">
      <c r="A260" s="16"/>
      <c r="B260" s="16"/>
      <c r="C260" s="16"/>
      <c r="D260" s="16"/>
      <c r="F260" s="16"/>
      <c r="G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</row>
    <row r="261" spans="1:24">
      <c r="A261" s="16"/>
      <c r="B261" s="16"/>
      <c r="C261" s="16"/>
      <c r="D261" s="16"/>
      <c r="F261" s="16"/>
      <c r="G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</row>
    <row r="262" spans="1:24">
      <c r="A262" s="16"/>
      <c r="B262" s="16"/>
      <c r="C262" s="16"/>
      <c r="D262" s="16"/>
      <c r="F262" s="16"/>
      <c r="G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</row>
    <row r="263" spans="1:24">
      <c r="A263" s="16"/>
      <c r="B263" s="16"/>
      <c r="C263" s="16"/>
      <c r="D263" s="16"/>
      <c r="F263" s="16"/>
      <c r="G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</row>
    <row r="264" spans="1:24">
      <c r="A264" s="16"/>
      <c r="B264" s="16"/>
      <c r="C264" s="16"/>
      <c r="D264" s="16"/>
      <c r="F264" s="16"/>
      <c r="G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</row>
    <row r="265" spans="1:24">
      <c r="A265" s="16"/>
      <c r="B265" s="16"/>
      <c r="C265" s="16"/>
      <c r="D265" s="16"/>
      <c r="F265" s="16"/>
      <c r="G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</row>
    <row r="266" spans="1:24">
      <c r="A266" s="16"/>
      <c r="B266" s="16"/>
      <c r="C266" s="16"/>
      <c r="D266" s="16"/>
      <c r="F266" s="16"/>
      <c r="G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</row>
    <row r="267" spans="1:24">
      <c r="A267" s="16"/>
      <c r="B267" s="16"/>
      <c r="C267" s="16"/>
      <c r="D267" s="16"/>
      <c r="F267" s="16"/>
      <c r="G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</row>
    <row r="268" spans="1:24">
      <c r="A268" s="16"/>
      <c r="B268" s="16"/>
      <c r="C268" s="16"/>
      <c r="D268" s="16"/>
      <c r="F268" s="16"/>
      <c r="G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</row>
    <row r="269" spans="1:24">
      <c r="A269" s="16"/>
      <c r="B269" s="16"/>
      <c r="C269" s="16"/>
      <c r="D269" s="16"/>
      <c r="F269" s="16"/>
      <c r="G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</row>
    <row r="270" spans="1:24">
      <c r="A270" s="16"/>
      <c r="B270" s="16"/>
      <c r="C270" s="16"/>
      <c r="D270" s="16"/>
      <c r="F270" s="16"/>
      <c r="G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</row>
    <row r="271" spans="1:24">
      <c r="A271" s="16"/>
      <c r="B271" s="16"/>
      <c r="C271" s="16"/>
      <c r="D271" s="16"/>
      <c r="F271" s="16"/>
      <c r="G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</row>
    <row r="272" spans="1:24">
      <c r="A272" s="16"/>
      <c r="B272" s="16"/>
      <c r="C272" s="16"/>
      <c r="D272" s="16"/>
      <c r="F272" s="16"/>
      <c r="G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</row>
    <row r="273" spans="1:24">
      <c r="A273" s="16"/>
      <c r="B273" s="16"/>
      <c r="C273" s="16"/>
      <c r="D273" s="16"/>
      <c r="F273" s="16"/>
      <c r="G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</row>
    <row r="274" spans="1:24">
      <c r="A274" s="16"/>
      <c r="B274" s="16"/>
      <c r="C274" s="16"/>
      <c r="D274" s="16"/>
      <c r="F274" s="16"/>
      <c r="G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</row>
    <row r="275" spans="1:24">
      <c r="A275" s="16"/>
      <c r="B275" s="16"/>
      <c r="C275" s="16"/>
      <c r="D275" s="16"/>
      <c r="F275" s="16"/>
      <c r="G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</row>
    <row r="276" spans="1:24">
      <c r="A276" s="16"/>
      <c r="B276" s="16"/>
      <c r="C276" s="16"/>
      <c r="D276" s="16"/>
      <c r="F276" s="16"/>
      <c r="G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</row>
    <row r="277" spans="1:24">
      <c r="A277" s="16"/>
      <c r="B277" s="16"/>
      <c r="C277" s="16"/>
      <c r="D277" s="16"/>
      <c r="F277" s="16"/>
      <c r="G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</row>
    <row r="278" spans="1:24">
      <c r="A278" s="16"/>
      <c r="B278" s="16"/>
      <c r="C278" s="16"/>
      <c r="D278" s="16"/>
      <c r="F278" s="16"/>
      <c r="G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</row>
    <row r="279" spans="1:24">
      <c r="A279" s="16"/>
      <c r="B279" s="16"/>
      <c r="C279" s="16"/>
      <c r="D279" s="16"/>
      <c r="F279" s="16"/>
      <c r="G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</row>
    <row r="280" spans="1:24">
      <c r="A280" s="16"/>
      <c r="B280" s="16"/>
      <c r="C280" s="16"/>
      <c r="D280" s="16"/>
      <c r="F280" s="16"/>
      <c r="G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</row>
    <row r="281" spans="1:24">
      <c r="A281" s="16"/>
      <c r="B281" s="16"/>
      <c r="C281" s="16"/>
      <c r="D281" s="16"/>
      <c r="F281" s="16"/>
      <c r="G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</row>
    <row r="282" spans="1:24">
      <c r="A282" s="16"/>
      <c r="B282" s="16"/>
      <c r="C282" s="16"/>
      <c r="D282" s="16"/>
      <c r="F282" s="16"/>
      <c r="G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</row>
    <row r="283" spans="1:24">
      <c r="A283" s="16"/>
      <c r="B283" s="16"/>
      <c r="C283" s="16"/>
      <c r="D283" s="16"/>
      <c r="F283" s="16"/>
      <c r="G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</row>
    <row r="284" spans="1:24">
      <c r="A284" s="16"/>
      <c r="B284" s="16"/>
      <c r="C284" s="16"/>
      <c r="D284" s="16"/>
      <c r="F284" s="16"/>
      <c r="G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</row>
    <row r="285" spans="1:24">
      <c r="A285" s="16"/>
      <c r="B285" s="16"/>
      <c r="C285" s="16"/>
      <c r="D285" s="16"/>
      <c r="F285" s="16"/>
      <c r="G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</row>
    <row r="286" spans="1:24">
      <c r="A286" s="16"/>
      <c r="B286" s="16"/>
      <c r="C286" s="16"/>
      <c r="D286" s="16"/>
      <c r="F286" s="16"/>
      <c r="G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</row>
    <row r="287" spans="1:24">
      <c r="A287" s="16"/>
      <c r="B287" s="16"/>
      <c r="C287" s="16"/>
      <c r="D287" s="16"/>
      <c r="F287" s="16"/>
      <c r="G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</row>
    <row r="288" spans="1:24">
      <c r="A288" s="16"/>
      <c r="B288" s="16"/>
      <c r="C288" s="16"/>
      <c r="D288" s="16"/>
      <c r="F288" s="16"/>
      <c r="G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</row>
    <row r="289" spans="1:24">
      <c r="A289" s="16"/>
      <c r="B289" s="16"/>
      <c r="C289" s="16"/>
      <c r="D289" s="16"/>
      <c r="F289" s="16"/>
      <c r="G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</row>
    <row r="290" spans="1:24">
      <c r="A290" s="16"/>
      <c r="B290" s="16"/>
      <c r="C290" s="16"/>
      <c r="D290" s="16"/>
      <c r="F290" s="16"/>
      <c r="G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</row>
    <row r="291" spans="1:24">
      <c r="A291" s="16"/>
      <c r="B291" s="16"/>
      <c r="C291" s="16"/>
      <c r="D291" s="16"/>
      <c r="F291" s="16"/>
      <c r="G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</row>
    <row r="292" spans="1:24">
      <c r="A292" s="16"/>
      <c r="B292" s="16"/>
      <c r="C292" s="16"/>
      <c r="D292" s="16"/>
      <c r="F292" s="16"/>
      <c r="G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</row>
    <row r="293" spans="1:24">
      <c r="A293" s="16"/>
      <c r="B293" s="16"/>
      <c r="C293" s="16"/>
      <c r="D293" s="16"/>
      <c r="F293" s="16"/>
      <c r="G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</row>
    <row r="294" spans="1:24">
      <c r="A294" s="16"/>
      <c r="B294" s="16"/>
      <c r="C294" s="16"/>
      <c r="D294" s="16"/>
      <c r="F294" s="16"/>
      <c r="G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</row>
    <row r="295" spans="1:24">
      <c r="A295" s="16"/>
      <c r="B295" s="16"/>
      <c r="C295" s="16"/>
      <c r="D295" s="16"/>
      <c r="F295" s="16"/>
      <c r="G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</row>
    <row r="296" spans="1:24">
      <c r="A296" s="16"/>
      <c r="B296" s="16"/>
      <c r="C296" s="16"/>
      <c r="D296" s="16"/>
      <c r="F296" s="16"/>
      <c r="G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</row>
    <row r="297" spans="1:24">
      <c r="A297" s="16"/>
      <c r="B297" s="16"/>
      <c r="C297" s="16"/>
      <c r="D297" s="16"/>
      <c r="F297" s="16"/>
      <c r="G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</row>
    <row r="298" spans="1:24">
      <c r="A298" s="16"/>
      <c r="B298" s="16"/>
      <c r="C298" s="16"/>
      <c r="D298" s="16"/>
      <c r="F298" s="16"/>
      <c r="G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</row>
    <row r="299" spans="1:24">
      <c r="A299" s="16"/>
      <c r="B299" s="16"/>
      <c r="C299" s="16"/>
      <c r="D299" s="16"/>
      <c r="F299" s="16"/>
      <c r="G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</row>
    <row r="300" spans="1:24">
      <c r="A300" s="16"/>
      <c r="B300" s="16"/>
      <c r="C300" s="16"/>
      <c r="D300" s="16"/>
      <c r="F300" s="16"/>
      <c r="G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</row>
    <row r="301" spans="1:24">
      <c r="A301" s="16"/>
      <c r="B301" s="16"/>
      <c r="C301" s="16"/>
      <c r="D301" s="16"/>
      <c r="F301" s="16"/>
      <c r="G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</row>
    <row r="302" spans="1:24">
      <c r="A302" s="16"/>
      <c r="B302" s="16"/>
      <c r="C302" s="16"/>
      <c r="D302" s="16"/>
      <c r="F302" s="16"/>
      <c r="G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</row>
    <row r="303" spans="1:24">
      <c r="A303" s="16"/>
      <c r="B303" s="16"/>
      <c r="C303" s="16"/>
      <c r="D303" s="16"/>
      <c r="F303" s="16"/>
      <c r="G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</row>
    <row r="304" spans="1:24">
      <c r="A304" s="16"/>
      <c r="B304" s="16"/>
      <c r="C304" s="16"/>
      <c r="D304" s="16"/>
      <c r="F304" s="16"/>
      <c r="G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</row>
    <row r="305" spans="1:24">
      <c r="A305" s="16"/>
      <c r="B305" s="16"/>
      <c r="C305" s="16"/>
      <c r="D305" s="16"/>
      <c r="F305" s="16"/>
      <c r="G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</row>
    <row r="306" spans="1:24">
      <c r="A306" s="16"/>
      <c r="B306" s="16"/>
      <c r="C306" s="16"/>
      <c r="D306" s="16"/>
      <c r="F306" s="16"/>
      <c r="G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</row>
    <row r="307" spans="1:24">
      <c r="A307" s="16"/>
      <c r="B307" s="16"/>
      <c r="C307" s="16"/>
      <c r="D307" s="16"/>
      <c r="F307" s="16"/>
      <c r="G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</row>
    <row r="308" spans="1:24">
      <c r="A308" s="16"/>
      <c r="B308" s="16"/>
      <c r="C308" s="16"/>
      <c r="D308" s="16"/>
      <c r="F308" s="16"/>
      <c r="G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</row>
    <row r="309" spans="1:24">
      <c r="A309" s="16"/>
      <c r="B309" s="16"/>
      <c r="C309" s="16"/>
      <c r="D309" s="16"/>
      <c r="F309" s="16"/>
      <c r="G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</row>
    <row r="310" spans="1:24">
      <c r="A310" s="16"/>
      <c r="B310" s="16"/>
      <c r="C310" s="16"/>
      <c r="D310" s="16"/>
      <c r="F310" s="16"/>
      <c r="G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</row>
    <row r="311" spans="1:24">
      <c r="A311" s="16"/>
      <c r="B311" s="16"/>
      <c r="C311" s="16"/>
      <c r="D311" s="16"/>
      <c r="F311" s="16"/>
      <c r="G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</row>
    <row r="312" spans="1:24">
      <c r="A312" s="16"/>
      <c r="B312" s="16"/>
      <c r="C312" s="16"/>
      <c r="D312" s="16"/>
      <c r="F312" s="16"/>
      <c r="G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</row>
    <row r="313" spans="1:24">
      <c r="A313" s="16"/>
      <c r="B313" s="16"/>
      <c r="C313" s="16"/>
      <c r="D313" s="16"/>
      <c r="F313" s="16"/>
      <c r="G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</row>
    <row r="314" spans="1:24">
      <c r="A314" s="16"/>
      <c r="B314" s="16"/>
      <c r="C314" s="16"/>
      <c r="D314" s="16"/>
      <c r="F314" s="16"/>
      <c r="G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</row>
    <row r="315" spans="1:24">
      <c r="A315" s="16"/>
      <c r="B315" s="16"/>
      <c r="C315" s="16"/>
      <c r="D315" s="16"/>
      <c r="F315" s="16"/>
      <c r="G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</row>
    <row r="316" spans="1:24">
      <c r="A316" s="16"/>
      <c r="B316" s="16"/>
      <c r="C316" s="16"/>
      <c r="D316" s="16"/>
      <c r="F316" s="16"/>
      <c r="G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</row>
    <row r="317" spans="1:24">
      <c r="A317" s="16"/>
      <c r="B317" s="16"/>
      <c r="C317" s="16"/>
      <c r="D317" s="16"/>
      <c r="F317" s="16"/>
      <c r="G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</row>
    <row r="318" spans="1:24">
      <c r="A318" s="16"/>
      <c r="B318" s="16"/>
      <c r="C318" s="16"/>
      <c r="D318" s="16"/>
      <c r="F318" s="16"/>
      <c r="G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</row>
    <row r="319" spans="1:24">
      <c r="A319" s="16"/>
      <c r="B319" s="16"/>
      <c r="C319" s="16"/>
      <c r="D319" s="16"/>
      <c r="F319" s="16"/>
      <c r="G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</row>
    <row r="320" spans="1:24">
      <c r="A320" s="16"/>
      <c r="B320" s="16"/>
      <c r="C320" s="16"/>
      <c r="D320" s="16"/>
      <c r="F320" s="16"/>
      <c r="G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</row>
    <row r="321" spans="1:24">
      <c r="A321" s="16"/>
      <c r="B321" s="16"/>
      <c r="C321" s="16"/>
      <c r="D321" s="16"/>
      <c r="F321" s="16"/>
      <c r="G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</row>
    <row r="322" spans="1:24">
      <c r="A322" s="16"/>
      <c r="B322" s="16"/>
      <c r="C322" s="16"/>
      <c r="D322" s="16"/>
      <c r="F322" s="16"/>
      <c r="G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</row>
    <row r="323" spans="1:24">
      <c r="A323" s="16"/>
      <c r="B323" s="16"/>
      <c r="C323" s="16"/>
      <c r="D323" s="16"/>
      <c r="F323" s="16"/>
      <c r="G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</row>
    <row r="324" spans="1:24">
      <c r="A324" s="16"/>
      <c r="B324" s="16"/>
      <c r="C324" s="16"/>
      <c r="D324" s="16"/>
      <c r="F324" s="16"/>
      <c r="G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</row>
    <row r="325" spans="1:24">
      <c r="A325" s="16"/>
      <c r="B325" s="16"/>
      <c r="C325" s="16"/>
      <c r="D325" s="16"/>
      <c r="F325" s="16"/>
      <c r="G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</row>
    <row r="326" spans="1:24">
      <c r="A326" s="16"/>
      <c r="B326" s="16"/>
      <c r="C326" s="16"/>
      <c r="D326" s="16"/>
      <c r="F326" s="16"/>
      <c r="G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</row>
    <row r="327" spans="1:24">
      <c r="A327" s="16"/>
      <c r="B327" s="16"/>
      <c r="C327" s="16"/>
      <c r="D327" s="16"/>
      <c r="F327" s="16"/>
      <c r="G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</row>
    <row r="328" spans="1:24">
      <c r="A328" s="16"/>
      <c r="B328" s="16"/>
      <c r="C328" s="16"/>
      <c r="D328" s="16"/>
      <c r="F328" s="16"/>
      <c r="G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</row>
    <row r="329" spans="1:24">
      <c r="A329" s="16"/>
      <c r="B329" s="16"/>
      <c r="C329" s="16"/>
      <c r="D329" s="16"/>
      <c r="F329" s="16"/>
      <c r="G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</row>
    <row r="330" spans="1:24">
      <c r="A330" s="16"/>
      <c r="B330" s="16"/>
      <c r="C330" s="16"/>
      <c r="D330" s="16"/>
      <c r="F330" s="16"/>
      <c r="G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</row>
    <row r="331" spans="1:24">
      <c r="A331" s="16"/>
      <c r="B331" s="16"/>
      <c r="C331" s="16"/>
      <c r="D331" s="16"/>
      <c r="F331" s="16"/>
      <c r="G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</row>
    <row r="332" spans="1:24">
      <c r="A332" s="16"/>
      <c r="B332" s="16"/>
      <c r="C332" s="16"/>
      <c r="D332" s="16"/>
      <c r="F332" s="16"/>
      <c r="G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</row>
    <row r="333" spans="1:24">
      <c r="A333" s="16"/>
      <c r="B333" s="16"/>
      <c r="C333" s="16"/>
      <c r="D333" s="16"/>
      <c r="F333" s="16"/>
      <c r="G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</row>
    <row r="334" spans="1:24">
      <c r="A334" s="16"/>
      <c r="B334" s="16"/>
      <c r="C334" s="16"/>
      <c r="D334" s="16"/>
      <c r="F334" s="16"/>
      <c r="G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</row>
    <row r="335" spans="1:24">
      <c r="A335" s="16"/>
      <c r="B335" s="16"/>
      <c r="C335" s="16"/>
      <c r="D335" s="16"/>
      <c r="F335" s="16"/>
      <c r="G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</row>
    <row r="336" spans="1:24">
      <c r="A336" s="16"/>
      <c r="B336" s="16"/>
      <c r="C336" s="16"/>
      <c r="D336" s="16"/>
      <c r="F336" s="16"/>
      <c r="G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</row>
    <row r="337" spans="1:24">
      <c r="A337" s="16"/>
      <c r="B337" s="16"/>
      <c r="C337" s="16"/>
      <c r="D337" s="16"/>
      <c r="F337" s="16"/>
      <c r="G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</row>
    <row r="338" spans="1:24">
      <c r="A338" s="16"/>
      <c r="B338" s="16"/>
      <c r="C338" s="16"/>
      <c r="D338" s="16"/>
      <c r="F338" s="16"/>
      <c r="G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</row>
    <row r="339" spans="1:24">
      <c r="A339" s="16"/>
      <c r="B339" s="16"/>
      <c r="C339" s="16"/>
      <c r="D339" s="16"/>
      <c r="F339" s="16"/>
      <c r="G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</row>
    <row r="340" spans="1:24">
      <c r="A340" s="16"/>
      <c r="B340" s="16"/>
      <c r="C340" s="16"/>
      <c r="D340" s="16"/>
      <c r="F340" s="16"/>
      <c r="G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</row>
    <row r="341" spans="1:24">
      <c r="A341" s="16"/>
      <c r="B341" s="16"/>
      <c r="C341" s="16"/>
      <c r="D341" s="16"/>
      <c r="F341" s="16"/>
      <c r="G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</row>
    <row r="342" spans="1:24">
      <c r="A342" s="16"/>
      <c r="B342" s="16"/>
      <c r="C342" s="16"/>
      <c r="D342" s="16"/>
      <c r="F342" s="16"/>
      <c r="G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</row>
    <row r="343" spans="1:24">
      <c r="A343" s="16"/>
      <c r="B343" s="16"/>
      <c r="C343" s="16"/>
      <c r="D343" s="16"/>
      <c r="F343" s="16"/>
      <c r="G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</row>
    <row r="344" spans="1:24">
      <c r="A344" s="16"/>
      <c r="B344" s="16"/>
      <c r="C344" s="16"/>
      <c r="D344" s="16"/>
      <c r="F344" s="16"/>
      <c r="G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</row>
    <row r="345" spans="1:24">
      <c r="A345" s="16"/>
      <c r="B345" s="16"/>
      <c r="C345" s="16"/>
      <c r="D345" s="16"/>
      <c r="F345" s="16"/>
      <c r="G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</row>
    <row r="346" spans="1:24">
      <c r="A346" s="16"/>
      <c r="B346" s="16"/>
      <c r="C346" s="16"/>
      <c r="D346" s="16"/>
      <c r="F346" s="16"/>
      <c r="G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</row>
    <row r="347" spans="1:24">
      <c r="A347" s="16"/>
      <c r="B347" s="16"/>
      <c r="C347" s="16"/>
      <c r="D347" s="16"/>
      <c r="F347" s="16"/>
      <c r="G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</row>
    <row r="348" spans="1:24">
      <c r="A348" s="16"/>
      <c r="B348" s="16"/>
      <c r="C348" s="16"/>
      <c r="D348" s="16"/>
      <c r="F348" s="16"/>
      <c r="G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</row>
    <row r="349" spans="1:24">
      <c r="A349" s="16"/>
      <c r="B349" s="16"/>
      <c r="C349" s="16"/>
      <c r="D349" s="16"/>
      <c r="F349" s="16"/>
      <c r="G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</row>
    <row r="350" spans="1:24">
      <c r="A350" s="16"/>
      <c r="B350" s="16"/>
      <c r="C350" s="16"/>
      <c r="D350" s="16"/>
      <c r="F350" s="16"/>
      <c r="G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</row>
    <row r="351" spans="1:24">
      <c r="A351" s="16"/>
      <c r="B351" s="16"/>
      <c r="C351" s="16"/>
      <c r="D351" s="16"/>
      <c r="F351" s="16"/>
      <c r="G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</row>
    <row r="352" spans="1:24">
      <c r="A352" s="16"/>
      <c r="B352" s="16"/>
      <c r="C352" s="16"/>
      <c r="D352" s="16"/>
      <c r="F352" s="16"/>
      <c r="G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</row>
    <row r="353" spans="1:24">
      <c r="A353" s="16"/>
      <c r="B353" s="16"/>
      <c r="C353" s="16"/>
      <c r="D353" s="16"/>
      <c r="F353" s="16"/>
      <c r="G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</row>
    <row r="354" spans="1:24">
      <c r="A354" s="16"/>
      <c r="B354" s="16"/>
      <c r="C354" s="16"/>
      <c r="D354" s="16"/>
      <c r="F354" s="16"/>
      <c r="G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</row>
    <row r="355" spans="1:24">
      <c r="A355" s="16"/>
      <c r="B355" s="16"/>
      <c r="C355" s="16"/>
      <c r="D355" s="16"/>
      <c r="F355" s="16"/>
      <c r="G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</row>
    <row r="356" spans="1:24">
      <c r="A356" s="16"/>
      <c r="B356" s="16"/>
      <c r="C356" s="16"/>
      <c r="D356" s="16"/>
      <c r="F356" s="16"/>
      <c r="G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</row>
    <row r="357" spans="1:24">
      <c r="A357" s="16"/>
      <c r="B357" s="16"/>
      <c r="C357" s="16"/>
      <c r="D357" s="16"/>
      <c r="F357" s="16"/>
      <c r="G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</row>
    <row r="358" spans="1:24">
      <c r="A358" s="16"/>
      <c r="B358" s="16"/>
      <c r="C358" s="16"/>
      <c r="D358" s="16"/>
      <c r="F358" s="16"/>
      <c r="G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</row>
    <row r="359" spans="1:24">
      <c r="A359" s="16"/>
      <c r="B359" s="16"/>
      <c r="C359" s="16"/>
      <c r="D359" s="16"/>
      <c r="F359" s="16"/>
      <c r="G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</row>
    <row r="360" spans="1:24">
      <c r="A360" s="16"/>
      <c r="B360" s="16"/>
      <c r="C360" s="16"/>
      <c r="D360" s="16"/>
      <c r="F360" s="16"/>
      <c r="G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</row>
    <row r="361" spans="1:24">
      <c r="A361" s="16"/>
      <c r="B361" s="16"/>
      <c r="C361" s="16"/>
      <c r="D361" s="16"/>
      <c r="F361" s="16"/>
      <c r="G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</row>
    <row r="362" spans="1:24">
      <c r="A362" s="16"/>
      <c r="B362" s="16"/>
      <c r="C362" s="16"/>
      <c r="D362" s="16"/>
      <c r="F362" s="16"/>
      <c r="G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</row>
    <row r="363" spans="1:24">
      <c r="A363" s="16"/>
      <c r="B363" s="16"/>
      <c r="C363" s="16"/>
      <c r="D363" s="16"/>
      <c r="F363" s="16"/>
      <c r="G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</row>
    <row r="364" spans="1:24">
      <c r="A364" s="16"/>
      <c r="B364" s="16"/>
      <c r="C364" s="16"/>
      <c r="D364" s="16"/>
      <c r="F364" s="16"/>
      <c r="G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</row>
    <row r="365" spans="1:24">
      <c r="A365" s="16"/>
      <c r="B365" s="16"/>
      <c r="C365" s="16"/>
      <c r="D365" s="16"/>
      <c r="F365" s="16"/>
      <c r="G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</row>
    <row r="366" spans="1:24">
      <c r="A366" s="16"/>
      <c r="B366" s="16"/>
      <c r="C366" s="16"/>
      <c r="D366" s="16"/>
      <c r="F366" s="16"/>
      <c r="G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</row>
    <row r="367" spans="1:24">
      <c r="A367" s="16"/>
      <c r="B367" s="16"/>
      <c r="C367" s="16"/>
      <c r="D367" s="16"/>
      <c r="F367" s="16"/>
      <c r="G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</row>
    <row r="368" spans="1:24">
      <c r="A368" s="16"/>
      <c r="B368" s="16"/>
      <c r="C368" s="16"/>
      <c r="D368" s="16"/>
      <c r="F368" s="16"/>
      <c r="G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</row>
    <row r="369" spans="1:24">
      <c r="A369" s="16"/>
      <c r="B369" s="16"/>
      <c r="C369" s="16"/>
      <c r="D369" s="16"/>
      <c r="F369" s="16"/>
      <c r="G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</row>
    <row r="370" spans="1:24">
      <c r="A370" s="16"/>
      <c r="B370" s="16"/>
      <c r="C370" s="16"/>
      <c r="D370" s="16"/>
      <c r="F370" s="16"/>
      <c r="G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</row>
    <row r="371" spans="1:24">
      <c r="A371" s="16"/>
      <c r="B371" s="16"/>
      <c r="C371" s="16"/>
      <c r="D371" s="16"/>
      <c r="F371" s="16"/>
      <c r="G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</row>
    <row r="372" spans="1:24">
      <c r="A372" s="16"/>
      <c r="B372" s="16"/>
      <c r="C372" s="16"/>
      <c r="D372" s="16"/>
      <c r="F372" s="16"/>
      <c r="G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</row>
    <row r="373" spans="1:24">
      <c r="A373" s="16"/>
      <c r="B373" s="16"/>
      <c r="C373" s="16"/>
      <c r="D373" s="16"/>
      <c r="F373" s="16"/>
      <c r="G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</row>
    <row r="374" spans="1:24">
      <c r="A374" s="16"/>
      <c r="B374" s="16"/>
      <c r="C374" s="16"/>
      <c r="D374" s="16"/>
      <c r="F374" s="16"/>
      <c r="G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</row>
    <row r="375" spans="1:24">
      <c r="A375" s="16"/>
      <c r="B375" s="16"/>
      <c r="C375" s="16"/>
      <c r="D375" s="16"/>
      <c r="F375" s="16"/>
      <c r="G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</row>
    <row r="376" spans="1:24">
      <c r="A376" s="16"/>
      <c r="B376" s="16"/>
      <c r="C376" s="16"/>
      <c r="D376" s="16"/>
      <c r="F376" s="16"/>
      <c r="G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</row>
    <row r="377" spans="1:24">
      <c r="A377" s="16"/>
      <c r="B377" s="16"/>
      <c r="C377" s="16"/>
      <c r="D377" s="16"/>
      <c r="F377" s="16"/>
      <c r="G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</row>
    <row r="378" spans="1:24">
      <c r="A378" s="16"/>
      <c r="B378" s="16"/>
      <c r="C378" s="16"/>
      <c r="D378" s="16"/>
      <c r="F378" s="16"/>
      <c r="G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</row>
    <row r="379" spans="1:24">
      <c r="A379" s="16"/>
      <c r="B379" s="16"/>
      <c r="C379" s="16"/>
      <c r="D379" s="16"/>
      <c r="F379" s="16"/>
      <c r="G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</row>
    <row r="380" spans="1:24">
      <c r="A380" s="16"/>
      <c r="B380" s="16"/>
      <c r="C380" s="16"/>
      <c r="D380" s="16"/>
      <c r="F380" s="16"/>
      <c r="G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</row>
    <row r="381" spans="1:24">
      <c r="A381" s="16"/>
      <c r="B381" s="16"/>
      <c r="C381" s="16"/>
      <c r="D381" s="16"/>
      <c r="F381" s="16"/>
      <c r="G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</row>
    <row r="382" spans="1:24">
      <c r="A382" s="16"/>
      <c r="B382" s="16"/>
      <c r="C382" s="16"/>
      <c r="D382" s="16"/>
      <c r="F382" s="16"/>
      <c r="G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</row>
    <row r="383" spans="1:24">
      <c r="A383" s="16"/>
      <c r="B383" s="16"/>
      <c r="C383" s="16"/>
      <c r="D383" s="16"/>
      <c r="F383" s="16"/>
      <c r="G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</row>
    <row r="384" spans="1:24">
      <c r="A384" s="16"/>
      <c r="B384" s="16"/>
      <c r="C384" s="16"/>
      <c r="D384" s="16"/>
      <c r="F384" s="16"/>
      <c r="G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</row>
    <row r="385" spans="1:24">
      <c r="A385" s="16"/>
      <c r="B385" s="16"/>
      <c r="C385" s="16"/>
      <c r="D385" s="16"/>
      <c r="F385" s="16"/>
      <c r="G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</row>
    <row r="386" spans="1:24">
      <c r="A386" s="16"/>
      <c r="B386" s="16"/>
      <c r="C386" s="16"/>
      <c r="D386" s="16"/>
      <c r="F386" s="16"/>
      <c r="G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</row>
    <row r="387" spans="1:24">
      <c r="A387" s="16"/>
      <c r="B387" s="16"/>
      <c r="C387" s="16"/>
      <c r="D387" s="16"/>
      <c r="F387" s="16"/>
      <c r="G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</row>
    <row r="388" spans="1:24">
      <c r="A388" s="16"/>
      <c r="B388" s="16"/>
      <c r="C388" s="16"/>
      <c r="D388" s="16"/>
      <c r="F388" s="16"/>
      <c r="G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</row>
    <row r="389" spans="1:24">
      <c r="A389" s="16"/>
      <c r="B389" s="16"/>
      <c r="C389" s="16"/>
      <c r="D389" s="16"/>
      <c r="F389" s="16"/>
      <c r="G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</row>
    <row r="390" spans="1:24">
      <c r="A390" s="16"/>
      <c r="B390" s="16"/>
      <c r="C390" s="16"/>
      <c r="D390" s="16"/>
      <c r="F390" s="16"/>
      <c r="G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</row>
    <row r="391" spans="1:24">
      <c r="A391" s="16"/>
      <c r="B391" s="16"/>
      <c r="C391" s="16"/>
      <c r="D391" s="16"/>
      <c r="F391" s="16"/>
      <c r="G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</row>
    <row r="392" spans="1:24">
      <c r="A392" s="16"/>
      <c r="B392" s="16"/>
      <c r="C392" s="16"/>
      <c r="D392" s="16"/>
      <c r="F392" s="16"/>
      <c r="G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</row>
    <row r="393" spans="1:24">
      <c r="A393" s="16"/>
      <c r="B393" s="16"/>
      <c r="C393" s="16"/>
      <c r="D393" s="16"/>
      <c r="F393" s="16"/>
      <c r="G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</row>
    <row r="394" spans="1:24">
      <c r="A394" s="16"/>
      <c r="B394" s="16"/>
      <c r="C394" s="16"/>
      <c r="D394" s="16"/>
      <c r="F394" s="16"/>
      <c r="G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</row>
    <row r="395" spans="1:24">
      <c r="A395" s="16"/>
      <c r="B395" s="16"/>
      <c r="C395" s="16"/>
      <c r="D395" s="16"/>
      <c r="F395" s="16"/>
      <c r="G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</row>
    <row r="396" spans="1:24">
      <c r="A396" s="16"/>
      <c r="B396" s="16"/>
      <c r="C396" s="16"/>
      <c r="D396" s="16"/>
      <c r="F396" s="16"/>
      <c r="G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</row>
    <row r="397" spans="1:24">
      <c r="A397" s="16"/>
      <c r="B397" s="16"/>
      <c r="C397" s="16"/>
      <c r="D397" s="16"/>
      <c r="F397" s="16"/>
      <c r="G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</row>
    <row r="398" spans="1:24">
      <c r="A398" s="16"/>
      <c r="B398" s="16"/>
      <c r="C398" s="16"/>
      <c r="D398" s="16"/>
      <c r="F398" s="16"/>
      <c r="G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</row>
    <row r="399" spans="1:24">
      <c r="A399" s="16"/>
      <c r="B399" s="16"/>
      <c r="C399" s="16"/>
      <c r="D399" s="16"/>
      <c r="F399" s="16"/>
      <c r="G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</row>
    <row r="400" spans="1:24">
      <c r="A400" s="16"/>
      <c r="B400" s="16"/>
      <c r="C400" s="16"/>
      <c r="D400" s="16"/>
      <c r="F400" s="16"/>
      <c r="G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</row>
    <row r="401" spans="1:24">
      <c r="A401" s="16"/>
      <c r="B401" s="16"/>
      <c r="C401" s="16"/>
      <c r="D401" s="16"/>
      <c r="F401" s="16"/>
      <c r="G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</row>
    <row r="402" spans="1:24">
      <c r="A402" s="16"/>
      <c r="B402" s="16"/>
      <c r="C402" s="16"/>
      <c r="D402" s="16"/>
      <c r="F402" s="16"/>
      <c r="G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</row>
    <row r="403" spans="1:24">
      <c r="A403" s="16"/>
      <c r="B403" s="16"/>
      <c r="C403" s="16"/>
      <c r="D403" s="16"/>
      <c r="F403" s="16"/>
      <c r="G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</row>
    <row r="404" spans="1:24">
      <c r="A404" s="16"/>
      <c r="B404" s="16"/>
      <c r="C404" s="16"/>
      <c r="D404" s="16"/>
      <c r="F404" s="16"/>
      <c r="G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</row>
    <row r="405" spans="1:24">
      <c r="A405" s="16"/>
      <c r="B405" s="16"/>
      <c r="C405" s="16"/>
      <c r="D405" s="16"/>
      <c r="F405" s="16"/>
      <c r="G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</row>
    <row r="406" spans="1:24">
      <c r="A406" s="16"/>
      <c r="B406" s="16"/>
      <c r="C406" s="16"/>
      <c r="D406" s="16"/>
      <c r="F406" s="16"/>
      <c r="G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</row>
    <row r="407" spans="1:24">
      <c r="A407" s="16"/>
      <c r="B407" s="16"/>
      <c r="C407" s="16"/>
      <c r="D407" s="16"/>
      <c r="F407" s="16"/>
      <c r="G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</row>
    <row r="408" spans="1:24">
      <c r="A408" s="16"/>
      <c r="B408" s="16"/>
      <c r="C408" s="16"/>
      <c r="D408" s="16"/>
      <c r="F408" s="16"/>
      <c r="G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</row>
    <row r="409" spans="1:24">
      <c r="A409" s="16"/>
      <c r="B409" s="16"/>
      <c r="C409" s="16"/>
      <c r="D409" s="16"/>
      <c r="F409" s="16"/>
      <c r="G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</row>
    <row r="410" spans="1:24">
      <c r="A410" s="16"/>
      <c r="B410" s="16"/>
      <c r="C410" s="16"/>
      <c r="D410" s="16"/>
      <c r="F410" s="16"/>
      <c r="G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</row>
    <row r="411" spans="1:24">
      <c r="A411" s="16"/>
      <c r="B411" s="16"/>
      <c r="C411" s="16"/>
      <c r="D411" s="16"/>
      <c r="F411" s="16"/>
      <c r="G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</row>
    <row r="412" spans="1:24">
      <c r="A412" s="16"/>
      <c r="B412" s="16"/>
      <c r="C412" s="16"/>
      <c r="D412" s="16"/>
      <c r="F412" s="16"/>
      <c r="G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</row>
    <row r="413" spans="1:24">
      <c r="A413" s="16"/>
      <c r="B413" s="16"/>
      <c r="C413" s="16"/>
      <c r="D413" s="16"/>
      <c r="F413" s="16"/>
      <c r="G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</row>
    <row r="414" spans="1:24">
      <c r="A414" s="16"/>
      <c r="B414" s="16"/>
      <c r="C414" s="16"/>
      <c r="D414" s="16"/>
      <c r="F414" s="16"/>
      <c r="G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</row>
    <row r="415" spans="1:24">
      <c r="A415" s="16"/>
      <c r="B415" s="16"/>
      <c r="C415" s="16"/>
      <c r="D415" s="16"/>
      <c r="F415" s="16"/>
      <c r="G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</row>
    <row r="416" spans="1:24">
      <c r="A416" s="16"/>
      <c r="B416" s="16"/>
      <c r="C416" s="16"/>
      <c r="D416" s="16"/>
      <c r="F416" s="16"/>
      <c r="G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</row>
    <row r="417" spans="1:24">
      <c r="A417" s="16"/>
      <c r="B417" s="16"/>
      <c r="C417" s="16"/>
      <c r="D417" s="16"/>
      <c r="F417" s="16"/>
      <c r="G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</row>
    <row r="418" spans="1:24">
      <c r="A418" s="16"/>
      <c r="B418" s="16"/>
      <c r="C418" s="16"/>
      <c r="D418" s="16"/>
      <c r="F418" s="16"/>
      <c r="G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</row>
    <row r="419" spans="1:24">
      <c r="A419" s="16"/>
      <c r="B419" s="16"/>
      <c r="C419" s="16"/>
      <c r="D419" s="16"/>
      <c r="F419" s="16"/>
      <c r="G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</row>
    <row r="420" spans="1:24">
      <c r="A420" s="16"/>
      <c r="B420" s="16"/>
      <c r="C420" s="16"/>
      <c r="D420" s="16"/>
      <c r="F420" s="16"/>
      <c r="G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</row>
    <row r="421" spans="1:24">
      <c r="A421" s="16"/>
      <c r="B421" s="16"/>
      <c r="C421" s="16"/>
      <c r="D421" s="16"/>
      <c r="F421" s="16"/>
      <c r="G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</row>
    <row r="422" spans="1:24">
      <c r="A422" s="16"/>
      <c r="B422" s="16"/>
      <c r="C422" s="16"/>
      <c r="D422" s="16"/>
      <c r="F422" s="16"/>
      <c r="G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</row>
    <row r="423" spans="1:24">
      <c r="A423" s="16"/>
      <c r="B423" s="16"/>
      <c r="C423" s="16"/>
      <c r="D423" s="16"/>
      <c r="F423" s="16"/>
      <c r="G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</row>
    <row r="424" spans="1:24">
      <c r="A424" s="16"/>
      <c r="B424" s="16"/>
      <c r="C424" s="16"/>
      <c r="D424" s="16"/>
      <c r="F424" s="16"/>
      <c r="G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</row>
    <row r="425" spans="1:24">
      <c r="A425" s="16"/>
      <c r="B425" s="16"/>
      <c r="C425" s="16"/>
      <c r="D425" s="16"/>
      <c r="F425" s="16"/>
      <c r="G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</row>
    <row r="426" spans="1:24">
      <c r="A426" s="16"/>
      <c r="B426" s="16"/>
      <c r="C426" s="16"/>
      <c r="D426" s="16"/>
      <c r="F426" s="16"/>
      <c r="G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</row>
    <row r="427" spans="1:24">
      <c r="A427" s="16"/>
      <c r="B427" s="16"/>
      <c r="C427" s="16"/>
      <c r="D427" s="16"/>
      <c r="F427" s="16"/>
      <c r="G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</row>
    <row r="428" spans="1:24">
      <c r="A428" s="16"/>
      <c r="B428" s="16"/>
      <c r="C428" s="16"/>
      <c r="D428" s="16"/>
      <c r="F428" s="16"/>
      <c r="G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</row>
    <row r="429" spans="1:24">
      <c r="A429" s="16"/>
      <c r="B429" s="16"/>
      <c r="C429" s="16"/>
      <c r="D429" s="16"/>
      <c r="F429" s="16"/>
      <c r="G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</row>
    <row r="430" spans="1:24">
      <c r="A430" s="16"/>
      <c r="B430" s="16"/>
      <c r="C430" s="16"/>
      <c r="D430" s="16"/>
      <c r="F430" s="16"/>
      <c r="G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</row>
    <row r="431" spans="1:24">
      <c r="A431" s="16"/>
      <c r="B431" s="16"/>
      <c r="C431" s="16"/>
      <c r="D431" s="16"/>
      <c r="F431" s="16"/>
      <c r="G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</row>
    <row r="432" spans="1:24">
      <c r="A432" s="16"/>
      <c r="B432" s="16"/>
      <c r="C432" s="16"/>
      <c r="D432" s="16"/>
      <c r="F432" s="16"/>
      <c r="G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</row>
    <row r="433" spans="1:24">
      <c r="A433" s="16"/>
      <c r="B433" s="16"/>
      <c r="C433" s="16"/>
      <c r="D433" s="16"/>
      <c r="F433" s="16"/>
      <c r="G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</row>
    <row r="434" spans="1:24">
      <c r="A434" s="16"/>
      <c r="B434" s="16"/>
      <c r="C434" s="16"/>
      <c r="D434" s="16"/>
      <c r="F434" s="16"/>
      <c r="G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</row>
    <row r="435" spans="1:24">
      <c r="A435" s="16"/>
      <c r="B435" s="16"/>
      <c r="C435" s="16"/>
      <c r="D435" s="16"/>
      <c r="F435" s="16"/>
      <c r="G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</row>
    <row r="436" spans="1:24">
      <c r="A436" s="16"/>
      <c r="B436" s="16"/>
      <c r="C436" s="16"/>
      <c r="D436" s="16"/>
      <c r="F436" s="16"/>
      <c r="G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</row>
    <row r="437" spans="1:24">
      <c r="A437" s="16"/>
      <c r="B437" s="16"/>
      <c r="C437" s="16"/>
      <c r="D437" s="16"/>
      <c r="F437" s="16"/>
      <c r="G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</row>
    <row r="438" spans="1:24">
      <c r="A438" s="16"/>
      <c r="B438" s="16"/>
      <c r="C438" s="16"/>
      <c r="D438" s="16"/>
      <c r="F438" s="16"/>
      <c r="G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</row>
    <row r="439" spans="1:24">
      <c r="A439" s="16"/>
      <c r="B439" s="16"/>
      <c r="C439" s="16"/>
      <c r="D439" s="16"/>
      <c r="F439" s="16"/>
      <c r="G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</row>
    <row r="440" spans="1:24">
      <c r="A440" s="16"/>
      <c r="B440" s="16"/>
      <c r="C440" s="16"/>
      <c r="D440" s="16"/>
      <c r="F440" s="16"/>
      <c r="G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</row>
    <row r="441" spans="1:24">
      <c r="A441" s="16"/>
      <c r="B441" s="16"/>
      <c r="C441" s="16"/>
      <c r="D441" s="16"/>
      <c r="F441" s="16"/>
      <c r="G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</row>
    <row r="442" spans="1:24">
      <c r="A442" s="16"/>
      <c r="B442" s="16"/>
      <c r="C442" s="16"/>
      <c r="D442" s="16"/>
      <c r="F442" s="16"/>
      <c r="G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</row>
    <row r="443" spans="1:24">
      <c r="A443" s="16"/>
      <c r="B443" s="16"/>
      <c r="C443" s="16"/>
      <c r="D443" s="16"/>
      <c r="F443" s="16"/>
      <c r="G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</row>
    <row r="444" spans="1:24">
      <c r="A444" s="16"/>
      <c r="B444" s="16"/>
      <c r="C444" s="16"/>
      <c r="D444" s="16"/>
      <c r="F444" s="16"/>
      <c r="G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</row>
    <row r="445" spans="1:24">
      <c r="A445" s="16"/>
      <c r="B445" s="16"/>
      <c r="C445" s="16"/>
      <c r="D445" s="16"/>
      <c r="F445" s="16"/>
      <c r="G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</row>
    <row r="446" spans="1:24">
      <c r="A446" s="16"/>
      <c r="B446" s="16"/>
      <c r="C446" s="16"/>
      <c r="D446" s="16"/>
      <c r="F446" s="16"/>
      <c r="G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</row>
    <row r="447" spans="1:24">
      <c r="A447" s="16"/>
      <c r="B447" s="16"/>
      <c r="C447" s="16"/>
      <c r="D447" s="16"/>
      <c r="F447" s="16"/>
      <c r="G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</row>
    <row r="448" spans="1:24">
      <c r="A448" s="16"/>
      <c r="B448" s="16"/>
      <c r="C448" s="16"/>
      <c r="D448" s="16"/>
      <c r="F448" s="16"/>
      <c r="G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</row>
    <row r="449" spans="1:24">
      <c r="A449" s="16"/>
      <c r="B449" s="16"/>
      <c r="C449" s="16"/>
      <c r="D449" s="16"/>
      <c r="F449" s="16"/>
      <c r="G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</row>
    <row r="450" spans="1:24">
      <c r="A450" s="16"/>
      <c r="B450" s="16"/>
      <c r="C450" s="16"/>
      <c r="D450" s="16"/>
      <c r="F450" s="16"/>
      <c r="G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</row>
    <row r="451" spans="1:24">
      <c r="A451" s="16"/>
      <c r="B451" s="16"/>
      <c r="C451" s="16"/>
      <c r="D451" s="16"/>
      <c r="F451" s="16"/>
      <c r="G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</row>
    <row r="452" spans="1:24">
      <c r="A452" s="16"/>
      <c r="B452" s="16"/>
      <c r="C452" s="16"/>
      <c r="D452" s="16"/>
      <c r="F452" s="16"/>
      <c r="G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</row>
    <row r="453" spans="1:24">
      <c r="A453" s="16"/>
      <c r="B453" s="16"/>
      <c r="C453" s="16"/>
      <c r="D453" s="16"/>
      <c r="F453" s="16"/>
      <c r="G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</row>
    <row r="454" spans="1:24">
      <c r="A454" s="16"/>
      <c r="B454" s="16"/>
      <c r="C454" s="16"/>
      <c r="D454" s="16"/>
      <c r="F454" s="16"/>
      <c r="G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</row>
    <row r="455" spans="1:24">
      <c r="A455" s="16"/>
      <c r="B455" s="16"/>
      <c r="C455" s="16"/>
      <c r="D455" s="16"/>
      <c r="F455" s="16"/>
      <c r="G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</row>
    <row r="456" spans="1:24">
      <c r="A456" s="16"/>
      <c r="B456" s="16"/>
      <c r="C456" s="16"/>
      <c r="D456" s="16"/>
      <c r="F456" s="16"/>
      <c r="G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</row>
    <row r="457" spans="1:24">
      <c r="A457" s="16"/>
      <c r="B457" s="16"/>
      <c r="C457" s="16"/>
      <c r="D457" s="16"/>
      <c r="F457" s="16"/>
      <c r="G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</row>
    <row r="458" spans="1:24">
      <c r="A458" s="16"/>
      <c r="B458" s="16"/>
      <c r="C458" s="16"/>
      <c r="D458" s="16"/>
      <c r="F458" s="16"/>
      <c r="G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</row>
    <row r="459" spans="1:24">
      <c r="A459" s="16"/>
      <c r="B459" s="16"/>
      <c r="C459" s="16"/>
      <c r="D459" s="16"/>
      <c r="F459" s="16"/>
      <c r="G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</row>
    <row r="460" spans="1:24">
      <c r="A460" s="16"/>
      <c r="B460" s="16"/>
      <c r="C460" s="16"/>
      <c r="D460" s="16"/>
      <c r="F460" s="16"/>
      <c r="G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</row>
    <row r="461" spans="1:24">
      <c r="A461" s="16"/>
      <c r="B461" s="16"/>
      <c r="C461" s="16"/>
      <c r="D461" s="16"/>
      <c r="F461" s="16"/>
      <c r="G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</row>
    <row r="462" spans="1:24">
      <c r="A462" s="16"/>
      <c r="B462" s="16"/>
      <c r="C462" s="16"/>
      <c r="D462" s="16"/>
      <c r="F462" s="16"/>
      <c r="G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</row>
    <row r="463" spans="1:24">
      <c r="A463" s="16"/>
      <c r="B463" s="16"/>
      <c r="C463" s="16"/>
      <c r="D463" s="16"/>
      <c r="F463" s="16"/>
      <c r="G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</row>
    <row r="464" spans="1:24">
      <c r="A464" s="16"/>
      <c r="B464" s="16"/>
      <c r="C464" s="16"/>
      <c r="D464" s="16"/>
      <c r="F464" s="16"/>
      <c r="G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</row>
    <row r="465" spans="1:24">
      <c r="A465" s="16"/>
      <c r="B465" s="16"/>
      <c r="C465" s="16"/>
      <c r="D465" s="16"/>
      <c r="F465" s="16"/>
      <c r="G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</row>
    <row r="466" spans="1:24">
      <c r="A466" s="16"/>
      <c r="B466" s="16"/>
      <c r="C466" s="16"/>
      <c r="D466" s="16"/>
      <c r="F466" s="16"/>
      <c r="G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</row>
    <row r="467" spans="1:24">
      <c r="A467" s="16"/>
      <c r="B467" s="16"/>
      <c r="C467" s="16"/>
      <c r="D467" s="16"/>
      <c r="F467" s="16"/>
      <c r="G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</row>
    <row r="468" spans="1:24">
      <c r="A468" s="16"/>
      <c r="B468" s="16"/>
      <c r="C468" s="16"/>
      <c r="D468" s="16"/>
      <c r="F468" s="16"/>
      <c r="G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</row>
    <row r="469" spans="1:24">
      <c r="A469" s="16"/>
      <c r="B469" s="16"/>
      <c r="C469" s="16"/>
      <c r="D469" s="16"/>
      <c r="F469" s="16"/>
      <c r="G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</row>
    <row r="470" spans="1:24">
      <c r="A470" s="16"/>
      <c r="B470" s="16"/>
      <c r="C470" s="16"/>
      <c r="D470" s="16"/>
      <c r="F470" s="16"/>
      <c r="G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</row>
    <row r="471" spans="1:24">
      <c r="A471" s="16"/>
      <c r="B471" s="16"/>
      <c r="C471" s="16"/>
      <c r="D471" s="16"/>
      <c r="F471" s="16"/>
      <c r="G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</row>
    <row r="472" spans="1:24">
      <c r="A472" s="16"/>
      <c r="B472" s="16"/>
      <c r="C472" s="16"/>
      <c r="D472" s="16"/>
      <c r="F472" s="16"/>
      <c r="G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</row>
    <row r="473" spans="1:24">
      <c r="A473" s="16"/>
      <c r="B473" s="16"/>
      <c r="C473" s="16"/>
      <c r="D473" s="16"/>
      <c r="F473" s="16"/>
      <c r="G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</row>
    <row r="474" spans="1:24">
      <c r="A474" s="16"/>
      <c r="B474" s="16"/>
      <c r="C474" s="16"/>
      <c r="D474" s="16"/>
      <c r="F474" s="16"/>
      <c r="G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</row>
    <row r="475" spans="1:24">
      <c r="A475" s="16"/>
      <c r="B475" s="16"/>
      <c r="C475" s="16"/>
      <c r="D475" s="16"/>
      <c r="F475" s="16"/>
      <c r="G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</row>
    <row r="476" spans="1:24">
      <c r="A476" s="16"/>
      <c r="B476" s="16"/>
      <c r="C476" s="16"/>
      <c r="D476" s="16"/>
      <c r="F476" s="16"/>
      <c r="G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</row>
    <row r="477" spans="1:24">
      <c r="A477" s="16"/>
      <c r="B477" s="16"/>
      <c r="C477" s="16"/>
      <c r="D477" s="16"/>
      <c r="F477" s="16"/>
      <c r="G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</row>
    <row r="478" spans="1:24">
      <c r="A478" s="16"/>
      <c r="B478" s="16"/>
      <c r="C478" s="16"/>
      <c r="D478" s="16"/>
      <c r="F478" s="16"/>
      <c r="G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</row>
    <row r="479" spans="1:24">
      <c r="A479" s="16"/>
      <c r="B479" s="16"/>
      <c r="C479" s="16"/>
      <c r="D479" s="16"/>
      <c r="F479" s="16"/>
      <c r="G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</row>
    <row r="480" spans="1:24">
      <c r="A480" s="16"/>
      <c r="B480" s="16"/>
      <c r="C480" s="16"/>
      <c r="D480" s="16"/>
      <c r="F480" s="16"/>
      <c r="G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</row>
    <row r="481" spans="1:24">
      <c r="A481" s="16"/>
      <c r="B481" s="16"/>
      <c r="C481" s="16"/>
      <c r="D481" s="16"/>
      <c r="F481" s="16"/>
      <c r="G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</row>
    <row r="482" spans="1:24">
      <c r="A482" s="16"/>
      <c r="B482" s="16"/>
      <c r="C482" s="16"/>
      <c r="D482" s="16"/>
      <c r="F482" s="16"/>
      <c r="G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</row>
    <row r="483" spans="1:24">
      <c r="A483" s="16"/>
      <c r="B483" s="16"/>
      <c r="C483" s="16"/>
      <c r="D483" s="16"/>
      <c r="F483" s="16"/>
      <c r="G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</row>
    <row r="484" spans="1:24">
      <c r="A484" s="16"/>
      <c r="B484" s="16"/>
      <c r="C484" s="16"/>
      <c r="D484" s="16"/>
      <c r="F484" s="16"/>
      <c r="G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</row>
    <row r="485" spans="1:24">
      <c r="A485" s="16"/>
      <c r="B485" s="16"/>
      <c r="C485" s="16"/>
      <c r="D485" s="16"/>
      <c r="F485" s="16"/>
      <c r="G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</row>
    <row r="486" spans="1:24">
      <c r="A486" s="16"/>
      <c r="B486" s="16"/>
      <c r="C486" s="16"/>
      <c r="D486" s="16"/>
      <c r="F486" s="16"/>
      <c r="G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</row>
    <row r="487" spans="1:24">
      <c r="A487" s="16"/>
      <c r="B487" s="16"/>
      <c r="C487" s="16"/>
      <c r="D487" s="16"/>
      <c r="F487" s="16"/>
      <c r="G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</row>
    <row r="488" spans="1:24">
      <c r="A488" s="16"/>
      <c r="B488" s="16"/>
      <c r="C488" s="16"/>
      <c r="D488" s="16"/>
      <c r="F488" s="16"/>
      <c r="G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</row>
    <row r="489" spans="1:24">
      <c r="A489" s="16"/>
      <c r="B489" s="16"/>
      <c r="C489" s="16"/>
      <c r="D489" s="16"/>
      <c r="F489" s="16"/>
      <c r="G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</row>
    <row r="490" spans="1:24">
      <c r="A490" s="16"/>
      <c r="B490" s="16"/>
      <c r="C490" s="16"/>
      <c r="D490" s="16"/>
      <c r="F490" s="16"/>
      <c r="G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</row>
    <row r="491" spans="1:24">
      <c r="A491" s="16"/>
      <c r="B491" s="16"/>
      <c r="C491" s="16"/>
      <c r="D491" s="16"/>
      <c r="F491" s="16"/>
      <c r="G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</row>
    <row r="492" spans="1:24">
      <c r="A492" s="16"/>
      <c r="B492" s="16"/>
      <c r="C492" s="16"/>
      <c r="D492" s="16"/>
      <c r="F492" s="16"/>
      <c r="G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</row>
    <row r="493" spans="1:24">
      <c r="A493" s="16"/>
      <c r="B493" s="16"/>
      <c r="C493" s="16"/>
      <c r="D493" s="16"/>
      <c r="F493" s="16"/>
      <c r="G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</row>
    <row r="494" spans="1:24">
      <c r="A494" s="16"/>
      <c r="B494" s="16"/>
      <c r="C494" s="16"/>
      <c r="D494" s="16"/>
      <c r="F494" s="16"/>
      <c r="G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</row>
    <row r="495" spans="1:24">
      <c r="A495" s="16"/>
      <c r="B495" s="16"/>
      <c r="C495" s="16"/>
      <c r="D495" s="16"/>
      <c r="F495" s="16"/>
      <c r="G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</row>
    <row r="496" spans="1:24">
      <c r="A496" s="16"/>
      <c r="B496" s="16"/>
      <c r="C496" s="16"/>
      <c r="D496" s="16"/>
      <c r="F496" s="16"/>
      <c r="G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</row>
    <row r="497" spans="1:24">
      <c r="A497" s="16"/>
      <c r="B497" s="16"/>
      <c r="C497" s="16"/>
      <c r="D497" s="16"/>
      <c r="F497" s="16"/>
      <c r="G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</row>
    <row r="498" spans="1:24">
      <c r="A498" s="16"/>
      <c r="B498" s="16"/>
      <c r="C498" s="16"/>
      <c r="D498" s="16"/>
      <c r="F498" s="16"/>
      <c r="G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</row>
    <row r="499" spans="1:24">
      <c r="A499" s="16"/>
      <c r="B499" s="16"/>
      <c r="C499" s="16"/>
      <c r="D499" s="16"/>
      <c r="F499" s="16"/>
      <c r="G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</row>
    <row r="500" spans="1:24">
      <c r="A500" s="16"/>
      <c r="B500" s="16"/>
      <c r="C500" s="16"/>
      <c r="D500" s="16"/>
      <c r="F500" s="16"/>
      <c r="G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</row>
    <row r="501" spans="1:24">
      <c r="A501" s="16"/>
      <c r="B501" s="16"/>
      <c r="C501" s="16"/>
      <c r="D501" s="16"/>
      <c r="F501" s="16"/>
      <c r="G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</row>
    <row r="502" spans="1:24">
      <c r="A502" s="16"/>
      <c r="B502" s="16"/>
      <c r="C502" s="16"/>
      <c r="D502" s="16"/>
      <c r="F502" s="16"/>
      <c r="G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</row>
    <row r="503" spans="1:24">
      <c r="A503" s="16"/>
      <c r="B503" s="16"/>
      <c r="C503" s="16"/>
      <c r="D503" s="16"/>
      <c r="F503" s="16"/>
      <c r="G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</row>
    <row r="504" spans="1:24">
      <c r="A504" s="16"/>
      <c r="B504" s="16"/>
      <c r="C504" s="16"/>
      <c r="D504" s="16"/>
      <c r="F504" s="16"/>
      <c r="G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</row>
    <row r="505" spans="1:24">
      <c r="A505" s="16"/>
      <c r="B505" s="16"/>
      <c r="C505" s="16"/>
      <c r="D505" s="16"/>
      <c r="F505" s="16"/>
      <c r="G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</row>
    <row r="506" spans="1:24">
      <c r="A506" s="16"/>
      <c r="B506" s="16"/>
      <c r="C506" s="16"/>
      <c r="D506" s="16"/>
      <c r="F506" s="16"/>
      <c r="G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</row>
    <row r="507" spans="1:24">
      <c r="A507" s="16"/>
      <c r="B507" s="16"/>
      <c r="C507" s="16"/>
      <c r="D507" s="16"/>
      <c r="F507" s="16"/>
      <c r="G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</row>
    <row r="508" spans="1:24">
      <c r="A508" s="16"/>
      <c r="B508" s="16"/>
      <c r="C508" s="16"/>
      <c r="D508" s="16"/>
      <c r="F508" s="16"/>
      <c r="G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</row>
    <row r="509" spans="1:24">
      <c r="A509" s="16"/>
      <c r="B509" s="16"/>
      <c r="C509" s="16"/>
      <c r="D509" s="16"/>
      <c r="F509" s="16"/>
      <c r="G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</row>
    <row r="510" spans="1:24">
      <c r="A510" s="16"/>
      <c r="B510" s="16"/>
      <c r="C510" s="16"/>
      <c r="D510" s="16"/>
      <c r="F510" s="16"/>
      <c r="G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</row>
    <row r="511" spans="1:24">
      <c r="A511" s="16"/>
      <c r="B511" s="16"/>
      <c r="C511" s="16"/>
      <c r="D511" s="16"/>
      <c r="F511" s="16"/>
      <c r="G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</row>
    <row r="512" spans="1:24">
      <c r="A512" s="16"/>
      <c r="B512" s="16"/>
      <c r="C512" s="16"/>
      <c r="D512" s="16"/>
      <c r="F512" s="16"/>
      <c r="G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</row>
    <row r="513" spans="1:24">
      <c r="A513" s="16"/>
      <c r="B513" s="16"/>
      <c r="C513" s="16"/>
      <c r="D513" s="16"/>
      <c r="F513" s="16"/>
      <c r="G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</row>
    <row r="514" spans="1:24">
      <c r="A514" s="16"/>
      <c r="B514" s="16"/>
      <c r="C514" s="16"/>
      <c r="D514" s="16"/>
      <c r="F514" s="16"/>
      <c r="G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</row>
    <row r="515" spans="1:24">
      <c r="A515" s="16"/>
      <c r="B515" s="16"/>
      <c r="C515" s="16"/>
      <c r="D515" s="16"/>
      <c r="F515" s="16"/>
      <c r="G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</row>
    <row r="516" spans="1:24">
      <c r="A516" s="16"/>
      <c r="B516" s="16"/>
      <c r="C516" s="16"/>
      <c r="D516" s="16"/>
      <c r="F516" s="16"/>
      <c r="G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</row>
    <row r="517" spans="1:24">
      <c r="A517" s="16"/>
      <c r="B517" s="16"/>
      <c r="C517" s="16"/>
      <c r="D517" s="16"/>
      <c r="F517" s="16"/>
      <c r="G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</row>
    <row r="518" spans="1:24">
      <c r="A518" s="16"/>
      <c r="B518" s="16"/>
      <c r="C518" s="16"/>
      <c r="D518" s="16"/>
      <c r="F518" s="16"/>
      <c r="G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</row>
    <row r="519" spans="1:24">
      <c r="A519" s="16"/>
      <c r="B519" s="16"/>
      <c r="C519" s="16"/>
      <c r="D519" s="16"/>
      <c r="F519" s="16"/>
      <c r="G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</row>
    <row r="520" spans="1:24">
      <c r="A520" s="16"/>
      <c r="B520" s="16"/>
      <c r="C520" s="16"/>
      <c r="D520" s="16"/>
      <c r="F520" s="16"/>
      <c r="G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</row>
    <row r="521" spans="1:24">
      <c r="A521" s="16"/>
      <c r="B521" s="16"/>
      <c r="C521" s="16"/>
      <c r="D521" s="16"/>
      <c r="F521" s="16"/>
      <c r="G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</row>
    <row r="522" spans="1:24">
      <c r="A522" s="16"/>
      <c r="B522" s="16"/>
      <c r="C522" s="16"/>
      <c r="D522" s="16"/>
      <c r="F522" s="16"/>
      <c r="G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</row>
    <row r="523" spans="1:24">
      <c r="A523" s="16"/>
      <c r="B523" s="16"/>
      <c r="C523" s="16"/>
      <c r="D523" s="16"/>
      <c r="F523" s="16"/>
      <c r="G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</row>
    <row r="524" spans="1:24">
      <c r="A524" s="16"/>
      <c r="B524" s="16"/>
      <c r="C524" s="16"/>
      <c r="D524" s="16"/>
      <c r="F524" s="16"/>
      <c r="G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</row>
    <row r="525" spans="1:24">
      <c r="A525" s="16"/>
      <c r="B525" s="16"/>
      <c r="C525" s="16"/>
      <c r="D525" s="16"/>
      <c r="F525" s="16"/>
      <c r="G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</row>
    <row r="526" spans="1:24">
      <c r="A526" s="16"/>
      <c r="B526" s="16"/>
      <c r="C526" s="16"/>
      <c r="D526" s="16"/>
      <c r="F526" s="16"/>
      <c r="G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</row>
    <row r="527" spans="1:24">
      <c r="A527" s="16"/>
      <c r="B527" s="16"/>
      <c r="C527" s="16"/>
      <c r="D527" s="16"/>
      <c r="F527" s="16"/>
      <c r="G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</row>
    <row r="528" spans="1:24">
      <c r="A528" s="16"/>
      <c r="B528" s="16"/>
      <c r="C528" s="16"/>
      <c r="D528" s="16"/>
      <c r="F528" s="16"/>
      <c r="G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</row>
    <row r="529" spans="1:24">
      <c r="A529" s="16"/>
      <c r="B529" s="16"/>
      <c r="C529" s="16"/>
      <c r="D529" s="16"/>
      <c r="F529" s="16"/>
      <c r="G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</row>
    <row r="530" spans="1:24">
      <c r="A530" s="16"/>
      <c r="B530" s="16"/>
      <c r="C530" s="16"/>
      <c r="D530" s="16"/>
      <c r="F530" s="16"/>
      <c r="G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</row>
    <row r="531" spans="1:24">
      <c r="A531" s="16"/>
      <c r="B531" s="16"/>
      <c r="C531" s="16"/>
      <c r="D531" s="16"/>
      <c r="F531" s="16"/>
      <c r="G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</row>
    <row r="532" spans="1:24">
      <c r="A532" s="16"/>
      <c r="B532" s="16"/>
      <c r="C532" s="16"/>
      <c r="D532" s="16"/>
      <c r="F532" s="16"/>
      <c r="G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</row>
    <row r="533" spans="1:24">
      <c r="A533" s="16"/>
      <c r="B533" s="16"/>
      <c r="C533" s="16"/>
      <c r="D533" s="16"/>
      <c r="F533" s="16"/>
      <c r="G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</row>
    <row r="534" spans="1:24">
      <c r="A534" s="16"/>
      <c r="B534" s="16"/>
      <c r="C534" s="16"/>
      <c r="D534" s="16"/>
      <c r="F534" s="16"/>
      <c r="G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</row>
    <row r="535" spans="1:24">
      <c r="A535" s="16"/>
      <c r="B535" s="16"/>
      <c r="C535" s="16"/>
      <c r="D535" s="16"/>
      <c r="F535" s="16"/>
      <c r="G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</row>
    <row r="536" spans="1:24">
      <c r="A536" s="16"/>
      <c r="B536" s="16"/>
      <c r="C536" s="16"/>
      <c r="D536" s="16"/>
      <c r="F536" s="16"/>
      <c r="G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</row>
    <row r="537" spans="1:24">
      <c r="A537" s="16"/>
      <c r="B537" s="16"/>
      <c r="C537" s="16"/>
      <c r="D537" s="16"/>
      <c r="F537" s="16"/>
      <c r="G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</row>
    <row r="538" spans="1:24">
      <c r="A538" s="16"/>
      <c r="B538" s="16"/>
      <c r="C538" s="16"/>
      <c r="D538" s="16"/>
      <c r="F538" s="16"/>
      <c r="G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</row>
    <row r="539" spans="1:24">
      <c r="A539" s="16"/>
      <c r="B539" s="16"/>
      <c r="C539" s="16"/>
      <c r="D539" s="16"/>
      <c r="F539" s="16"/>
      <c r="G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</row>
    <row r="540" spans="1:24">
      <c r="A540" s="16"/>
      <c r="B540" s="16"/>
      <c r="C540" s="16"/>
      <c r="D540" s="16"/>
      <c r="F540" s="16"/>
      <c r="G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</row>
    <row r="541" spans="1:24">
      <c r="A541" s="16"/>
      <c r="B541" s="16"/>
      <c r="C541" s="16"/>
      <c r="D541" s="16"/>
      <c r="F541" s="16"/>
      <c r="G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</row>
    <row r="542" spans="1:24">
      <c r="A542" s="16"/>
      <c r="B542" s="16"/>
      <c r="C542" s="16"/>
      <c r="D542" s="16"/>
      <c r="F542" s="16"/>
      <c r="G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</row>
    <row r="543" spans="1:24">
      <c r="A543" s="16"/>
      <c r="B543" s="16"/>
      <c r="C543" s="16"/>
      <c r="D543" s="16"/>
      <c r="F543" s="16"/>
      <c r="G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</row>
    <row r="544" spans="1:24">
      <c r="A544" s="16"/>
      <c r="B544" s="16"/>
      <c r="C544" s="16"/>
      <c r="D544" s="16"/>
      <c r="F544" s="16"/>
      <c r="G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</row>
    <row r="545" spans="1:24">
      <c r="A545" s="16"/>
      <c r="B545" s="16"/>
      <c r="C545" s="16"/>
      <c r="D545" s="16"/>
      <c r="F545" s="16"/>
      <c r="G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</row>
    <row r="546" spans="1:24">
      <c r="A546" s="16"/>
      <c r="B546" s="16"/>
      <c r="C546" s="16"/>
      <c r="D546" s="16"/>
      <c r="F546" s="16"/>
      <c r="G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</row>
    <row r="547" spans="1:24">
      <c r="A547" s="16"/>
      <c r="B547" s="16"/>
      <c r="C547" s="16"/>
      <c r="D547" s="16"/>
      <c r="F547" s="16"/>
      <c r="G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</row>
    <row r="548" spans="1:24">
      <c r="A548" s="16"/>
      <c r="B548" s="16"/>
      <c r="C548" s="16"/>
      <c r="D548" s="16"/>
      <c r="F548" s="16"/>
      <c r="G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</row>
    <row r="549" spans="1:24">
      <c r="A549" s="16"/>
      <c r="B549" s="16"/>
      <c r="C549" s="16"/>
      <c r="D549" s="16"/>
      <c r="F549" s="16"/>
      <c r="G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</row>
    <row r="550" spans="1:24">
      <c r="A550" s="16"/>
      <c r="B550" s="16"/>
      <c r="C550" s="16"/>
      <c r="D550" s="16"/>
      <c r="F550" s="16"/>
      <c r="G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</row>
    <row r="551" spans="1:24">
      <c r="A551" s="16"/>
      <c r="B551" s="16"/>
      <c r="C551" s="16"/>
      <c r="D551" s="16"/>
      <c r="F551" s="16"/>
      <c r="G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</row>
    <row r="552" spans="1:24">
      <c r="A552" s="16"/>
      <c r="B552" s="16"/>
      <c r="C552" s="16"/>
      <c r="D552" s="16"/>
      <c r="F552" s="16"/>
      <c r="G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</row>
    <row r="553" spans="1:24">
      <c r="A553" s="16"/>
      <c r="B553" s="16"/>
      <c r="C553" s="16"/>
      <c r="D553" s="16"/>
      <c r="F553" s="16"/>
      <c r="G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</row>
    <row r="554" spans="1:24">
      <c r="A554" s="16"/>
      <c r="B554" s="16"/>
      <c r="C554" s="16"/>
      <c r="D554" s="16"/>
      <c r="F554" s="16"/>
      <c r="G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</row>
    <row r="555" spans="1:24">
      <c r="A555" s="16"/>
      <c r="B555" s="16"/>
      <c r="C555" s="16"/>
      <c r="D555" s="16"/>
      <c r="F555" s="16"/>
      <c r="G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</row>
    <row r="556" spans="1:24">
      <c r="A556" s="16"/>
      <c r="B556" s="16"/>
      <c r="C556" s="16"/>
      <c r="D556" s="16"/>
      <c r="F556" s="16"/>
      <c r="G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</row>
    <row r="557" spans="1:24">
      <c r="A557" s="16"/>
      <c r="B557" s="16"/>
      <c r="C557" s="16"/>
      <c r="D557" s="16"/>
      <c r="F557" s="16"/>
      <c r="G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</row>
    <row r="558" spans="1:24">
      <c r="A558" s="16"/>
      <c r="B558" s="16"/>
      <c r="C558" s="16"/>
      <c r="D558" s="16"/>
      <c r="F558" s="16"/>
      <c r="G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</row>
    <row r="559" spans="1:24">
      <c r="A559" s="16"/>
      <c r="B559" s="16"/>
      <c r="C559" s="16"/>
      <c r="D559" s="16"/>
      <c r="F559" s="16"/>
      <c r="G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</row>
    <row r="560" spans="1:24">
      <c r="A560" s="16"/>
      <c r="B560" s="16"/>
      <c r="C560" s="16"/>
      <c r="D560" s="16"/>
      <c r="F560" s="16"/>
      <c r="G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</row>
    <row r="561" spans="1:24">
      <c r="A561" s="16"/>
      <c r="B561" s="16"/>
      <c r="C561" s="16"/>
      <c r="D561" s="16"/>
      <c r="F561" s="16"/>
      <c r="G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</row>
    <row r="562" spans="1:24">
      <c r="A562" s="16"/>
      <c r="B562" s="16"/>
      <c r="C562" s="16"/>
      <c r="D562" s="16"/>
      <c r="F562" s="16"/>
      <c r="G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</row>
    <row r="563" spans="1:24">
      <c r="A563" s="16"/>
      <c r="B563" s="16"/>
      <c r="C563" s="16"/>
      <c r="D563" s="16"/>
      <c r="F563" s="16"/>
      <c r="G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</row>
    <row r="564" spans="1:24">
      <c r="A564" s="16"/>
      <c r="B564" s="16"/>
      <c r="C564" s="16"/>
      <c r="D564" s="16"/>
      <c r="F564" s="16"/>
      <c r="G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</row>
    <row r="565" spans="1:24">
      <c r="A565" s="16"/>
      <c r="B565" s="16"/>
      <c r="C565" s="16"/>
      <c r="D565" s="16"/>
      <c r="F565" s="16"/>
      <c r="G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</row>
    <row r="566" spans="1:24">
      <c r="A566" s="16"/>
      <c r="B566" s="16"/>
      <c r="C566" s="16"/>
      <c r="D566" s="16"/>
      <c r="F566" s="16"/>
      <c r="G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</row>
    <row r="567" spans="1:24">
      <c r="A567" s="16"/>
      <c r="B567" s="16"/>
      <c r="C567" s="16"/>
      <c r="D567" s="16"/>
      <c r="F567" s="16"/>
      <c r="G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</row>
    <row r="568" spans="1:24">
      <c r="A568" s="16"/>
      <c r="B568" s="16"/>
      <c r="C568" s="16"/>
      <c r="D568" s="16"/>
      <c r="F568" s="16"/>
      <c r="G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</row>
    <row r="569" spans="1:24">
      <c r="A569" s="16"/>
      <c r="B569" s="16"/>
      <c r="C569" s="16"/>
      <c r="D569" s="16"/>
      <c r="F569" s="16"/>
      <c r="G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</row>
    <row r="570" spans="1:24">
      <c r="A570" s="16"/>
      <c r="B570" s="16"/>
      <c r="C570" s="16"/>
      <c r="D570" s="16"/>
      <c r="F570" s="16"/>
      <c r="G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</row>
    <row r="571" spans="1:24">
      <c r="A571" s="16"/>
      <c r="B571" s="16"/>
      <c r="C571" s="16"/>
      <c r="D571" s="16"/>
      <c r="F571" s="16"/>
      <c r="G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</row>
    <row r="572" spans="1:24">
      <c r="A572" s="16"/>
      <c r="B572" s="16"/>
      <c r="C572" s="16"/>
      <c r="D572" s="16"/>
      <c r="F572" s="16"/>
      <c r="G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</row>
    <row r="573" spans="1:24">
      <c r="A573" s="16"/>
      <c r="B573" s="16"/>
      <c r="C573" s="16"/>
      <c r="D573" s="16"/>
      <c r="F573" s="16"/>
      <c r="G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</row>
    <row r="574" spans="1:24">
      <c r="A574" s="16"/>
      <c r="B574" s="16"/>
      <c r="C574" s="16"/>
      <c r="D574" s="16"/>
      <c r="F574" s="16"/>
      <c r="G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</row>
    <row r="575" spans="1:24">
      <c r="A575" s="16"/>
      <c r="B575" s="16"/>
      <c r="C575" s="16"/>
      <c r="D575" s="16"/>
      <c r="F575" s="16"/>
      <c r="G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</row>
    <row r="576" spans="1:24">
      <c r="A576" s="16"/>
      <c r="B576" s="16"/>
      <c r="C576" s="16"/>
      <c r="D576" s="16"/>
      <c r="F576" s="16"/>
      <c r="G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</row>
    <row r="577" spans="1:24">
      <c r="A577" s="16"/>
      <c r="B577" s="16"/>
      <c r="C577" s="16"/>
      <c r="D577" s="16"/>
      <c r="F577" s="16"/>
      <c r="G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</row>
    <row r="578" spans="1:24">
      <c r="A578" s="16"/>
      <c r="B578" s="16"/>
      <c r="C578" s="16"/>
      <c r="D578" s="16"/>
      <c r="F578" s="16"/>
      <c r="G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</row>
    <row r="579" spans="1:24">
      <c r="A579" s="16"/>
      <c r="B579" s="16"/>
      <c r="C579" s="16"/>
      <c r="D579" s="16"/>
      <c r="F579" s="16"/>
      <c r="G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</row>
    <row r="580" spans="1:24">
      <c r="A580" s="16"/>
      <c r="B580" s="16"/>
      <c r="C580" s="16"/>
      <c r="D580" s="16"/>
      <c r="F580" s="16"/>
      <c r="G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</row>
    <row r="581" spans="1:24">
      <c r="A581" s="16"/>
      <c r="B581" s="16"/>
      <c r="C581" s="16"/>
      <c r="D581" s="16"/>
      <c r="F581" s="16"/>
      <c r="G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</row>
    <row r="582" spans="1:24">
      <c r="A582" s="16"/>
      <c r="B582" s="16"/>
      <c r="C582" s="16"/>
      <c r="D582" s="16"/>
      <c r="F582" s="16"/>
      <c r="G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</row>
    <row r="583" spans="1:24">
      <c r="A583" s="16"/>
      <c r="B583" s="16"/>
      <c r="C583" s="16"/>
      <c r="D583" s="16"/>
      <c r="F583" s="16"/>
      <c r="G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</row>
    <row r="584" spans="1:24">
      <c r="A584" s="16"/>
      <c r="B584" s="16"/>
      <c r="C584" s="16"/>
      <c r="D584" s="16"/>
      <c r="F584" s="16"/>
      <c r="G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</row>
    <row r="585" spans="1:24">
      <c r="A585" s="16"/>
      <c r="B585" s="16"/>
      <c r="C585" s="16"/>
      <c r="D585" s="16"/>
      <c r="F585" s="16"/>
      <c r="G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</row>
    <row r="586" spans="1:24">
      <c r="A586" s="16"/>
      <c r="B586" s="16"/>
      <c r="C586" s="16"/>
      <c r="D586" s="16"/>
      <c r="F586" s="16"/>
      <c r="G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</row>
    <row r="587" spans="1:24">
      <c r="A587" s="16"/>
      <c r="B587" s="16"/>
      <c r="C587" s="16"/>
      <c r="D587" s="16"/>
      <c r="F587" s="16"/>
      <c r="G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</row>
    <row r="588" spans="1:24">
      <c r="A588" s="16"/>
      <c r="B588" s="16"/>
      <c r="C588" s="16"/>
      <c r="D588" s="16"/>
      <c r="F588" s="16"/>
      <c r="G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</row>
    <row r="589" spans="1:24">
      <c r="A589" s="16"/>
      <c r="B589" s="16"/>
      <c r="C589" s="16"/>
      <c r="D589" s="16"/>
      <c r="F589" s="16"/>
      <c r="G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</row>
    <row r="590" spans="1:24">
      <c r="A590" s="16"/>
      <c r="B590" s="16"/>
      <c r="C590" s="16"/>
      <c r="D590" s="16"/>
      <c r="F590" s="16"/>
      <c r="G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</row>
    <row r="591" spans="1:24">
      <c r="A591" s="16"/>
      <c r="B591" s="16"/>
      <c r="C591" s="16"/>
      <c r="D591" s="16"/>
      <c r="F591" s="16"/>
      <c r="G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</row>
    <row r="592" spans="1:24">
      <c r="A592" s="16"/>
      <c r="B592" s="16"/>
      <c r="C592" s="16"/>
      <c r="D592" s="16"/>
      <c r="F592" s="16"/>
      <c r="G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</row>
    <row r="593" spans="1:24">
      <c r="A593" s="16"/>
      <c r="B593" s="16"/>
      <c r="C593" s="16"/>
      <c r="D593" s="16"/>
      <c r="F593" s="16"/>
      <c r="G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</row>
    <row r="594" spans="1:24">
      <c r="A594" s="16"/>
      <c r="B594" s="16"/>
      <c r="C594" s="16"/>
      <c r="D594" s="16"/>
      <c r="F594" s="16"/>
      <c r="G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</row>
    <row r="595" spans="1:24">
      <c r="A595" s="16"/>
      <c r="B595" s="16"/>
      <c r="C595" s="16"/>
      <c r="D595" s="16"/>
      <c r="F595" s="16"/>
      <c r="G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</row>
    <row r="596" spans="1:24">
      <c r="A596" s="16"/>
      <c r="B596" s="16"/>
      <c r="C596" s="16"/>
      <c r="D596" s="16"/>
      <c r="F596" s="16"/>
      <c r="G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</row>
    <row r="597" spans="1:24">
      <c r="A597" s="16"/>
      <c r="B597" s="16"/>
      <c r="C597" s="16"/>
      <c r="D597" s="16"/>
      <c r="F597" s="16"/>
      <c r="G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</row>
    <row r="598" spans="1:24">
      <c r="A598" s="16"/>
      <c r="B598" s="16"/>
      <c r="C598" s="16"/>
      <c r="D598" s="16"/>
      <c r="F598" s="16"/>
      <c r="G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</row>
    <row r="599" spans="1:24">
      <c r="A599" s="16"/>
      <c r="B599" s="16"/>
      <c r="C599" s="16"/>
      <c r="D599" s="16"/>
      <c r="F599" s="16"/>
      <c r="G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</row>
    <row r="600" spans="1:24">
      <c r="A600" s="16"/>
      <c r="B600" s="16"/>
      <c r="C600" s="16"/>
      <c r="D600" s="16"/>
      <c r="F600" s="16"/>
      <c r="G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</row>
    <row r="601" spans="1:24">
      <c r="A601" s="16"/>
      <c r="B601" s="16"/>
      <c r="C601" s="16"/>
      <c r="D601" s="16"/>
      <c r="F601" s="16"/>
      <c r="G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</row>
    <row r="602" spans="1:24">
      <c r="A602" s="16"/>
      <c r="B602" s="16"/>
      <c r="C602" s="16"/>
      <c r="D602" s="16"/>
      <c r="F602" s="16"/>
      <c r="G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</row>
    <row r="603" spans="1:24">
      <c r="A603" s="16"/>
      <c r="B603" s="16"/>
      <c r="C603" s="16"/>
      <c r="D603" s="16"/>
      <c r="F603" s="16"/>
      <c r="G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</row>
    <row r="604" spans="1:24">
      <c r="A604" s="16"/>
      <c r="B604" s="16"/>
      <c r="C604" s="16"/>
      <c r="D604" s="16"/>
      <c r="F604" s="16"/>
      <c r="G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</row>
    <row r="605" spans="1:24">
      <c r="A605" s="16"/>
      <c r="B605" s="16"/>
      <c r="C605" s="16"/>
      <c r="D605" s="16"/>
      <c r="F605" s="16"/>
      <c r="G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</row>
    <row r="606" spans="1:24">
      <c r="A606" s="16"/>
      <c r="B606" s="16"/>
      <c r="C606" s="16"/>
      <c r="D606" s="16"/>
      <c r="F606" s="16"/>
      <c r="G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</row>
    <row r="607" spans="1:24">
      <c r="A607" s="16"/>
      <c r="B607" s="16"/>
      <c r="C607" s="16"/>
      <c r="D607" s="16"/>
      <c r="F607" s="16"/>
      <c r="G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</row>
    <row r="608" spans="1:24">
      <c r="A608" s="16"/>
      <c r="B608" s="16"/>
      <c r="C608" s="16"/>
      <c r="D608" s="16"/>
      <c r="F608" s="16"/>
      <c r="G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</row>
    <row r="609" spans="1:24">
      <c r="A609" s="16"/>
      <c r="B609" s="16"/>
      <c r="C609" s="16"/>
      <c r="D609" s="16"/>
      <c r="F609" s="16"/>
      <c r="G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</row>
    <row r="610" spans="1:24">
      <c r="A610" s="16"/>
      <c r="B610" s="16"/>
      <c r="C610" s="16"/>
      <c r="D610" s="16"/>
      <c r="F610" s="16"/>
      <c r="G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</row>
    <row r="611" spans="1:24">
      <c r="A611" s="16"/>
      <c r="B611" s="16"/>
      <c r="C611" s="16"/>
      <c r="D611" s="16"/>
      <c r="F611" s="16"/>
      <c r="G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</row>
    <row r="612" spans="1:24">
      <c r="A612" s="16"/>
      <c r="B612" s="16"/>
      <c r="C612" s="16"/>
      <c r="D612" s="16"/>
      <c r="F612" s="16"/>
      <c r="G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</row>
    <row r="613" spans="1:24">
      <c r="A613" s="16"/>
      <c r="B613" s="16"/>
      <c r="C613" s="16"/>
      <c r="D613" s="16"/>
      <c r="F613" s="16"/>
      <c r="G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</row>
    <row r="614" spans="1:24">
      <c r="A614" s="16"/>
      <c r="B614" s="16"/>
      <c r="C614" s="16"/>
      <c r="D614" s="16"/>
      <c r="F614" s="16"/>
      <c r="G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</row>
    <row r="615" spans="1:24">
      <c r="A615" s="16"/>
      <c r="B615" s="16"/>
      <c r="C615" s="16"/>
      <c r="D615" s="16"/>
      <c r="F615" s="16"/>
      <c r="G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</row>
    <row r="616" spans="1:24">
      <c r="A616" s="16"/>
      <c r="B616" s="16"/>
      <c r="C616" s="16"/>
      <c r="D616" s="16"/>
      <c r="F616" s="16"/>
      <c r="G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</row>
    <row r="617" spans="1:24">
      <c r="A617" s="16"/>
      <c r="B617" s="16"/>
      <c r="C617" s="16"/>
      <c r="D617" s="16"/>
      <c r="F617" s="16"/>
      <c r="G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</row>
    <row r="618" spans="1:24">
      <c r="A618" s="16"/>
      <c r="B618" s="16"/>
      <c r="C618" s="16"/>
      <c r="D618" s="16"/>
      <c r="F618" s="16"/>
      <c r="G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</row>
    <row r="619" spans="1:24">
      <c r="A619" s="16"/>
      <c r="B619" s="16"/>
      <c r="C619" s="16"/>
      <c r="D619" s="16"/>
      <c r="F619" s="16"/>
      <c r="G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</row>
    <row r="620" spans="1:24">
      <c r="A620" s="16"/>
      <c r="B620" s="16"/>
      <c r="C620" s="16"/>
      <c r="D620" s="16"/>
      <c r="F620" s="16"/>
      <c r="G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</row>
    <row r="621" spans="1:24">
      <c r="A621" s="16"/>
      <c r="B621" s="16"/>
      <c r="C621" s="16"/>
      <c r="D621" s="16"/>
      <c r="F621" s="16"/>
      <c r="G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</row>
    <row r="622" spans="1:24">
      <c r="A622" s="16"/>
      <c r="B622" s="16"/>
      <c r="C622" s="16"/>
      <c r="D622" s="16"/>
      <c r="F622" s="16"/>
      <c r="G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</row>
    <row r="623" spans="1:24">
      <c r="A623" s="16"/>
      <c r="B623" s="16"/>
      <c r="C623" s="16"/>
      <c r="D623" s="16"/>
      <c r="F623" s="16"/>
      <c r="G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</row>
    <row r="624" spans="1:24">
      <c r="A624" s="16"/>
      <c r="B624" s="16"/>
      <c r="C624" s="16"/>
      <c r="D624" s="16"/>
      <c r="F624" s="16"/>
      <c r="G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</row>
    <row r="625" spans="1:24">
      <c r="A625" s="16"/>
      <c r="B625" s="16"/>
      <c r="C625" s="16"/>
      <c r="D625" s="16"/>
      <c r="F625" s="16"/>
      <c r="G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</row>
    <row r="626" spans="1:24">
      <c r="A626" s="16"/>
      <c r="B626" s="16"/>
      <c r="C626" s="16"/>
      <c r="D626" s="16"/>
      <c r="F626" s="16"/>
      <c r="G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</row>
    <row r="627" spans="1:24">
      <c r="A627" s="16"/>
      <c r="B627" s="16"/>
      <c r="C627" s="16"/>
      <c r="D627" s="16"/>
      <c r="F627" s="16"/>
      <c r="G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</row>
    <row r="628" spans="1:24">
      <c r="A628" s="16"/>
      <c r="B628" s="16"/>
      <c r="C628" s="16"/>
      <c r="D628" s="16"/>
      <c r="F628" s="16"/>
      <c r="G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</row>
    <row r="629" spans="1:24">
      <c r="A629" s="16"/>
      <c r="B629" s="16"/>
      <c r="C629" s="16"/>
      <c r="D629" s="16"/>
      <c r="F629" s="16"/>
      <c r="G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</row>
    <row r="630" spans="1:24">
      <c r="A630" s="16"/>
      <c r="B630" s="16"/>
      <c r="C630" s="16"/>
      <c r="D630" s="16"/>
      <c r="F630" s="16"/>
      <c r="G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</row>
    <row r="631" spans="1:24">
      <c r="A631" s="16"/>
      <c r="B631" s="16"/>
      <c r="C631" s="16"/>
      <c r="D631" s="16"/>
      <c r="F631" s="16"/>
      <c r="G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</row>
    <row r="632" spans="1:24">
      <c r="A632" s="16"/>
      <c r="B632" s="16"/>
      <c r="C632" s="16"/>
      <c r="D632" s="16"/>
      <c r="F632" s="16"/>
      <c r="G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</row>
    <row r="633" spans="1:24">
      <c r="A633" s="16"/>
      <c r="B633" s="16"/>
      <c r="C633" s="16"/>
      <c r="D633" s="16"/>
      <c r="F633" s="16"/>
      <c r="G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</row>
    <row r="634" spans="1:24">
      <c r="A634" s="16"/>
      <c r="B634" s="16"/>
      <c r="C634" s="16"/>
      <c r="D634" s="16"/>
      <c r="F634" s="16"/>
      <c r="G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</row>
    <row r="635" spans="1:24">
      <c r="A635" s="16"/>
      <c r="B635" s="16"/>
      <c r="C635" s="16"/>
      <c r="D635" s="16"/>
      <c r="F635" s="16"/>
      <c r="G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</row>
    <row r="636" spans="1:24">
      <c r="A636" s="16"/>
      <c r="B636" s="16"/>
      <c r="C636" s="16"/>
      <c r="D636" s="16"/>
      <c r="F636" s="16"/>
      <c r="G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</row>
    <row r="637" spans="1:24">
      <c r="A637" s="16"/>
      <c r="B637" s="16"/>
      <c r="C637" s="16"/>
      <c r="D637" s="16"/>
      <c r="F637" s="16"/>
      <c r="G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</row>
    <row r="638" spans="1:24">
      <c r="A638" s="16"/>
      <c r="B638" s="16"/>
      <c r="C638" s="16"/>
      <c r="D638" s="16"/>
      <c r="F638" s="16"/>
      <c r="G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</row>
    <row r="639" spans="1:24">
      <c r="A639" s="16"/>
      <c r="B639" s="16"/>
      <c r="C639" s="16"/>
      <c r="D639" s="16"/>
      <c r="F639" s="16"/>
      <c r="G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</row>
    <row r="640" spans="1:24">
      <c r="A640" s="16"/>
      <c r="B640" s="16"/>
      <c r="C640" s="16"/>
      <c r="D640" s="16"/>
      <c r="F640" s="16"/>
      <c r="G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</row>
    <row r="641" spans="1:24">
      <c r="A641" s="16"/>
      <c r="B641" s="16"/>
      <c r="C641" s="16"/>
      <c r="D641" s="16"/>
      <c r="F641" s="16"/>
      <c r="G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</row>
    <row r="642" spans="1:24">
      <c r="A642" s="16"/>
      <c r="B642" s="16"/>
      <c r="C642" s="16"/>
      <c r="D642" s="16"/>
      <c r="F642" s="16"/>
      <c r="G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</row>
    <row r="643" spans="1:24">
      <c r="A643" s="16"/>
      <c r="B643" s="16"/>
      <c r="C643" s="16"/>
      <c r="D643" s="16"/>
      <c r="F643" s="16"/>
      <c r="G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</row>
    <row r="644" spans="1:24">
      <c r="A644" s="16"/>
      <c r="B644" s="16"/>
      <c r="C644" s="16"/>
      <c r="D644" s="16"/>
      <c r="F644" s="16"/>
      <c r="G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</row>
    <row r="645" spans="1:24">
      <c r="A645" s="16"/>
      <c r="B645" s="16"/>
      <c r="C645" s="16"/>
      <c r="D645" s="16"/>
      <c r="F645" s="16"/>
      <c r="G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</row>
    <row r="646" spans="1:24">
      <c r="A646" s="16"/>
      <c r="B646" s="16"/>
      <c r="C646" s="16"/>
      <c r="D646" s="16"/>
      <c r="F646" s="16"/>
      <c r="G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</row>
    <row r="647" spans="1:24">
      <c r="A647" s="16"/>
      <c r="B647" s="16"/>
      <c r="C647" s="16"/>
      <c r="D647" s="16"/>
      <c r="F647" s="16"/>
      <c r="G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</row>
    <row r="648" spans="1:24">
      <c r="A648" s="16"/>
      <c r="B648" s="16"/>
      <c r="C648" s="16"/>
      <c r="D648" s="16"/>
      <c r="F648" s="16"/>
      <c r="G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</row>
    <row r="649" spans="1:24">
      <c r="A649" s="16"/>
      <c r="B649" s="16"/>
      <c r="C649" s="16"/>
      <c r="D649" s="16"/>
      <c r="F649" s="16"/>
      <c r="G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</row>
    <row r="650" spans="1:24">
      <c r="A650" s="16"/>
      <c r="B650" s="16"/>
      <c r="C650" s="16"/>
      <c r="D650" s="16"/>
      <c r="F650" s="16"/>
      <c r="G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</row>
    <row r="651" spans="1:24">
      <c r="A651" s="16"/>
      <c r="B651" s="16"/>
      <c r="C651" s="16"/>
      <c r="D651" s="16"/>
      <c r="F651" s="16"/>
      <c r="G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</row>
    <row r="652" spans="1:24">
      <c r="A652" s="16"/>
      <c r="B652" s="16"/>
      <c r="C652" s="16"/>
      <c r="D652" s="16"/>
      <c r="F652" s="16"/>
      <c r="G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</row>
    <row r="653" spans="1:24">
      <c r="A653" s="16"/>
      <c r="B653" s="16"/>
      <c r="C653" s="16"/>
      <c r="D653" s="16"/>
      <c r="F653" s="16"/>
      <c r="G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</row>
    <row r="654" spans="1:24">
      <c r="A654" s="16"/>
      <c r="B654" s="16"/>
      <c r="C654" s="16"/>
      <c r="D654" s="16"/>
      <c r="F654" s="16"/>
      <c r="G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</row>
    <row r="655" spans="1:24">
      <c r="A655" s="16"/>
      <c r="B655" s="16"/>
      <c r="C655" s="16"/>
      <c r="D655" s="16"/>
      <c r="F655" s="16"/>
      <c r="G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</row>
    <row r="656" spans="1:24">
      <c r="A656" s="16"/>
      <c r="B656" s="16"/>
      <c r="C656" s="16"/>
      <c r="D656" s="16"/>
      <c r="F656" s="16"/>
      <c r="G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</row>
    <row r="657" spans="1:24">
      <c r="A657" s="16"/>
      <c r="B657" s="16"/>
      <c r="C657" s="16"/>
      <c r="D657" s="16"/>
      <c r="F657" s="16"/>
      <c r="G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</row>
    <row r="658" spans="1:24">
      <c r="A658" s="16"/>
      <c r="B658" s="16"/>
      <c r="C658" s="16"/>
      <c r="D658" s="16"/>
      <c r="F658" s="16"/>
      <c r="G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</row>
    <row r="659" spans="1:24">
      <c r="A659" s="16"/>
      <c r="B659" s="16"/>
      <c r="C659" s="16"/>
      <c r="D659" s="16"/>
      <c r="F659" s="16"/>
      <c r="G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</row>
    <row r="660" spans="1:24">
      <c r="A660" s="16"/>
      <c r="B660" s="16"/>
      <c r="C660" s="16"/>
      <c r="D660" s="16"/>
      <c r="F660" s="16"/>
      <c r="G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</row>
    <row r="661" spans="1:24">
      <c r="A661" s="16"/>
      <c r="B661" s="16"/>
      <c r="C661" s="16"/>
      <c r="D661" s="16"/>
      <c r="F661" s="16"/>
      <c r="G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</row>
    <row r="662" spans="1:24">
      <c r="A662" s="16"/>
      <c r="B662" s="16"/>
      <c r="C662" s="16"/>
      <c r="D662" s="16"/>
      <c r="F662" s="16"/>
      <c r="G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</row>
    <row r="663" spans="1:24">
      <c r="A663" s="16"/>
      <c r="B663" s="16"/>
      <c r="C663" s="16"/>
      <c r="D663" s="16"/>
      <c r="F663" s="16"/>
      <c r="G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</row>
    <row r="664" spans="1:24">
      <c r="A664" s="16"/>
      <c r="B664" s="16"/>
      <c r="C664" s="16"/>
      <c r="D664" s="16"/>
      <c r="F664" s="16"/>
      <c r="G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</row>
    <row r="665" spans="1:24">
      <c r="A665" s="16"/>
      <c r="B665" s="16"/>
      <c r="C665" s="16"/>
      <c r="D665" s="16"/>
      <c r="F665" s="16"/>
      <c r="G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</row>
    <row r="666" spans="1:24">
      <c r="A666" s="16"/>
      <c r="B666" s="16"/>
      <c r="C666" s="16"/>
      <c r="D666" s="16"/>
      <c r="F666" s="16"/>
      <c r="G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</row>
    <row r="667" spans="1:24">
      <c r="A667" s="16"/>
      <c r="B667" s="16"/>
      <c r="C667" s="16"/>
      <c r="D667" s="16"/>
      <c r="F667" s="16"/>
      <c r="G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</row>
    <row r="668" spans="1:24">
      <c r="A668" s="16"/>
      <c r="B668" s="16"/>
      <c r="C668" s="16"/>
      <c r="D668" s="16"/>
      <c r="F668" s="16"/>
      <c r="G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</row>
    <row r="669" spans="1:24">
      <c r="A669" s="16"/>
      <c r="B669" s="16"/>
      <c r="C669" s="16"/>
      <c r="D669" s="16"/>
      <c r="F669" s="16"/>
      <c r="G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</row>
    <row r="670" spans="1:24">
      <c r="A670" s="16"/>
      <c r="B670" s="16"/>
      <c r="C670" s="16"/>
      <c r="D670" s="16"/>
      <c r="F670" s="16"/>
      <c r="G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</row>
    <row r="671" spans="1:24">
      <c r="A671" s="16"/>
      <c r="B671" s="16"/>
      <c r="C671" s="16"/>
      <c r="D671" s="16"/>
      <c r="F671" s="16"/>
      <c r="G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</row>
    <row r="672" spans="1:24">
      <c r="A672" s="16"/>
      <c r="B672" s="16"/>
      <c r="C672" s="16"/>
      <c r="D672" s="16"/>
      <c r="F672" s="16"/>
      <c r="G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</row>
    <row r="673" spans="1:24">
      <c r="A673" s="16"/>
      <c r="B673" s="16"/>
      <c r="C673" s="16"/>
      <c r="D673" s="16"/>
      <c r="F673" s="16"/>
      <c r="G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</row>
    <row r="674" spans="1:24">
      <c r="A674" s="16"/>
      <c r="B674" s="16"/>
      <c r="C674" s="16"/>
      <c r="D674" s="16"/>
      <c r="F674" s="16"/>
      <c r="G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</row>
    <row r="675" spans="1:24">
      <c r="A675" s="16"/>
      <c r="B675" s="16"/>
      <c r="C675" s="16"/>
      <c r="D675" s="16"/>
      <c r="F675" s="16"/>
      <c r="G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</row>
    <row r="676" spans="1:24">
      <c r="A676" s="16"/>
      <c r="B676" s="16"/>
      <c r="C676" s="16"/>
      <c r="D676" s="16"/>
      <c r="F676" s="16"/>
      <c r="G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</row>
    <row r="677" spans="1:24">
      <c r="A677" s="16"/>
      <c r="B677" s="16"/>
      <c r="C677" s="16"/>
      <c r="D677" s="16"/>
      <c r="F677" s="16"/>
      <c r="G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</row>
    <row r="678" spans="1:24">
      <c r="A678" s="16"/>
      <c r="B678" s="16"/>
      <c r="C678" s="16"/>
      <c r="D678" s="16"/>
      <c r="F678" s="16"/>
      <c r="G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</row>
    <row r="679" spans="1:24">
      <c r="A679" s="16"/>
      <c r="B679" s="16"/>
      <c r="C679" s="16"/>
      <c r="D679" s="16"/>
      <c r="F679" s="16"/>
      <c r="G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</row>
    <row r="680" spans="1:24">
      <c r="A680" s="16"/>
      <c r="B680" s="16"/>
      <c r="C680" s="16"/>
      <c r="D680" s="16"/>
      <c r="F680" s="16"/>
      <c r="G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</row>
    <row r="681" spans="1:24">
      <c r="A681" s="16"/>
      <c r="B681" s="16"/>
      <c r="C681" s="16"/>
      <c r="D681" s="16"/>
      <c r="F681" s="16"/>
      <c r="G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</row>
    <row r="682" spans="1:24">
      <c r="A682" s="16"/>
      <c r="B682" s="16"/>
      <c r="C682" s="16"/>
      <c r="D682" s="16"/>
      <c r="F682" s="16"/>
      <c r="G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</row>
    <row r="683" spans="1:24">
      <c r="A683" s="16"/>
      <c r="B683" s="16"/>
      <c r="C683" s="16"/>
      <c r="D683" s="16"/>
      <c r="F683" s="16"/>
      <c r="G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</row>
    <row r="684" spans="1:24">
      <c r="A684" s="16"/>
      <c r="B684" s="16"/>
      <c r="C684" s="16"/>
      <c r="D684" s="16"/>
      <c r="F684" s="16"/>
      <c r="G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</row>
    <row r="685" spans="1:24">
      <c r="A685" s="16"/>
      <c r="B685" s="16"/>
      <c r="C685" s="16"/>
      <c r="D685" s="16"/>
      <c r="F685" s="16"/>
      <c r="G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</row>
    <row r="686" spans="1:24">
      <c r="A686" s="16"/>
      <c r="B686" s="16"/>
      <c r="C686" s="16"/>
      <c r="D686" s="16"/>
      <c r="F686" s="16"/>
      <c r="G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</row>
    <row r="687" spans="1:24">
      <c r="A687" s="16"/>
      <c r="B687" s="16"/>
      <c r="C687" s="16"/>
      <c r="D687" s="16"/>
      <c r="F687" s="16"/>
      <c r="G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</row>
    <row r="688" spans="1:24">
      <c r="A688" s="16"/>
      <c r="B688" s="16"/>
      <c r="C688" s="16"/>
      <c r="D688" s="16"/>
      <c r="F688" s="16"/>
      <c r="G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</row>
    <row r="689" spans="1:24">
      <c r="A689" s="16"/>
      <c r="B689" s="16"/>
      <c r="C689" s="16"/>
      <c r="D689" s="16"/>
      <c r="F689" s="16"/>
      <c r="G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</row>
    <row r="690" spans="1:24">
      <c r="A690" s="16"/>
      <c r="B690" s="16"/>
      <c r="C690" s="16"/>
      <c r="D690" s="16"/>
      <c r="F690" s="16"/>
      <c r="G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</row>
    <row r="691" spans="1:24">
      <c r="A691" s="16"/>
      <c r="B691" s="16"/>
      <c r="C691" s="16"/>
      <c r="D691" s="16"/>
      <c r="F691" s="16"/>
      <c r="G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</row>
    <row r="692" spans="1:24">
      <c r="A692" s="16"/>
      <c r="B692" s="16"/>
      <c r="C692" s="16"/>
      <c r="D692" s="16"/>
      <c r="F692" s="16"/>
      <c r="G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</row>
    <row r="693" spans="1:24">
      <c r="A693" s="16"/>
      <c r="B693" s="16"/>
      <c r="C693" s="16"/>
      <c r="D693" s="16"/>
      <c r="F693" s="16"/>
      <c r="G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</row>
    <row r="694" spans="1:24">
      <c r="A694" s="16"/>
      <c r="B694" s="16"/>
      <c r="C694" s="16"/>
      <c r="D694" s="16"/>
      <c r="F694" s="16"/>
      <c r="G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</row>
    <row r="695" spans="1:24">
      <c r="A695" s="16"/>
      <c r="B695" s="16"/>
      <c r="C695" s="16"/>
      <c r="D695" s="16"/>
      <c r="F695" s="16"/>
      <c r="G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</row>
    <row r="696" spans="1:24">
      <c r="A696" s="16"/>
      <c r="B696" s="16"/>
      <c r="C696" s="16"/>
      <c r="D696" s="16"/>
      <c r="F696" s="16"/>
      <c r="G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</row>
    <row r="697" spans="1:24">
      <c r="A697" s="16"/>
      <c r="B697" s="16"/>
      <c r="C697" s="16"/>
      <c r="D697" s="16"/>
      <c r="F697" s="16"/>
      <c r="G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</row>
    <row r="698" spans="1:24">
      <c r="A698" s="16"/>
      <c r="B698" s="16"/>
      <c r="C698" s="16"/>
      <c r="D698" s="16"/>
      <c r="F698" s="16"/>
      <c r="G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</row>
    <row r="699" spans="1:24">
      <c r="A699" s="16"/>
      <c r="B699" s="16"/>
      <c r="C699" s="16"/>
      <c r="D699" s="16"/>
      <c r="F699" s="16"/>
      <c r="G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</row>
    <row r="700" spans="1:24">
      <c r="A700" s="16"/>
      <c r="B700" s="16"/>
      <c r="C700" s="16"/>
      <c r="D700" s="16"/>
      <c r="F700" s="16"/>
      <c r="G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</row>
    <row r="701" spans="1:24">
      <c r="A701" s="16"/>
      <c r="B701" s="16"/>
      <c r="C701" s="16"/>
      <c r="D701" s="16"/>
      <c r="F701" s="16"/>
      <c r="G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</row>
    <row r="702" spans="1:24">
      <c r="A702" s="16"/>
      <c r="B702" s="16"/>
      <c r="C702" s="16"/>
      <c r="D702" s="16"/>
      <c r="F702" s="16"/>
      <c r="G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</row>
    <row r="703" spans="1:24">
      <c r="A703" s="16"/>
      <c r="B703" s="16"/>
      <c r="C703" s="16"/>
      <c r="D703" s="16"/>
      <c r="F703" s="16"/>
      <c r="G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</row>
    <row r="704" spans="1:24">
      <c r="A704" s="16"/>
      <c r="B704" s="16"/>
      <c r="C704" s="16"/>
      <c r="D704" s="16"/>
      <c r="F704" s="16"/>
      <c r="G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</row>
    <row r="705" spans="1:24">
      <c r="A705" s="16"/>
      <c r="B705" s="16"/>
      <c r="C705" s="16"/>
      <c r="D705" s="16"/>
      <c r="F705" s="16"/>
      <c r="G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</row>
    <row r="706" spans="1:24">
      <c r="A706" s="16"/>
      <c r="B706" s="16"/>
      <c r="C706" s="16"/>
      <c r="D706" s="16"/>
      <c r="F706" s="16"/>
      <c r="G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</row>
    <row r="707" spans="1:24">
      <c r="A707" s="16"/>
      <c r="B707" s="16"/>
      <c r="C707" s="16"/>
      <c r="D707" s="16"/>
      <c r="F707" s="16"/>
      <c r="G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</row>
    <row r="708" spans="1:24">
      <c r="A708" s="16"/>
      <c r="B708" s="16"/>
      <c r="C708" s="16"/>
      <c r="D708" s="16"/>
      <c r="F708" s="16"/>
      <c r="G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</row>
    <row r="709" spans="1:24">
      <c r="A709" s="16"/>
      <c r="B709" s="16"/>
      <c r="C709" s="16"/>
      <c r="D709" s="16"/>
      <c r="F709" s="16"/>
      <c r="G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</row>
    <row r="710" spans="1:24">
      <c r="A710" s="16"/>
      <c r="B710" s="16"/>
      <c r="C710" s="16"/>
      <c r="D710" s="16"/>
      <c r="F710" s="16"/>
      <c r="G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</row>
    <row r="711" spans="1:24">
      <c r="A711" s="16"/>
      <c r="B711" s="16"/>
      <c r="C711" s="16"/>
      <c r="D711" s="16"/>
      <c r="F711" s="16"/>
      <c r="G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</row>
    <row r="712" spans="1:24">
      <c r="A712" s="16"/>
      <c r="B712" s="16"/>
      <c r="C712" s="16"/>
      <c r="D712" s="16"/>
      <c r="F712" s="16"/>
      <c r="G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</row>
    <row r="713" spans="1:24">
      <c r="A713" s="16"/>
      <c r="B713" s="16"/>
      <c r="C713" s="16"/>
      <c r="D713" s="16"/>
      <c r="F713" s="16"/>
      <c r="G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</row>
    <row r="714" spans="1:24">
      <c r="A714" s="16"/>
      <c r="B714" s="16"/>
      <c r="C714" s="16"/>
      <c r="D714" s="16"/>
      <c r="F714" s="16"/>
      <c r="G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</row>
    <row r="715" spans="1:24">
      <c r="A715" s="16"/>
      <c r="B715" s="16"/>
      <c r="C715" s="16"/>
      <c r="D715" s="16"/>
      <c r="F715" s="16"/>
      <c r="G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</row>
    <row r="716" spans="1:24">
      <c r="A716" s="16"/>
      <c r="B716" s="16"/>
      <c r="C716" s="16"/>
      <c r="D716" s="16"/>
      <c r="F716" s="16"/>
      <c r="G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</row>
    <row r="717" spans="1:24">
      <c r="A717" s="16"/>
      <c r="B717" s="16"/>
      <c r="C717" s="16"/>
      <c r="D717" s="16"/>
      <c r="F717" s="16"/>
      <c r="G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</row>
    <row r="718" spans="1:24">
      <c r="A718" s="16"/>
      <c r="B718" s="16"/>
      <c r="C718" s="16"/>
      <c r="D718" s="16"/>
      <c r="F718" s="16"/>
      <c r="G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</row>
    <row r="719" spans="1:24">
      <c r="A719" s="16"/>
      <c r="B719" s="16"/>
      <c r="C719" s="16"/>
      <c r="D719" s="16"/>
      <c r="F719" s="16"/>
      <c r="G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</row>
    <row r="720" spans="1:24">
      <c r="A720" s="16"/>
      <c r="B720" s="16"/>
      <c r="C720" s="16"/>
      <c r="D720" s="16"/>
      <c r="F720" s="16"/>
      <c r="G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</row>
    <row r="721" spans="1:24">
      <c r="A721" s="16"/>
      <c r="B721" s="16"/>
      <c r="C721" s="16"/>
      <c r="D721" s="16"/>
      <c r="F721" s="16"/>
      <c r="G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</row>
    <row r="722" spans="1:24">
      <c r="A722" s="16"/>
      <c r="B722" s="16"/>
      <c r="C722" s="16"/>
      <c r="D722" s="16"/>
      <c r="F722" s="16"/>
      <c r="G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</row>
    <row r="723" spans="1:24">
      <c r="A723" s="16"/>
      <c r="B723" s="16"/>
      <c r="C723" s="16"/>
      <c r="D723" s="16"/>
      <c r="F723" s="16"/>
      <c r="G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</row>
    <row r="724" spans="1:24">
      <c r="A724" s="16"/>
      <c r="B724" s="16"/>
      <c r="C724" s="16"/>
      <c r="D724" s="16"/>
      <c r="F724" s="16"/>
      <c r="G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</row>
    <row r="725" spans="1:24">
      <c r="A725" s="16"/>
      <c r="B725" s="16"/>
      <c r="C725" s="16"/>
      <c r="D725" s="16"/>
      <c r="F725" s="16"/>
      <c r="G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</row>
    <row r="726" spans="1:24">
      <c r="A726" s="16"/>
      <c r="B726" s="16"/>
      <c r="C726" s="16"/>
      <c r="D726" s="16"/>
      <c r="F726" s="16"/>
      <c r="G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</row>
    <row r="727" spans="1:24">
      <c r="A727" s="16"/>
      <c r="B727" s="16"/>
      <c r="C727" s="16"/>
      <c r="D727" s="16"/>
      <c r="F727" s="16"/>
      <c r="G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</row>
    <row r="728" spans="1:24">
      <c r="A728" s="16"/>
      <c r="B728" s="16"/>
      <c r="C728" s="16"/>
      <c r="D728" s="16"/>
      <c r="F728" s="16"/>
      <c r="G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</row>
    <row r="729" spans="1:24">
      <c r="A729" s="16"/>
      <c r="B729" s="16"/>
      <c r="C729" s="16"/>
      <c r="D729" s="16"/>
      <c r="F729" s="16"/>
      <c r="G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</row>
    <row r="730" spans="1:24">
      <c r="A730" s="16"/>
      <c r="B730" s="16"/>
      <c r="C730" s="16"/>
      <c r="D730" s="16"/>
      <c r="F730" s="16"/>
      <c r="G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</row>
    <row r="731" spans="1:24">
      <c r="A731" s="16"/>
      <c r="B731" s="16"/>
      <c r="C731" s="16"/>
      <c r="D731" s="16"/>
      <c r="F731" s="16"/>
      <c r="G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</row>
    <row r="732" spans="1:24">
      <c r="A732" s="16"/>
      <c r="B732" s="16"/>
      <c r="C732" s="16"/>
      <c r="D732" s="16"/>
      <c r="F732" s="16"/>
      <c r="G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</row>
    <row r="733" spans="1:24">
      <c r="A733" s="16"/>
      <c r="B733" s="16"/>
      <c r="C733" s="16"/>
      <c r="D733" s="16"/>
      <c r="F733" s="16"/>
      <c r="G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</row>
    <row r="734" spans="1:24">
      <c r="A734" s="16"/>
      <c r="B734" s="16"/>
      <c r="C734" s="16"/>
      <c r="D734" s="16"/>
      <c r="F734" s="16"/>
      <c r="G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</row>
    <row r="735" spans="1:24">
      <c r="A735" s="16"/>
      <c r="B735" s="16"/>
      <c r="C735" s="16"/>
      <c r="D735" s="16"/>
      <c r="F735" s="16"/>
      <c r="G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</row>
    <row r="736" spans="1:24">
      <c r="A736" s="16"/>
      <c r="B736" s="16"/>
      <c r="C736" s="16"/>
      <c r="D736" s="16"/>
      <c r="F736" s="16"/>
      <c r="G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</row>
    <row r="737" spans="1:24">
      <c r="A737" s="16"/>
      <c r="B737" s="16"/>
      <c r="C737" s="16"/>
      <c r="D737" s="16"/>
      <c r="F737" s="16"/>
      <c r="G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</row>
    <row r="738" spans="1:24">
      <c r="A738" s="16"/>
      <c r="B738" s="16"/>
      <c r="C738" s="16"/>
      <c r="D738" s="16"/>
      <c r="F738" s="16"/>
      <c r="G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</row>
    <row r="739" spans="1:24">
      <c r="A739" s="16"/>
      <c r="B739" s="16"/>
      <c r="C739" s="16"/>
      <c r="D739" s="16"/>
      <c r="F739" s="16"/>
      <c r="G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</row>
    <row r="740" spans="1:24">
      <c r="A740" s="16"/>
      <c r="B740" s="16"/>
      <c r="C740" s="16"/>
      <c r="D740" s="16"/>
      <c r="F740" s="16"/>
      <c r="G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</row>
    <row r="741" spans="1:24">
      <c r="A741" s="16"/>
      <c r="B741" s="16"/>
      <c r="C741" s="16"/>
      <c r="D741" s="16"/>
      <c r="F741" s="16"/>
      <c r="G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</row>
    <row r="742" spans="1:24">
      <c r="A742" s="16"/>
      <c r="B742" s="16"/>
      <c r="C742" s="16"/>
      <c r="D742" s="16"/>
      <c r="F742" s="16"/>
      <c r="G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</row>
    <row r="743" spans="1:24">
      <c r="A743" s="16"/>
      <c r="B743" s="16"/>
      <c r="C743" s="16"/>
      <c r="D743" s="16"/>
      <c r="F743" s="16"/>
      <c r="G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</row>
    <row r="744" spans="1:24">
      <c r="A744" s="16"/>
      <c r="B744" s="16"/>
      <c r="C744" s="16"/>
      <c r="D744" s="16"/>
      <c r="F744" s="16"/>
      <c r="G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</row>
    <row r="745" spans="1:24">
      <c r="A745" s="16"/>
      <c r="B745" s="16"/>
      <c r="C745" s="16"/>
      <c r="D745" s="16"/>
      <c r="F745" s="16"/>
      <c r="G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</row>
    <row r="746" spans="1:24">
      <c r="A746" s="16"/>
      <c r="B746" s="16"/>
      <c r="C746" s="16"/>
      <c r="D746" s="16"/>
      <c r="F746" s="16"/>
      <c r="G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</row>
    <row r="747" spans="1:24">
      <c r="A747" s="16"/>
      <c r="B747" s="16"/>
      <c r="C747" s="16"/>
      <c r="D747" s="16"/>
      <c r="F747" s="16"/>
      <c r="G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</row>
    <row r="748" spans="1:24">
      <c r="A748" s="16"/>
      <c r="B748" s="16"/>
      <c r="C748" s="16"/>
      <c r="D748" s="16"/>
      <c r="F748" s="16"/>
      <c r="G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</row>
    <row r="749" spans="1:24">
      <c r="A749" s="16"/>
      <c r="B749" s="16"/>
      <c r="C749" s="16"/>
      <c r="D749" s="16"/>
      <c r="F749" s="16"/>
      <c r="G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</row>
    <row r="750" spans="1:24">
      <c r="A750" s="16"/>
      <c r="B750" s="16"/>
      <c r="C750" s="16"/>
      <c r="D750" s="16"/>
      <c r="F750" s="16"/>
      <c r="G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</row>
    <row r="751" spans="1:24">
      <c r="A751" s="16"/>
      <c r="B751" s="16"/>
      <c r="C751" s="16"/>
      <c r="D751" s="16"/>
      <c r="F751" s="16"/>
      <c r="G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</row>
    <row r="752" spans="1:24">
      <c r="A752" s="16"/>
      <c r="B752" s="16"/>
      <c r="C752" s="16"/>
      <c r="D752" s="16"/>
      <c r="F752" s="16"/>
      <c r="G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</row>
    <row r="753" spans="1:24">
      <c r="A753" s="16"/>
      <c r="B753" s="16"/>
      <c r="C753" s="16"/>
      <c r="D753" s="16"/>
      <c r="F753" s="16"/>
      <c r="G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</row>
    <row r="754" spans="1:24">
      <c r="A754" s="16"/>
      <c r="B754" s="16"/>
      <c r="C754" s="16"/>
      <c r="D754" s="16"/>
      <c r="F754" s="16"/>
      <c r="G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</row>
    <row r="755" spans="1:24">
      <c r="A755" s="16"/>
      <c r="B755" s="16"/>
      <c r="C755" s="16"/>
      <c r="D755" s="16"/>
      <c r="F755" s="16"/>
      <c r="G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</row>
    <row r="756" spans="1:24">
      <c r="A756" s="16"/>
      <c r="B756" s="16"/>
      <c r="C756" s="16"/>
      <c r="D756" s="16"/>
      <c r="F756" s="16"/>
      <c r="G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</row>
    <row r="757" spans="1:24">
      <c r="A757" s="16"/>
      <c r="B757" s="16"/>
      <c r="C757" s="16"/>
      <c r="D757" s="16"/>
      <c r="F757" s="16"/>
      <c r="G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</row>
    <row r="758" spans="1:24">
      <c r="A758" s="16"/>
      <c r="B758" s="16"/>
      <c r="C758" s="16"/>
      <c r="D758" s="16"/>
      <c r="F758" s="16"/>
      <c r="G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</row>
    <row r="759" spans="1:24">
      <c r="A759" s="16"/>
      <c r="B759" s="16"/>
      <c r="C759" s="16"/>
      <c r="D759" s="16"/>
      <c r="F759" s="16"/>
      <c r="G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</row>
    <row r="760" spans="1:24">
      <c r="A760" s="16"/>
      <c r="B760" s="16"/>
      <c r="C760" s="16"/>
      <c r="D760" s="16"/>
      <c r="F760" s="16"/>
      <c r="G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</row>
    <row r="761" spans="1:24">
      <c r="A761" s="16"/>
      <c r="B761" s="16"/>
      <c r="C761" s="16"/>
      <c r="D761" s="16"/>
      <c r="F761" s="16"/>
      <c r="G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</row>
    <row r="762" spans="1:24">
      <c r="A762" s="16"/>
      <c r="B762" s="16"/>
      <c r="C762" s="16"/>
      <c r="D762" s="16"/>
      <c r="F762" s="16"/>
      <c r="G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</row>
    <row r="763" spans="1:24">
      <c r="A763" s="16"/>
      <c r="B763" s="16"/>
      <c r="C763" s="16"/>
      <c r="D763" s="16"/>
      <c r="F763" s="16"/>
      <c r="G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</row>
    <row r="764" spans="1:24">
      <c r="A764" s="16"/>
      <c r="B764" s="16"/>
      <c r="C764" s="16"/>
      <c r="D764" s="16"/>
      <c r="F764" s="16"/>
      <c r="G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</row>
    <row r="765" spans="1:24">
      <c r="A765" s="16"/>
      <c r="B765" s="16"/>
      <c r="C765" s="16"/>
      <c r="D765" s="16"/>
      <c r="F765" s="16"/>
      <c r="G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</row>
    <row r="766" spans="1:24">
      <c r="A766" s="16"/>
      <c r="B766" s="16"/>
      <c r="C766" s="16"/>
      <c r="D766" s="16"/>
      <c r="F766" s="16"/>
      <c r="G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</row>
    <row r="767" spans="1:24">
      <c r="A767" s="16"/>
      <c r="B767" s="16"/>
      <c r="C767" s="16"/>
      <c r="D767" s="16"/>
      <c r="F767" s="16"/>
      <c r="G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</row>
    <row r="768" spans="1:24">
      <c r="A768" s="16"/>
      <c r="B768" s="16"/>
      <c r="C768" s="16"/>
      <c r="D768" s="16"/>
      <c r="F768" s="16"/>
      <c r="G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</row>
    <row r="769" spans="1:24">
      <c r="A769" s="16"/>
      <c r="B769" s="16"/>
      <c r="C769" s="16"/>
      <c r="D769" s="16"/>
      <c r="F769" s="16"/>
      <c r="G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</row>
    <row r="770" spans="1:24">
      <c r="A770" s="16"/>
      <c r="B770" s="16"/>
      <c r="C770" s="16"/>
      <c r="D770" s="16"/>
      <c r="F770" s="16"/>
      <c r="G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</row>
    <row r="771" spans="1:24">
      <c r="A771" s="16"/>
      <c r="B771" s="16"/>
      <c r="C771" s="16"/>
      <c r="D771" s="16"/>
      <c r="F771" s="16"/>
      <c r="G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</row>
    <row r="772" spans="1:24">
      <c r="A772" s="16"/>
      <c r="B772" s="16"/>
      <c r="C772" s="16"/>
      <c r="D772" s="16"/>
      <c r="F772" s="16"/>
      <c r="G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</row>
    <row r="773" spans="1:24">
      <c r="A773" s="16"/>
      <c r="B773" s="16"/>
      <c r="C773" s="16"/>
      <c r="D773" s="16"/>
      <c r="F773" s="16"/>
      <c r="G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</row>
    <row r="774" spans="1:24">
      <c r="A774" s="16"/>
      <c r="B774" s="16"/>
      <c r="C774" s="16"/>
      <c r="D774" s="16"/>
      <c r="F774" s="16"/>
      <c r="G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</row>
    <row r="775" spans="1:24">
      <c r="A775" s="16"/>
      <c r="B775" s="16"/>
      <c r="C775" s="16"/>
      <c r="D775" s="16"/>
      <c r="F775" s="16"/>
      <c r="G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</row>
    <row r="776" spans="1:24">
      <c r="A776" s="16"/>
      <c r="B776" s="16"/>
      <c r="C776" s="16"/>
      <c r="D776" s="16"/>
      <c r="F776" s="16"/>
      <c r="G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</row>
    <row r="777" spans="1:24">
      <c r="A777" s="16"/>
      <c r="B777" s="16"/>
      <c r="C777" s="16"/>
      <c r="D777" s="16"/>
      <c r="F777" s="16"/>
      <c r="G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</row>
    <row r="778" spans="1:24">
      <c r="A778" s="16"/>
      <c r="B778" s="16"/>
      <c r="C778" s="16"/>
      <c r="D778" s="16"/>
      <c r="F778" s="16"/>
      <c r="G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</row>
    <row r="779" spans="1:24">
      <c r="A779" s="16"/>
      <c r="B779" s="16"/>
      <c r="C779" s="16"/>
      <c r="D779" s="16"/>
      <c r="F779" s="16"/>
      <c r="G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</row>
    <row r="780" spans="1:24">
      <c r="A780" s="16"/>
      <c r="B780" s="16"/>
      <c r="C780" s="16"/>
      <c r="D780" s="16"/>
      <c r="F780" s="16"/>
      <c r="G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</row>
    <row r="781" spans="1:24">
      <c r="A781" s="16"/>
      <c r="B781" s="16"/>
      <c r="C781" s="16"/>
      <c r="D781" s="16"/>
      <c r="F781" s="16"/>
      <c r="G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</row>
    <row r="782" spans="1:24">
      <c r="A782" s="16"/>
      <c r="B782" s="16"/>
      <c r="C782" s="16"/>
      <c r="D782" s="16"/>
      <c r="F782" s="16"/>
      <c r="G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</row>
    <row r="783" spans="1:24">
      <c r="A783" s="16"/>
      <c r="B783" s="16"/>
      <c r="C783" s="16"/>
      <c r="D783" s="16"/>
      <c r="F783" s="16"/>
      <c r="G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</row>
    <row r="784" spans="1:24">
      <c r="A784" s="16"/>
      <c r="B784" s="16"/>
      <c r="C784" s="16"/>
      <c r="D784" s="16"/>
      <c r="F784" s="16"/>
      <c r="G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</row>
    <row r="785" spans="1:24">
      <c r="A785" s="16"/>
      <c r="B785" s="16"/>
      <c r="C785" s="16"/>
      <c r="D785" s="16"/>
      <c r="F785" s="16"/>
      <c r="G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</row>
    <row r="786" spans="1:24">
      <c r="A786" s="16"/>
      <c r="B786" s="16"/>
      <c r="C786" s="16"/>
      <c r="D786" s="16"/>
      <c r="F786" s="16"/>
      <c r="G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</row>
    <row r="787" spans="1:24">
      <c r="A787" s="16"/>
      <c r="B787" s="16"/>
      <c r="C787" s="16"/>
      <c r="D787" s="16"/>
      <c r="F787" s="16"/>
      <c r="G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</row>
    <row r="788" spans="1:24">
      <c r="A788" s="16"/>
      <c r="B788" s="16"/>
      <c r="C788" s="16"/>
      <c r="D788" s="16"/>
      <c r="F788" s="16"/>
      <c r="G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</row>
    <row r="789" spans="1:24">
      <c r="A789" s="16"/>
      <c r="B789" s="16"/>
      <c r="C789" s="16"/>
      <c r="D789" s="16"/>
      <c r="F789" s="16"/>
      <c r="G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</row>
    <row r="790" spans="1:24">
      <c r="A790" s="16"/>
      <c r="B790" s="16"/>
      <c r="C790" s="16"/>
      <c r="D790" s="16"/>
      <c r="F790" s="16"/>
      <c r="G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</row>
    <row r="791" spans="1:24">
      <c r="A791" s="16"/>
      <c r="B791" s="16"/>
      <c r="C791" s="16"/>
      <c r="D791" s="16"/>
      <c r="F791" s="16"/>
      <c r="G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</row>
    <row r="792" spans="1:24">
      <c r="A792" s="16"/>
      <c r="B792" s="16"/>
      <c r="C792" s="16"/>
      <c r="D792" s="16"/>
      <c r="F792" s="16"/>
      <c r="G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</row>
    <row r="793" spans="1:24">
      <c r="A793" s="16"/>
      <c r="B793" s="16"/>
      <c r="C793" s="16"/>
      <c r="D793" s="16"/>
      <c r="F793" s="16"/>
      <c r="G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</row>
    <row r="794" spans="1:24">
      <c r="A794" s="16"/>
      <c r="B794" s="16"/>
      <c r="C794" s="16"/>
      <c r="D794" s="16"/>
      <c r="F794" s="16"/>
      <c r="G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</row>
    <row r="795" spans="1:24">
      <c r="A795" s="16"/>
      <c r="B795" s="16"/>
      <c r="C795" s="16"/>
      <c r="D795" s="16"/>
      <c r="F795" s="16"/>
      <c r="G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</row>
    <row r="796" spans="1:24">
      <c r="A796" s="16"/>
      <c r="B796" s="16"/>
      <c r="C796" s="16"/>
      <c r="D796" s="16"/>
      <c r="F796" s="16"/>
      <c r="G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</row>
    <row r="797" spans="1:24">
      <c r="A797" s="16"/>
      <c r="B797" s="16"/>
      <c r="C797" s="16"/>
      <c r="D797" s="16"/>
      <c r="F797" s="16"/>
      <c r="G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</row>
    <row r="798" spans="1:24">
      <c r="A798" s="16"/>
      <c r="B798" s="16"/>
      <c r="C798" s="16"/>
      <c r="D798" s="16"/>
      <c r="F798" s="16"/>
      <c r="G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</row>
    <row r="799" spans="1:24">
      <c r="A799" s="16"/>
      <c r="B799" s="16"/>
      <c r="C799" s="16"/>
      <c r="D799" s="16"/>
      <c r="F799" s="16"/>
      <c r="G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</row>
    <row r="800" spans="1:24">
      <c r="A800" s="16"/>
      <c r="B800" s="16"/>
      <c r="C800" s="16"/>
      <c r="D800" s="16"/>
      <c r="F800" s="16"/>
      <c r="G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</row>
    <row r="801" spans="1:24">
      <c r="A801" s="16"/>
      <c r="B801" s="16"/>
      <c r="C801" s="16"/>
      <c r="D801" s="16"/>
      <c r="F801" s="16"/>
      <c r="G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</row>
    <row r="802" spans="1:24">
      <c r="A802" s="16"/>
      <c r="B802" s="16"/>
      <c r="C802" s="16"/>
      <c r="D802" s="16"/>
      <c r="F802" s="16"/>
      <c r="G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</row>
    <row r="803" spans="1:24">
      <c r="A803" s="16"/>
      <c r="B803" s="16"/>
      <c r="C803" s="16"/>
      <c r="D803" s="16"/>
      <c r="F803" s="16"/>
      <c r="G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</row>
    <row r="804" spans="1:24">
      <c r="A804" s="16"/>
      <c r="B804" s="16"/>
      <c r="C804" s="16"/>
      <c r="D804" s="16"/>
      <c r="F804" s="16"/>
      <c r="G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</row>
    <row r="805" spans="1:24">
      <c r="A805" s="16"/>
      <c r="B805" s="16"/>
      <c r="C805" s="16"/>
      <c r="D805" s="16"/>
      <c r="F805" s="16"/>
      <c r="G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</row>
    <row r="806" spans="1:24">
      <c r="A806" s="16"/>
      <c r="B806" s="16"/>
      <c r="C806" s="16"/>
      <c r="D806" s="16"/>
      <c r="F806" s="16"/>
      <c r="G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</row>
    <row r="807" spans="1:24">
      <c r="A807" s="16"/>
      <c r="B807" s="16"/>
      <c r="C807" s="16"/>
      <c r="D807" s="16"/>
      <c r="F807" s="16"/>
      <c r="G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</row>
    <row r="808" spans="1:24">
      <c r="A808" s="16"/>
      <c r="B808" s="16"/>
      <c r="C808" s="16"/>
      <c r="D808" s="16"/>
      <c r="F808" s="16"/>
      <c r="G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</row>
    <row r="809" spans="1:24">
      <c r="A809" s="16"/>
      <c r="B809" s="16"/>
      <c r="C809" s="16"/>
      <c r="D809" s="16"/>
      <c r="F809" s="16"/>
      <c r="G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</row>
    <row r="810" spans="1:24">
      <c r="A810" s="16"/>
      <c r="B810" s="16"/>
      <c r="C810" s="16"/>
      <c r="D810" s="16"/>
      <c r="F810" s="16"/>
      <c r="G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</row>
    <row r="811" spans="1:24">
      <c r="A811" s="16"/>
      <c r="B811" s="16"/>
      <c r="C811" s="16"/>
      <c r="D811" s="16"/>
      <c r="F811" s="16"/>
      <c r="G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</row>
    <row r="812" spans="1:24">
      <c r="A812" s="16"/>
      <c r="B812" s="16"/>
      <c r="C812" s="16"/>
      <c r="D812" s="16"/>
      <c r="F812" s="16"/>
      <c r="G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</row>
    <row r="813" spans="1:24">
      <c r="A813" s="16"/>
      <c r="B813" s="16"/>
      <c r="C813" s="16"/>
      <c r="D813" s="16"/>
      <c r="F813" s="16"/>
      <c r="G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</row>
    <row r="814" spans="1:24">
      <c r="A814" s="16"/>
      <c r="B814" s="16"/>
      <c r="C814" s="16"/>
      <c r="D814" s="16"/>
      <c r="F814" s="16"/>
      <c r="G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</row>
    <row r="815" spans="1:24">
      <c r="A815" s="16"/>
      <c r="B815" s="16"/>
      <c r="C815" s="16"/>
      <c r="D815" s="16"/>
      <c r="F815" s="16"/>
      <c r="G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</row>
    <row r="816" spans="1:24">
      <c r="A816" s="16"/>
      <c r="B816" s="16"/>
      <c r="C816" s="16"/>
      <c r="D816" s="16"/>
      <c r="F816" s="16"/>
      <c r="G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</row>
    <row r="817" spans="1:24">
      <c r="A817" s="16"/>
      <c r="B817" s="16"/>
      <c r="C817" s="16"/>
      <c r="D817" s="16"/>
      <c r="F817" s="16"/>
      <c r="G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</row>
    <row r="818" spans="1:24">
      <c r="A818" s="16"/>
      <c r="B818" s="16"/>
      <c r="C818" s="16"/>
      <c r="D818" s="16"/>
      <c r="F818" s="16"/>
      <c r="G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</row>
    <row r="819" spans="1:24">
      <c r="A819" s="16"/>
      <c r="B819" s="16"/>
      <c r="C819" s="16"/>
      <c r="D819" s="16"/>
      <c r="F819" s="16"/>
      <c r="G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</row>
    <row r="820" spans="1:24">
      <c r="A820" s="16"/>
      <c r="B820" s="16"/>
      <c r="C820" s="16"/>
      <c r="D820" s="16"/>
      <c r="F820" s="16"/>
      <c r="G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</row>
    <row r="821" spans="1:24">
      <c r="A821" s="16"/>
      <c r="B821" s="16"/>
      <c r="C821" s="16"/>
      <c r="D821" s="16"/>
      <c r="F821" s="16"/>
      <c r="G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</row>
    <row r="822" spans="1:24">
      <c r="A822" s="16"/>
      <c r="B822" s="16"/>
      <c r="C822" s="16"/>
      <c r="D822" s="16"/>
      <c r="F822" s="16"/>
      <c r="G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</row>
    <row r="823" spans="1:24">
      <c r="A823" s="16"/>
      <c r="B823" s="16"/>
      <c r="C823" s="16"/>
      <c r="D823" s="16"/>
      <c r="F823" s="16"/>
      <c r="G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</row>
    <row r="824" spans="1:24">
      <c r="A824" s="16"/>
      <c r="B824" s="16"/>
      <c r="C824" s="16"/>
      <c r="D824" s="16"/>
      <c r="F824" s="16"/>
      <c r="G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</row>
    <row r="825" spans="1:24">
      <c r="A825" s="16"/>
      <c r="B825" s="16"/>
      <c r="C825" s="16"/>
      <c r="D825" s="16"/>
      <c r="F825" s="16"/>
      <c r="G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</row>
    <row r="826" spans="1:24">
      <c r="A826" s="16"/>
      <c r="B826" s="16"/>
      <c r="C826" s="16"/>
      <c r="D826" s="16"/>
      <c r="F826" s="16"/>
      <c r="G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</row>
    <row r="827" spans="1:24">
      <c r="A827" s="16"/>
      <c r="B827" s="16"/>
      <c r="C827" s="16"/>
      <c r="D827" s="16"/>
      <c r="F827" s="16"/>
      <c r="G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</row>
    <row r="828" spans="1:24">
      <c r="A828" s="16"/>
      <c r="B828" s="16"/>
      <c r="C828" s="16"/>
      <c r="D828" s="16"/>
      <c r="F828" s="16"/>
      <c r="G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</row>
    <row r="829" spans="1:24">
      <c r="A829" s="16"/>
      <c r="B829" s="16"/>
      <c r="C829" s="16"/>
      <c r="D829" s="16"/>
      <c r="F829" s="16"/>
      <c r="G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</row>
    <row r="830" spans="1:24">
      <c r="A830" s="16"/>
      <c r="B830" s="16"/>
      <c r="C830" s="16"/>
      <c r="D830" s="16"/>
      <c r="F830" s="16"/>
      <c r="G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</row>
    <row r="831" spans="1:24">
      <c r="A831" s="16"/>
      <c r="B831" s="16"/>
      <c r="C831" s="16"/>
      <c r="D831" s="16"/>
      <c r="F831" s="16"/>
      <c r="G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</row>
    <row r="832" spans="1:24">
      <c r="A832" s="16"/>
      <c r="B832" s="16"/>
      <c r="C832" s="16"/>
      <c r="D832" s="16"/>
      <c r="F832" s="16"/>
      <c r="G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</row>
    <row r="833" spans="1:24">
      <c r="A833" s="16"/>
      <c r="B833" s="16"/>
      <c r="C833" s="16"/>
      <c r="D833" s="16"/>
      <c r="F833" s="16"/>
      <c r="G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</row>
    <row r="834" spans="1:24">
      <c r="A834" s="16"/>
      <c r="B834" s="16"/>
      <c r="C834" s="16"/>
      <c r="D834" s="16"/>
      <c r="F834" s="16"/>
      <c r="G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</row>
    <row r="835" spans="1:24">
      <c r="A835" s="16"/>
      <c r="B835" s="16"/>
      <c r="C835" s="16"/>
      <c r="D835" s="16"/>
      <c r="F835" s="16"/>
      <c r="G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</row>
    <row r="836" spans="1:24">
      <c r="A836" s="16"/>
      <c r="B836" s="16"/>
      <c r="C836" s="16"/>
      <c r="D836" s="16"/>
      <c r="F836" s="16"/>
      <c r="G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</row>
    <row r="837" spans="1:24">
      <c r="A837" s="16"/>
      <c r="B837" s="16"/>
      <c r="C837" s="16"/>
      <c r="D837" s="16"/>
      <c r="F837" s="16"/>
      <c r="G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</row>
    <row r="838" spans="1:24">
      <c r="A838" s="16"/>
      <c r="B838" s="16"/>
      <c r="C838" s="16"/>
      <c r="D838" s="16"/>
      <c r="F838" s="16"/>
      <c r="G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</row>
    <row r="839" spans="1:24">
      <c r="A839" s="16"/>
      <c r="B839" s="16"/>
      <c r="C839" s="16"/>
      <c r="D839" s="16"/>
      <c r="F839" s="16"/>
      <c r="G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</row>
    <row r="840" spans="1:24">
      <c r="A840" s="16"/>
      <c r="B840" s="16"/>
      <c r="C840" s="16"/>
      <c r="D840" s="16"/>
      <c r="F840" s="16"/>
      <c r="G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</row>
    <row r="841" spans="1:24">
      <c r="A841" s="16"/>
      <c r="B841" s="16"/>
      <c r="C841" s="16"/>
      <c r="D841" s="16"/>
      <c r="F841" s="16"/>
      <c r="G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</row>
    <row r="842" spans="1:24">
      <c r="A842" s="16"/>
      <c r="B842" s="16"/>
      <c r="C842" s="16"/>
      <c r="D842" s="16"/>
      <c r="F842" s="16"/>
      <c r="G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</row>
    <row r="843" spans="1:24">
      <c r="A843" s="16"/>
      <c r="B843" s="16"/>
      <c r="C843" s="16"/>
      <c r="D843" s="16"/>
      <c r="F843" s="16"/>
      <c r="G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</row>
    <row r="844" spans="1:24">
      <c r="A844" s="16"/>
      <c r="B844" s="16"/>
      <c r="C844" s="16"/>
      <c r="D844" s="16"/>
      <c r="F844" s="16"/>
      <c r="G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</row>
    <row r="845" spans="1:24">
      <c r="A845" s="16"/>
      <c r="B845" s="16"/>
      <c r="C845" s="16"/>
      <c r="D845" s="16"/>
      <c r="F845" s="16"/>
      <c r="G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</row>
    <row r="846" spans="1:24">
      <c r="A846" s="16"/>
      <c r="B846" s="16"/>
      <c r="C846" s="16"/>
      <c r="D846" s="16"/>
      <c r="F846" s="16"/>
      <c r="G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</row>
    <row r="847" spans="1:24">
      <c r="A847" s="16"/>
      <c r="B847" s="16"/>
      <c r="C847" s="16"/>
      <c r="D847" s="16"/>
      <c r="F847" s="16"/>
      <c r="G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</row>
    <row r="848" spans="1:24">
      <c r="A848" s="16"/>
      <c r="B848" s="16"/>
      <c r="C848" s="16"/>
      <c r="D848" s="16"/>
      <c r="F848" s="16"/>
      <c r="G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</row>
    <row r="849" spans="1:24">
      <c r="A849" s="16"/>
      <c r="B849" s="16"/>
      <c r="C849" s="16"/>
      <c r="D849" s="16"/>
      <c r="F849" s="16"/>
      <c r="G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</row>
    <row r="850" spans="1:24">
      <c r="A850" s="16"/>
      <c r="B850" s="16"/>
      <c r="C850" s="16"/>
      <c r="D850" s="16"/>
      <c r="F850" s="16"/>
      <c r="G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</row>
    <row r="851" spans="1:24">
      <c r="A851" s="16"/>
      <c r="B851" s="16"/>
      <c r="C851" s="16"/>
      <c r="D851" s="16"/>
      <c r="F851" s="16"/>
      <c r="G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</row>
    <row r="852" spans="1:24">
      <c r="A852" s="16"/>
      <c r="B852" s="16"/>
      <c r="C852" s="16"/>
      <c r="D852" s="16"/>
      <c r="F852" s="16"/>
      <c r="G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</row>
    <row r="853" spans="1:24">
      <c r="A853" s="16"/>
      <c r="B853" s="16"/>
      <c r="C853" s="16"/>
      <c r="D853" s="16"/>
      <c r="F853" s="16"/>
      <c r="G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</row>
    <row r="854" spans="1:24">
      <c r="A854" s="16"/>
      <c r="B854" s="16"/>
      <c r="C854" s="16"/>
      <c r="D854" s="16"/>
      <c r="F854" s="16"/>
      <c r="G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</row>
    <row r="855" spans="1:24">
      <c r="A855" s="16"/>
      <c r="B855" s="16"/>
      <c r="C855" s="16"/>
      <c r="D855" s="16"/>
      <c r="F855" s="16"/>
      <c r="G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</row>
    <row r="856" spans="1:24">
      <c r="A856" s="16"/>
      <c r="B856" s="16"/>
      <c r="C856" s="16"/>
      <c r="D856" s="16"/>
      <c r="F856" s="16"/>
      <c r="G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</row>
    <row r="857" spans="1:24">
      <c r="A857" s="16"/>
      <c r="B857" s="16"/>
      <c r="C857" s="16"/>
      <c r="D857" s="16"/>
      <c r="F857" s="16"/>
      <c r="G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</row>
    <row r="858" spans="1:24">
      <c r="A858" s="16"/>
      <c r="B858" s="16"/>
      <c r="C858" s="16"/>
      <c r="D858" s="16"/>
      <c r="F858" s="16"/>
      <c r="G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</row>
    <row r="859" spans="1:24">
      <c r="A859" s="16"/>
      <c r="B859" s="16"/>
      <c r="C859" s="16"/>
      <c r="D859" s="16"/>
      <c r="F859" s="16"/>
      <c r="G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</row>
    <row r="860" spans="1:24">
      <c r="A860" s="16"/>
      <c r="B860" s="16"/>
      <c r="C860" s="16"/>
      <c r="D860" s="16"/>
      <c r="F860" s="16"/>
      <c r="G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</row>
    <row r="861" spans="1:24">
      <c r="A861" s="16"/>
      <c r="B861" s="16"/>
      <c r="C861" s="16"/>
      <c r="D861" s="16"/>
      <c r="F861" s="16"/>
      <c r="G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</row>
    <row r="862" spans="1:24">
      <c r="A862" s="16"/>
      <c r="B862" s="16"/>
      <c r="C862" s="16"/>
      <c r="D862" s="16"/>
      <c r="F862" s="16"/>
      <c r="G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</row>
    <row r="863" spans="1:24">
      <c r="A863" s="16"/>
      <c r="B863" s="16"/>
      <c r="C863" s="16"/>
      <c r="D863" s="16"/>
      <c r="F863" s="16"/>
      <c r="G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</row>
    <row r="864" spans="1:24">
      <c r="A864" s="16"/>
      <c r="B864" s="16"/>
      <c r="C864" s="16"/>
      <c r="D864" s="16"/>
      <c r="F864" s="16"/>
      <c r="G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</row>
    <row r="865" spans="1:24">
      <c r="A865" s="16"/>
      <c r="B865" s="16"/>
      <c r="C865" s="16"/>
      <c r="D865" s="16"/>
      <c r="F865" s="16"/>
      <c r="G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</row>
    <row r="866" spans="1:24">
      <c r="A866" s="16"/>
      <c r="B866" s="16"/>
      <c r="C866" s="16"/>
      <c r="D866" s="16"/>
      <c r="F866" s="16"/>
      <c r="G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</row>
    <row r="867" spans="1:24">
      <c r="A867" s="16"/>
      <c r="B867" s="16"/>
      <c r="C867" s="16"/>
      <c r="D867" s="16"/>
      <c r="F867" s="16"/>
      <c r="G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</row>
    <row r="868" spans="1:24">
      <c r="A868" s="16"/>
      <c r="B868" s="16"/>
      <c r="C868" s="16"/>
      <c r="D868" s="16"/>
      <c r="F868" s="16"/>
      <c r="G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</row>
    <row r="869" spans="1:24">
      <c r="A869" s="16"/>
      <c r="B869" s="16"/>
      <c r="C869" s="16"/>
      <c r="D869" s="16"/>
      <c r="F869" s="16"/>
      <c r="G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</row>
    <row r="870" spans="1:24">
      <c r="A870" s="16"/>
      <c r="B870" s="16"/>
      <c r="C870" s="16"/>
      <c r="D870" s="16"/>
      <c r="F870" s="16"/>
      <c r="G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</row>
    <row r="871" spans="1:24">
      <c r="A871" s="16"/>
      <c r="B871" s="16"/>
      <c r="C871" s="16"/>
      <c r="D871" s="16"/>
      <c r="F871" s="16"/>
      <c r="G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</row>
    <row r="872" spans="1:24">
      <c r="A872" s="16"/>
      <c r="B872" s="16"/>
      <c r="C872" s="16"/>
      <c r="D872" s="16"/>
      <c r="F872" s="16"/>
      <c r="G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</row>
    <row r="873" spans="1:24">
      <c r="A873" s="16"/>
      <c r="B873" s="16"/>
      <c r="C873" s="16"/>
      <c r="D873" s="16"/>
      <c r="F873" s="16"/>
      <c r="G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</row>
    <row r="874" spans="1:24">
      <c r="A874" s="16"/>
      <c r="B874" s="16"/>
      <c r="C874" s="16"/>
      <c r="D874" s="16"/>
      <c r="F874" s="16"/>
      <c r="G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</row>
    <row r="875" spans="1:24">
      <c r="A875" s="16"/>
      <c r="B875" s="16"/>
      <c r="C875" s="16"/>
      <c r="D875" s="16"/>
      <c r="F875" s="16"/>
      <c r="G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</row>
    <row r="876" spans="1:24">
      <c r="A876" s="16"/>
      <c r="B876" s="16"/>
      <c r="C876" s="16"/>
      <c r="D876" s="16"/>
      <c r="F876" s="16"/>
      <c r="G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</row>
    <row r="877" spans="1:24">
      <c r="A877" s="16"/>
      <c r="B877" s="16"/>
      <c r="C877" s="16"/>
      <c r="D877" s="16"/>
      <c r="F877" s="16"/>
      <c r="G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</row>
    <row r="878" spans="1:24">
      <c r="A878" s="16"/>
      <c r="B878" s="16"/>
      <c r="C878" s="16"/>
      <c r="D878" s="16"/>
      <c r="F878" s="16"/>
      <c r="G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</row>
    <row r="879" spans="1:24">
      <c r="A879" s="16"/>
      <c r="B879" s="16"/>
      <c r="C879" s="16"/>
      <c r="D879" s="16"/>
      <c r="F879" s="16"/>
      <c r="G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</row>
    <row r="880" spans="1:24">
      <c r="A880" s="16"/>
      <c r="B880" s="16"/>
      <c r="C880" s="16"/>
      <c r="D880" s="16"/>
      <c r="F880" s="16"/>
      <c r="G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</row>
    <row r="881" spans="1:24">
      <c r="A881" s="16"/>
      <c r="B881" s="16"/>
      <c r="C881" s="16"/>
      <c r="D881" s="16"/>
      <c r="F881" s="16"/>
      <c r="G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</row>
    <row r="882" spans="1:24">
      <c r="A882" s="16"/>
      <c r="B882" s="16"/>
      <c r="C882" s="16"/>
      <c r="D882" s="16"/>
      <c r="F882" s="16"/>
      <c r="G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</row>
    <row r="883" spans="1:24">
      <c r="A883" s="16"/>
      <c r="B883" s="16"/>
      <c r="C883" s="16"/>
      <c r="D883" s="16"/>
      <c r="F883" s="16"/>
      <c r="G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</row>
    <row r="884" spans="1:24">
      <c r="A884" s="16"/>
      <c r="B884" s="16"/>
      <c r="C884" s="16"/>
      <c r="D884" s="16"/>
      <c r="F884" s="16"/>
      <c r="G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</row>
    <row r="885" spans="1:24">
      <c r="A885" s="16"/>
      <c r="B885" s="16"/>
      <c r="C885" s="16"/>
      <c r="D885" s="16"/>
      <c r="F885" s="16"/>
      <c r="G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</row>
    <row r="886" spans="1:24">
      <c r="A886" s="16"/>
      <c r="B886" s="16"/>
      <c r="C886" s="16"/>
      <c r="D886" s="16"/>
      <c r="F886" s="16"/>
      <c r="G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</row>
    <row r="887" spans="1:24">
      <c r="A887" s="16"/>
      <c r="B887" s="16"/>
      <c r="C887" s="16"/>
      <c r="D887" s="16"/>
      <c r="F887" s="16"/>
      <c r="G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</row>
    <row r="888" spans="1:24">
      <c r="A888" s="16"/>
      <c r="B888" s="16"/>
      <c r="C888" s="16"/>
      <c r="D888" s="16"/>
      <c r="F888" s="16"/>
      <c r="G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</row>
    <row r="889" spans="1:24">
      <c r="A889" s="16"/>
      <c r="B889" s="16"/>
      <c r="C889" s="16"/>
      <c r="D889" s="16"/>
      <c r="F889" s="16"/>
      <c r="G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</row>
    <row r="890" spans="1:24">
      <c r="A890" s="16"/>
      <c r="B890" s="16"/>
      <c r="C890" s="16"/>
      <c r="D890" s="16"/>
      <c r="F890" s="16"/>
      <c r="G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</row>
    <row r="891" spans="1:24">
      <c r="A891" s="16"/>
      <c r="B891" s="16"/>
      <c r="C891" s="16"/>
      <c r="D891" s="16"/>
      <c r="F891" s="16"/>
      <c r="G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</row>
    <row r="892" spans="1:24">
      <c r="A892" s="16"/>
      <c r="B892" s="16"/>
      <c r="C892" s="16"/>
      <c r="D892" s="16"/>
      <c r="F892" s="16"/>
      <c r="G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</row>
    <row r="893" spans="1:24">
      <c r="A893" s="16"/>
      <c r="B893" s="16"/>
      <c r="C893" s="16"/>
      <c r="D893" s="16"/>
      <c r="F893" s="16"/>
      <c r="G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</row>
    <row r="894" spans="1:24">
      <c r="A894" s="16"/>
      <c r="B894" s="16"/>
      <c r="C894" s="16"/>
      <c r="D894" s="16"/>
      <c r="F894" s="16"/>
      <c r="G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</row>
    <row r="895" spans="1:24">
      <c r="A895" s="16"/>
      <c r="B895" s="16"/>
      <c r="C895" s="16"/>
      <c r="D895" s="16"/>
      <c r="F895" s="16"/>
      <c r="G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</row>
    <row r="896" spans="1:24">
      <c r="A896" s="16"/>
      <c r="B896" s="16"/>
      <c r="C896" s="16"/>
      <c r="D896" s="16"/>
      <c r="F896" s="16"/>
      <c r="G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</row>
    <row r="897" spans="1:24">
      <c r="A897" s="16"/>
      <c r="B897" s="16"/>
      <c r="C897" s="16"/>
      <c r="D897" s="16"/>
      <c r="F897" s="16"/>
      <c r="G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</row>
    <row r="898" spans="1:24">
      <c r="A898" s="16"/>
      <c r="B898" s="16"/>
      <c r="C898" s="16"/>
      <c r="D898" s="16"/>
      <c r="F898" s="16"/>
      <c r="G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</row>
    <row r="899" spans="1:24">
      <c r="A899" s="16"/>
      <c r="B899" s="16"/>
      <c r="C899" s="16"/>
      <c r="D899" s="16"/>
      <c r="F899" s="16"/>
      <c r="G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</row>
    <row r="900" spans="1:24">
      <c r="A900" s="16"/>
      <c r="B900" s="16"/>
      <c r="C900" s="16"/>
      <c r="D900" s="16"/>
      <c r="F900" s="16"/>
      <c r="G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</row>
    <row r="901" spans="1:24">
      <c r="A901" s="16"/>
      <c r="B901" s="16"/>
      <c r="C901" s="16"/>
      <c r="D901" s="16"/>
      <c r="F901" s="16"/>
      <c r="G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</row>
    <row r="902" spans="1:24">
      <c r="A902" s="16"/>
      <c r="B902" s="16"/>
      <c r="C902" s="16"/>
      <c r="D902" s="16"/>
      <c r="F902" s="16"/>
      <c r="G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</row>
    <row r="903" spans="1:24">
      <c r="A903" s="16"/>
      <c r="B903" s="16"/>
      <c r="C903" s="16"/>
      <c r="D903" s="16"/>
      <c r="F903" s="16"/>
      <c r="G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</row>
    <row r="904" spans="1:24">
      <c r="A904" s="16"/>
      <c r="B904" s="16"/>
      <c r="C904" s="16"/>
      <c r="D904" s="16"/>
      <c r="F904" s="16"/>
      <c r="G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</row>
    <row r="905" spans="1:24">
      <c r="A905" s="16"/>
      <c r="B905" s="16"/>
      <c r="C905" s="16"/>
      <c r="D905" s="16"/>
      <c r="F905" s="16"/>
      <c r="G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</row>
    <row r="906" spans="1:24">
      <c r="A906" s="16"/>
      <c r="B906" s="16"/>
      <c r="C906" s="16"/>
      <c r="D906" s="16"/>
      <c r="F906" s="16"/>
      <c r="G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</row>
    <row r="907" spans="1:24">
      <c r="A907" s="16"/>
      <c r="B907" s="16"/>
      <c r="C907" s="16"/>
      <c r="D907" s="16"/>
      <c r="F907" s="16"/>
      <c r="G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</row>
    <row r="908" spans="1:24">
      <c r="A908" s="16"/>
      <c r="B908" s="16"/>
      <c r="C908" s="16"/>
      <c r="D908" s="16"/>
      <c r="F908" s="16"/>
      <c r="G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</row>
    <row r="909" spans="1:24">
      <c r="A909" s="16"/>
      <c r="B909" s="16"/>
      <c r="C909" s="16"/>
      <c r="D909" s="16"/>
      <c r="F909" s="16"/>
      <c r="G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</row>
    <row r="910" spans="1:24">
      <c r="A910" s="16"/>
      <c r="B910" s="16"/>
      <c r="C910" s="16"/>
      <c r="D910" s="16"/>
      <c r="F910" s="16"/>
      <c r="G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</row>
    <row r="911" spans="1:24">
      <c r="A911" s="16"/>
      <c r="B911" s="16"/>
      <c r="C911" s="16"/>
      <c r="D911" s="16"/>
      <c r="F911" s="16"/>
      <c r="G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</row>
    <row r="912" spans="1:24">
      <c r="A912" s="16"/>
      <c r="B912" s="16"/>
      <c r="C912" s="16"/>
      <c r="D912" s="16"/>
      <c r="F912" s="16"/>
      <c r="G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</row>
    <row r="913" spans="1:24">
      <c r="A913" s="16"/>
      <c r="B913" s="16"/>
      <c r="C913" s="16"/>
      <c r="D913" s="16"/>
      <c r="F913" s="16"/>
      <c r="G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</row>
    <row r="914" spans="1:24">
      <c r="A914" s="16"/>
      <c r="B914" s="16"/>
      <c r="C914" s="16"/>
      <c r="D914" s="16"/>
      <c r="F914" s="16"/>
      <c r="G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</row>
    <row r="915" spans="1:24">
      <c r="A915" s="16"/>
      <c r="B915" s="16"/>
      <c r="C915" s="16"/>
      <c r="D915" s="16"/>
      <c r="F915" s="16"/>
      <c r="G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</row>
    <row r="916" spans="1:24">
      <c r="A916" s="16"/>
      <c r="B916" s="16"/>
      <c r="C916" s="16"/>
      <c r="D916" s="16"/>
      <c r="F916" s="16"/>
      <c r="G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</row>
    <row r="917" spans="1:24">
      <c r="A917" s="16"/>
      <c r="B917" s="16"/>
      <c r="C917" s="16"/>
      <c r="D917" s="16"/>
      <c r="F917" s="16"/>
      <c r="G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</row>
    <row r="918" spans="1:24">
      <c r="A918" s="16"/>
      <c r="B918" s="16"/>
      <c r="C918" s="16"/>
      <c r="D918" s="16"/>
      <c r="F918" s="16"/>
      <c r="G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</row>
    <row r="919" spans="1:24">
      <c r="A919" s="16"/>
      <c r="B919" s="16"/>
      <c r="C919" s="16"/>
      <c r="D919" s="16"/>
      <c r="F919" s="16"/>
      <c r="G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</row>
    <row r="920" spans="1:24">
      <c r="A920" s="16"/>
      <c r="B920" s="16"/>
      <c r="C920" s="16"/>
      <c r="D920" s="16"/>
      <c r="F920" s="16"/>
      <c r="G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</row>
    <row r="921" spans="1:24">
      <c r="A921" s="16"/>
      <c r="B921" s="16"/>
      <c r="C921" s="16"/>
      <c r="D921" s="16"/>
      <c r="F921" s="16"/>
      <c r="G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</row>
    <row r="922" spans="1:24">
      <c r="A922" s="16"/>
      <c r="B922" s="16"/>
      <c r="C922" s="16"/>
      <c r="D922" s="16"/>
      <c r="F922" s="16"/>
      <c r="G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</row>
    <row r="923" spans="1:24">
      <c r="A923" s="16"/>
      <c r="B923" s="16"/>
      <c r="C923" s="16"/>
      <c r="D923" s="16"/>
      <c r="F923" s="16"/>
      <c r="G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</row>
    <row r="924" spans="1:24">
      <c r="A924" s="16"/>
      <c r="B924" s="16"/>
      <c r="C924" s="16"/>
      <c r="D924" s="16"/>
      <c r="F924" s="16"/>
      <c r="G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</row>
    <row r="925" spans="1:24">
      <c r="A925" s="16"/>
      <c r="B925" s="16"/>
      <c r="C925" s="16"/>
      <c r="D925" s="16"/>
      <c r="F925" s="16"/>
      <c r="G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</row>
    <row r="926" spans="1:24">
      <c r="A926" s="16"/>
      <c r="B926" s="16"/>
      <c r="C926" s="16"/>
      <c r="D926" s="16"/>
      <c r="F926" s="16"/>
      <c r="G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</row>
    <row r="927" spans="1:24">
      <c r="A927" s="16"/>
      <c r="B927" s="16"/>
      <c r="C927" s="16"/>
      <c r="D927" s="16"/>
      <c r="F927" s="16"/>
      <c r="G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</row>
    <row r="928" spans="1:24">
      <c r="A928" s="16"/>
      <c r="B928" s="16"/>
      <c r="C928" s="16"/>
      <c r="D928" s="16"/>
      <c r="F928" s="16"/>
      <c r="G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</row>
    <row r="929" spans="1:24">
      <c r="A929" s="16"/>
      <c r="B929" s="16"/>
      <c r="C929" s="16"/>
      <c r="D929" s="16"/>
      <c r="F929" s="16"/>
      <c r="G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</row>
    <row r="930" spans="1:24">
      <c r="A930" s="16"/>
      <c r="B930" s="16"/>
      <c r="C930" s="16"/>
      <c r="D930" s="16"/>
      <c r="F930" s="16"/>
      <c r="G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</row>
    <row r="931" spans="1:24">
      <c r="A931" s="16"/>
      <c r="B931" s="16"/>
      <c r="C931" s="16"/>
      <c r="D931" s="16"/>
      <c r="F931" s="16"/>
      <c r="G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</row>
    <row r="932" spans="1:24">
      <c r="A932" s="16"/>
      <c r="B932" s="16"/>
      <c r="C932" s="16"/>
      <c r="D932" s="16"/>
      <c r="F932" s="16"/>
      <c r="G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</row>
    <row r="933" spans="1:24">
      <c r="A933" s="16"/>
      <c r="B933" s="16"/>
      <c r="C933" s="16"/>
      <c r="D933" s="16"/>
      <c r="F933" s="16"/>
      <c r="G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</row>
    <row r="934" spans="1:24">
      <c r="A934" s="16"/>
      <c r="B934" s="16"/>
      <c r="C934" s="16"/>
      <c r="D934" s="16"/>
      <c r="F934" s="16"/>
      <c r="G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</row>
    <row r="935" spans="1:24">
      <c r="A935" s="16"/>
      <c r="B935" s="16"/>
      <c r="C935" s="16"/>
      <c r="D935" s="16"/>
      <c r="F935" s="16"/>
      <c r="G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</row>
    <row r="936" spans="1:24">
      <c r="A936" s="16"/>
      <c r="B936" s="16"/>
      <c r="C936" s="16"/>
      <c r="D936" s="16"/>
      <c r="F936" s="16"/>
      <c r="G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</row>
    <row r="937" spans="1:24">
      <c r="A937" s="16"/>
      <c r="B937" s="16"/>
      <c r="C937" s="16"/>
      <c r="D937" s="16"/>
      <c r="F937" s="16"/>
      <c r="G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</row>
    <row r="938" spans="1:24">
      <c r="A938" s="16"/>
      <c r="B938" s="16"/>
      <c r="C938" s="16"/>
      <c r="D938" s="16"/>
      <c r="F938" s="16"/>
      <c r="G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</row>
    <row r="939" spans="1:24">
      <c r="A939" s="16"/>
      <c r="B939" s="16"/>
      <c r="C939" s="16"/>
      <c r="D939" s="16"/>
      <c r="F939" s="16"/>
      <c r="G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</row>
    <row r="940" spans="1:24">
      <c r="A940" s="16"/>
      <c r="B940" s="16"/>
      <c r="C940" s="16"/>
      <c r="D940" s="16"/>
      <c r="F940" s="16"/>
      <c r="G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</row>
    <row r="941" spans="1:24">
      <c r="A941" s="16"/>
      <c r="B941" s="16"/>
      <c r="C941" s="16"/>
      <c r="D941" s="16"/>
      <c r="F941" s="16"/>
      <c r="G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</row>
    <row r="942" spans="1:24">
      <c r="A942" s="16"/>
      <c r="B942" s="16"/>
      <c r="C942" s="16"/>
      <c r="D942" s="16"/>
      <c r="F942" s="16"/>
      <c r="G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</row>
    <row r="943" spans="1:24">
      <c r="A943" s="16"/>
      <c r="B943" s="16"/>
      <c r="C943" s="16"/>
      <c r="D943" s="16"/>
      <c r="F943" s="16"/>
      <c r="G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</row>
    <row r="944" spans="1:24">
      <c r="A944" s="16"/>
      <c r="B944" s="16"/>
      <c r="C944" s="16"/>
      <c r="D944" s="16"/>
      <c r="F944" s="16"/>
      <c r="G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</row>
    <row r="945" spans="1:24">
      <c r="A945" s="16"/>
      <c r="B945" s="16"/>
      <c r="C945" s="16"/>
      <c r="D945" s="16"/>
      <c r="F945" s="16"/>
      <c r="G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</row>
    <row r="946" spans="1:24">
      <c r="A946" s="16"/>
      <c r="B946" s="16"/>
      <c r="C946" s="16"/>
      <c r="D946" s="16"/>
      <c r="F946" s="16"/>
      <c r="G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</row>
    <row r="947" spans="1:24">
      <c r="A947" s="16"/>
      <c r="B947" s="16"/>
      <c r="C947" s="16"/>
      <c r="D947" s="16"/>
      <c r="F947" s="16"/>
      <c r="G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</row>
    <row r="948" spans="1:24">
      <c r="A948" s="16"/>
      <c r="B948" s="16"/>
      <c r="C948" s="16"/>
      <c r="D948" s="16"/>
      <c r="F948" s="16"/>
      <c r="G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</row>
    <row r="949" spans="1:24">
      <c r="A949" s="16"/>
      <c r="B949" s="16"/>
      <c r="C949" s="16"/>
      <c r="D949" s="16"/>
      <c r="F949" s="16"/>
      <c r="G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</row>
    <row r="950" spans="1:24">
      <c r="A950" s="16"/>
      <c r="B950" s="16"/>
      <c r="C950" s="16"/>
      <c r="D950" s="16"/>
      <c r="F950" s="16"/>
      <c r="G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</row>
    <row r="951" spans="1:24">
      <c r="A951" s="16"/>
      <c r="B951" s="16"/>
      <c r="C951" s="16"/>
      <c r="D951" s="16"/>
      <c r="F951" s="16"/>
      <c r="G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</row>
    <row r="952" spans="1:24">
      <c r="A952" s="16"/>
      <c r="B952" s="16"/>
      <c r="C952" s="16"/>
      <c r="D952" s="16"/>
      <c r="F952" s="16"/>
      <c r="G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</row>
    <row r="953" spans="1:24">
      <c r="A953" s="16"/>
      <c r="B953" s="16"/>
      <c r="C953" s="16"/>
      <c r="D953" s="16"/>
      <c r="F953" s="16"/>
      <c r="G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</row>
    <row r="954" spans="1:24">
      <c r="A954" s="16"/>
      <c r="B954" s="16"/>
      <c r="C954" s="16"/>
      <c r="D954" s="16"/>
      <c r="F954" s="16"/>
      <c r="G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</row>
    <row r="955" spans="1:24">
      <c r="A955" s="16"/>
      <c r="B955" s="16"/>
      <c r="C955" s="16"/>
      <c r="D955" s="16"/>
      <c r="F955" s="16"/>
      <c r="G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</row>
    <row r="956" spans="1:24">
      <c r="A956" s="16"/>
      <c r="B956" s="16"/>
      <c r="C956" s="16"/>
      <c r="D956" s="16"/>
      <c r="F956" s="16"/>
      <c r="G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</row>
    <row r="957" spans="1:24">
      <c r="A957" s="16"/>
      <c r="B957" s="16"/>
      <c r="C957" s="16"/>
      <c r="D957" s="16"/>
      <c r="F957" s="16"/>
      <c r="G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</row>
    <row r="958" spans="1:24">
      <c r="A958" s="16"/>
      <c r="B958" s="16"/>
      <c r="C958" s="16"/>
      <c r="D958" s="16"/>
      <c r="F958" s="16"/>
      <c r="G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</row>
    <row r="959" spans="1:24">
      <c r="A959" s="16"/>
      <c r="B959" s="16"/>
      <c r="C959" s="16"/>
      <c r="D959" s="16"/>
      <c r="F959" s="16"/>
      <c r="G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</row>
    <row r="960" spans="1:24">
      <c r="A960" s="16"/>
      <c r="B960" s="16"/>
      <c r="C960" s="16"/>
      <c r="D960" s="16"/>
      <c r="F960" s="16"/>
      <c r="G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</row>
    <row r="961" spans="1:24">
      <c r="A961" s="16"/>
      <c r="B961" s="16"/>
      <c r="C961" s="16"/>
      <c r="D961" s="16"/>
      <c r="F961" s="16"/>
      <c r="G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</row>
    <row r="962" spans="1:24">
      <c r="A962" s="16"/>
      <c r="B962" s="16"/>
      <c r="C962" s="16"/>
      <c r="D962" s="16"/>
      <c r="F962" s="16"/>
      <c r="G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</row>
    <row r="963" spans="1:24">
      <c r="A963" s="16"/>
      <c r="B963" s="16"/>
      <c r="C963" s="16"/>
      <c r="D963" s="16"/>
      <c r="F963" s="16"/>
      <c r="G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</row>
    <row r="964" spans="1:24">
      <c r="A964" s="16"/>
      <c r="B964" s="16"/>
      <c r="C964" s="16"/>
      <c r="D964" s="16"/>
      <c r="F964" s="16"/>
      <c r="G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</row>
    <row r="965" spans="1:24">
      <c r="A965" s="16"/>
      <c r="B965" s="16"/>
      <c r="C965" s="16"/>
      <c r="D965" s="16"/>
      <c r="F965" s="16"/>
      <c r="G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</row>
    <row r="966" spans="1:24">
      <c r="A966" s="16"/>
      <c r="B966" s="16"/>
      <c r="C966" s="16"/>
      <c r="D966" s="16"/>
      <c r="F966" s="16"/>
      <c r="G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</row>
    <row r="967" spans="1:24">
      <c r="A967" s="16"/>
      <c r="B967" s="16"/>
      <c r="C967" s="16"/>
      <c r="D967" s="16"/>
      <c r="F967" s="16"/>
      <c r="G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</row>
    <row r="968" spans="1:24">
      <c r="A968" s="16"/>
      <c r="B968" s="16"/>
      <c r="C968" s="16"/>
      <c r="D968" s="16"/>
      <c r="F968" s="16"/>
      <c r="G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</row>
    <row r="969" spans="1:24">
      <c r="A969" s="16"/>
      <c r="B969" s="16"/>
      <c r="C969" s="16"/>
      <c r="D969" s="16"/>
      <c r="F969" s="16"/>
      <c r="G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</row>
    <row r="970" spans="1:24">
      <c r="A970" s="16"/>
      <c r="B970" s="16"/>
      <c r="C970" s="16"/>
      <c r="D970" s="16"/>
      <c r="F970" s="16"/>
      <c r="G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</row>
    <row r="971" spans="1:24">
      <c r="A971" s="16"/>
      <c r="B971" s="16"/>
      <c r="C971" s="16"/>
      <c r="D971" s="16"/>
      <c r="F971" s="16"/>
      <c r="G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</row>
    <row r="972" spans="1:24">
      <c r="A972" s="16"/>
      <c r="B972" s="16"/>
      <c r="C972" s="16"/>
      <c r="D972" s="16"/>
      <c r="F972" s="16"/>
      <c r="G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</row>
    <row r="973" spans="1:24">
      <c r="A973" s="16"/>
      <c r="B973" s="16"/>
      <c r="C973" s="16"/>
      <c r="D973" s="16"/>
      <c r="F973" s="16"/>
      <c r="G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</row>
    <row r="974" spans="1:24">
      <c r="A974" s="16"/>
      <c r="B974" s="16"/>
      <c r="C974" s="16"/>
      <c r="D974" s="16"/>
      <c r="F974" s="16"/>
      <c r="G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</row>
    <row r="975" spans="1:24">
      <c r="A975" s="16"/>
      <c r="B975" s="16"/>
      <c r="C975" s="16"/>
      <c r="D975" s="16"/>
      <c r="F975" s="16"/>
      <c r="G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</row>
    <row r="976" spans="1:24">
      <c r="A976" s="16"/>
      <c r="B976" s="16"/>
      <c r="C976" s="16"/>
      <c r="D976" s="16"/>
      <c r="F976" s="16"/>
      <c r="G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</row>
    <row r="977" spans="1:24">
      <c r="A977" s="16"/>
      <c r="B977" s="16"/>
      <c r="C977" s="16"/>
      <c r="D977" s="16"/>
      <c r="F977" s="16"/>
      <c r="G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</row>
    <row r="978" spans="1:24">
      <c r="A978" s="16"/>
      <c r="B978" s="16"/>
      <c r="C978" s="16"/>
      <c r="D978" s="16"/>
      <c r="F978" s="16"/>
      <c r="G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</row>
    <row r="979" spans="1:24">
      <c r="A979" s="16"/>
      <c r="B979" s="16"/>
      <c r="C979" s="16"/>
      <c r="D979" s="16"/>
      <c r="F979" s="16"/>
      <c r="G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</row>
    <row r="980" spans="1:24">
      <c r="A980" s="16"/>
      <c r="B980" s="16"/>
      <c r="C980" s="16"/>
      <c r="D980" s="16"/>
      <c r="F980" s="16"/>
      <c r="G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</row>
    <row r="981" spans="1:24">
      <c r="A981" s="16"/>
      <c r="B981" s="16"/>
      <c r="C981" s="16"/>
      <c r="D981" s="16"/>
      <c r="F981" s="16"/>
      <c r="G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</row>
    <row r="982" spans="1:24">
      <c r="A982" s="16"/>
      <c r="B982" s="16"/>
      <c r="C982" s="16"/>
      <c r="D982" s="16"/>
      <c r="F982" s="16"/>
      <c r="G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</row>
    <row r="983" spans="1:24">
      <c r="A983" s="16"/>
      <c r="B983" s="16"/>
      <c r="C983" s="16"/>
      <c r="D983" s="16"/>
      <c r="F983" s="16"/>
      <c r="G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</row>
    <row r="984" spans="1:24">
      <c r="A984" s="16"/>
      <c r="B984" s="16"/>
      <c r="C984" s="16"/>
      <c r="D984" s="16"/>
      <c r="F984" s="16"/>
      <c r="G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</row>
    <row r="985" spans="1:24">
      <c r="A985" s="16"/>
      <c r="B985" s="16"/>
      <c r="C985" s="16"/>
      <c r="D985" s="16"/>
      <c r="F985" s="16"/>
      <c r="G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</row>
    <row r="986" spans="1:24">
      <c r="A986" s="16"/>
      <c r="B986" s="16"/>
      <c r="C986" s="16"/>
      <c r="D986" s="16"/>
      <c r="F986" s="16"/>
      <c r="G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</row>
    <row r="987" spans="1:24">
      <c r="A987" s="16"/>
      <c r="B987" s="16"/>
      <c r="C987" s="16"/>
      <c r="D987" s="16"/>
      <c r="F987" s="16"/>
      <c r="G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</row>
    <row r="988" spans="1:24">
      <c r="A988" s="16"/>
      <c r="B988" s="16"/>
      <c r="C988" s="16"/>
      <c r="D988" s="16"/>
      <c r="F988" s="16"/>
      <c r="G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</row>
    <row r="989" spans="1:24">
      <c r="A989" s="16"/>
      <c r="B989" s="16"/>
      <c r="C989" s="16"/>
      <c r="D989" s="16"/>
      <c r="F989" s="16"/>
      <c r="G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</row>
    <row r="990" spans="1:24">
      <c r="A990" s="16"/>
      <c r="B990" s="16"/>
      <c r="C990" s="16"/>
      <c r="D990" s="16"/>
      <c r="F990" s="16"/>
      <c r="G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</row>
    <row r="991" spans="1:24">
      <c r="A991" s="16"/>
      <c r="B991" s="16"/>
      <c r="C991" s="16"/>
      <c r="D991" s="16"/>
      <c r="F991" s="16"/>
      <c r="G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</row>
    <row r="992" spans="1:24">
      <c r="A992" s="16"/>
      <c r="B992" s="16"/>
      <c r="C992" s="16"/>
      <c r="D992" s="16"/>
      <c r="F992" s="16"/>
      <c r="G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</row>
    <row r="993" spans="1:24">
      <c r="A993" s="16"/>
      <c r="B993" s="16"/>
      <c r="C993" s="16"/>
      <c r="D993" s="16"/>
      <c r="F993" s="16"/>
      <c r="G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</row>
    <row r="994" spans="1:24">
      <c r="A994" s="16"/>
      <c r="B994" s="16"/>
      <c r="C994" s="16"/>
      <c r="D994" s="16"/>
      <c r="F994" s="16"/>
      <c r="G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</row>
    <row r="995" spans="1:24">
      <c r="A995" s="16"/>
      <c r="B995" s="16"/>
      <c r="C995" s="16"/>
      <c r="D995" s="16"/>
      <c r="F995" s="16"/>
      <c r="G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</row>
    <row r="996" spans="1:24">
      <c r="A996" s="16"/>
      <c r="B996" s="16"/>
      <c r="C996" s="16"/>
      <c r="D996" s="16"/>
      <c r="F996" s="16"/>
      <c r="G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</row>
    <row r="997" spans="1:24">
      <c r="A997" s="16"/>
      <c r="B997" s="16"/>
      <c r="C997" s="16"/>
      <c r="D997" s="16"/>
      <c r="F997" s="16"/>
      <c r="G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</row>
    <row r="998" spans="1:24">
      <c r="A998" s="16"/>
      <c r="B998" s="16"/>
      <c r="C998" s="16"/>
      <c r="D998" s="16"/>
      <c r="F998" s="16"/>
      <c r="G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</row>
    <row r="999" spans="1:24">
      <c r="A999" s="16"/>
      <c r="B999" s="16"/>
      <c r="C999" s="16"/>
      <c r="D999" s="16"/>
      <c r="F999" s="16"/>
      <c r="G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</row>
    <row r="1000" spans="1:24">
      <c r="A1000" s="16"/>
      <c r="B1000" s="16"/>
      <c r="C1000" s="16"/>
      <c r="D1000" s="16"/>
      <c r="F1000" s="16"/>
      <c r="G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</row>
    <row r="1001" spans="1:24">
      <c r="A1001" s="16"/>
      <c r="B1001" s="16"/>
      <c r="C1001" s="16"/>
      <c r="D1001" s="16"/>
      <c r="F1001" s="16"/>
      <c r="G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</row>
    <row r="1002" spans="1:24">
      <c r="A1002" s="16"/>
      <c r="B1002" s="16"/>
      <c r="C1002" s="16"/>
      <c r="D1002" s="16"/>
      <c r="F1002" s="16"/>
      <c r="G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</row>
    <row r="1003" spans="1:24">
      <c r="A1003" s="16"/>
      <c r="B1003" s="16"/>
      <c r="C1003" s="16"/>
      <c r="D1003" s="16"/>
      <c r="F1003" s="16"/>
      <c r="G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</row>
    <row r="1004" spans="1:24">
      <c r="A1004" s="16"/>
      <c r="B1004" s="16"/>
      <c r="C1004" s="16"/>
      <c r="D1004" s="16"/>
      <c r="F1004" s="16"/>
      <c r="G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</row>
    <row r="1005" spans="1:24">
      <c r="A1005" s="16"/>
      <c r="B1005" s="16"/>
      <c r="C1005" s="16"/>
      <c r="D1005" s="16"/>
      <c r="F1005" s="16"/>
      <c r="G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</row>
    <row r="1006" spans="1:24">
      <c r="A1006" s="16"/>
      <c r="B1006" s="16"/>
      <c r="C1006" s="16"/>
      <c r="D1006" s="16"/>
      <c r="F1006" s="16"/>
      <c r="G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</row>
    <row r="1007" spans="1:24">
      <c r="A1007" s="16"/>
      <c r="B1007" s="16"/>
      <c r="C1007" s="16"/>
      <c r="D1007" s="16"/>
      <c r="F1007" s="16"/>
      <c r="G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</row>
    <row r="1008" spans="1:24">
      <c r="A1008" s="16"/>
      <c r="B1008" s="16"/>
      <c r="C1008" s="16"/>
      <c r="D1008" s="16"/>
      <c r="F1008" s="16"/>
      <c r="G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</row>
    <row r="1009" spans="1:24">
      <c r="A1009" s="16"/>
      <c r="B1009" s="16"/>
      <c r="C1009" s="16"/>
      <c r="D1009" s="16"/>
      <c r="F1009" s="16"/>
      <c r="G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</row>
    <row r="1010" spans="1:24">
      <c r="A1010" s="16"/>
      <c r="B1010" s="16"/>
      <c r="C1010" s="16"/>
      <c r="D1010" s="16"/>
      <c r="F1010" s="16"/>
      <c r="G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</row>
    <row r="1011" spans="1:24">
      <c r="A1011" s="16"/>
      <c r="B1011" s="16"/>
      <c r="C1011" s="16"/>
      <c r="D1011" s="16"/>
      <c r="F1011" s="16"/>
      <c r="G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</row>
    <row r="1012" spans="1:24">
      <c r="A1012" s="16"/>
      <c r="B1012" s="16"/>
      <c r="C1012" s="16"/>
      <c r="D1012" s="16"/>
      <c r="F1012" s="16"/>
      <c r="G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</row>
    <row r="1013" spans="1:24">
      <c r="A1013" s="16"/>
      <c r="B1013" s="16"/>
      <c r="C1013" s="16"/>
      <c r="D1013" s="16"/>
      <c r="F1013" s="16"/>
      <c r="G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</row>
    <row r="1014" spans="1:24">
      <c r="A1014" s="16"/>
      <c r="B1014" s="16"/>
      <c r="C1014" s="16"/>
      <c r="D1014" s="16"/>
      <c r="F1014" s="16"/>
      <c r="G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</row>
    <row r="1015" spans="1:24">
      <c r="A1015" s="16"/>
      <c r="B1015" s="16"/>
      <c r="C1015" s="16"/>
      <c r="D1015" s="16"/>
      <c r="F1015" s="16"/>
      <c r="G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</row>
    <row r="1016" spans="1:24">
      <c r="A1016" s="16"/>
      <c r="B1016" s="16"/>
      <c r="C1016" s="16"/>
      <c r="D1016" s="16"/>
      <c r="F1016" s="16"/>
      <c r="G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</row>
    <row r="1017" spans="1:24">
      <c r="A1017" s="16"/>
      <c r="B1017" s="16"/>
      <c r="C1017" s="16"/>
      <c r="D1017" s="16"/>
      <c r="F1017" s="16"/>
      <c r="G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</row>
    <row r="1018" spans="1:24">
      <c r="A1018" s="16"/>
      <c r="B1018" s="16"/>
      <c r="C1018" s="16"/>
      <c r="D1018" s="16"/>
      <c r="F1018" s="16"/>
      <c r="G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</row>
    <row r="1019" spans="1:24">
      <c r="A1019" s="16"/>
      <c r="B1019" s="16"/>
      <c r="C1019" s="16"/>
      <c r="D1019" s="16"/>
      <c r="F1019" s="16"/>
      <c r="G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</row>
    <row r="1020" spans="1:24">
      <c r="A1020" s="16"/>
      <c r="B1020" s="16"/>
      <c r="C1020" s="16"/>
      <c r="D1020" s="16"/>
      <c r="F1020" s="16"/>
      <c r="G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</row>
    <row r="1021" spans="1:24">
      <c r="A1021" s="16"/>
      <c r="B1021" s="16"/>
      <c r="C1021" s="16"/>
      <c r="D1021" s="16"/>
      <c r="F1021" s="16"/>
      <c r="G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</row>
    <row r="1022" spans="1:24">
      <c r="A1022" s="16"/>
      <c r="B1022" s="16"/>
      <c r="C1022" s="16"/>
      <c r="D1022" s="16"/>
      <c r="F1022" s="16"/>
      <c r="G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</row>
    <row r="1023" spans="1:24">
      <c r="A1023" s="16"/>
      <c r="B1023" s="16"/>
      <c r="C1023" s="16"/>
      <c r="D1023" s="16"/>
      <c r="F1023" s="16"/>
      <c r="G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</row>
    <row r="1024" spans="1:24">
      <c r="A1024" s="16"/>
      <c r="B1024" s="16"/>
      <c r="C1024" s="16"/>
      <c r="D1024" s="16"/>
      <c r="F1024" s="16"/>
      <c r="G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</row>
    <row r="1025" spans="1:24">
      <c r="A1025" s="16"/>
      <c r="B1025" s="16"/>
      <c r="C1025" s="16"/>
      <c r="D1025" s="16"/>
      <c r="F1025" s="16"/>
      <c r="G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</row>
    <row r="1026" spans="1:24">
      <c r="A1026" s="16"/>
      <c r="B1026" s="16"/>
      <c r="C1026" s="16"/>
      <c r="D1026" s="16"/>
      <c r="F1026" s="16"/>
      <c r="G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</row>
    <row r="1027" spans="1:24">
      <c r="A1027" s="16"/>
      <c r="B1027" s="16"/>
      <c r="C1027" s="16"/>
      <c r="D1027" s="16"/>
      <c r="F1027" s="16"/>
      <c r="G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</row>
    <row r="1028" spans="1:24">
      <c r="A1028" s="16"/>
      <c r="B1028" s="16"/>
      <c r="C1028" s="16"/>
      <c r="D1028" s="16"/>
      <c r="F1028" s="16"/>
      <c r="G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</row>
    <row r="1029" spans="1:24">
      <c r="A1029" s="16"/>
      <c r="B1029" s="16"/>
      <c r="C1029" s="16"/>
      <c r="D1029" s="16"/>
      <c r="F1029" s="16"/>
      <c r="G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</row>
    <row r="1030" spans="1:24">
      <c r="A1030" s="16"/>
      <c r="B1030" s="16"/>
      <c r="C1030" s="16"/>
      <c r="D1030" s="16"/>
      <c r="F1030" s="16"/>
      <c r="G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</row>
    <row r="1031" spans="1:24">
      <c r="A1031" s="16"/>
      <c r="B1031" s="16"/>
      <c r="C1031" s="16"/>
      <c r="D1031" s="16"/>
      <c r="F1031" s="16"/>
      <c r="G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</row>
    <row r="1032" spans="1:24">
      <c r="A1032" s="16"/>
      <c r="B1032" s="16"/>
      <c r="C1032" s="16"/>
      <c r="D1032" s="16"/>
      <c r="F1032" s="16"/>
      <c r="G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</row>
    <row r="1033" spans="1:24">
      <c r="A1033" s="16"/>
      <c r="B1033" s="16"/>
      <c r="C1033" s="16"/>
      <c r="D1033" s="16"/>
      <c r="F1033" s="16"/>
      <c r="G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</row>
    <row r="1034" spans="1:24">
      <c r="A1034" s="16"/>
      <c r="B1034" s="16"/>
      <c r="C1034" s="16"/>
      <c r="D1034" s="16"/>
      <c r="F1034" s="16"/>
      <c r="G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</row>
    <row r="1035" spans="1:24">
      <c r="A1035" s="16"/>
      <c r="B1035" s="16"/>
      <c r="C1035" s="16"/>
      <c r="D1035" s="16"/>
      <c r="F1035" s="16"/>
      <c r="G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</row>
    <row r="1036" spans="1:24">
      <c r="A1036" s="16"/>
      <c r="B1036" s="16"/>
      <c r="C1036" s="16"/>
      <c r="D1036" s="16"/>
      <c r="F1036" s="16"/>
      <c r="G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</row>
    <row r="1037" spans="1:24">
      <c r="A1037" s="16"/>
      <c r="B1037" s="16"/>
      <c r="C1037" s="16"/>
      <c r="D1037" s="16"/>
      <c r="F1037" s="16"/>
      <c r="G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</row>
    <row r="1038" spans="1:24">
      <c r="A1038" s="16"/>
      <c r="B1038" s="16"/>
      <c r="C1038" s="16"/>
      <c r="D1038" s="16"/>
      <c r="F1038" s="16"/>
      <c r="G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</row>
    <row r="1039" spans="1:24">
      <c r="A1039" s="16"/>
      <c r="B1039" s="16"/>
      <c r="C1039" s="16"/>
      <c r="D1039" s="16"/>
      <c r="F1039" s="16"/>
      <c r="G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</row>
    <row r="1040" spans="1:24">
      <c r="A1040" s="16"/>
      <c r="B1040" s="16"/>
      <c r="C1040" s="16"/>
      <c r="D1040" s="16"/>
      <c r="F1040" s="16"/>
      <c r="G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</row>
    <row r="1041" spans="1:24">
      <c r="A1041" s="16"/>
      <c r="B1041" s="16"/>
      <c r="C1041" s="16"/>
      <c r="D1041" s="16"/>
      <c r="F1041" s="16"/>
      <c r="G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</row>
    <row r="1042" spans="1:24">
      <c r="A1042" s="16"/>
      <c r="B1042" s="16"/>
      <c r="C1042" s="16"/>
      <c r="D1042" s="16"/>
      <c r="F1042" s="16"/>
      <c r="G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</row>
    <row r="1043" spans="1:24">
      <c r="A1043" s="16"/>
      <c r="B1043" s="16"/>
      <c r="C1043" s="16"/>
      <c r="D1043" s="16"/>
      <c r="F1043" s="16"/>
      <c r="G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</row>
    <row r="1044" spans="1:24">
      <c r="A1044" s="16"/>
      <c r="B1044" s="16"/>
      <c r="C1044" s="16"/>
      <c r="D1044" s="16"/>
      <c r="F1044" s="16"/>
      <c r="G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</row>
  </sheetData>
  <phoneticPr fontId="14" type="noConversion"/>
  <hyperlinks>
    <hyperlink ref="A1" location="'目录及说明'!A1" display="返回目录" xr:uid="{00000000-0004-0000-0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1"/>
  <sheetViews>
    <sheetView showGridLines="0" zoomScaleNormal="100" workbookViewId="0">
      <selection sqref="A1:K1"/>
    </sheetView>
  </sheetViews>
  <sheetFormatPr baseColWidth="10" defaultColWidth="10.59765625" defaultRowHeight="14"/>
  <cols>
    <col min="1" max="2" width="21.59765625" style="14" customWidth="1"/>
    <col min="3" max="3" width="16.796875" style="14" customWidth="1"/>
    <col min="4" max="4" width="25.19921875" style="14" customWidth="1"/>
    <col min="5" max="5" width="21.59765625" style="14" customWidth="1"/>
    <col min="6" max="6" width="24" style="14" customWidth="1"/>
    <col min="7" max="7" width="26.3984375" style="14" customWidth="1"/>
    <col min="8" max="8" width="33.59765625" style="14" customWidth="1"/>
    <col min="9" max="9" width="21.59765625" style="14" customWidth="1"/>
    <col min="10" max="10" width="19.19921875" style="14" customWidth="1"/>
    <col min="11" max="11" width="21.59765625" style="14" customWidth="1"/>
    <col min="12" max="16384" width="10.59765625" style="14"/>
  </cols>
  <sheetData>
    <row r="1" spans="1:11" ht="28" customHeight="1">
      <c r="A1" s="382" t="s">
        <v>509</v>
      </c>
      <c r="B1" s="382"/>
      <c r="C1" s="382"/>
      <c r="D1" s="382"/>
      <c r="E1" s="382"/>
      <c r="F1" s="382"/>
      <c r="G1" s="382"/>
      <c r="H1" s="382"/>
      <c r="I1" s="382"/>
      <c r="J1" s="382"/>
      <c r="K1" s="382"/>
    </row>
    <row r="2" spans="1:11" ht="34" customHeight="1">
      <c r="A2" s="159" t="s">
        <v>269</v>
      </c>
      <c r="B2" s="159" t="s">
        <v>510</v>
      </c>
      <c r="C2" s="159" t="s">
        <v>270</v>
      </c>
      <c r="D2" s="159" t="s">
        <v>271</v>
      </c>
      <c r="E2" s="159" t="s">
        <v>272</v>
      </c>
      <c r="F2" s="159" t="s">
        <v>511</v>
      </c>
      <c r="G2" s="159" t="s">
        <v>273</v>
      </c>
      <c r="H2" s="159" t="s">
        <v>512</v>
      </c>
      <c r="I2" s="159" t="s">
        <v>274</v>
      </c>
      <c r="J2" s="159" t="s">
        <v>275</v>
      </c>
      <c r="K2" s="159" t="s">
        <v>276</v>
      </c>
    </row>
    <row r="3" spans="1:11">
      <c r="A3" s="160" t="s">
        <v>226</v>
      </c>
      <c r="B3" s="160" t="s">
        <v>513</v>
      </c>
      <c r="C3" s="161">
        <v>2</v>
      </c>
      <c r="D3" s="161">
        <v>36</v>
      </c>
      <c r="E3" s="161">
        <v>90</v>
      </c>
      <c r="F3" s="162">
        <v>0.4</v>
      </c>
      <c r="G3" s="163">
        <v>98658.82</v>
      </c>
      <c r="H3" s="163">
        <v>2461.0500000000002</v>
      </c>
      <c r="I3" s="161">
        <v>25</v>
      </c>
      <c r="J3" s="162">
        <v>0.69444444444444398</v>
      </c>
      <c r="K3" s="161">
        <v>2</v>
      </c>
    </row>
    <row r="4" spans="1:11">
      <c r="A4" s="160" t="s">
        <v>226</v>
      </c>
      <c r="B4" s="160" t="s">
        <v>514</v>
      </c>
      <c r="C4" s="161">
        <v>6</v>
      </c>
      <c r="D4" s="161">
        <v>21</v>
      </c>
      <c r="E4" s="161">
        <v>90</v>
      </c>
      <c r="F4" s="162">
        <v>0.233333333333333</v>
      </c>
      <c r="G4" s="163">
        <v>25138.92</v>
      </c>
      <c r="H4" s="163">
        <v>1169</v>
      </c>
      <c r="I4" s="161">
        <v>16</v>
      </c>
      <c r="J4" s="162">
        <v>0.76190476190476197</v>
      </c>
      <c r="K4" s="161">
        <v>1</v>
      </c>
    </row>
    <row r="5" spans="1:11">
      <c r="A5" s="160" t="s">
        <v>226</v>
      </c>
      <c r="B5" s="160" t="s">
        <v>514</v>
      </c>
      <c r="C5" s="161">
        <v>2</v>
      </c>
      <c r="D5" s="161">
        <v>12</v>
      </c>
      <c r="E5" s="161">
        <v>90</v>
      </c>
      <c r="F5" s="162">
        <v>0.133333333333333</v>
      </c>
      <c r="G5" s="163">
        <v>4919.1899999999996</v>
      </c>
      <c r="H5" s="163">
        <v>412.63</v>
      </c>
      <c r="I5" s="161">
        <v>9</v>
      </c>
      <c r="J5" s="162">
        <v>0.75</v>
      </c>
      <c r="K5" s="161">
        <v>3</v>
      </c>
    </row>
    <row r="6" spans="1:11">
      <c r="A6" s="160" t="s">
        <v>226</v>
      </c>
      <c r="B6" s="160" t="s">
        <v>515</v>
      </c>
      <c r="C6" s="161">
        <v>6</v>
      </c>
      <c r="D6" s="161">
        <v>8</v>
      </c>
      <c r="E6" s="161">
        <v>90</v>
      </c>
      <c r="F6" s="162">
        <v>8.8888888888888906E-2</v>
      </c>
      <c r="G6" s="163">
        <v>318.39999999999998</v>
      </c>
      <c r="H6" s="163">
        <v>39.799999999999997</v>
      </c>
      <c r="I6" s="161">
        <v>8</v>
      </c>
      <c r="J6" s="162">
        <v>1</v>
      </c>
      <c r="K6" s="161">
        <v>1</v>
      </c>
    </row>
    <row r="7" spans="1:11">
      <c r="A7" s="160" t="s">
        <v>226</v>
      </c>
      <c r="B7" s="160" t="s">
        <v>516</v>
      </c>
      <c r="C7" s="161">
        <v>4</v>
      </c>
      <c r="D7" s="161">
        <v>3</v>
      </c>
      <c r="E7" s="161">
        <v>90</v>
      </c>
      <c r="F7" s="162">
        <v>3.3333333333333298E-2</v>
      </c>
      <c r="G7" s="163">
        <v>1214.42</v>
      </c>
      <c r="H7" s="163">
        <v>388</v>
      </c>
      <c r="I7" s="161">
        <v>1</v>
      </c>
      <c r="J7" s="162">
        <v>0.33333333333333298</v>
      </c>
      <c r="K7" s="161">
        <v>1</v>
      </c>
    </row>
    <row r="8" spans="1:11">
      <c r="A8" s="160" t="s">
        <v>226</v>
      </c>
      <c r="B8" s="160" t="s">
        <v>516</v>
      </c>
      <c r="C8" s="161">
        <v>12</v>
      </c>
      <c r="D8" s="161">
        <v>3</v>
      </c>
      <c r="E8" s="161">
        <v>90</v>
      </c>
      <c r="F8" s="162">
        <v>3.3333333333333298E-2</v>
      </c>
      <c r="G8" s="163">
        <v>3477</v>
      </c>
      <c r="H8" s="163">
        <v>1159</v>
      </c>
      <c r="I8" s="161">
        <v>3</v>
      </c>
      <c r="J8" s="162">
        <v>1</v>
      </c>
      <c r="K8" s="161">
        <v>1</v>
      </c>
    </row>
    <row r="9" spans="1:11">
      <c r="A9" s="160" t="s">
        <v>226</v>
      </c>
      <c r="B9" s="160" t="s">
        <v>516</v>
      </c>
      <c r="C9" s="161">
        <v>2</v>
      </c>
      <c r="D9" s="161">
        <v>3</v>
      </c>
      <c r="E9" s="161">
        <v>90</v>
      </c>
      <c r="F9" s="162">
        <v>3.3333333333333298E-2</v>
      </c>
      <c r="G9" s="163">
        <v>756.63</v>
      </c>
      <c r="H9" s="163">
        <v>272</v>
      </c>
      <c r="I9" s="161">
        <v>2</v>
      </c>
      <c r="J9" s="162">
        <v>0.66666666666666696</v>
      </c>
      <c r="K9" s="161">
        <v>1</v>
      </c>
    </row>
    <row r="10" spans="1:11">
      <c r="A10" s="160" t="s">
        <v>226</v>
      </c>
      <c r="B10" s="160" t="s">
        <v>516</v>
      </c>
      <c r="C10" s="161">
        <v>3</v>
      </c>
      <c r="D10" s="161">
        <v>2</v>
      </c>
      <c r="E10" s="161">
        <v>90</v>
      </c>
      <c r="F10" s="162">
        <v>2.2222222222222199E-2</v>
      </c>
      <c r="G10" s="163">
        <v>756</v>
      </c>
      <c r="H10" s="163">
        <v>378</v>
      </c>
      <c r="I10" s="161">
        <v>2</v>
      </c>
      <c r="J10" s="162">
        <v>1</v>
      </c>
      <c r="K10" s="161">
        <v>1</v>
      </c>
    </row>
    <row r="11" spans="1:11">
      <c r="A11" s="160" t="s">
        <v>226</v>
      </c>
      <c r="B11" s="160" t="s">
        <v>514</v>
      </c>
      <c r="C11" s="161">
        <v>12</v>
      </c>
      <c r="D11" s="161">
        <v>1</v>
      </c>
      <c r="E11" s="161">
        <v>90</v>
      </c>
      <c r="F11" s="162">
        <v>1.1111111111111099E-2</v>
      </c>
      <c r="G11" s="163">
        <v>2598</v>
      </c>
      <c r="H11" s="163">
        <v>2598</v>
      </c>
      <c r="I11" s="161">
        <v>1</v>
      </c>
      <c r="J11" s="162">
        <v>1</v>
      </c>
      <c r="K11" s="161">
        <v>1</v>
      </c>
    </row>
    <row r="12" spans="1:11">
      <c r="A12" s="160" t="s">
        <v>226</v>
      </c>
      <c r="B12" s="160" t="s">
        <v>513</v>
      </c>
      <c r="C12" s="161">
        <v>4</v>
      </c>
      <c r="D12" s="161">
        <v>1</v>
      </c>
      <c r="E12" s="161">
        <v>90</v>
      </c>
      <c r="F12" s="162">
        <v>1.1111111111111099E-2</v>
      </c>
      <c r="G12" s="163">
        <v>2461.0500000000002</v>
      </c>
      <c r="H12" s="163">
        <v>2461.0500000000002</v>
      </c>
      <c r="I12" s="161">
        <v>1</v>
      </c>
      <c r="J12" s="162">
        <v>1</v>
      </c>
      <c r="K12" s="161">
        <v>1</v>
      </c>
    </row>
    <row r="13" spans="1:11">
      <c r="A13" s="160" t="s">
        <v>277</v>
      </c>
      <c r="B13" s="160" t="s">
        <v>516</v>
      </c>
      <c r="C13" s="161">
        <v>5</v>
      </c>
      <c r="D13" s="161">
        <v>4529</v>
      </c>
      <c r="E13" s="161">
        <v>9079</v>
      </c>
      <c r="F13" s="162">
        <v>0.49884348496530501</v>
      </c>
      <c r="G13" s="163">
        <v>2951404.6</v>
      </c>
      <c r="H13" s="163">
        <v>600</v>
      </c>
      <c r="I13" s="161">
        <v>2956</v>
      </c>
      <c r="J13" s="162">
        <v>0.65268271141532397</v>
      </c>
      <c r="K13" s="161">
        <v>69</v>
      </c>
    </row>
    <row r="14" spans="1:11">
      <c r="A14" s="160" t="s">
        <v>277</v>
      </c>
      <c r="B14" s="160" t="s">
        <v>516</v>
      </c>
      <c r="C14" s="161">
        <v>3</v>
      </c>
      <c r="D14" s="161">
        <v>4013</v>
      </c>
      <c r="E14" s="161">
        <v>9079</v>
      </c>
      <c r="F14" s="162">
        <v>0.44200903183169998</v>
      </c>
      <c r="G14" s="163">
        <v>1659867.9</v>
      </c>
      <c r="H14" s="163">
        <v>378</v>
      </c>
      <c r="I14" s="161">
        <v>2382</v>
      </c>
      <c r="J14" s="162">
        <v>0.59357089459257395</v>
      </c>
      <c r="K14" s="161">
        <v>39</v>
      </c>
    </row>
    <row r="15" spans="1:11">
      <c r="A15" s="160" t="s">
        <v>277</v>
      </c>
      <c r="B15" s="160" t="s">
        <v>514</v>
      </c>
      <c r="C15" s="161">
        <v>2</v>
      </c>
      <c r="D15" s="161">
        <v>147</v>
      </c>
      <c r="E15" s="161">
        <v>9079</v>
      </c>
      <c r="F15" s="162">
        <v>1.6191210485736299E-2</v>
      </c>
      <c r="G15" s="163">
        <v>84352</v>
      </c>
      <c r="H15" s="163">
        <v>556</v>
      </c>
      <c r="I15" s="161">
        <v>107</v>
      </c>
      <c r="J15" s="162">
        <v>0.72789115646258495</v>
      </c>
      <c r="K15" s="161">
        <v>14</v>
      </c>
    </row>
    <row r="16" spans="1:11">
      <c r="A16" s="160" t="s">
        <v>277</v>
      </c>
      <c r="B16" s="160" t="s">
        <v>516</v>
      </c>
      <c r="C16" s="161">
        <v>4</v>
      </c>
      <c r="D16" s="161">
        <v>108</v>
      </c>
      <c r="E16" s="161">
        <v>9079</v>
      </c>
      <c r="F16" s="162">
        <v>1.1895583214010399E-2</v>
      </c>
      <c r="G16" s="163">
        <v>55586.65</v>
      </c>
      <c r="H16" s="163">
        <v>512</v>
      </c>
      <c r="I16" s="161">
        <v>101</v>
      </c>
      <c r="J16" s="162">
        <v>0.93518518518518501</v>
      </c>
      <c r="K16" s="161">
        <v>9</v>
      </c>
    </row>
    <row r="17" spans="1:11">
      <c r="A17" s="160" t="s">
        <v>277</v>
      </c>
      <c r="B17" s="160" t="s">
        <v>516</v>
      </c>
      <c r="C17" s="161">
        <v>10</v>
      </c>
      <c r="D17" s="161">
        <v>86</v>
      </c>
      <c r="E17" s="161">
        <v>9079</v>
      </c>
      <c r="F17" s="162">
        <v>9.47240885560084E-3</v>
      </c>
      <c r="G17" s="163">
        <v>107224</v>
      </c>
      <c r="H17" s="163">
        <v>1230</v>
      </c>
      <c r="I17" s="161">
        <v>69</v>
      </c>
      <c r="J17" s="162">
        <v>0.80232558139534904</v>
      </c>
      <c r="K17" s="161">
        <v>19</v>
      </c>
    </row>
    <row r="18" spans="1:11">
      <c r="A18" s="160" t="s">
        <v>277</v>
      </c>
      <c r="B18" s="160" t="s">
        <v>516</v>
      </c>
      <c r="C18" s="161">
        <v>2</v>
      </c>
      <c r="D18" s="161">
        <v>83</v>
      </c>
      <c r="E18" s="161">
        <v>9079</v>
      </c>
      <c r="F18" s="162">
        <v>9.1419759885449908E-3</v>
      </c>
      <c r="G18" s="163">
        <v>21248</v>
      </c>
      <c r="H18" s="163">
        <v>256</v>
      </c>
      <c r="I18" s="161">
        <v>83</v>
      </c>
      <c r="J18" s="162">
        <v>1</v>
      </c>
      <c r="K18" s="161">
        <v>7</v>
      </c>
    </row>
    <row r="19" spans="1:11">
      <c r="A19" s="160" t="s">
        <v>277</v>
      </c>
      <c r="B19" s="160" t="s">
        <v>514</v>
      </c>
      <c r="C19" s="161">
        <v>1</v>
      </c>
      <c r="D19" s="161">
        <v>71</v>
      </c>
      <c r="E19" s="161">
        <v>9079</v>
      </c>
      <c r="F19" s="162">
        <v>7.8202445203216196E-3</v>
      </c>
      <c r="G19" s="163">
        <v>21296</v>
      </c>
      <c r="H19" s="163">
        <v>288</v>
      </c>
      <c r="I19" s="161">
        <v>68</v>
      </c>
      <c r="J19" s="162">
        <v>0.95774647887323905</v>
      </c>
      <c r="K19" s="161">
        <v>9</v>
      </c>
    </row>
    <row r="20" spans="1:11">
      <c r="A20" s="160" t="s">
        <v>277</v>
      </c>
      <c r="B20" s="160" t="s">
        <v>516</v>
      </c>
      <c r="C20" s="161">
        <v>11</v>
      </c>
      <c r="D20" s="161">
        <v>26</v>
      </c>
      <c r="E20" s="161">
        <v>9079</v>
      </c>
      <c r="F20" s="162">
        <v>2.8637515144839701E-3</v>
      </c>
      <c r="G20" s="163">
        <v>32806</v>
      </c>
      <c r="H20" s="163">
        <v>1200</v>
      </c>
      <c r="I20" s="161">
        <v>14</v>
      </c>
      <c r="J20" s="162">
        <v>0.53846153846153799</v>
      </c>
      <c r="K20" s="161">
        <v>6</v>
      </c>
    </row>
    <row r="21" spans="1:11">
      <c r="A21" s="160" t="s">
        <v>277</v>
      </c>
      <c r="B21" s="160" t="s">
        <v>516</v>
      </c>
      <c r="C21" s="161">
        <v>6</v>
      </c>
      <c r="D21" s="161">
        <v>16</v>
      </c>
      <c r="E21" s="161">
        <v>9079</v>
      </c>
      <c r="F21" s="162">
        <v>1.76230862429783E-3</v>
      </c>
      <c r="G21" s="163">
        <v>10919</v>
      </c>
      <c r="H21" s="163">
        <v>600</v>
      </c>
      <c r="I21" s="161">
        <v>7</v>
      </c>
      <c r="J21" s="162">
        <v>0.4375</v>
      </c>
      <c r="K21" s="161">
        <v>5</v>
      </c>
    </row>
    <row r="22" spans="1:11">
      <c r="A22" s="160" t="s">
        <v>153</v>
      </c>
      <c r="B22" s="160" t="s">
        <v>516</v>
      </c>
      <c r="C22" s="161">
        <v>24</v>
      </c>
      <c r="D22" s="161">
        <v>110</v>
      </c>
      <c r="E22" s="161">
        <v>476</v>
      </c>
      <c r="F22" s="162">
        <v>0.23109243697479001</v>
      </c>
      <c r="G22" s="163">
        <v>866910</v>
      </c>
      <c r="H22" s="163">
        <v>2856</v>
      </c>
      <c r="I22" s="161">
        <v>95</v>
      </c>
      <c r="J22" s="162">
        <v>0.86363636363636398</v>
      </c>
      <c r="K22" s="161">
        <v>11</v>
      </c>
    </row>
    <row r="23" spans="1:11">
      <c r="A23" s="160" t="s">
        <v>153</v>
      </c>
      <c r="B23" s="160" t="s">
        <v>514</v>
      </c>
      <c r="C23" s="161">
        <v>6</v>
      </c>
      <c r="D23" s="161">
        <v>71</v>
      </c>
      <c r="E23" s="161">
        <v>476</v>
      </c>
      <c r="F23" s="162">
        <v>0.14915966386554599</v>
      </c>
      <c r="G23" s="163">
        <v>97554</v>
      </c>
      <c r="H23" s="163">
        <v>1374</v>
      </c>
      <c r="I23" s="161">
        <v>71</v>
      </c>
      <c r="J23" s="162">
        <v>1</v>
      </c>
      <c r="K23" s="161">
        <v>2</v>
      </c>
    </row>
    <row r="24" spans="1:11">
      <c r="A24" s="160" t="s">
        <v>153</v>
      </c>
      <c r="B24" s="160" t="s">
        <v>514</v>
      </c>
      <c r="C24" s="161">
        <v>18</v>
      </c>
      <c r="D24" s="161">
        <v>45</v>
      </c>
      <c r="E24" s="161">
        <v>476</v>
      </c>
      <c r="F24" s="162">
        <v>9.4537815126050403E-2</v>
      </c>
      <c r="G24" s="163">
        <v>194058</v>
      </c>
      <c r="H24" s="163">
        <v>4122</v>
      </c>
      <c r="I24" s="161">
        <v>42</v>
      </c>
      <c r="J24" s="162">
        <v>0.93333333333333302</v>
      </c>
      <c r="K24" s="161">
        <v>2</v>
      </c>
    </row>
    <row r="25" spans="1:11">
      <c r="A25" s="160" t="s">
        <v>153</v>
      </c>
      <c r="B25" s="160" t="s">
        <v>514</v>
      </c>
      <c r="C25" s="161">
        <v>12</v>
      </c>
      <c r="D25" s="161">
        <v>41</v>
      </c>
      <c r="E25" s="161">
        <v>476</v>
      </c>
      <c r="F25" s="162">
        <v>8.6134453781512604E-2</v>
      </c>
      <c r="G25" s="163">
        <v>112668</v>
      </c>
      <c r="H25" s="163">
        <v>2748</v>
      </c>
      <c r="I25" s="161">
        <v>41</v>
      </c>
      <c r="J25" s="162">
        <v>1</v>
      </c>
      <c r="K25" s="161">
        <v>1</v>
      </c>
    </row>
    <row r="26" spans="1:11">
      <c r="A26" s="160" t="s">
        <v>153</v>
      </c>
      <c r="B26" s="160" t="s">
        <v>514</v>
      </c>
      <c r="C26" s="161">
        <v>24</v>
      </c>
      <c r="D26" s="161">
        <v>34</v>
      </c>
      <c r="E26" s="161">
        <v>476</v>
      </c>
      <c r="F26" s="162">
        <v>7.1428571428571397E-2</v>
      </c>
      <c r="G26" s="163">
        <v>186864</v>
      </c>
      <c r="H26" s="163">
        <v>5496</v>
      </c>
      <c r="I26" s="161">
        <v>34</v>
      </c>
      <c r="J26" s="162">
        <v>1</v>
      </c>
      <c r="K26" s="161">
        <v>2</v>
      </c>
    </row>
    <row r="27" spans="1:11">
      <c r="A27" s="160" t="s">
        <v>153</v>
      </c>
      <c r="B27" s="160" t="s">
        <v>516</v>
      </c>
      <c r="C27" s="161">
        <v>48</v>
      </c>
      <c r="D27" s="161">
        <v>22</v>
      </c>
      <c r="E27" s="161">
        <v>476</v>
      </c>
      <c r="F27" s="162">
        <v>4.6218487394957999E-2</v>
      </c>
      <c r="G27" s="163">
        <v>167904</v>
      </c>
      <c r="H27" s="163">
        <v>5712</v>
      </c>
      <c r="I27" s="161">
        <v>19</v>
      </c>
      <c r="J27" s="162">
        <v>0.86363636363636398</v>
      </c>
      <c r="K27" s="161">
        <v>3</v>
      </c>
    </row>
    <row r="28" spans="1:11">
      <c r="A28" s="160" t="s">
        <v>153</v>
      </c>
      <c r="B28" s="160" t="s">
        <v>516</v>
      </c>
      <c r="C28" s="161">
        <v>72</v>
      </c>
      <c r="D28" s="161">
        <v>9</v>
      </c>
      <c r="E28" s="161">
        <v>476</v>
      </c>
      <c r="F28" s="162">
        <v>1.89075630252101E-2</v>
      </c>
      <c r="G28" s="163">
        <v>77112</v>
      </c>
      <c r="H28" s="163">
        <v>8568</v>
      </c>
      <c r="I28" s="161">
        <v>9</v>
      </c>
      <c r="J28" s="162">
        <v>1</v>
      </c>
      <c r="K28" s="161">
        <v>1</v>
      </c>
    </row>
    <row r="29" spans="1:11">
      <c r="A29" s="160" t="s">
        <v>153</v>
      </c>
      <c r="B29" s="160" t="s">
        <v>516</v>
      </c>
      <c r="C29" s="161">
        <v>96</v>
      </c>
      <c r="D29" s="161">
        <v>8</v>
      </c>
      <c r="E29" s="161">
        <v>476</v>
      </c>
      <c r="F29" s="162">
        <v>1.6806722689075598E-2</v>
      </c>
      <c r="G29" s="163">
        <v>170277.6</v>
      </c>
      <c r="H29" s="163">
        <v>11424</v>
      </c>
      <c r="I29" s="161">
        <v>5</v>
      </c>
      <c r="J29" s="162">
        <v>0.625</v>
      </c>
      <c r="K29" s="161">
        <v>3</v>
      </c>
    </row>
    <row r="30" spans="1:11">
      <c r="A30" s="160" t="s">
        <v>153</v>
      </c>
      <c r="B30" s="160" t="s">
        <v>514</v>
      </c>
      <c r="C30" s="161">
        <v>30</v>
      </c>
      <c r="D30" s="161">
        <v>8</v>
      </c>
      <c r="E30" s="161">
        <v>476</v>
      </c>
      <c r="F30" s="162">
        <v>1.6806722689075598E-2</v>
      </c>
      <c r="G30" s="163">
        <v>54960</v>
      </c>
      <c r="H30" s="163">
        <v>6870</v>
      </c>
      <c r="I30" s="161">
        <v>8</v>
      </c>
      <c r="J30" s="162">
        <v>1</v>
      </c>
      <c r="K30" s="161">
        <v>1</v>
      </c>
    </row>
    <row r="31" spans="1:11">
      <c r="A31" s="160" t="s">
        <v>153</v>
      </c>
      <c r="B31" s="160" t="s">
        <v>514</v>
      </c>
      <c r="C31" s="161">
        <v>48</v>
      </c>
      <c r="D31" s="161">
        <v>7</v>
      </c>
      <c r="E31" s="161">
        <v>476</v>
      </c>
      <c r="F31" s="162">
        <v>1.4705882352941201E-2</v>
      </c>
      <c r="G31" s="163">
        <v>94080</v>
      </c>
      <c r="H31" s="163">
        <v>10992</v>
      </c>
      <c r="I31" s="161">
        <v>5</v>
      </c>
      <c r="J31" s="162">
        <v>0.71428571428571397</v>
      </c>
      <c r="K31" s="161">
        <v>2</v>
      </c>
    </row>
    <row r="32" spans="1:11">
      <c r="A32" s="160" t="s">
        <v>153</v>
      </c>
      <c r="B32" s="160" t="s">
        <v>514</v>
      </c>
      <c r="C32" s="161">
        <v>36</v>
      </c>
      <c r="D32" s="161">
        <v>7</v>
      </c>
      <c r="E32" s="161">
        <v>476</v>
      </c>
      <c r="F32" s="162">
        <v>1.4705882352941201E-2</v>
      </c>
      <c r="G32" s="163">
        <v>65454</v>
      </c>
      <c r="H32" s="163">
        <v>8244</v>
      </c>
      <c r="I32" s="161">
        <v>6</v>
      </c>
      <c r="J32" s="162">
        <v>0.85714285714285698</v>
      </c>
      <c r="K32" s="161">
        <v>2</v>
      </c>
    </row>
    <row r="33" spans="1:11">
      <c r="A33" s="160" t="s">
        <v>153</v>
      </c>
      <c r="B33" s="160" t="s">
        <v>516</v>
      </c>
      <c r="C33" s="161">
        <v>120</v>
      </c>
      <c r="D33" s="161">
        <v>6</v>
      </c>
      <c r="E33" s="161">
        <v>476</v>
      </c>
      <c r="F33" s="162">
        <v>1.26050420168067E-2</v>
      </c>
      <c r="G33" s="163">
        <v>217657.2</v>
      </c>
      <c r="H33" s="163">
        <v>14280</v>
      </c>
      <c r="I33" s="161">
        <v>2</v>
      </c>
      <c r="J33" s="162">
        <v>0.33333333333333298</v>
      </c>
      <c r="K33" s="161">
        <v>2</v>
      </c>
    </row>
    <row r="34" spans="1:11">
      <c r="A34" s="160" t="s">
        <v>153</v>
      </c>
      <c r="B34" s="160" t="s">
        <v>514</v>
      </c>
      <c r="C34" s="161">
        <v>90</v>
      </c>
      <c r="D34" s="161">
        <v>6</v>
      </c>
      <c r="E34" s="161">
        <v>476</v>
      </c>
      <c r="F34" s="162">
        <v>1.26050420168067E-2</v>
      </c>
      <c r="G34" s="163">
        <v>153837.6</v>
      </c>
      <c r="H34" s="163">
        <v>20610</v>
      </c>
      <c r="I34" s="161">
        <v>4</v>
      </c>
      <c r="J34" s="162">
        <v>0.66666666666666696</v>
      </c>
      <c r="K34" s="161">
        <v>2</v>
      </c>
    </row>
    <row r="35" spans="1:11">
      <c r="A35" s="160" t="s">
        <v>153</v>
      </c>
      <c r="B35" s="160" t="s">
        <v>514</v>
      </c>
      <c r="C35" s="161">
        <v>120</v>
      </c>
      <c r="D35" s="161">
        <v>5</v>
      </c>
      <c r="E35" s="161">
        <v>476</v>
      </c>
      <c r="F35" s="162">
        <v>1.0504201680672299E-2</v>
      </c>
      <c r="G35" s="163">
        <v>137400</v>
      </c>
      <c r="H35" s="163">
        <v>27480</v>
      </c>
      <c r="I35" s="161">
        <v>5</v>
      </c>
      <c r="J35" s="162">
        <v>1</v>
      </c>
      <c r="K35" s="161">
        <v>1</v>
      </c>
    </row>
    <row r="36" spans="1:11">
      <c r="A36" s="160" t="s">
        <v>153</v>
      </c>
      <c r="B36" s="160" t="s">
        <v>516</v>
      </c>
      <c r="C36" s="161">
        <v>168</v>
      </c>
      <c r="D36" s="161">
        <v>5</v>
      </c>
      <c r="E36" s="161">
        <v>476</v>
      </c>
      <c r="F36" s="162">
        <v>1.0504201680672299E-2</v>
      </c>
      <c r="G36" s="163">
        <v>302761.2</v>
      </c>
      <c r="H36" s="163">
        <v>19992</v>
      </c>
      <c r="I36" s="161">
        <v>2</v>
      </c>
      <c r="J36" s="162">
        <v>0.4</v>
      </c>
      <c r="K36" s="161">
        <v>3</v>
      </c>
    </row>
    <row r="37" spans="1:11">
      <c r="A37" s="160" t="s">
        <v>153</v>
      </c>
      <c r="B37" s="160" t="s">
        <v>514</v>
      </c>
      <c r="C37" s="161">
        <v>72</v>
      </c>
      <c r="D37" s="161">
        <v>4</v>
      </c>
      <c r="E37" s="161">
        <v>476</v>
      </c>
      <c r="F37" s="162">
        <v>8.40336134453782E-3</v>
      </c>
      <c r="G37" s="163">
        <v>65952</v>
      </c>
      <c r="H37" s="163">
        <v>16488</v>
      </c>
      <c r="I37" s="161">
        <v>4</v>
      </c>
      <c r="J37" s="162">
        <v>1</v>
      </c>
      <c r="K37" s="161">
        <v>1</v>
      </c>
    </row>
    <row r="38" spans="1:11">
      <c r="A38" s="160" t="s">
        <v>153</v>
      </c>
      <c r="B38" s="160" t="s">
        <v>514</v>
      </c>
      <c r="C38" s="161">
        <v>132</v>
      </c>
      <c r="D38" s="161">
        <v>4</v>
      </c>
      <c r="E38" s="161">
        <v>476</v>
      </c>
      <c r="F38" s="162">
        <v>8.40336134453782E-3</v>
      </c>
      <c r="G38" s="163">
        <v>120912</v>
      </c>
      <c r="H38" s="163">
        <v>30228</v>
      </c>
      <c r="I38" s="161">
        <v>4</v>
      </c>
      <c r="J38" s="162">
        <v>1</v>
      </c>
      <c r="K38" s="161">
        <v>1</v>
      </c>
    </row>
    <row r="39" spans="1:11">
      <c r="A39" s="160" t="s">
        <v>153</v>
      </c>
      <c r="B39" s="160" t="s">
        <v>516</v>
      </c>
      <c r="C39" s="161">
        <v>144</v>
      </c>
      <c r="D39" s="161">
        <v>4</v>
      </c>
      <c r="E39" s="161">
        <v>476</v>
      </c>
      <c r="F39" s="162">
        <v>8.40336134453782E-3</v>
      </c>
      <c r="G39" s="163">
        <v>123717.6</v>
      </c>
      <c r="H39" s="163">
        <v>17136</v>
      </c>
      <c r="I39" s="161">
        <v>3</v>
      </c>
      <c r="J39" s="162">
        <v>0.75</v>
      </c>
      <c r="K39" s="161">
        <v>2</v>
      </c>
    </row>
    <row r="40" spans="1:11">
      <c r="A40" s="160" t="s">
        <v>153</v>
      </c>
      <c r="B40" s="160" t="s">
        <v>514</v>
      </c>
      <c r="C40" s="161">
        <v>42</v>
      </c>
      <c r="D40" s="161">
        <v>4</v>
      </c>
      <c r="E40" s="161">
        <v>476</v>
      </c>
      <c r="F40" s="162">
        <v>8.40336134453782E-3</v>
      </c>
      <c r="G40" s="163">
        <v>38472</v>
      </c>
      <c r="H40" s="163">
        <v>9618</v>
      </c>
      <c r="I40" s="161">
        <v>4</v>
      </c>
      <c r="J40" s="162">
        <v>1</v>
      </c>
      <c r="K40" s="161">
        <v>1</v>
      </c>
    </row>
    <row r="41" spans="1:11">
      <c r="A41" s="160" t="s">
        <v>153</v>
      </c>
      <c r="B41" s="160" t="s">
        <v>516</v>
      </c>
      <c r="C41" s="161">
        <v>192</v>
      </c>
      <c r="D41" s="161">
        <v>4</v>
      </c>
      <c r="E41" s="161">
        <v>476</v>
      </c>
      <c r="F41" s="162">
        <v>8.40336134453782E-3</v>
      </c>
      <c r="G41" s="163">
        <v>272563.20000000001</v>
      </c>
      <c r="H41" s="163">
        <v>22848</v>
      </c>
      <c r="I41" s="161">
        <v>1</v>
      </c>
      <c r="J41" s="162">
        <v>0.25</v>
      </c>
      <c r="K41" s="161">
        <v>3</v>
      </c>
    </row>
    <row r="42" spans="1:11">
      <c r="A42" s="160" t="s">
        <v>153</v>
      </c>
      <c r="B42" s="160" t="s">
        <v>516</v>
      </c>
      <c r="C42" s="161">
        <v>180</v>
      </c>
      <c r="D42" s="161">
        <v>4</v>
      </c>
      <c r="E42" s="161">
        <v>476</v>
      </c>
      <c r="F42" s="162">
        <v>8.40336134453782E-3</v>
      </c>
      <c r="G42" s="163">
        <v>491962.8</v>
      </c>
      <c r="H42" s="163">
        <v>98948.4</v>
      </c>
      <c r="I42" s="161">
        <v>1</v>
      </c>
      <c r="J42" s="162">
        <v>0.25</v>
      </c>
      <c r="K42" s="161">
        <v>2</v>
      </c>
    </row>
    <row r="43" spans="1:11">
      <c r="A43" s="160" t="s">
        <v>153</v>
      </c>
      <c r="B43" s="160" t="s">
        <v>514</v>
      </c>
      <c r="C43" s="161">
        <v>78</v>
      </c>
      <c r="D43" s="161">
        <v>4</v>
      </c>
      <c r="E43" s="161">
        <v>476</v>
      </c>
      <c r="F43" s="162">
        <v>8.40336134453782E-3</v>
      </c>
      <c r="G43" s="163">
        <v>71448</v>
      </c>
      <c r="H43" s="163">
        <v>17862</v>
      </c>
      <c r="I43" s="161">
        <v>4</v>
      </c>
      <c r="J43" s="162">
        <v>1</v>
      </c>
      <c r="K43" s="161">
        <v>1</v>
      </c>
    </row>
    <row r="44" spans="1:11">
      <c r="A44" s="160" t="s">
        <v>153</v>
      </c>
      <c r="B44" s="160" t="s">
        <v>514</v>
      </c>
      <c r="C44" s="161">
        <v>102</v>
      </c>
      <c r="D44" s="161">
        <v>3</v>
      </c>
      <c r="E44" s="161">
        <v>476</v>
      </c>
      <c r="F44" s="162">
        <v>6.3025210084033598E-3</v>
      </c>
      <c r="G44" s="163">
        <v>70074</v>
      </c>
      <c r="H44" s="163">
        <v>23358</v>
      </c>
      <c r="I44" s="161">
        <v>3</v>
      </c>
      <c r="J44" s="162">
        <v>1</v>
      </c>
      <c r="K44" s="161">
        <v>1</v>
      </c>
    </row>
    <row r="45" spans="1:11">
      <c r="A45" s="160" t="s">
        <v>153</v>
      </c>
      <c r="B45" s="160" t="s">
        <v>516</v>
      </c>
      <c r="C45" s="161">
        <v>12</v>
      </c>
      <c r="D45" s="161">
        <v>3</v>
      </c>
      <c r="E45" s="161">
        <v>476</v>
      </c>
      <c r="F45" s="162">
        <v>6.3025210084033598E-3</v>
      </c>
      <c r="G45" s="163">
        <v>4284</v>
      </c>
      <c r="H45" s="163">
        <v>1428</v>
      </c>
      <c r="I45" s="161">
        <v>3</v>
      </c>
      <c r="J45" s="162">
        <v>1</v>
      </c>
      <c r="K45" s="161">
        <v>1</v>
      </c>
    </row>
    <row r="46" spans="1:11">
      <c r="A46" s="160" t="s">
        <v>153</v>
      </c>
      <c r="B46" s="160" t="s">
        <v>516</v>
      </c>
      <c r="C46" s="161">
        <v>216</v>
      </c>
      <c r="D46" s="161">
        <v>3</v>
      </c>
      <c r="E46" s="161">
        <v>476</v>
      </c>
      <c r="F46" s="162">
        <v>6.3025210084033598E-3</v>
      </c>
      <c r="G46" s="163">
        <v>77112</v>
      </c>
      <c r="H46" s="163">
        <v>25704</v>
      </c>
      <c r="I46" s="161">
        <v>3</v>
      </c>
      <c r="J46" s="162">
        <v>1</v>
      </c>
      <c r="K46" s="161">
        <v>1</v>
      </c>
    </row>
    <row r="47" spans="1:11">
      <c r="A47" s="160" t="s">
        <v>153</v>
      </c>
      <c r="B47" s="160" t="s">
        <v>516</v>
      </c>
      <c r="C47" s="161">
        <v>300</v>
      </c>
      <c r="D47" s="161">
        <v>3</v>
      </c>
      <c r="E47" s="161">
        <v>476</v>
      </c>
      <c r="F47" s="162">
        <v>6.3025210084033598E-3</v>
      </c>
      <c r="G47" s="163">
        <v>1103994</v>
      </c>
      <c r="H47" s="163">
        <v>235506</v>
      </c>
      <c r="I47" s="161">
        <v>1</v>
      </c>
      <c r="J47" s="162">
        <v>0.33333333333333298</v>
      </c>
      <c r="K47" s="161">
        <v>3</v>
      </c>
    </row>
    <row r="48" spans="1:11">
      <c r="A48" s="160" t="s">
        <v>153</v>
      </c>
      <c r="B48" s="160" t="s">
        <v>514</v>
      </c>
      <c r="C48" s="161">
        <v>108</v>
      </c>
      <c r="D48" s="161">
        <v>2</v>
      </c>
      <c r="E48" s="161">
        <v>476</v>
      </c>
      <c r="F48" s="162">
        <v>4.20168067226891E-3</v>
      </c>
      <c r="G48" s="163">
        <v>49464</v>
      </c>
      <c r="H48" s="163">
        <v>24732</v>
      </c>
      <c r="I48" s="161">
        <v>2</v>
      </c>
      <c r="J48" s="162">
        <v>1</v>
      </c>
      <c r="K48" s="161">
        <v>1</v>
      </c>
    </row>
    <row r="49" spans="1:11">
      <c r="A49" s="160" t="s">
        <v>153</v>
      </c>
      <c r="B49" s="160" t="s">
        <v>514</v>
      </c>
      <c r="C49" s="161">
        <v>84</v>
      </c>
      <c r="D49" s="161">
        <v>2</v>
      </c>
      <c r="E49" s="161">
        <v>476</v>
      </c>
      <c r="F49" s="162">
        <v>4.20168067226891E-3</v>
      </c>
      <c r="G49" s="163">
        <v>38472</v>
      </c>
      <c r="H49" s="163">
        <v>19236</v>
      </c>
      <c r="I49" s="161">
        <v>2</v>
      </c>
      <c r="J49" s="162">
        <v>1</v>
      </c>
      <c r="K49" s="161">
        <v>1</v>
      </c>
    </row>
    <row r="50" spans="1:11">
      <c r="A50" s="160" t="s">
        <v>153</v>
      </c>
      <c r="B50" s="160" t="s">
        <v>514</v>
      </c>
      <c r="C50" s="161">
        <v>54</v>
      </c>
      <c r="D50" s="161">
        <v>2</v>
      </c>
      <c r="E50" s="161">
        <v>476</v>
      </c>
      <c r="F50" s="162">
        <v>4.20168067226891E-3</v>
      </c>
      <c r="G50" s="163">
        <v>24732</v>
      </c>
      <c r="H50" s="163">
        <v>12366</v>
      </c>
      <c r="I50" s="161">
        <v>2</v>
      </c>
      <c r="J50" s="162">
        <v>1</v>
      </c>
      <c r="K50" s="161">
        <v>1</v>
      </c>
    </row>
    <row r="51" spans="1:11">
      <c r="A51" s="160" t="s">
        <v>153</v>
      </c>
      <c r="B51" s="160" t="s">
        <v>516</v>
      </c>
      <c r="C51" s="161">
        <v>90</v>
      </c>
      <c r="D51" s="161">
        <v>2</v>
      </c>
      <c r="E51" s="161">
        <v>476</v>
      </c>
      <c r="F51" s="162">
        <v>4.20168067226891E-3</v>
      </c>
      <c r="G51" s="163">
        <v>202585.2</v>
      </c>
      <c r="H51" s="163">
        <v>81567.600000000006</v>
      </c>
      <c r="I51" s="161">
        <v>1</v>
      </c>
      <c r="J51" s="162">
        <v>0.5</v>
      </c>
      <c r="K51" s="161">
        <v>2</v>
      </c>
    </row>
    <row r="52" spans="1:11">
      <c r="A52" s="160" t="s">
        <v>153</v>
      </c>
      <c r="B52" s="160" t="s">
        <v>514</v>
      </c>
      <c r="C52" s="161">
        <v>162</v>
      </c>
      <c r="D52" s="161">
        <v>2</v>
      </c>
      <c r="E52" s="161">
        <v>476</v>
      </c>
      <c r="F52" s="162">
        <v>4.20168067226891E-3</v>
      </c>
      <c r="G52" s="163">
        <v>74196</v>
      </c>
      <c r="H52" s="163">
        <v>37098</v>
      </c>
      <c r="I52" s="161">
        <v>2</v>
      </c>
      <c r="J52" s="162">
        <v>1</v>
      </c>
      <c r="K52" s="161">
        <v>1</v>
      </c>
    </row>
    <row r="53" spans="1:11">
      <c r="A53" s="160" t="s">
        <v>153</v>
      </c>
      <c r="B53" s="160" t="s">
        <v>514</v>
      </c>
      <c r="C53" s="161">
        <v>138</v>
      </c>
      <c r="D53" s="161">
        <v>2</v>
      </c>
      <c r="E53" s="161">
        <v>476</v>
      </c>
      <c r="F53" s="162">
        <v>4.20168067226891E-3</v>
      </c>
      <c r="G53" s="163">
        <v>85845.6</v>
      </c>
      <c r="H53" s="163">
        <v>31602</v>
      </c>
      <c r="I53" s="161">
        <v>1</v>
      </c>
      <c r="J53" s="162">
        <v>0.5</v>
      </c>
      <c r="K53" s="161">
        <v>2</v>
      </c>
    </row>
    <row r="54" spans="1:11">
      <c r="A54" s="160" t="s">
        <v>153</v>
      </c>
      <c r="B54" s="160" t="s">
        <v>514</v>
      </c>
      <c r="C54" s="161">
        <v>96</v>
      </c>
      <c r="D54" s="161">
        <v>2</v>
      </c>
      <c r="E54" s="161">
        <v>476</v>
      </c>
      <c r="F54" s="162">
        <v>4.20168067226891E-3</v>
      </c>
      <c r="G54" s="163">
        <v>46617.599999999999</v>
      </c>
      <c r="H54" s="163">
        <v>21984</v>
      </c>
      <c r="I54" s="161">
        <v>1</v>
      </c>
      <c r="J54" s="162">
        <v>0.5</v>
      </c>
      <c r="K54" s="161">
        <v>1</v>
      </c>
    </row>
    <row r="55" spans="1:11">
      <c r="A55" s="160" t="s">
        <v>153</v>
      </c>
      <c r="B55" s="160" t="s">
        <v>516</v>
      </c>
      <c r="C55" s="161">
        <v>480</v>
      </c>
      <c r="D55" s="161">
        <v>2</v>
      </c>
      <c r="E55" s="161">
        <v>476</v>
      </c>
      <c r="F55" s="162">
        <v>4.20168067226891E-3</v>
      </c>
      <c r="G55" s="163">
        <v>817808.4</v>
      </c>
      <c r="H55" s="163">
        <v>201578.4</v>
      </c>
      <c r="I55" s="161">
        <v>1</v>
      </c>
      <c r="J55" s="162">
        <v>0.5</v>
      </c>
      <c r="K55" s="161">
        <v>2</v>
      </c>
    </row>
    <row r="56" spans="1:11">
      <c r="A56" s="160" t="s">
        <v>153</v>
      </c>
      <c r="B56" s="160" t="s">
        <v>514</v>
      </c>
      <c r="C56" s="161">
        <v>204</v>
      </c>
      <c r="D56" s="161">
        <v>2</v>
      </c>
      <c r="E56" s="161">
        <v>476</v>
      </c>
      <c r="F56" s="162">
        <v>4.20168067226891E-3</v>
      </c>
      <c r="G56" s="163">
        <v>93432</v>
      </c>
      <c r="H56" s="163">
        <v>46716</v>
      </c>
      <c r="I56" s="161">
        <v>2</v>
      </c>
      <c r="J56" s="162">
        <v>1</v>
      </c>
      <c r="K56" s="161">
        <v>1</v>
      </c>
    </row>
    <row r="57" spans="1:11">
      <c r="A57" s="160" t="s">
        <v>153</v>
      </c>
      <c r="B57" s="160" t="s">
        <v>514</v>
      </c>
      <c r="C57" s="161">
        <v>66</v>
      </c>
      <c r="D57" s="161">
        <v>2</v>
      </c>
      <c r="E57" s="161">
        <v>476</v>
      </c>
      <c r="F57" s="162">
        <v>4.20168067226891E-3</v>
      </c>
      <c r="G57" s="163">
        <v>52869.599999999999</v>
      </c>
      <c r="H57" s="163">
        <v>23682</v>
      </c>
      <c r="I57" s="161">
        <v>1</v>
      </c>
      <c r="J57" s="162">
        <v>0.5</v>
      </c>
      <c r="K57" s="161">
        <v>2</v>
      </c>
    </row>
    <row r="58" spans="1:11">
      <c r="A58" s="160" t="s">
        <v>153</v>
      </c>
      <c r="B58" s="160" t="s">
        <v>514</v>
      </c>
      <c r="C58" s="161">
        <v>60</v>
      </c>
      <c r="D58" s="161">
        <v>1</v>
      </c>
      <c r="E58" s="161">
        <v>476</v>
      </c>
      <c r="F58" s="162">
        <v>2.1008403361344498E-3</v>
      </c>
      <c r="G58" s="163">
        <v>13740</v>
      </c>
      <c r="H58" s="163">
        <v>13740</v>
      </c>
      <c r="I58" s="161">
        <v>1</v>
      </c>
      <c r="J58" s="162">
        <v>1</v>
      </c>
      <c r="K58" s="161">
        <v>1</v>
      </c>
    </row>
    <row r="59" spans="1:11">
      <c r="A59" s="160" t="s">
        <v>153</v>
      </c>
      <c r="B59" s="160" t="s">
        <v>516</v>
      </c>
      <c r="C59" s="161">
        <v>60</v>
      </c>
      <c r="D59" s="161">
        <v>1</v>
      </c>
      <c r="E59" s="161">
        <v>476</v>
      </c>
      <c r="F59" s="162">
        <v>2.1008403361344498E-3</v>
      </c>
      <c r="G59" s="163">
        <v>144540</v>
      </c>
      <c r="H59" s="163">
        <v>144540</v>
      </c>
      <c r="I59" s="161">
        <v>1</v>
      </c>
      <c r="J59" s="162">
        <v>1</v>
      </c>
      <c r="K59" s="161">
        <v>1</v>
      </c>
    </row>
    <row r="60" spans="1:11">
      <c r="A60" s="160" t="s">
        <v>153</v>
      </c>
      <c r="B60" s="160" t="s">
        <v>516</v>
      </c>
      <c r="C60" s="161">
        <v>600</v>
      </c>
      <c r="D60" s="161">
        <v>1</v>
      </c>
      <c r="E60" s="161">
        <v>476</v>
      </c>
      <c r="F60" s="162">
        <v>2.1008403361344498E-3</v>
      </c>
      <c r="G60" s="163">
        <v>304560</v>
      </c>
      <c r="H60" s="163">
        <v>304560</v>
      </c>
      <c r="I60" s="161">
        <v>1</v>
      </c>
      <c r="J60" s="162">
        <v>1</v>
      </c>
      <c r="K60" s="161">
        <v>1</v>
      </c>
    </row>
    <row r="61" spans="1:11">
      <c r="A61" s="160" t="s">
        <v>153</v>
      </c>
      <c r="B61" s="160" t="s">
        <v>514</v>
      </c>
      <c r="C61" s="161">
        <v>216</v>
      </c>
      <c r="D61" s="161">
        <v>1</v>
      </c>
      <c r="E61" s="161">
        <v>476</v>
      </c>
      <c r="F61" s="162">
        <v>2.1008403361344498E-3</v>
      </c>
      <c r="G61" s="163">
        <v>49464</v>
      </c>
      <c r="H61" s="163">
        <v>49464</v>
      </c>
      <c r="I61" s="161">
        <v>1</v>
      </c>
      <c r="J61" s="162">
        <v>1</v>
      </c>
      <c r="K61" s="161">
        <v>1</v>
      </c>
    </row>
    <row r="62" spans="1:11">
      <c r="A62" s="160" t="s">
        <v>153</v>
      </c>
      <c r="B62" s="160" t="s">
        <v>514</v>
      </c>
      <c r="C62" s="161">
        <v>258</v>
      </c>
      <c r="D62" s="161">
        <v>1</v>
      </c>
      <c r="E62" s="161">
        <v>476</v>
      </c>
      <c r="F62" s="162">
        <v>2.1008403361344498E-3</v>
      </c>
      <c r="G62" s="163">
        <v>59082</v>
      </c>
      <c r="H62" s="163">
        <v>59082</v>
      </c>
      <c r="I62" s="161">
        <v>1</v>
      </c>
      <c r="J62" s="162">
        <v>1</v>
      </c>
      <c r="K62" s="161">
        <v>1</v>
      </c>
    </row>
    <row r="63" spans="1:11">
      <c r="A63" s="160" t="s">
        <v>153</v>
      </c>
      <c r="B63" s="160" t="s">
        <v>514</v>
      </c>
      <c r="C63" s="161">
        <v>276</v>
      </c>
      <c r="D63" s="161">
        <v>1</v>
      </c>
      <c r="E63" s="161">
        <v>476</v>
      </c>
      <c r="F63" s="162">
        <v>2.1008403361344498E-3</v>
      </c>
      <c r="G63" s="163">
        <v>63204</v>
      </c>
      <c r="H63" s="163">
        <v>63204</v>
      </c>
      <c r="I63" s="161">
        <v>1</v>
      </c>
      <c r="J63" s="162">
        <v>1</v>
      </c>
      <c r="K63" s="161">
        <v>1</v>
      </c>
    </row>
    <row r="64" spans="1:11">
      <c r="A64" s="160" t="s">
        <v>153</v>
      </c>
      <c r="B64" s="160" t="s">
        <v>514</v>
      </c>
      <c r="C64" s="161">
        <v>180</v>
      </c>
      <c r="D64" s="161">
        <v>1</v>
      </c>
      <c r="E64" s="161">
        <v>476</v>
      </c>
      <c r="F64" s="162">
        <v>2.1008403361344498E-3</v>
      </c>
      <c r="G64" s="163">
        <v>41220</v>
      </c>
      <c r="H64" s="163">
        <v>41220</v>
      </c>
      <c r="I64" s="161">
        <v>1</v>
      </c>
      <c r="J64" s="162">
        <v>1</v>
      </c>
      <c r="K64" s="161">
        <v>1</v>
      </c>
    </row>
    <row r="65" spans="1:11">
      <c r="A65" s="160" t="s">
        <v>153</v>
      </c>
      <c r="B65" s="160" t="s">
        <v>516</v>
      </c>
      <c r="C65" s="161">
        <v>780</v>
      </c>
      <c r="D65" s="161">
        <v>1</v>
      </c>
      <c r="E65" s="161">
        <v>476</v>
      </c>
      <c r="F65" s="162">
        <v>2.1008403361344498E-3</v>
      </c>
      <c r="G65" s="163">
        <v>116760</v>
      </c>
      <c r="H65" s="163">
        <v>116760</v>
      </c>
      <c r="I65" s="161">
        <v>1</v>
      </c>
      <c r="J65" s="162">
        <v>1</v>
      </c>
      <c r="K65" s="161">
        <v>1</v>
      </c>
    </row>
    <row r="66" spans="1:11">
      <c r="A66" s="160" t="s">
        <v>153</v>
      </c>
      <c r="B66" s="160" t="s">
        <v>516</v>
      </c>
      <c r="C66" s="161">
        <v>444</v>
      </c>
      <c r="D66" s="161">
        <v>1</v>
      </c>
      <c r="E66" s="161">
        <v>476</v>
      </c>
      <c r="F66" s="162">
        <v>2.1008403361344498E-3</v>
      </c>
      <c r="G66" s="163">
        <v>76776</v>
      </c>
      <c r="H66" s="163">
        <v>76776</v>
      </c>
      <c r="I66" s="161">
        <v>1</v>
      </c>
      <c r="J66" s="162">
        <v>1</v>
      </c>
      <c r="K66" s="161">
        <v>1</v>
      </c>
    </row>
    <row r="67" spans="1:11">
      <c r="A67" s="160" t="s">
        <v>153</v>
      </c>
      <c r="B67" s="160" t="s">
        <v>516</v>
      </c>
      <c r="C67" s="161">
        <v>552</v>
      </c>
      <c r="D67" s="161">
        <v>1</v>
      </c>
      <c r="E67" s="161">
        <v>476</v>
      </c>
      <c r="F67" s="162">
        <v>2.1008403361344498E-3</v>
      </c>
      <c r="G67" s="163">
        <v>65688</v>
      </c>
      <c r="H67" s="163">
        <v>65688</v>
      </c>
      <c r="I67" s="161">
        <v>1</v>
      </c>
      <c r="J67" s="162">
        <v>1</v>
      </c>
      <c r="K67" s="161">
        <v>1</v>
      </c>
    </row>
    <row r="68" spans="1:11">
      <c r="A68" s="160" t="s">
        <v>153</v>
      </c>
      <c r="B68" s="160" t="s">
        <v>514</v>
      </c>
      <c r="C68" s="161">
        <v>126</v>
      </c>
      <c r="D68" s="161">
        <v>1</v>
      </c>
      <c r="E68" s="161">
        <v>476</v>
      </c>
      <c r="F68" s="162">
        <v>2.1008403361344498E-3</v>
      </c>
      <c r="G68" s="163">
        <v>28854</v>
      </c>
      <c r="H68" s="163">
        <v>28854</v>
      </c>
      <c r="I68" s="161">
        <v>1</v>
      </c>
      <c r="J68" s="162">
        <v>1</v>
      </c>
      <c r="K68" s="161">
        <v>1</v>
      </c>
    </row>
    <row r="69" spans="1:11">
      <c r="A69" s="160" t="s">
        <v>153</v>
      </c>
      <c r="B69" s="160" t="s">
        <v>514</v>
      </c>
      <c r="C69" s="161">
        <v>264</v>
      </c>
      <c r="D69" s="161">
        <v>1</v>
      </c>
      <c r="E69" s="161">
        <v>476</v>
      </c>
      <c r="F69" s="162">
        <v>2.1008403361344498E-3</v>
      </c>
      <c r="G69" s="163">
        <v>60456</v>
      </c>
      <c r="H69" s="163">
        <v>60456</v>
      </c>
      <c r="I69" s="161">
        <v>1</v>
      </c>
      <c r="J69" s="162">
        <v>1</v>
      </c>
      <c r="K69" s="161">
        <v>1</v>
      </c>
    </row>
    <row r="70" spans="1:11">
      <c r="A70" s="160" t="s">
        <v>153</v>
      </c>
      <c r="B70" s="160" t="s">
        <v>514</v>
      </c>
      <c r="C70" s="161">
        <v>144</v>
      </c>
      <c r="D70" s="161">
        <v>1</v>
      </c>
      <c r="E70" s="161">
        <v>476</v>
      </c>
      <c r="F70" s="162">
        <v>2.1008403361344498E-3</v>
      </c>
      <c r="G70" s="163">
        <v>70104</v>
      </c>
      <c r="H70" s="163">
        <v>70104</v>
      </c>
      <c r="I70" s="161">
        <v>1</v>
      </c>
      <c r="J70" s="162">
        <v>1</v>
      </c>
      <c r="K70" s="161">
        <v>1</v>
      </c>
    </row>
    <row r="71" spans="1:11">
      <c r="A71" s="160" t="s">
        <v>153</v>
      </c>
      <c r="B71" s="160" t="s">
        <v>516</v>
      </c>
      <c r="C71" s="161">
        <v>456</v>
      </c>
      <c r="D71" s="161">
        <v>1</v>
      </c>
      <c r="E71" s="161">
        <v>476</v>
      </c>
      <c r="F71" s="162">
        <v>2.1008403361344498E-3</v>
      </c>
      <c r="G71" s="163">
        <v>222577.2</v>
      </c>
      <c r="H71" s="163">
        <v>222577.2</v>
      </c>
      <c r="I71" s="161">
        <v>1</v>
      </c>
      <c r="J71" s="162">
        <v>1</v>
      </c>
      <c r="K71" s="161">
        <v>1</v>
      </c>
    </row>
    <row r="72" spans="1:11">
      <c r="A72" s="160" t="s">
        <v>153</v>
      </c>
      <c r="B72" s="160" t="s">
        <v>516</v>
      </c>
      <c r="C72" s="161">
        <v>288</v>
      </c>
      <c r="D72" s="161">
        <v>1</v>
      </c>
      <c r="E72" s="161">
        <v>476</v>
      </c>
      <c r="F72" s="162">
        <v>2.1008403361344498E-3</v>
      </c>
      <c r="G72" s="163">
        <v>34272</v>
      </c>
      <c r="H72" s="163">
        <v>34272</v>
      </c>
      <c r="I72" s="161">
        <v>1</v>
      </c>
      <c r="J72" s="162">
        <v>1</v>
      </c>
      <c r="K72" s="161">
        <v>1</v>
      </c>
    </row>
    <row r="73" spans="1:11">
      <c r="A73" s="160" t="s">
        <v>153</v>
      </c>
      <c r="B73" s="160" t="s">
        <v>516</v>
      </c>
      <c r="C73" s="161">
        <v>360</v>
      </c>
      <c r="D73" s="161">
        <v>1</v>
      </c>
      <c r="E73" s="161">
        <v>476</v>
      </c>
      <c r="F73" s="162">
        <v>2.1008403361344498E-3</v>
      </c>
      <c r="G73" s="163">
        <v>42840</v>
      </c>
      <c r="H73" s="163">
        <v>42840</v>
      </c>
      <c r="I73" s="161">
        <v>1</v>
      </c>
      <c r="J73" s="162">
        <v>1</v>
      </c>
      <c r="K73" s="161">
        <v>1</v>
      </c>
    </row>
    <row r="74" spans="1:11">
      <c r="A74" s="160" t="s">
        <v>153</v>
      </c>
      <c r="B74" s="160" t="s">
        <v>514</v>
      </c>
      <c r="C74" s="161">
        <v>198</v>
      </c>
      <c r="D74" s="161">
        <v>1</v>
      </c>
      <c r="E74" s="161">
        <v>476</v>
      </c>
      <c r="F74" s="162">
        <v>2.1008403361344498E-3</v>
      </c>
      <c r="G74" s="163">
        <v>45342</v>
      </c>
      <c r="H74" s="163">
        <v>45342</v>
      </c>
      <c r="I74" s="161">
        <v>1</v>
      </c>
      <c r="J74" s="162">
        <v>1</v>
      </c>
      <c r="K74" s="161">
        <v>1</v>
      </c>
    </row>
    <row r="75" spans="1:11">
      <c r="A75" s="160" t="s">
        <v>153</v>
      </c>
      <c r="B75" s="160" t="s">
        <v>516</v>
      </c>
      <c r="C75" s="161">
        <v>312</v>
      </c>
      <c r="D75" s="161">
        <v>1</v>
      </c>
      <c r="E75" s="161">
        <v>476</v>
      </c>
      <c r="F75" s="162">
        <v>2.1008403361344498E-3</v>
      </c>
      <c r="G75" s="163">
        <v>37128</v>
      </c>
      <c r="H75" s="163">
        <v>37128</v>
      </c>
      <c r="I75" s="161">
        <v>1</v>
      </c>
      <c r="J75" s="162">
        <v>1</v>
      </c>
      <c r="K75" s="161">
        <v>1</v>
      </c>
    </row>
    <row r="76" spans="1:11">
      <c r="A76" s="160" t="s">
        <v>153</v>
      </c>
      <c r="B76" s="160" t="s">
        <v>514</v>
      </c>
      <c r="C76" s="161">
        <v>2</v>
      </c>
      <c r="D76" s="161">
        <v>1</v>
      </c>
      <c r="E76" s="161">
        <v>476</v>
      </c>
      <c r="F76" s="162">
        <v>2.1008403361344498E-3</v>
      </c>
      <c r="G76" s="163">
        <v>458</v>
      </c>
      <c r="H76" s="163">
        <v>458</v>
      </c>
      <c r="I76" s="161">
        <v>1</v>
      </c>
      <c r="J76" s="162">
        <v>1</v>
      </c>
      <c r="K76" s="161">
        <v>1</v>
      </c>
    </row>
    <row r="77" spans="1:11">
      <c r="A77" s="160" t="s">
        <v>153</v>
      </c>
      <c r="B77" s="160" t="s">
        <v>516</v>
      </c>
      <c r="C77" s="161">
        <v>348</v>
      </c>
      <c r="D77" s="161">
        <v>1</v>
      </c>
      <c r="E77" s="161">
        <v>476</v>
      </c>
      <c r="F77" s="162">
        <v>2.1008403361344498E-3</v>
      </c>
      <c r="G77" s="163">
        <v>41412</v>
      </c>
      <c r="H77" s="163">
        <v>41412</v>
      </c>
      <c r="I77" s="161">
        <v>1</v>
      </c>
      <c r="J77" s="162">
        <v>1</v>
      </c>
      <c r="K77" s="161">
        <v>1</v>
      </c>
    </row>
    <row r="78" spans="1:11">
      <c r="A78" s="160" t="s">
        <v>153</v>
      </c>
      <c r="B78" s="160" t="s">
        <v>514</v>
      </c>
      <c r="C78" s="161">
        <v>252</v>
      </c>
      <c r="D78" s="161">
        <v>1</v>
      </c>
      <c r="E78" s="161">
        <v>476</v>
      </c>
      <c r="F78" s="162">
        <v>2.1008403361344498E-3</v>
      </c>
      <c r="G78" s="163">
        <v>57708</v>
      </c>
      <c r="H78" s="163">
        <v>57708</v>
      </c>
      <c r="I78" s="161">
        <v>1</v>
      </c>
      <c r="J78" s="162">
        <v>1</v>
      </c>
      <c r="K78" s="161">
        <v>1</v>
      </c>
    </row>
    <row r="79" spans="1:11">
      <c r="A79" s="160" t="s">
        <v>153</v>
      </c>
      <c r="B79" s="160" t="s">
        <v>514</v>
      </c>
      <c r="C79" s="161">
        <v>3</v>
      </c>
      <c r="D79" s="161">
        <v>1</v>
      </c>
      <c r="E79" s="161">
        <v>476</v>
      </c>
      <c r="F79" s="162">
        <v>2.1008403361344498E-3</v>
      </c>
      <c r="G79" s="163">
        <v>687</v>
      </c>
      <c r="H79" s="163">
        <v>687</v>
      </c>
      <c r="I79" s="161">
        <v>1</v>
      </c>
      <c r="J79" s="162">
        <v>1</v>
      </c>
      <c r="K79" s="161">
        <v>1</v>
      </c>
    </row>
    <row r="80" spans="1:11">
      <c r="A80" s="160" t="s">
        <v>153</v>
      </c>
      <c r="B80" s="160" t="s">
        <v>514</v>
      </c>
      <c r="C80" s="161">
        <v>150</v>
      </c>
      <c r="D80" s="161">
        <v>1</v>
      </c>
      <c r="E80" s="161">
        <v>476</v>
      </c>
      <c r="F80" s="162">
        <v>2.1008403361344498E-3</v>
      </c>
      <c r="G80" s="163">
        <v>34350</v>
      </c>
      <c r="H80" s="163">
        <v>34350</v>
      </c>
      <c r="I80" s="161">
        <v>1</v>
      </c>
      <c r="J80" s="162">
        <v>1</v>
      </c>
      <c r="K80" s="161">
        <v>1</v>
      </c>
    </row>
    <row r="81" spans="1:11">
      <c r="A81" s="160" t="s">
        <v>153</v>
      </c>
      <c r="B81" s="160" t="s">
        <v>516</v>
      </c>
      <c r="C81" s="161">
        <v>408</v>
      </c>
      <c r="D81" s="161">
        <v>1</v>
      </c>
      <c r="E81" s="161">
        <v>476</v>
      </c>
      <c r="F81" s="162">
        <v>2.1008403361344498E-3</v>
      </c>
      <c r="G81" s="163">
        <v>48552</v>
      </c>
      <c r="H81" s="163">
        <v>48552</v>
      </c>
      <c r="I81" s="161">
        <v>1</v>
      </c>
      <c r="J81" s="162">
        <v>1</v>
      </c>
      <c r="K81" s="161">
        <v>1</v>
      </c>
    </row>
    <row r="82" spans="1:11">
      <c r="A82" s="160" t="s">
        <v>153</v>
      </c>
      <c r="B82" s="160" t="s">
        <v>514</v>
      </c>
      <c r="C82" s="161">
        <v>222</v>
      </c>
      <c r="D82" s="161">
        <v>1</v>
      </c>
      <c r="E82" s="161">
        <v>476</v>
      </c>
      <c r="F82" s="162">
        <v>2.1008403361344498E-3</v>
      </c>
      <c r="G82" s="163">
        <v>61436.4</v>
      </c>
      <c r="H82" s="163">
        <v>61436.4</v>
      </c>
      <c r="I82" s="161">
        <v>1</v>
      </c>
      <c r="J82" s="162">
        <v>1</v>
      </c>
      <c r="K82" s="161">
        <v>1</v>
      </c>
    </row>
    <row r="83" spans="1:11">
      <c r="A83" s="160" t="s">
        <v>153</v>
      </c>
      <c r="B83" s="160" t="s">
        <v>514</v>
      </c>
      <c r="C83" s="161">
        <v>192</v>
      </c>
      <c r="D83" s="161">
        <v>1</v>
      </c>
      <c r="E83" s="161">
        <v>476</v>
      </c>
      <c r="F83" s="162">
        <v>2.1008403361344498E-3</v>
      </c>
      <c r="G83" s="163">
        <v>43968</v>
      </c>
      <c r="H83" s="163">
        <v>43968</v>
      </c>
      <c r="I83" s="161">
        <v>1</v>
      </c>
      <c r="J83" s="162">
        <v>1</v>
      </c>
      <c r="K83" s="161">
        <v>1</v>
      </c>
    </row>
    <row r="84" spans="1:11">
      <c r="A84" s="160" t="s">
        <v>153</v>
      </c>
      <c r="B84" s="160" t="s">
        <v>514</v>
      </c>
      <c r="C84" s="161">
        <v>114</v>
      </c>
      <c r="D84" s="161">
        <v>1</v>
      </c>
      <c r="E84" s="161">
        <v>476</v>
      </c>
      <c r="F84" s="162">
        <v>2.1008403361344498E-3</v>
      </c>
      <c r="G84" s="163">
        <v>26106</v>
      </c>
      <c r="H84" s="163">
        <v>26106</v>
      </c>
      <c r="I84" s="161">
        <v>1</v>
      </c>
      <c r="J84" s="162">
        <v>1</v>
      </c>
      <c r="K84" s="161">
        <v>1</v>
      </c>
    </row>
    <row r="85" spans="1:11">
      <c r="A85" s="160" t="s">
        <v>153</v>
      </c>
      <c r="B85" s="160" t="s">
        <v>514</v>
      </c>
      <c r="C85" s="161">
        <v>612</v>
      </c>
      <c r="D85" s="161">
        <v>1</v>
      </c>
      <c r="E85" s="161">
        <v>476</v>
      </c>
      <c r="F85" s="162">
        <v>2.1008403361344498E-3</v>
      </c>
      <c r="G85" s="163">
        <v>217260</v>
      </c>
      <c r="H85" s="163">
        <v>217260</v>
      </c>
      <c r="I85" s="161">
        <v>1</v>
      </c>
      <c r="J85" s="162">
        <v>1</v>
      </c>
      <c r="K85" s="161">
        <v>1</v>
      </c>
    </row>
    <row r="86" spans="1:11">
      <c r="A86" s="160" t="s">
        <v>153</v>
      </c>
      <c r="B86" s="160" t="s">
        <v>514</v>
      </c>
      <c r="C86" s="161">
        <v>348</v>
      </c>
      <c r="D86" s="161">
        <v>1</v>
      </c>
      <c r="E86" s="161">
        <v>476</v>
      </c>
      <c r="F86" s="162">
        <v>2.1008403361344498E-3</v>
      </c>
      <c r="G86" s="163">
        <v>142111.20000000001</v>
      </c>
      <c r="H86" s="163">
        <v>142111.20000000001</v>
      </c>
      <c r="I86" s="161">
        <v>1</v>
      </c>
      <c r="J86" s="162">
        <v>1</v>
      </c>
      <c r="K86" s="161">
        <v>1</v>
      </c>
    </row>
    <row r="87" spans="1:11">
      <c r="A87" s="160" t="s">
        <v>153</v>
      </c>
      <c r="B87" s="160" t="s">
        <v>514</v>
      </c>
      <c r="C87" s="161">
        <v>234</v>
      </c>
      <c r="D87" s="161">
        <v>1</v>
      </c>
      <c r="E87" s="161">
        <v>476</v>
      </c>
      <c r="F87" s="162">
        <v>2.1008403361344498E-3</v>
      </c>
      <c r="G87" s="163">
        <v>53586</v>
      </c>
      <c r="H87" s="163">
        <v>53586</v>
      </c>
      <c r="I87" s="161">
        <v>1</v>
      </c>
      <c r="J87" s="162">
        <v>1</v>
      </c>
      <c r="K87" s="161">
        <v>1</v>
      </c>
    </row>
    <row r="88" spans="1:11">
      <c r="A88" s="160" t="s">
        <v>153</v>
      </c>
      <c r="B88" s="160" t="s">
        <v>514</v>
      </c>
      <c r="C88" s="161">
        <v>228</v>
      </c>
      <c r="D88" s="161">
        <v>1</v>
      </c>
      <c r="E88" s="161">
        <v>476</v>
      </c>
      <c r="F88" s="162">
        <v>2.1008403361344498E-3</v>
      </c>
      <c r="G88" s="163">
        <v>89340</v>
      </c>
      <c r="H88" s="163">
        <v>89340</v>
      </c>
      <c r="I88" s="161">
        <v>1</v>
      </c>
      <c r="J88" s="162">
        <v>1</v>
      </c>
      <c r="K88" s="161">
        <v>1</v>
      </c>
    </row>
    <row r="89" spans="1:11">
      <c r="A89" s="160" t="s">
        <v>153</v>
      </c>
      <c r="B89" s="160" t="s">
        <v>516</v>
      </c>
      <c r="C89" s="161">
        <v>86</v>
      </c>
      <c r="D89" s="161">
        <v>1</v>
      </c>
      <c r="E89" s="161">
        <v>476</v>
      </c>
      <c r="F89" s="162">
        <v>2.1008403361344498E-3</v>
      </c>
      <c r="G89" s="163">
        <v>151756</v>
      </c>
      <c r="H89" s="163">
        <v>151756</v>
      </c>
      <c r="I89" s="161">
        <v>1</v>
      </c>
      <c r="J89" s="162">
        <v>1</v>
      </c>
      <c r="K89" s="161">
        <v>1</v>
      </c>
    </row>
    <row r="90" spans="1:11">
      <c r="A90" s="160" t="s">
        <v>517</v>
      </c>
      <c r="B90" s="160" t="s">
        <v>514</v>
      </c>
      <c r="C90" s="161">
        <v>1</v>
      </c>
      <c r="D90" s="161">
        <v>54</v>
      </c>
      <c r="E90" s="161">
        <v>121</v>
      </c>
      <c r="F90" s="162">
        <v>0.44628099173553698</v>
      </c>
      <c r="G90" s="163">
        <v>15297.1</v>
      </c>
      <c r="H90" s="163">
        <v>276.39999999999998</v>
      </c>
      <c r="I90" s="161">
        <v>14</v>
      </c>
      <c r="J90" s="162">
        <v>0.25925925925925902</v>
      </c>
      <c r="K90" s="161">
        <v>10</v>
      </c>
    </row>
    <row r="91" spans="1:11">
      <c r="A91" s="160" t="s">
        <v>517</v>
      </c>
      <c r="B91" s="160" t="s">
        <v>514</v>
      </c>
      <c r="C91" s="161">
        <v>2</v>
      </c>
      <c r="D91" s="161">
        <v>32</v>
      </c>
      <c r="E91" s="161">
        <v>121</v>
      </c>
      <c r="F91" s="162">
        <v>0.26446280991735499</v>
      </c>
      <c r="G91" s="163">
        <v>18221.97</v>
      </c>
      <c r="H91" s="163">
        <v>593.23</v>
      </c>
      <c r="I91" s="161">
        <v>3</v>
      </c>
      <c r="J91" s="162">
        <v>9.375E-2</v>
      </c>
      <c r="K91" s="161">
        <v>8</v>
      </c>
    </row>
    <row r="92" spans="1:11">
      <c r="A92" s="160" t="s">
        <v>517</v>
      </c>
      <c r="B92" s="160" t="s">
        <v>516</v>
      </c>
      <c r="C92" s="161">
        <v>1</v>
      </c>
      <c r="D92" s="161">
        <v>13</v>
      </c>
      <c r="E92" s="161">
        <v>121</v>
      </c>
      <c r="F92" s="162">
        <v>0.107438016528926</v>
      </c>
      <c r="G92" s="163">
        <v>3066.0340999999999</v>
      </c>
      <c r="H92" s="163">
        <v>133</v>
      </c>
      <c r="I92" s="161">
        <v>4</v>
      </c>
      <c r="J92" s="162">
        <v>0.30769230769230799</v>
      </c>
      <c r="K92" s="161">
        <v>6</v>
      </c>
    </row>
    <row r="93" spans="1:11">
      <c r="A93" s="160" t="s">
        <v>517</v>
      </c>
      <c r="B93" s="160" t="s">
        <v>514</v>
      </c>
      <c r="C93" s="161">
        <v>4</v>
      </c>
      <c r="D93" s="161">
        <v>4</v>
      </c>
      <c r="E93" s="161">
        <v>121</v>
      </c>
      <c r="F93" s="162">
        <v>3.3057851239669402E-2</v>
      </c>
      <c r="G93" s="163">
        <v>4239.1000000000004</v>
      </c>
      <c r="H93" s="163">
        <v>1042.74</v>
      </c>
      <c r="I93" s="161">
        <v>1</v>
      </c>
      <c r="J93" s="162">
        <v>0.25</v>
      </c>
      <c r="K93" s="161">
        <v>2</v>
      </c>
    </row>
    <row r="94" spans="1:11">
      <c r="A94" s="160" t="s">
        <v>517</v>
      </c>
      <c r="B94" s="160" t="s">
        <v>516</v>
      </c>
      <c r="C94" s="161">
        <v>2</v>
      </c>
      <c r="D94" s="161">
        <v>4</v>
      </c>
      <c r="E94" s="161">
        <v>121</v>
      </c>
      <c r="F94" s="162">
        <v>3.3057851239669402E-2</v>
      </c>
      <c r="G94" s="163">
        <v>1021.3</v>
      </c>
      <c r="H94" s="163">
        <v>259</v>
      </c>
      <c r="I94" s="161">
        <v>2</v>
      </c>
      <c r="J94" s="162">
        <v>0.5</v>
      </c>
      <c r="K94" s="161">
        <v>3</v>
      </c>
    </row>
    <row r="95" spans="1:11">
      <c r="A95" s="160" t="s">
        <v>517</v>
      </c>
      <c r="B95" s="160" t="s">
        <v>516</v>
      </c>
      <c r="C95" s="161">
        <v>3</v>
      </c>
      <c r="D95" s="161">
        <v>3</v>
      </c>
      <c r="E95" s="161">
        <v>121</v>
      </c>
      <c r="F95" s="162">
        <v>2.4793388429752101E-2</v>
      </c>
      <c r="G95" s="163">
        <v>1161.83</v>
      </c>
      <c r="H95" s="163">
        <v>372.26</v>
      </c>
      <c r="I95" s="161">
        <v>1</v>
      </c>
      <c r="J95" s="162">
        <v>0.33333333333333298</v>
      </c>
      <c r="K95" s="161">
        <v>3</v>
      </c>
    </row>
    <row r="96" spans="1:11">
      <c r="A96" s="160" t="s">
        <v>517</v>
      </c>
      <c r="B96" s="160" t="s">
        <v>516</v>
      </c>
      <c r="C96" s="161">
        <v>4</v>
      </c>
      <c r="D96" s="161">
        <v>3</v>
      </c>
      <c r="E96" s="161">
        <v>121</v>
      </c>
      <c r="F96" s="162">
        <v>2.4793388429752101E-2</v>
      </c>
      <c r="G96" s="163">
        <v>1463.9</v>
      </c>
      <c r="H96" s="163">
        <v>479.8</v>
      </c>
      <c r="I96" s="161">
        <v>2</v>
      </c>
      <c r="J96" s="162">
        <v>0.66666666666666696</v>
      </c>
      <c r="K96" s="161">
        <v>3</v>
      </c>
    </row>
    <row r="97" spans="1:11">
      <c r="A97" s="160" t="s">
        <v>517</v>
      </c>
      <c r="B97" s="160" t="s">
        <v>514</v>
      </c>
      <c r="C97" s="161">
        <v>6</v>
      </c>
      <c r="D97" s="161">
        <v>2</v>
      </c>
      <c r="E97" s="161">
        <v>121</v>
      </c>
      <c r="F97" s="162">
        <v>1.6528925619834701E-2</v>
      </c>
      <c r="G97" s="163">
        <v>3148.51</v>
      </c>
      <c r="H97" s="163">
        <v>1535.28</v>
      </c>
      <c r="I97" s="161">
        <v>1</v>
      </c>
      <c r="J97" s="162">
        <v>0.5</v>
      </c>
      <c r="K97" s="161">
        <v>2</v>
      </c>
    </row>
    <row r="98" spans="1:11">
      <c r="A98" s="160" t="s">
        <v>517</v>
      </c>
      <c r="B98" s="160" t="s">
        <v>514</v>
      </c>
      <c r="C98" s="161">
        <v>3</v>
      </c>
      <c r="D98" s="161">
        <v>2</v>
      </c>
      <c r="E98" s="161">
        <v>121</v>
      </c>
      <c r="F98" s="162">
        <v>1.6528925619834701E-2</v>
      </c>
      <c r="G98" s="163">
        <v>1522.38</v>
      </c>
      <c r="H98" s="163">
        <v>735.8</v>
      </c>
      <c r="I98" s="161">
        <v>1</v>
      </c>
      <c r="J98" s="162">
        <v>0.5</v>
      </c>
      <c r="K98" s="161">
        <v>2</v>
      </c>
    </row>
    <row r="99" spans="1:11">
      <c r="A99" s="160" t="s">
        <v>517</v>
      </c>
      <c r="B99" s="160" t="s">
        <v>516</v>
      </c>
      <c r="C99" s="161">
        <v>9</v>
      </c>
      <c r="D99" s="161">
        <v>2</v>
      </c>
      <c r="E99" s="161">
        <v>121</v>
      </c>
      <c r="F99" s="162">
        <v>1.6528925619834701E-2</v>
      </c>
      <c r="G99" s="163">
        <v>1453.3</v>
      </c>
      <c r="H99" s="163">
        <v>634.1</v>
      </c>
      <c r="I99" s="161">
        <v>1</v>
      </c>
      <c r="J99" s="162">
        <v>0.5</v>
      </c>
      <c r="K99" s="161">
        <v>2</v>
      </c>
    </row>
    <row r="100" spans="1:11">
      <c r="A100" s="160" t="s">
        <v>517</v>
      </c>
      <c r="B100" s="160" t="s">
        <v>516</v>
      </c>
      <c r="C100" s="161">
        <v>11</v>
      </c>
      <c r="D100" s="161">
        <v>1</v>
      </c>
      <c r="E100" s="161">
        <v>121</v>
      </c>
      <c r="F100" s="162">
        <v>8.2644628099173608E-3</v>
      </c>
      <c r="G100" s="163">
        <v>1207.8399999999999</v>
      </c>
      <c r="H100" s="163">
        <v>1207.8399999999999</v>
      </c>
      <c r="I100" s="161">
        <v>1</v>
      </c>
      <c r="J100" s="162">
        <v>1</v>
      </c>
      <c r="K100" s="161">
        <v>1</v>
      </c>
    </row>
    <row r="101" spans="1:11">
      <c r="A101" s="160" t="s">
        <v>517</v>
      </c>
      <c r="B101" s="160" t="s">
        <v>516</v>
      </c>
      <c r="C101" s="161">
        <v>10</v>
      </c>
      <c r="D101" s="161">
        <v>1</v>
      </c>
      <c r="E101" s="161">
        <v>121</v>
      </c>
      <c r="F101" s="162">
        <v>8.2644628099173608E-3</v>
      </c>
      <c r="G101" s="163">
        <v>1318.53</v>
      </c>
      <c r="H101" s="163">
        <v>1318.53</v>
      </c>
      <c r="I101" s="161">
        <v>1</v>
      </c>
      <c r="J101" s="162">
        <v>1</v>
      </c>
      <c r="K101" s="161">
        <v>1</v>
      </c>
    </row>
    <row r="102" spans="1:11">
      <c r="A102" s="160" t="s">
        <v>278</v>
      </c>
      <c r="B102" s="160" t="s">
        <v>514</v>
      </c>
      <c r="C102" s="161">
        <v>1</v>
      </c>
      <c r="D102" s="161">
        <v>9</v>
      </c>
      <c r="E102" s="161">
        <v>13</v>
      </c>
      <c r="F102" s="162">
        <v>0.69230769230769196</v>
      </c>
      <c r="G102" s="163">
        <v>2380.3000000000002</v>
      </c>
      <c r="H102" s="163">
        <v>288</v>
      </c>
      <c r="I102" s="161">
        <v>5</v>
      </c>
      <c r="J102" s="162">
        <v>0.55555555555555602</v>
      </c>
      <c r="K102" s="161">
        <v>4</v>
      </c>
    </row>
    <row r="103" spans="1:11">
      <c r="A103" s="160" t="s">
        <v>278</v>
      </c>
      <c r="B103" s="160" t="s">
        <v>516</v>
      </c>
      <c r="C103" s="161">
        <v>2</v>
      </c>
      <c r="D103" s="161">
        <v>2</v>
      </c>
      <c r="E103" s="161">
        <v>13</v>
      </c>
      <c r="F103" s="162">
        <v>0.15384615384615399</v>
      </c>
      <c r="G103" s="163">
        <v>521.99</v>
      </c>
      <c r="H103" s="163">
        <v>252</v>
      </c>
      <c r="I103" s="161">
        <v>1</v>
      </c>
      <c r="J103" s="162">
        <v>0.5</v>
      </c>
      <c r="K103" s="161">
        <v>2</v>
      </c>
    </row>
    <row r="104" spans="1:11">
      <c r="A104" s="160" t="s">
        <v>278</v>
      </c>
      <c r="B104" s="160" t="s">
        <v>516</v>
      </c>
      <c r="C104" s="161">
        <v>1</v>
      </c>
      <c r="D104" s="161">
        <v>1</v>
      </c>
      <c r="E104" s="161">
        <v>13</v>
      </c>
      <c r="F104" s="162">
        <v>7.69230769230769E-2</v>
      </c>
      <c r="G104" s="163">
        <v>158</v>
      </c>
      <c r="H104" s="163">
        <v>158</v>
      </c>
      <c r="I104" s="161">
        <v>1</v>
      </c>
      <c r="J104" s="162">
        <v>1</v>
      </c>
      <c r="K104" s="161">
        <v>1</v>
      </c>
    </row>
    <row r="105" spans="1:11">
      <c r="A105" s="160" t="s">
        <v>278</v>
      </c>
      <c r="B105" s="160" t="s">
        <v>516</v>
      </c>
      <c r="C105" s="161">
        <v>4</v>
      </c>
      <c r="D105" s="161">
        <v>1</v>
      </c>
      <c r="E105" s="161">
        <v>13</v>
      </c>
      <c r="F105" s="162">
        <v>7.69230769230769E-2</v>
      </c>
      <c r="G105" s="163">
        <v>504</v>
      </c>
      <c r="H105" s="163">
        <v>504</v>
      </c>
      <c r="I105" s="161">
        <v>1</v>
      </c>
      <c r="J105" s="162">
        <v>1</v>
      </c>
      <c r="K105" s="161">
        <v>1</v>
      </c>
    </row>
    <row r="106" spans="1:11">
      <c r="A106" s="160" t="s">
        <v>279</v>
      </c>
      <c r="B106" s="160" t="s">
        <v>516</v>
      </c>
      <c r="C106" s="161">
        <v>3</v>
      </c>
      <c r="D106" s="161">
        <v>168</v>
      </c>
      <c r="E106" s="161">
        <v>277</v>
      </c>
      <c r="F106" s="162">
        <v>0.606498194945848</v>
      </c>
      <c r="G106" s="163">
        <v>63602</v>
      </c>
      <c r="H106" s="163">
        <v>378</v>
      </c>
      <c r="I106" s="161">
        <v>164</v>
      </c>
      <c r="J106" s="162">
        <v>0.97619047619047605</v>
      </c>
      <c r="K106" s="161">
        <v>27</v>
      </c>
    </row>
    <row r="107" spans="1:11">
      <c r="A107" s="160" t="s">
        <v>279</v>
      </c>
      <c r="B107" s="160" t="s">
        <v>516</v>
      </c>
      <c r="C107" s="161">
        <v>5</v>
      </c>
      <c r="D107" s="161">
        <v>109</v>
      </c>
      <c r="E107" s="161">
        <v>277</v>
      </c>
      <c r="F107" s="162">
        <v>0.393501805054152</v>
      </c>
      <c r="G107" s="163">
        <v>65020</v>
      </c>
      <c r="H107" s="163">
        <v>600</v>
      </c>
      <c r="I107" s="161">
        <v>107</v>
      </c>
      <c r="J107" s="162">
        <v>0.98165137614678899</v>
      </c>
      <c r="K107" s="161">
        <v>39</v>
      </c>
    </row>
    <row r="108" spans="1:11">
      <c r="A108" s="160" t="s">
        <v>280</v>
      </c>
      <c r="B108" s="160" t="s">
        <v>516</v>
      </c>
      <c r="C108" s="161">
        <v>2</v>
      </c>
      <c r="D108" s="161">
        <v>556</v>
      </c>
      <c r="E108" s="161">
        <v>1541</v>
      </c>
      <c r="F108" s="162">
        <v>0.36080467229072</v>
      </c>
      <c r="G108" s="163">
        <v>143149.82999999999</v>
      </c>
      <c r="H108" s="163">
        <v>269</v>
      </c>
      <c r="I108" s="161">
        <v>152</v>
      </c>
      <c r="J108" s="162">
        <v>0.27338129496402902</v>
      </c>
      <c r="K108" s="161">
        <v>56</v>
      </c>
    </row>
    <row r="109" spans="1:11">
      <c r="A109" s="160" t="s">
        <v>280</v>
      </c>
      <c r="B109" s="160" t="s">
        <v>514</v>
      </c>
      <c r="C109" s="161">
        <v>1</v>
      </c>
      <c r="D109" s="161">
        <v>364</v>
      </c>
      <c r="E109" s="161">
        <v>1541</v>
      </c>
      <c r="F109" s="162">
        <v>0.236210253082414</v>
      </c>
      <c r="G109" s="163">
        <v>100783.91</v>
      </c>
      <c r="H109" s="163">
        <v>288</v>
      </c>
      <c r="I109" s="161">
        <v>88</v>
      </c>
      <c r="J109" s="162">
        <v>0.24175824175824201</v>
      </c>
      <c r="K109" s="161">
        <v>68</v>
      </c>
    </row>
    <row r="110" spans="1:11">
      <c r="A110" s="160" t="s">
        <v>280</v>
      </c>
      <c r="B110" s="160" t="s">
        <v>514</v>
      </c>
      <c r="C110" s="161">
        <v>2</v>
      </c>
      <c r="D110" s="161">
        <v>182</v>
      </c>
      <c r="E110" s="161">
        <v>1541</v>
      </c>
      <c r="F110" s="162">
        <v>0.118105126541207</v>
      </c>
      <c r="G110" s="163">
        <v>100484.13</v>
      </c>
      <c r="H110" s="163">
        <v>569</v>
      </c>
      <c r="I110" s="161">
        <v>53</v>
      </c>
      <c r="J110" s="162">
        <v>0.29120879120879101</v>
      </c>
      <c r="K110" s="161">
        <v>36</v>
      </c>
    </row>
    <row r="111" spans="1:11">
      <c r="A111" s="160" t="s">
        <v>280</v>
      </c>
      <c r="B111" s="160" t="s">
        <v>516</v>
      </c>
      <c r="C111" s="161">
        <v>4</v>
      </c>
      <c r="D111" s="161">
        <v>157</v>
      </c>
      <c r="E111" s="161">
        <v>1541</v>
      </c>
      <c r="F111" s="162">
        <v>0.101881894873459</v>
      </c>
      <c r="G111" s="163">
        <v>78261.97</v>
      </c>
      <c r="H111" s="163">
        <v>489</v>
      </c>
      <c r="I111" s="161">
        <v>33</v>
      </c>
      <c r="J111" s="162">
        <v>0.210191082802548</v>
      </c>
      <c r="K111" s="161">
        <v>49</v>
      </c>
    </row>
    <row r="112" spans="1:11">
      <c r="A112" s="160" t="s">
        <v>280</v>
      </c>
      <c r="B112" s="160" t="s">
        <v>516</v>
      </c>
      <c r="C112" s="161">
        <v>3</v>
      </c>
      <c r="D112" s="161">
        <v>143</v>
      </c>
      <c r="E112" s="161">
        <v>1541</v>
      </c>
      <c r="F112" s="162">
        <v>9.2796885139519794E-2</v>
      </c>
      <c r="G112" s="163">
        <v>54698.7</v>
      </c>
      <c r="H112" s="163">
        <v>399</v>
      </c>
      <c r="I112" s="161">
        <v>41</v>
      </c>
      <c r="J112" s="162">
        <v>0.286713286713287</v>
      </c>
      <c r="K112" s="161">
        <v>35</v>
      </c>
    </row>
    <row r="113" spans="1:11">
      <c r="A113" s="160" t="s">
        <v>280</v>
      </c>
      <c r="B113" s="160" t="s">
        <v>516</v>
      </c>
      <c r="C113" s="161">
        <v>6</v>
      </c>
      <c r="D113" s="161">
        <v>49</v>
      </c>
      <c r="E113" s="161">
        <v>1541</v>
      </c>
      <c r="F113" s="162">
        <v>3.17975340687865E-2</v>
      </c>
      <c r="G113" s="163">
        <v>36639.300000000003</v>
      </c>
      <c r="H113" s="163">
        <v>736</v>
      </c>
      <c r="I113" s="161">
        <v>8</v>
      </c>
      <c r="J113" s="162">
        <v>0.16326530612244899</v>
      </c>
      <c r="K113" s="161">
        <v>27</v>
      </c>
    </row>
    <row r="114" spans="1:11">
      <c r="A114" s="160" t="s">
        <v>280</v>
      </c>
      <c r="B114" s="160" t="s">
        <v>516</v>
      </c>
      <c r="C114" s="161">
        <v>1</v>
      </c>
      <c r="D114" s="161">
        <v>36</v>
      </c>
      <c r="E114" s="161">
        <v>1541</v>
      </c>
      <c r="F114" s="162">
        <v>2.3361453601557398E-2</v>
      </c>
      <c r="G114" s="163">
        <v>15956.14</v>
      </c>
      <c r="H114" s="163">
        <v>122.83</v>
      </c>
      <c r="I114" s="161">
        <v>6</v>
      </c>
      <c r="J114" s="162">
        <v>0.16666666666666699</v>
      </c>
      <c r="K114" s="161">
        <v>16</v>
      </c>
    </row>
    <row r="115" spans="1:11">
      <c r="A115" s="160" t="s">
        <v>280</v>
      </c>
      <c r="B115" s="160" t="s">
        <v>514</v>
      </c>
      <c r="C115" s="161">
        <v>3</v>
      </c>
      <c r="D115" s="161">
        <v>19</v>
      </c>
      <c r="E115" s="161">
        <v>1541</v>
      </c>
      <c r="F115" s="162">
        <v>1.2329656067488599E-2</v>
      </c>
      <c r="G115" s="163">
        <v>15434.86</v>
      </c>
      <c r="H115" s="163">
        <v>809</v>
      </c>
      <c r="I115" s="161">
        <v>6</v>
      </c>
      <c r="J115" s="162">
        <v>0.31578947368421101</v>
      </c>
      <c r="K115" s="161">
        <v>13</v>
      </c>
    </row>
    <row r="116" spans="1:11">
      <c r="A116" s="160" t="s">
        <v>280</v>
      </c>
      <c r="B116" s="160" t="s">
        <v>514</v>
      </c>
      <c r="C116" s="161">
        <v>4</v>
      </c>
      <c r="D116" s="161">
        <v>15</v>
      </c>
      <c r="E116" s="161">
        <v>1541</v>
      </c>
      <c r="F116" s="162">
        <v>9.7339390006489293E-3</v>
      </c>
      <c r="G116" s="163">
        <v>17690.11</v>
      </c>
      <c r="H116" s="163">
        <v>1079</v>
      </c>
      <c r="I116" s="161">
        <v>3</v>
      </c>
      <c r="J116" s="162">
        <v>0.2</v>
      </c>
      <c r="K116" s="161">
        <v>9</v>
      </c>
    </row>
    <row r="117" spans="1:11">
      <c r="A117" s="160" t="s">
        <v>280</v>
      </c>
      <c r="B117" s="160" t="s">
        <v>516</v>
      </c>
      <c r="C117" s="161">
        <v>8</v>
      </c>
      <c r="D117" s="161">
        <v>8</v>
      </c>
      <c r="E117" s="161">
        <v>1541</v>
      </c>
      <c r="F117" s="162">
        <v>5.1914341336794304E-3</v>
      </c>
      <c r="G117" s="163">
        <v>7938.63</v>
      </c>
      <c r="H117" s="163">
        <v>1022</v>
      </c>
      <c r="I117" s="161">
        <v>2</v>
      </c>
      <c r="J117" s="162">
        <v>0.25</v>
      </c>
      <c r="K117" s="161">
        <v>6</v>
      </c>
    </row>
    <row r="118" spans="1:11">
      <c r="A118" s="160" t="s">
        <v>280</v>
      </c>
      <c r="B118" s="160" t="s">
        <v>516</v>
      </c>
      <c r="C118" s="161">
        <v>12</v>
      </c>
      <c r="D118" s="161">
        <v>6</v>
      </c>
      <c r="E118" s="161">
        <v>1541</v>
      </c>
      <c r="F118" s="162">
        <v>3.8935756002595702E-3</v>
      </c>
      <c r="G118" s="163">
        <v>9080.52</v>
      </c>
      <c r="H118" s="163">
        <v>1533</v>
      </c>
      <c r="I118" s="161">
        <v>3</v>
      </c>
      <c r="J118" s="162">
        <v>0.5</v>
      </c>
      <c r="K118" s="161">
        <v>4</v>
      </c>
    </row>
    <row r="119" spans="1:11">
      <c r="A119" s="160" t="s">
        <v>280</v>
      </c>
      <c r="B119" s="160" t="s">
        <v>514</v>
      </c>
      <c r="C119" s="161">
        <v>6</v>
      </c>
      <c r="D119" s="161">
        <v>4</v>
      </c>
      <c r="E119" s="161">
        <v>1541</v>
      </c>
      <c r="F119" s="162">
        <v>2.59571706683971E-3</v>
      </c>
      <c r="G119" s="163">
        <v>6344.21</v>
      </c>
      <c r="H119" s="163">
        <v>1629</v>
      </c>
      <c r="I119" s="161">
        <v>2</v>
      </c>
      <c r="J119" s="162">
        <v>0.5</v>
      </c>
      <c r="K119" s="161">
        <v>3</v>
      </c>
    </row>
    <row r="120" spans="1:11">
      <c r="A120" s="160" t="s">
        <v>280</v>
      </c>
      <c r="B120" s="160" t="s">
        <v>516</v>
      </c>
      <c r="C120" s="161">
        <v>10</v>
      </c>
      <c r="D120" s="161">
        <v>2</v>
      </c>
      <c r="E120" s="161">
        <v>1541</v>
      </c>
      <c r="F120" s="162">
        <v>1.29785853341986E-3</v>
      </c>
      <c r="G120" s="163">
        <v>2455.52</v>
      </c>
      <c r="H120" s="163">
        <v>1212.25</v>
      </c>
      <c r="I120" s="161">
        <v>1</v>
      </c>
      <c r="J120" s="162">
        <v>0.5</v>
      </c>
      <c r="K120" s="161">
        <v>2</v>
      </c>
    </row>
    <row r="121" spans="1:11">
      <c r="A121" s="160" t="s">
        <v>281</v>
      </c>
      <c r="B121" s="160" t="s">
        <v>516</v>
      </c>
      <c r="C121" s="161">
        <v>1</v>
      </c>
      <c r="D121" s="161">
        <v>27</v>
      </c>
      <c r="E121" s="161">
        <v>27</v>
      </c>
      <c r="F121" s="162">
        <v>1</v>
      </c>
      <c r="G121" s="163">
        <v>3456</v>
      </c>
      <c r="H121" s="163">
        <v>128</v>
      </c>
      <c r="I121" s="161">
        <v>27</v>
      </c>
      <c r="J121" s="162">
        <v>1</v>
      </c>
      <c r="K121" s="161">
        <v>1</v>
      </c>
    </row>
  </sheetData>
  <mergeCells count="1">
    <mergeCell ref="A1:K1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8"/>
  <sheetViews>
    <sheetView showGridLines="0" zoomScaleNormal="100" workbookViewId="0"/>
  </sheetViews>
  <sheetFormatPr baseColWidth="10" defaultColWidth="13.19921875" defaultRowHeight="16"/>
  <cols>
    <col min="1" max="1" width="4" style="16" customWidth="1"/>
    <col min="2" max="3" width="4.3984375" style="16" customWidth="1"/>
    <col min="4" max="4" width="4.3984375" style="13" customWidth="1"/>
    <col min="5" max="5" width="25.19921875" style="16" customWidth="1"/>
    <col min="6" max="7" width="15.59765625" style="16" customWidth="1"/>
    <col min="8" max="8" width="12.796875" style="15" customWidth="1"/>
    <col min="9" max="10" width="15.59765625" style="16" customWidth="1"/>
    <col min="11" max="11" width="13" style="15" customWidth="1"/>
    <col min="12" max="12" width="15.59765625" style="16" customWidth="1"/>
    <col min="13" max="13" width="13" style="17" customWidth="1"/>
    <col min="14" max="14" width="13" style="15" customWidth="1"/>
    <col min="15" max="17" width="15.59765625" style="16" customWidth="1"/>
    <col min="18" max="18" width="13" style="16" customWidth="1"/>
    <col min="19" max="26" width="15.59765625" style="16" customWidth="1"/>
    <col min="27" max="27" width="13.796875" style="16" customWidth="1"/>
    <col min="28" max="29" width="15.59765625" style="16" customWidth="1"/>
  </cols>
  <sheetData>
    <row r="1" spans="1:29">
      <c r="A1" s="70" t="s">
        <v>28</v>
      </c>
      <c r="B1" s="67"/>
      <c r="C1" s="67"/>
      <c r="D1" s="102"/>
      <c r="E1" s="67"/>
      <c r="F1" s="67"/>
      <c r="G1" s="164"/>
      <c r="H1" s="165"/>
      <c r="I1" s="165"/>
      <c r="J1" s="165"/>
      <c r="K1" s="165"/>
      <c r="L1" s="165"/>
      <c r="M1" s="166"/>
      <c r="N1" s="140"/>
      <c r="O1" s="67"/>
      <c r="P1" s="67"/>
      <c r="Q1" s="67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</row>
    <row r="2" spans="1:29">
      <c r="A2" s="67"/>
      <c r="B2" s="129" t="s">
        <v>282</v>
      </c>
      <c r="C2" s="129"/>
      <c r="D2" s="129"/>
      <c r="E2" s="130"/>
      <c r="F2" s="131" t="s">
        <v>234</v>
      </c>
      <c r="G2" s="167" t="s">
        <v>283</v>
      </c>
      <c r="H2" s="168" t="s">
        <v>284</v>
      </c>
      <c r="I2" s="168" t="s">
        <v>285</v>
      </c>
      <c r="J2" s="168" t="s">
        <v>286</v>
      </c>
      <c r="K2" s="168" t="s">
        <v>287</v>
      </c>
      <c r="L2" s="168" t="s">
        <v>288</v>
      </c>
      <c r="M2" s="169" t="s">
        <v>289</v>
      </c>
      <c r="N2" s="141"/>
      <c r="O2" s="170"/>
      <c r="P2" s="67"/>
      <c r="Q2" s="129" t="s">
        <v>290</v>
      </c>
      <c r="R2" s="171">
        <v>46023</v>
      </c>
      <c r="S2" s="171">
        <v>46054</v>
      </c>
      <c r="T2" s="171">
        <v>46082</v>
      </c>
      <c r="U2" s="171">
        <v>46113</v>
      </c>
      <c r="V2" s="171">
        <v>46143</v>
      </c>
      <c r="W2" s="171">
        <v>46174</v>
      </c>
      <c r="X2" s="171">
        <v>46204</v>
      </c>
      <c r="Y2" s="171">
        <v>46235</v>
      </c>
      <c r="Z2" s="171">
        <v>46266</v>
      </c>
      <c r="AA2" s="171">
        <v>46296</v>
      </c>
      <c r="AB2" s="171">
        <v>46327</v>
      </c>
      <c r="AC2" s="171">
        <v>46357</v>
      </c>
    </row>
    <row r="3" spans="1:29">
      <c r="A3" s="67"/>
      <c r="B3" s="102" t="s">
        <v>291</v>
      </c>
      <c r="C3" s="102"/>
      <c r="D3" s="102"/>
      <c r="E3" s="67"/>
      <c r="F3" s="73"/>
      <c r="G3" s="172"/>
      <c r="H3" s="173"/>
      <c r="I3" s="174" t="s">
        <v>292</v>
      </c>
      <c r="J3" s="174"/>
      <c r="K3" s="173"/>
      <c r="L3" s="173"/>
      <c r="M3" s="175">
        <f>M5+M7+M9+M11+M13+M15+M17+M19+M21</f>
        <v>1.0000000000000009</v>
      </c>
      <c r="N3" s="142" t="s">
        <v>293</v>
      </c>
      <c r="O3" s="142"/>
      <c r="P3" s="67"/>
      <c r="Q3" s="67"/>
      <c r="R3" s="165"/>
      <c r="S3" s="165"/>
      <c r="T3" s="165"/>
      <c r="U3" s="165"/>
      <c r="V3" s="165"/>
      <c r="W3" s="165"/>
      <c r="X3" s="165"/>
      <c r="Y3" s="165"/>
      <c r="Z3" s="165"/>
      <c r="AA3" s="165"/>
      <c r="AB3" s="165"/>
      <c r="AC3" s="165"/>
    </row>
    <row r="4" spans="1:29">
      <c r="A4" s="67"/>
      <c r="B4" s="102"/>
      <c r="C4" s="102" t="s">
        <v>277</v>
      </c>
      <c r="D4" s="69"/>
      <c r="E4" s="69"/>
      <c r="F4" s="73"/>
      <c r="G4" s="172"/>
      <c r="H4" s="173"/>
      <c r="I4" s="173"/>
      <c r="J4" s="173"/>
      <c r="K4" s="173"/>
      <c r="L4" s="173"/>
      <c r="M4" s="175"/>
      <c r="N4" s="142"/>
      <c r="O4" s="142"/>
      <c r="P4" s="69"/>
      <c r="Q4" s="69"/>
      <c r="R4" s="165"/>
      <c r="S4" s="165"/>
      <c r="T4" s="165"/>
      <c r="U4" s="165"/>
      <c r="V4" s="165"/>
      <c r="W4" s="165"/>
      <c r="X4" s="165"/>
      <c r="Y4" s="165"/>
      <c r="Z4" s="165"/>
      <c r="AA4" s="165"/>
      <c r="AB4" s="165"/>
      <c r="AC4" s="165"/>
    </row>
    <row r="5" spans="1:29">
      <c r="A5" s="67"/>
      <c r="B5" s="67"/>
      <c r="C5" s="69"/>
      <c r="D5" s="102" t="s">
        <v>518</v>
      </c>
      <c r="E5" s="67"/>
      <c r="F5" s="73"/>
      <c r="G5" s="172"/>
      <c r="H5" s="176"/>
      <c r="I5" s="176">
        <f>I6</f>
        <v>600</v>
      </c>
      <c r="J5" s="176">
        <f>J6</f>
        <v>120</v>
      </c>
      <c r="K5" s="176">
        <f>K6</f>
        <v>38</v>
      </c>
      <c r="L5" s="176">
        <f>L6</f>
        <v>190</v>
      </c>
      <c r="M5" s="177">
        <f>'参考值-平台主推SKU占比'!$F$13</f>
        <v>0.49884348496530501</v>
      </c>
      <c r="N5" s="142"/>
      <c r="O5" s="142"/>
      <c r="P5" s="69"/>
      <c r="Q5" s="67" t="s">
        <v>519</v>
      </c>
      <c r="R5" s="173">
        <f>I5</f>
        <v>600</v>
      </c>
      <c r="S5" s="173">
        <f>I5</f>
        <v>600</v>
      </c>
      <c r="T5" s="173">
        <f>I5</f>
        <v>600</v>
      </c>
      <c r="U5" s="173">
        <f>I5</f>
        <v>600</v>
      </c>
      <c r="V5" s="173">
        <f>I5</f>
        <v>600</v>
      </c>
      <c r="W5" s="173">
        <f>I5</f>
        <v>600</v>
      </c>
      <c r="X5" s="173">
        <f>I5</f>
        <v>600</v>
      </c>
      <c r="Y5" s="173">
        <f>I5</f>
        <v>600</v>
      </c>
      <c r="Z5" s="173">
        <f>I5</f>
        <v>600</v>
      </c>
      <c r="AA5" s="173">
        <f>I5</f>
        <v>600</v>
      </c>
      <c r="AB5" s="173">
        <f>I5</f>
        <v>600</v>
      </c>
      <c r="AC5" s="173">
        <f>I5</f>
        <v>600</v>
      </c>
    </row>
    <row r="6" spans="1:29">
      <c r="A6" s="67"/>
      <c r="B6" s="67"/>
      <c r="C6" s="69"/>
      <c r="D6" s="69"/>
      <c r="E6" s="67" t="s">
        <v>520</v>
      </c>
      <c r="F6" s="73">
        <v>320</v>
      </c>
      <c r="G6" s="172">
        <f>'参考值-平台主推SKU占比'!$C$13</f>
        <v>5</v>
      </c>
      <c r="H6" s="91"/>
      <c r="I6" s="91">
        <f>'参考值-平台主推SKU占比'!$H$13</f>
        <v>600</v>
      </c>
      <c r="J6" s="91">
        <f>IFERROR(I6/G6,"")</f>
        <v>120</v>
      </c>
      <c r="K6" s="91">
        <f>'假设-成本与任务量'!$I$6</f>
        <v>38</v>
      </c>
      <c r="L6" s="91">
        <f>IFERROR(K6*G6,"")</f>
        <v>190</v>
      </c>
      <c r="M6" s="175"/>
      <c r="N6" s="142"/>
      <c r="O6" s="142"/>
      <c r="P6" s="69"/>
      <c r="Q6" s="67" t="s">
        <v>521</v>
      </c>
      <c r="R6" s="173">
        <f>L5</f>
        <v>190</v>
      </c>
      <c r="S6" s="173">
        <f>L5</f>
        <v>190</v>
      </c>
      <c r="T6" s="173">
        <f>L5</f>
        <v>190</v>
      </c>
      <c r="U6" s="173">
        <f>L5</f>
        <v>190</v>
      </c>
      <c r="V6" s="173">
        <f>L5</f>
        <v>190</v>
      </c>
      <c r="W6" s="173">
        <f>L5</f>
        <v>190</v>
      </c>
      <c r="X6" s="173">
        <f>L5</f>
        <v>190</v>
      </c>
      <c r="Y6" s="173">
        <f>L5</f>
        <v>190</v>
      </c>
      <c r="Z6" s="173">
        <f>L5</f>
        <v>190</v>
      </c>
      <c r="AA6" s="173">
        <f>L5</f>
        <v>190</v>
      </c>
      <c r="AB6" s="173">
        <f>L5</f>
        <v>190</v>
      </c>
      <c r="AC6" s="173">
        <f>L5</f>
        <v>190</v>
      </c>
    </row>
    <row r="7" spans="1:29">
      <c r="A7" s="67"/>
      <c r="B7" s="67"/>
      <c r="C7" s="69"/>
      <c r="D7" s="102" t="s">
        <v>522</v>
      </c>
      <c r="E7" s="67"/>
      <c r="F7" s="73"/>
      <c r="G7" s="172"/>
      <c r="H7" s="176"/>
      <c r="I7" s="176">
        <f>I8</f>
        <v>378</v>
      </c>
      <c r="J7" s="176">
        <f>J8</f>
        <v>126</v>
      </c>
      <c r="K7" s="176">
        <f>K8</f>
        <v>38</v>
      </c>
      <c r="L7" s="176">
        <f>L8</f>
        <v>114</v>
      </c>
      <c r="M7" s="177">
        <f>'参考值-平台主推SKU占比'!$F$14</f>
        <v>0.44200903183169998</v>
      </c>
      <c r="N7" s="142"/>
      <c r="O7" s="142"/>
      <c r="P7" s="69"/>
      <c r="Q7" s="67" t="s">
        <v>523</v>
      </c>
      <c r="R7" s="173">
        <f>I7</f>
        <v>378</v>
      </c>
      <c r="S7" s="173">
        <f>I7</f>
        <v>378</v>
      </c>
      <c r="T7" s="173">
        <f>I7</f>
        <v>378</v>
      </c>
      <c r="U7" s="173">
        <f>I7</f>
        <v>378</v>
      </c>
      <c r="V7" s="173">
        <f>I7</f>
        <v>378</v>
      </c>
      <c r="W7" s="173">
        <f>I7</f>
        <v>378</v>
      </c>
      <c r="X7" s="173">
        <f>I7</f>
        <v>378</v>
      </c>
      <c r="Y7" s="173">
        <f>I7</f>
        <v>378</v>
      </c>
      <c r="Z7" s="173">
        <f>I7</f>
        <v>378</v>
      </c>
      <c r="AA7" s="173">
        <f>I7</f>
        <v>378</v>
      </c>
      <c r="AB7" s="173">
        <f>I7</f>
        <v>378</v>
      </c>
      <c r="AC7" s="173">
        <f>I7</f>
        <v>378</v>
      </c>
    </row>
    <row r="8" spans="1:29">
      <c r="A8" s="67"/>
      <c r="B8" s="67"/>
      <c r="C8" s="69"/>
      <c r="D8" s="69"/>
      <c r="E8" s="67" t="s">
        <v>520</v>
      </c>
      <c r="F8" s="73">
        <v>320</v>
      </c>
      <c r="G8" s="172">
        <f>'参考值-平台主推SKU占比'!$C$14</f>
        <v>3</v>
      </c>
      <c r="H8" s="91"/>
      <c r="I8" s="91">
        <f>'参考值-平台主推SKU占比'!$H$14</f>
        <v>378</v>
      </c>
      <c r="J8" s="91">
        <f>IFERROR(I8/G8,"")</f>
        <v>126</v>
      </c>
      <c r="K8" s="91">
        <f>'假设-成本与任务量'!$I$6</f>
        <v>38</v>
      </c>
      <c r="L8" s="91">
        <f>IFERROR(K8*G8,"")</f>
        <v>114</v>
      </c>
      <c r="M8" s="175"/>
      <c r="N8" s="142"/>
      <c r="O8" s="142"/>
      <c r="P8" s="69"/>
      <c r="Q8" s="67" t="s">
        <v>524</v>
      </c>
      <c r="R8" s="173">
        <f>L7</f>
        <v>114</v>
      </c>
      <c r="S8" s="173">
        <f>L7</f>
        <v>114</v>
      </c>
      <c r="T8" s="173">
        <f>L7</f>
        <v>114</v>
      </c>
      <c r="U8" s="173">
        <f>L7</f>
        <v>114</v>
      </c>
      <c r="V8" s="173">
        <f>L7</f>
        <v>114</v>
      </c>
      <c r="W8" s="173">
        <f>L7</f>
        <v>114</v>
      </c>
      <c r="X8" s="173">
        <f>L7</f>
        <v>114</v>
      </c>
      <c r="Y8" s="173">
        <f>L7</f>
        <v>114</v>
      </c>
      <c r="Z8" s="173">
        <f>L7</f>
        <v>114</v>
      </c>
      <c r="AA8" s="173">
        <f>L7</f>
        <v>114</v>
      </c>
      <c r="AB8" s="173">
        <f>L7</f>
        <v>114</v>
      </c>
      <c r="AC8" s="173">
        <f>L7</f>
        <v>114</v>
      </c>
    </row>
    <row r="9" spans="1:29">
      <c r="A9" s="67"/>
      <c r="B9" s="67"/>
      <c r="C9" s="69"/>
      <c r="D9" s="102" t="s">
        <v>525</v>
      </c>
      <c r="E9" s="67"/>
      <c r="F9" s="73"/>
      <c r="G9" s="172"/>
      <c r="H9" s="176"/>
      <c r="I9" s="176">
        <f>I10</f>
        <v>556</v>
      </c>
      <c r="J9" s="176">
        <f>J10</f>
        <v>278</v>
      </c>
      <c r="K9" s="176">
        <f>K10</f>
        <v>105</v>
      </c>
      <c r="L9" s="176">
        <f>L10</f>
        <v>210</v>
      </c>
      <c r="M9" s="177">
        <f>'参考值-平台主推SKU占比'!$F$15</f>
        <v>1.6191210485736299E-2</v>
      </c>
      <c r="N9" s="142"/>
      <c r="O9" s="142"/>
      <c r="P9" s="69"/>
      <c r="Q9" s="67" t="s">
        <v>526</v>
      </c>
      <c r="R9" s="173">
        <f>I9</f>
        <v>556</v>
      </c>
      <c r="S9" s="173">
        <f>I9</f>
        <v>556</v>
      </c>
      <c r="T9" s="173">
        <f>I9</f>
        <v>556</v>
      </c>
      <c r="U9" s="173">
        <f>I9</f>
        <v>556</v>
      </c>
      <c r="V9" s="173">
        <f>I9</f>
        <v>556</v>
      </c>
      <c r="W9" s="173">
        <f>I9</f>
        <v>556</v>
      </c>
      <c r="X9" s="173">
        <f>I9</f>
        <v>556</v>
      </c>
      <c r="Y9" s="173">
        <f>I9</f>
        <v>556</v>
      </c>
      <c r="Z9" s="173">
        <f>I9</f>
        <v>556</v>
      </c>
      <c r="AA9" s="173">
        <f>I9</f>
        <v>556</v>
      </c>
      <c r="AB9" s="173">
        <f>I9</f>
        <v>556</v>
      </c>
      <c r="AC9" s="173">
        <f>I9</f>
        <v>556</v>
      </c>
    </row>
    <row r="10" spans="1:29">
      <c r="A10" s="67"/>
      <c r="B10" s="67"/>
      <c r="C10" s="69"/>
      <c r="D10" s="69"/>
      <c r="E10" s="67" t="s">
        <v>527</v>
      </c>
      <c r="F10" s="73">
        <v>700</v>
      </c>
      <c r="G10" s="172">
        <f>'参考值-平台主推SKU占比'!$C$15</f>
        <v>2</v>
      </c>
      <c r="H10" s="91"/>
      <c r="I10" s="91">
        <f>'参考值-平台主推SKU占比'!$H$15</f>
        <v>556</v>
      </c>
      <c r="J10" s="91">
        <f>IFERROR(I10/G10,"")</f>
        <v>278</v>
      </c>
      <c r="K10" s="91">
        <f>'假设-成本与任务量'!$I$4</f>
        <v>105</v>
      </c>
      <c r="L10" s="91">
        <f>IFERROR(K10*G10,"")</f>
        <v>210</v>
      </c>
      <c r="M10" s="175"/>
      <c r="N10" s="142"/>
      <c r="O10" s="142"/>
      <c r="P10" s="69"/>
      <c r="Q10" s="67" t="s">
        <v>528</v>
      </c>
      <c r="R10" s="173">
        <f>L9</f>
        <v>210</v>
      </c>
      <c r="S10" s="173">
        <f>L9</f>
        <v>210</v>
      </c>
      <c r="T10" s="173">
        <f>L9</f>
        <v>210</v>
      </c>
      <c r="U10" s="173">
        <f>L9</f>
        <v>210</v>
      </c>
      <c r="V10" s="173">
        <f>L9</f>
        <v>210</v>
      </c>
      <c r="W10" s="173">
        <f>L9</f>
        <v>210</v>
      </c>
      <c r="X10" s="173">
        <f>L9</f>
        <v>210</v>
      </c>
      <c r="Y10" s="173">
        <f>L9</f>
        <v>210</v>
      </c>
      <c r="Z10" s="173">
        <f>L9</f>
        <v>210</v>
      </c>
      <c r="AA10" s="173">
        <f>L9</f>
        <v>210</v>
      </c>
      <c r="AB10" s="173">
        <f>L9</f>
        <v>210</v>
      </c>
      <c r="AC10" s="173">
        <f>L9</f>
        <v>210</v>
      </c>
    </row>
    <row r="11" spans="1:29">
      <c r="A11" s="67"/>
      <c r="B11" s="67"/>
      <c r="C11" s="69"/>
      <c r="D11" s="102" t="s">
        <v>529</v>
      </c>
      <c r="E11" s="67"/>
      <c r="F11" s="73"/>
      <c r="G11" s="172"/>
      <c r="H11" s="176"/>
      <c r="I11" s="176">
        <f>I12</f>
        <v>512</v>
      </c>
      <c r="J11" s="176">
        <f>J12</f>
        <v>128</v>
      </c>
      <c r="K11" s="176">
        <f>K12</f>
        <v>38</v>
      </c>
      <c r="L11" s="176">
        <f>L12</f>
        <v>152</v>
      </c>
      <c r="M11" s="177">
        <f>'参考值-平台主推SKU占比'!$F$16</f>
        <v>1.1895583214010399E-2</v>
      </c>
      <c r="N11" s="142"/>
      <c r="O11" s="142"/>
      <c r="P11" s="69"/>
      <c r="Q11" s="67" t="s">
        <v>530</v>
      </c>
      <c r="R11" s="173">
        <f>I11</f>
        <v>512</v>
      </c>
      <c r="S11" s="173">
        <f>I11</f>
        <v>512</v>
      </c>
      <c r="T11" s="173">
        <f>I11</f>
        <v>512</v>
      </c>
      <c r="U11" s="173">
        <f>I11</f>
        <v>512</v>
      </c>
      <c r="V11" s="173">
        <f>I11</f>
        <v>512</v>
      </c>
      <c r="W11" s="173">
        <f>I11</f>
        <v>512</v>
      </c>
      <c r="X11" s="173">
        <f>I11</f>
        <v>512</v>
      </c>
      <c r="Y11" s="173">
        <f>I11</f>
        <v>512</v>
      </c>
      <c r="Z11" s="173">
        <f>I11</f>
        <v>512</v>
      </c>
      <c r="AA11" s="173">
        <f>I11</f>
        <v>512</v>
      </c>
      <c r="AB11" s="173">
        <f>I11</f>
        <v>512</v>
      </c>
      <c r="AC11" s="173">
        <f>I11</f>
        <v>512</v>
      </c>
    </row>
    <row r="12" spans="1:29">
      <c r="A12" s="67"/>
      <c r="B12" s="67"/>
      <c r="C12" s="69"/>
      <c r="D12" s="69"/>
      <c r="E12" s="67" t="s">
        <v>520</v>
      </c>
      <c r="F12" s="73">
        <v>320</v>
      </c>
      <c r="G12" s="172">
        <f>'参考值-平台主推SKU占比'!$C$16</f>
        <v>4</v>
      </c>
      <c r="H12" s="91"/>
      <c r="I12" s="91">
        <f>'参考值-平台主推SKU占比'!$H$16</f>
        <v>512</v>
      </c>
      <c r="J12" s="91">
        <f>IFERROR(I12/G12,"")</f>
        <v>128</v>
      </c>
      <c r="K12" s="91">
        <f>'假设-成本与任务量'!$I$6</f>
        <v>38</v>
      </c>
      <c r="L12" s="91">
        <f>IFERROR(K12*G12,"")</f>
        <v>152</v>
      </c>
      <c r="M12" s="175"/>
      <c r="N12" s="142"/>
      <c r="O12" s="142"/>
      <c r="P12" s="69"/>
      <c r="Q12" s="67" t="s">
        <v>531</v>
      </c>
      <c r="R12" s="173">
        <f>L11</f>
        <v>152</v>
      </c>
      <c r="S12" s="173">
        <f>L11</f>
        <v>152</v>
      </c>
      <c r="T12" s="173">
        <f>L11</f>
        <v>152</v>
      </c>
      <c r="U12" s="173">
        <f>L11</f>
        <v>152</v>
      </c>
      <c r="V12" s="173">
        <f>L11</f>
        <v>152</v>
      </c>
      <c r="W12" s="173">
        <f>L11</f>
        <v>152</v>
      </c>
      <c r="X12" s="173">
        <f>L11</f>
        <v>152</v>
      </c>
      <c r="Y12" s="173">
        <f>L11</f>
        <v>152</v>
      </c>
      <c r="Z12" s="173">
        <f>L11</f>
        <v>152</v>
      </c>
      <c r="AA12" s="173">
        <f>L11</f>
        <v>152</v>
      </c>
      <c r="AB12" s="173">
        <f>L11</f>
        <v>152</v>
      </c>
      <c r="AC12" s="173">
        <f>L11</f>
        <v>152</v>
      </c>
    </row>
    <row r="13" spans="1:29">
      <c r="A13" s="67"/>
      <c r="B13" s="67"/>
      <c r="C13" s="69"/>
      <c r="D13" s="102" t="s">
        <v>532</v>
      </c>
      <c r="E13" s="67"/>
      <c r="F13" s="73"/>
      <c r="G13" s="172"/>
      <c r="H13" s="176"/>
      <c r="I13" s="176">
        <f>I14</f>
        <v>1230</v>
      </c>
      <c r="J13" s="176">
        <f>J14</f>
        <v>123</v>
      </c>
      <c r="K13" s="176">
        <f>K14</f>
        <v>38</v>
      </c>
      <c r="L13" s="176">
        <f>L14</f>
        <v>380</v>
      </c>
      <c r="M13" s="177">
        <f>'参考值-平台主推SKU占比'!$F$17</f>
        <v>9.47240885560084E-3</v>
      </c>
      <c r="N13" s="142"/>
      <c r="O13" s="142"/>
      <c r="P13" s="69"/>
      <c r="Q13" s="67" t="s">
        <v>533</v>
      </c>
      <c r="R13" s="173">
        <f>I13</f>
        <v>1230</v>
      </c>
      <c r="S13" s="173">
        <f>I13</f>
        <v>1230</v>
      </c>
      <c r="T13" s="173">
        <f>I13</f>
        <v>1230</v>
      </c>
      <c r="U13" s="173">
        <f>I13</f>
        <v>1230</v>
      </c>
      <c r="V13" s="173">
        <f>I13</f>
        <v>1230</v>
      </c>
      <c r="W13" s="173">
        <f>I13</f>
        <v>1230</v>
      </c>
      <c r="X13" s="173">
        <f>I13</f>
        <v>1230</v>
      </c>
      <c r="Y13" s="173">
        <f>I13</f>
        <v>1230</v>
      </c>
      <c r="Z13" s="173">
        <f>I13</f>
        <v>1230</v>
      </c>
      <c r="AA13" s="173">
        <f>I13</f>
        <v>1230</v>
      </c>
      <c r="AB13" s="173">
        <f>I13</f>
        <v>1230</v>
      </c>
      <c r="AC13" s="173">
        <f>I13</f>
        <v>1230</v>
      </c>
    </row>
    <row r="14" spans="1:29">
      <c r="A14" s="67"/>
      <c r="B14" s="67"/>
      <c r="C14" s="69"/>
      <c r="D14" s="69"/>
      <c r="E14" s="67" t="s">
        <v>520</v>
      </c>
      <c r="F14" s="73">
        <v>320</v>
      </c>
      <c r="G14" s="172">
        <f>'参考值-平台主推SKU占比'!$C$17</f>
        <v>10</v>
      </c>
      <c r="H14" s="91"/>
      <c r="I14" s="91">
        <f>'参考值-平台主推SKU占比'!$H$17</f>
        <v>1230</v>
      </c>
      <c r="J14" s="91">
        <f>IFERROR(I14/G14,"")</f>
        <v>123</v>
      </c>
      <c r="K14" s="91">
        <f>'假设-成本与任务量'!$I$6</f>
        <v>38</v>
      </c>
      <c r="L14" s="91">
        <f>IFERROR(K14*G14,"")</f>
        <v>380</v>
      </c>
      <c r="M14" s="175"/>
      <c r="N14" s="142"/>
      <c r="O14" s="142"/>
      <c r="P14" s="69"/>
      <c r="Q14" s="67" t="s">
        <v>534</v>
      </c>
      <c r="R14" s="173">
        <f>L13</f>
        <v>380</v>
      </c>
      <c r="S14" s="173">
        <f>L13</f>
        <v>380</v>
      </c>
      <c r="T14" s="173">
        <f>L13</f>
        <v>380</v>
      </c>
      <c r="U14" s="173">
        <f>L13</f>
        <v>380</v>
      </c>
      <c r="V14" s="173">
        <f>L13</f>
        <v>380</v>
      </c>
      <c r="W14" s="173">
        <f>L13</f>
        <v>380</v>
      </c>
      <c r="X14" s="173">
        <f>L13</f>
        <v>380</v>
      </c>
      <c r="Y14" s="173">
        <f>L13</f>
        <v>380</v>
      </c>
      <c r="Z14" s="173">
        <f>L13</f>
        <v>380</v>
      </c>
      <c r="AA14" s="173">
        <f>L13</f>
        <v>380</v>
      </c>
      <c r="AB14" s="173">
        <f>L13</f>
        <v>380</v>
      </c>
      <c r="AC14" s="173">
        <f>L13</f>
        <v>380</v>
      </c>
    </row>
    <row r="15" spans="1:29">
      <c r="A15" s="67"/>
      <c r="B15" s="67"/>
      <c r="C15" s="69"/>
      <c r="D15" s="102" t="s">
        <v>535</v>
      </c>
      <c r="E15" s="67"/>
      <c r="F15" s="73"/>
      <c r="G15" s="172"/>
      <c r="H15" s="176"/>
      <c r="I15" s="176">
        <f>I16</f>
        <v>256</v>
      </c>
      <c r="J15" s="176">
        <f>J16</f>
        <v>128</v>
      </c>
      <c r="K15" s="176">
        <f>K16</f>
        <v>38</v>
      </c>
      <c r="L15" s="176">
        <f>L16</f>
        <v>76</v>
      </c>
      <c r="M15" s="177">
        <f>'参考值-平台主推SKU占比'!$F$18</f>
        <v>9.1419759885449908E-3</v>
      </c>
      <c r="N15" s="142"/>
      <c r="O15" s="142"/>
      <c r="P15" s="69"/>
      <c r="Q15" s="67" t="s">
        <v>536</v>
      </c>
      <c r="R15" s="173">
        <f>I15</f>
        <v>256</v>
      </c>
      <c r="S15" s="173">
        <f>I15</f>
        <v>256</v>
      </c>
      <c r="T15" s="173">
        <f>I15</f>
        <v>256</v>
      </c>
      <c r="U15" s="173">
        <f>I15</f>
        <v>256</v>
      </c>
      <c r="V15" s="173">
        <f>I15</f>
        <v>256</v>
      </c>
      <c r="W15" s="173">
        <f>I15</f>
        <v>256</v>
      </c>
      <c r="X15" s="173">
        <f>I15</f>
        <v>256</v>
      </c>
      <c r="Y15" s="173">
        <f>I15</f>
        <v>256</v>
      </c>
      <c r="Z15" s="173">
        <f>I15</f>
        <v>256</v>
      </c>
      <c r="AA15" s="173">
        <f>I15</f>
        <v>256</v>
      </c>
      <c r="AB15" s="173">
        <f>I15</f>
        <v>256</v>
      </c>
      <c r="AC15" s="173">
        <f>I15</f>
        <v>256</v>
      </c>
    </row>
    <row r="16" spans="1:29">
      <c r="A16" s="67"/>
      <c r="B16" s="67"/>
      <c r="C16" s="69"/>
      <c r="D16" s="69"/>
      <c r="E16" s="67" t="s">
        <v>520</v>
      </c>
      <c r="F16" s="73">
        <v>320</v>
      </c>
      <c r="G16" s="172">
        <f>'参考值-平台主推SKU占比'!$C$18</f>
        <v>2</v>
      </c>
      <c r="H16" s="91"/>
      <c r="I16" s="91">
        <f>'参考值-平台主推SKU占比'!$H$18</f>
        <v>256</v>
      </c>
      <c r="J16" s="91">
        <f>IFERROR(I16/G16,"")</f>
        <v>128</v>
      </c>
      <c r="K16" s="91">
        <f>'假设-成本与任务量'!$I$6</f>
        <v>38</v>
      </c>
      <c r="L16" s="91">
        <f>IFERROR(K16*G16,"")</f>
        <v>76</v>
      </c>
      <c r="M16" s="175"/>
      <c r="N16" s="142"/>
      <c r="O16" s="142"/>
      <c r="P16" s="69"/>
      <c r="Q16" s="67" t="s">
        <v>537</v>
      </c>
      <c r="R16" s="173">
        <f>L15</f>
        <v>76</v>
      </c>
      <c r="S16" s="173">
        <f>L15</f>
        <v>76</v>
      </c>
      <c r="T16" s="173">
        <f>L15</f>
        <v>76</v>
      </c>
      <c r="U16" s="173">
        <f>L15</f>
        <v>76</v>
      </c>
      <c r="V16" s="173">
        <f>L15</f>
        <v>76</v>
      </c>
      <c r="W16" s="173">
        <f>L15</f>
        <v>76</v>
      </c>
      <c r="X16" s="173">
        <f>L15</f>
        <v>76</v>
      </c>
      <c r="Y16" s="173">
        <f>L15</f>
        <v>76</v>
      </c>
      <c r="Z16" s="173">
        <f>L15</f>
        <v>76</v>
      </c>
      <c r="AA16" s="173">
        <f>L15</f>
        <v>76</v>
      </c>
      <c r="AB16" s="173">
        <f>L15</f>
        <v>76</v>
      </c>
      <c r="AC16" s="173">
        <f>L15</f>
        <v>76</v>
      </c>
    </row>
    <row r="17" spans="1:29">
      <c r="A17" s="67"/>
      <c r="B17" s="67"/>
      <c r="C17" s="69"/>
      <c r="D17" s="102" t="s">
        <v>538</v>
      </c>
      <c r="E17" s="67"/>
      <c r="F17" s="73"/>
      <c r="G17" s="172"/>
      <c r="H17" s="176"/>
      <c r="I17" s="176">
        <f>I18</f>
        <v>288</v>
      </c>
      <c r="J17" s="176">
        <f>J18</f>
        <v>288</v>
      </c>
      <c r="K17" s="176">
        <f>K18</f>
        <v>105</v>
      </c>
      <c r="L17" s="176">
        <f>L18</f>
        <v>105</v>
      </c>
      <c r="M17" s="177">
        <f>'参考值-平台主推SKU占比'!$F$19</f>
        <v>7.8202445203216196E-3</v>
      </c>
      <c r="N17" s="142"/>
      <c r="O17" s="142"/>
      <c r="P17" s="69"/>
      <c r="Q17" s="67" t="s">
        <v>539</v>
      </c>
      <c r="R17" s="173">
        <f>I17</f>
        <v>288</v>
      </c>
      <c r="S17" s="173">
        <f>I17</f>
        <v>288</v>
      </c>
      <c r="T17" s="173">
        <f>I17</f>
        <v>288</v>
      </c>
      <c r="U17" s="173">
        <f>I17</f>
        <v>288</v>
      </c>
      <c r="V17" s="173">
        <f>I17</f>
        <v>288</v>
      </c>
      <c r="W17" s="173">
        <f>I17</f>
        <v>288</v>
      </c>
      <c r="X17" s="173">
        <f>I17</f>
        <v>288</v>
      </c>
      <c r="Y17" s="173">
        <f>I17</f>
        <v>288</v>
      </c>
      <c r="Z17" s="173">
        <f>I17</f>
        <v>288</v>
      </c>
      <c r="AA17" s="173">
        <f>I17</f>
        <v>288</v>
      </c>
      <c r="AB17" s="173">
        <f>I17</f>
        <v>288</v>
      </c>
      <c r="AC17" s="173">
        <f>I17</f>
        <v>288</v>
      </c>
    </row>
    <row r="18" spans="1:29">
      <c r="A18" s="67"/>
      <c r="B18" s="67"/>
      <c r="C18" s="69"/>
      <c r="D18" s="69"/>
      <c r="E18" s="67" t="s">
        <v>527</v>
      </c>
      <c r="F18" s="73">
        <v>700</v>
      </c>
      <c r="G18" s="172">
        <f>'参考值-平台主推SKU占比'!$C$19</f>
        <v>1</v>
      </c>
      <c r="H18" s="91"/>
      <c r="I18" s="91">
        <f>'参考值-平台主推SKU占比'!$H$19</f>
        <v>288</v>
      </c>
      <c r="J18" s="91">
        <f>IFERROR(I18/G18,"")</f>
        <v>288</v>
      </c>
      <c r="K18" s="91">
        <f>'假设-成本与任务量'!$I$4</f>
        <v>105</v>
      </c>
      <c r="L18" s="91">
        <f>IFERROR(K18*G18,"")</f>
        <v>105</v>
      </c>
      <c r="M18" s="175"/>
      <c r="N18" s="142"/>
      <c r="O18" s="142"/>
      <c r="P18" s="69"/>
      <c r="Q18" s="67" t="s">
        <v>540</v>
      </c>
      <c r="R18" s="173">
        <f>L17</f>
        <v>105</v>
      </c>
      <c r="S18" s="173">
        <f>L17</f>
        <v>105</v>
      </c>
      <c r="T18" s="173">
        <f>L17</f>
        <v>105</v>
      </c>
      <c r="U18" s="173">
        <f>L17</f>
        <v>105</v>
      </c>
      <c r="V18" s="173">
        <f>L17</f>
        <v>105</v>
      </c>
      <c r="W18" s="173">
        <f>L17</f>
        <v>105</v>
      </c>
      <c r="X18" s="173">
        <f>L17</f>
        <v>105</v>
      </c>
      <c r="Y18" s="173">
        <f>L17</f>
        <v>105</v>
      </c>
      <c r="Z18" s="173">
        <f>L17</f>
        <v>105</v>
      </c>
      <c r="AA18" s="173">
        <f>L17</f>
        <v>105</v>
      </c>
      <c r="AB18" s="173">
        <f>L17</f>
        <v>105</v>
      </c>
      <c r="AC18" s="173">
        <f>L17</f>
        <v>105</v>
      </c>
    </row>
    <row r="19" spans="1:29">
      <c r="A19" s="67"/>
      <c r="B19" s="67"/>
      <c r="C19" s="69"/>
      <c r="D19" s="102" t="s">
        <v>541</v>
      </c>
      <c r="E19" s="67"/>
      <c r="F19" s="73"/>
      <c r="G19" s="172"/>
      <c r="H19" s="176"/>
      <c r="I19" s="176">
        <f>I20</f>
        <v>1200</v>
      </c>
      <c r="J19" s="176">
        <f>J20</f>
        <v>109.09090909090909</v>
      </c>
      <c r="K19" s="176">
        <f>K20</f>
        <v>38</v>
      </c>
      <c r="L19" s="176">
        <f>L20</f>
        <v>418</v>
      </c>
      <c r="M19" s="177">
        <f>'参考值-平台主推SKU占比'!$F$20</f>
        <v>2.8637515144839701E-3</v>
      </c>
      <c r="N19" s="142"/>
      <c r="O19" s="142"/>
      <c r="P19" s="69"/>
      <c r="Q19" s="67" t="s">
        <v>542</v>
      </c>
      <c r="R19" s="173">
        <f>I19</f>
        <v>1200</v>
      </c>
      <c r="S19" s="173">
        <f>I19</f>
        <v>1200</v>
      </c>
      <c r="T19" s="173">
        <f>I19</f>
        <v>1200</v>
      </c>
      <c r="U19" s="173">
        <f>I19</f>
        <v>1200</v>
      </c>
      <c r="V19" s="173">
        <f>I19</f>
        <v>1200</v>
      </c>
      <c r="W19" s="173">
        <f>I19</f>
        <v>1200</v>
      </c>
      <c r="X19" s="173">
        <f>I19</f>
        <v>1200</v>
      </c>
      <c r="Y19" s="173">
        <f>I19</f>
        <v>1200</v>
      </c>
      <c r="Z19" s="173">
        <f>I19</f>
        <v>1200</v>
      </c>
      <c r="AA19" s="173">
        <f>I19</f>
        <v>1200</v>
      </c>
      <c r="AB19" s="173">
        <f>I19</f>
        <v>1200</v>
      </c>
      <c r="AC19" s="173">
        <f>I19</f>
        <v>1200</v>
      </c>
    </row>
    <row r="20" spans="1:29">
      <c r="A20" s="67"/>
      <c r="B20" s="67"/>
      <c r="C20" s="69"/>
      <c r="D20" s="69"/>
      <c r="E20" s="67" t="s">
        <v>520</v>
      </c>
      <c r="F20" s="73">
        <v>320</v>
      </c>
      <c r="G20" s="172">
        <f>'参考值-平台主推SKU占比'!$C$20</f>
        <v>11</v>
      </c>
      <c r="H20" s="91"/>
      <c r="I20" s="91">
        <f>'参考值-平台主推SKU占比'!$H$20</f>
        <v>1200</v>
      </c>
      <c r="J20" s="91">
        <f>IFERROR(I20/G20,"")</f>
        <v>109.09090909090909</v>
      </c>
      <c r="K20" s="91">
        <f>'假设-成本与任务量'!$I$6</f>
        <v>38</v>
      </c>
      <c r="L20" s="91">
        <f>IFERROR(K20*G20,"")</f>
        <v>418</v>
      </c>
      <c r="M20" s="175"/>
      <c r="N20" s="142"/>
      <c r="O20" s="142"/>
      <c r="P20" s="69"/>
      <c r="Q20" s="67" t="s">
        <v>543</v>
      </c>
      <c r="R20" s="173">
        <f>L19</f>
        <v>418</v>
      </c>
      <c r="S20" s="173">
        <f>L19</f>
        <v>418</v>
      </c>
      <c r="T20" s="173">
        <f>L19</f>
        <v>418</v>
      </c>
      <c r="U20" s="173">
        <f>L19</f>
        <v>418</v>
      </c>
      <c r="V20" s="173">
        <f>L19</f>
        <v>418</v>
      </c>
      <c r="W20" s="173">
        <f>L19</f>
        <v>418</v>
      </c>
      <c r="X20" s="173">
        <f>L19</f>
        <v>418</v>
      </c>
      <c r="Y20" s="173">
        <f>L19</f>
        <v>418</v>
      </c>
      <c r="Z20" s="173">
        <f>L19</f>
        <v>418</v>
      </c>
      <c r="AA20" s="173">
        <f>L19</f>
        <v>418</v>
      </c>
      <c r="AB20" s="173">
        <f>L19</f>
        <v>418</v>
      </c>
      <c r="AC20" s="173">
        <f>L19</f>
        <v>418</v>
      </c>
    </row>
    <row r="21" spans="1:29">
      <c r="A21" s="67"/>
      <c r="B21" s="67"/>
      <c r="C21" s="69"/>
      <c r="D21" s="102" t="s">
        <v>544</v>
      </c>
      <c r="E21" s="67"/>
      <c r="F21" s="73"/>
      <c r="G21" s="172"/>
      <c r="H21" s="176"/>
      <c r="I21" s="176">
        <f>I22</f>
        <v>600</v>
      </c>
      <c r="J21" s="176">
        <f>J22</f>
        <v>100</v>
      </c>
      <c r="K21" s="176">
        <f>K22</f>
        <v>38</v>
      </c>
      <c r="L21" s="176">
        <f>L22</f>
        <v>228</v>
      </c>
      <c r="M21" s="177">
        <f>'参考值-平台主推SKU占比'!$F$21</f>
        <v>1.76230862429783E-3</v>
      </c>
      <c r="N21" s="142"/>
      <c r="O21" s="142"/>
      <c r="P21" s="69"/>
      <c r="Q21" s="67" t="s">
        <v>545</v>
      </c>
      <c r="R21" s="173">
        <f>I21</f>
        <v>600</v>
      </c>
      <c r="S21" s="173">
        <f>I21</f>
        <v>600</v>
      </c>
      <c r="T21" s="173">
        <f>I21</f>
        <v>600</v>
      </c>
      <c r="U21" s="173">
        <f>I21</f>
        <v>600</v>
      </c>
      <c r="V21" s="173">
        <f>I21</f>
        <v>600</v>
      </c>
      <c r="W21" s="173">
        <f>I21</f>
        <v>600</v>
      </c>
      <c r="X21" s="173">
        <f>I21</f>
        <v>600</v>
      </c>
      <c r="Y21" s="173">
        <f>I21</f>
        <v>600</v>
      </c>
      <c r="Z21" s="173">
        <f>I21</f>
        <v>600</v>
      </c>
      <c r="AA21" s="173">
        <f>I21</f>
        <v>600</v>
      </c>
      <c r="AB21" s="173">
        <f>I21</f>
        <v>600</v>
      </c>
      <c r="AC21" s="173">
        <f>I21</f>
        <v>600</v>
      </c>
    </row>
    <row r="22" spans="1:29">
      <c r="A22" s="67"/>
      <c r="B22" s="67"/>
      <c r="C22" s="69"/>
      <c r="D22" s="69"/>
      <c r="E22" s="67" t="s">
        <v>520</v>
      </c>
      <c r="F22" s="73">
        <v>320</v>
      </c>
      <c r="G22" s="172">
        <f>'参考值-平台主推SKU占比'!$C$21</f>
        <v>6</v>
      </c>
      <c r="H22" s="91"/>
      <c r="I22" s="91">
        <f>'参考值-平台主推SKU占比'!$H$21</f>
        <v>600</v>
      </c>
      <c r="J22" s="91">
        <f>IFERROR(I22/G22,"")</f>
        <v>100</v>
      </c>
      <c r="K22" s="91">
        <f>'假设-成本与任务量'!$I$6</f>
        <v>38</v>
      </c>
      <c r="L22" s="91">
        <f>IFERROR(K22*G22,"")</f>
        <v>228</v>
      </c>
      <c r="M22" s="175">
        <f>M24+M26</f>
        <v>1</v>
      </c>
      <c r="N22" s="142" t="s">
        <v>293</v>
      </c>
      <c r="O22" s="142"/>
      <c r="P22" s="69"/>
      <c r="Q22" s="67" t="s">
        <v>546</v>
      </c>
      <c r="R22" s="173">
        <f>L21</f>
        <v>228</v>
      </c>
      <c r="S22" s="173">
        <f>L21</f>
        <v>228</v>
      </c>
      <c r="T22" s="173">
        <f>L21</f>
        <v>228</v>
      </c>
      <c r="U22" s="173">
        <f>L21</f>
        <v>228</v>
      </c>
      <c r="V22" s="173">
        <f>L21</f>
        <v>228</v>
      </c>
      <c r="W22" s="173">
        <f>L21</f>
        <v>228</v>
      </c>
      <c r="X22" s="173">
        <f>L21</f>
        <v>228</v>
      </c>
      <c r="Y22" s="173">
        <f>L21</f>
        <v>228</v>
      </c>
      <c r="Z22" s="173">
        <f>L21</f>
        <v>228</v>
      </c>
      <c r="AA22" s="173">
        <f>L21</f>
        <v>228</v>
      </c>
      <c r="AB22" s="173">
        <f>L21</f>
        <v>228</v>
      </c>
      <c r="AC22" s="173">
        <f>L21</f>
        <v>228</v>
      </c>
    </row>
    <row r="23" spans="1:29">
      <c r="A23" s="67"/>
      <c r="B23" s="67"/>
      <c r="C23" s="102" t="s">
        <v>279</v>
      </c>
      <c r="D23" s="69"/>
      <c r="E23" s="69"/>
      <c r="F23" s="73"/>
      <c r="G23" s="172"/>
      <c r="H23" s="173"/>
      <c r="I23" s="173"/>
      <c r="J23" s="173"/>
      <c r="K23" s="173"/>
      <c r="L23" s="173"/>
      <c r="M23" s="175"/>
      <c r="N23" s="142"/>
      <c r="O23" s="142"/>
      <c r="P23" s="69"/>
      <c r="Q23" s="69"/>
      <c r="R23" s="165"/>
      <c r="S23" s="165"/>
      <c r="T23" s="165"/>
      <c r="U23" s="165"/>
      <c r="V23" s="165"/>
      <c r="W23" s="165"/>
      <c r="X23" s="165"/>
      <c r="Y23" s="165"/>
      <c r="Z23" s="165"/>
      <c r="AA23" s="165"/>
      <c r="AB23" s="165"/>
      <c r="AC23" s="165"/>
    </row>
    <row r="24" spans="1:29">
      <c r="A24" s="67"/>
      <c r="B24" s="67"/>
      <c r="C24" s="69"/>
      <c r="D24" s="102" t="s">
        <v>518</v>
      </c>
      <c r="E24" s="67"/>
      <c r="F24" s="73"/>
      <c r="G24" s="172"/>
      <c r="H24" s="176"/>
      <c r="I24" s="176">
        <f>I25</f>
        <v>378</v>
      </c>
      <c r="J24" s="176">
        <f>J25</f>
        <v>126</v>
      </c>
      <c r="K24" s="176">
        <f>K25</f>
        <v>38</v>
      </c>
      <c r="L24" s="176">
        <f>L25</f>
        <v>114</v>
      </c>
      <c r="M24" s="177">
        <f>'参考值-平台主推SKU占比'!$F$106</f>
        <v>0.606498194945848</v>
      </c>
      <c r="N24" s="142"/>
      <c r="O24" s="142"/>
      <c r="P24" s="69"/>
      <c r="Q24" s="67" t="s">
        <v>519</v>
      </c>
      <c r="R24" s="173">
        <f>I24</f>
        <v>378</v>
      </c>
      <c r="S24" s="173">
        <f>I24</f>
        <v>378</v>
      </c>
      <c r="T24" s="173">
        <f>I24</f>
        <v>378</v>
      </c>
      <c r="U24" s="173">
        <f>I24</f>
        <v>378</v>
      </c>
      <c r="V24" s="173">
        <f>I24</f>
        <v>378</v>
      </c>
      <c r="W24" s="173">
        <f>I24</f>
        <v>378</v>
      </c>
      <c r="X24" s="173">
        <f>I24</f>
        <v>378</v>
      </c>
      <c r="Y24" s="173">
        <f>I24</f>
        <v>378</v>
      </c>
      <c r="Z24" s="173">
        <f>I24</f>
        <v>378</v>
      </c>
      <c r="AA24" s="173">
        <f>I24</f>
        <v>378</v>
      </c>
      <c r="AB24" s="173">
        <f>I24</f>
        <v>378</v>
      </c>
      <c r="AC24" s="173">
        <f>I24</f>
        <v>378</v>
      </c>
    </row>
    <row r="25" spans="1:29">
      <c r="A25" s="67"/>
      <c r="B25" s="67"/>
      <c r="C25" s="69"/>
      <c r="D25" s="69"/>
      <c r="E25" s="67" t="s">
        <v>520</v>
      </c>
      <c r="F25" s="73">
        <v>320</v>
      </c>
      <c r="G25" s="172">
        <f>'参考值-平台主推SKU占比'!$C$106</f>
        <v>3</v>
      </c>
      <c r="H25" s="91"/>
      <c r="I25" s="91">
        <f>'参考值-平台主推SKU占比'!$H$106</f>
        <v>378</v>
      </c>
      <c r="J25" s="91">
        <f>IFERROR(I25/G25,"")</f>
        <v>126</v>
      </c>
      <c r="K25" s="91">
        <f>'假设-成本与任务量'!$I$6</f>
        <v>38</v>
      </c>
      <c r="L25" s="91">
        <f>IFERROR(K25*G25,"")</f>
        <v>114</v>
      </c>
      <c r="M25" s="175"/>
      <c r="N25" s="142"/>
      <c r="O25" s="142"/>
      <c r="P25" s="69"/>
      <c r="Q25" s="67" t="s">
        <v>521</v>
      </c>
      <c r="R25" s="173">
        <f>L24</f>
        <v>114</v>
      </c>
      <c r="S25" s="173">
        <f>L24</f>
        <v>114</v>
      </c>
      <c r="T25" s="173">
        <f>L24</f>
        <v>114</v>
      </c>
      <c r="U25" s="173">
        <f>L24</f>
        <v>114</v>
      </c>
      <c r="V25" s="173">
        <f>L24</f>
        <v>114</v>
      </c>
      <c r="W25" s="173">
        <f>L24</f>
        <v>114</v>
      </c>
      <c r="X25" s="173">
        <f>L24</f>
        <v>114</v>
      </c>
      <c r="Y25" s="173">
        <f>L24</f>
        <v>114</v>
      </c>
      <c r="Z25" s="173">
        <f>L24</f>
        <v>114</v>
      </c>
      <c r="AA25" s="173">
        <f>L24</f>
        <v>114</v>
      </c>
      <c r="AB25" s="173">
        <f>L24</f>
        <v>114</v>
      </c>
      <c r="AC25" s="173">
        <f>L24</f>
        <v>114</v>
      </c>
    </row>
    <row r="26" spans="1:29">
      <c r="A26" s="67"/>
      <c r="B26" s="67"/>
      <c r="C26" s="69"/>
      <c r="D26" s="102" t="s">
        <v>522</v>
      </c>
      <c r="E26" s="67"/>
      <c r="F26" s="73"/>
      <c r="G26" s="172"/>
      <c r="H26" s="176"/>
      <c r="I26" s="176">
        <f>I27</f>
        <v>600</v>
      </c>
      <c r="J26" s="176">
        <f>J27</f>
        <v>120</v>
      </c>
      <c r="K26" s="176">
        <f>K27</f>
        <v>38</v>
      </c>
      <c r="L26" s="176">
        <f>L27</f>
        <v>190</v>
      </c>
      <c r="M26" s="177">
        <f>'参考值-平台主推SKU占比'!$F$107</f>
        <v>0.393501805054152</v>
      </c>
      <c r="N26" s="142"/>
      <c r="O26" s="142"/>
      <c r="P26" s="69"/>
      <c r="Q26" s="67" t="s">
        <v>523</v>
      </c>
      <c r="R26" s="173">
        <f>I26</f>
        <v>600</v>
      </c>
      <c r="S26" s="173">
        <f>I26</f>
        <v>600</v>
      </c>
      <c r="T26" s="173">
        <f>I26</f>
        <v>600</v>
      </c>
      <c r="U26" s="173">
        <f>I26</f>
        <v>600</v>
      </c>
      <c r="V26" s="173">
        <f>I26</f>
        <v>600</v>
      </c>
      <c r="W26" s="173">
        <f>I26</f>
        <v>600</v>
      </c>
      <c r="X26" s="173">
        <f>I26</f>
        <v>600</v>
      </c>
      <c r="Y26" s="173">
        <f>I26</f>
        <v>600</v>
      </c>
      <c r="Z26" s="173">
        <f>I26</f>
        <v>600</v>
      </c>
      <c r="AA26" s="173">
        <f>I26</f>
        <v>600</v>
      </c>
      <c r="AB26" s="173">
        <f>I26</f>
        <v>600</v>
      </c>
      <c r="AC26" s="173">
        <f>I26</f>
        <v>600</v>
      </c>
    </row>
    <row r="27" spans="1:29">
      <c r="A27" s="67"/>
      <c r="B27" s="67"/>
      <c r="C27" s="69"/>
      <c r="D27" s="69"/>
      <c r="E27" s="67" t="s">
        <v>520</v>
      </c>
      <c r="F27" s="73">
        <v>320</v>
      </c>
      <c r="G27" s="172">
        <f>'参考值-平台主推SKU占比'!$C$107</f>
        <v>5</v>
      </c>
      <c r="H27" s="91"/>
      <c r="I27" s="91">
        <f>'参考值-平台主推SKU占比'!$H$107</f>
        <v>600</v>
      </c>
      <c r="J27" s="91">
        <f>IFERROR(I27/G27,"")</f>
        <v>120</v>
      </c>
      <c r="K27" s="91">
        <f>'假设-成本与任务量'!$I$6</f>
        <v>38</v>
      </c>
      <c r="L27" s="91">
        <f>IFERROR(K27*G27,"")</f>
        <v>190</v>
      </c>
      <c r="M27" s="175">
        <f>M29+M31+M33+M35+M37+M39+M41+M43+M45+M47+M49+M51+M53</f>
        <v>0.99999999999999978</v>
      </c>
      <c r="N27" s="142" t="s">
        <v>293</v>
      </c>
      <c r="O27" s="142"/>
      <c r="P27" s="69"/>
      <c r="Q27" s="67" t="s">
        <v>524</v>
      </c>
      <c r="R27" s="173">
        <f>L26</f>
        <v>190</v>
      </c>
      <c r="S27" s="173">
        <f>L26</f>
        <v>190</v>
      </c>
      <c r="T27" s="173">
        <f>L26</f>
        <v>190</v>
      </c>
      <c r="U27" s="173">
        <f>L26</f>
        <v>190</v>
      </c>
      <c r="V27" s="173">
        <f>L26</f>
        <v>190</v>
      </c>
      <c r="W27" s="173">
        <f>L26</f>
        <v>190</v>
      </c>
      <c r="X27" s="173">
        <f>L26</f>
        <v>190</v>
      </c>
      <c r="Y27" s="173">
        <f>L26</f>
        <v>190</v>
      </c>
      <c r="Z27" s="173">
        <f>L26</f>
        <v>190</v>
      </c>
      <c r="AA27" s="173">
        <f>L26</f>
        <v>190</v>
      </c>
      <c r="AB27" s="173">
        <f>L26</f>
        <v>190</v>
      </c>
      <c r="AC27" s="173">
        <f>L26</f>
        <v>190</v>
      </c>
    </row>
    <row r="28" spans="1:29">
      <c r="A28" s="67"/>
      <c r="B28" s="67"/>
      <c r="C28" s="102" t="s">
        <v>280</v>
      </c>
      <c r="D28" s="69"/>
      <c r="E28" s="69"/>
      <c r="F28" s="73"/>
      <c r="G28" s="172"/>
      <c r="H28" s="173"/>
      <c r="I28" s="173"/>
      <c r="J28" s="173"/>
      <c r="K28" s="173"/>
      <c r="L28" s="173"/>
      <c r="M28" s="175"/>
      <c r="N28" s="142"/>
      <c r="O28" s="142"/>
      <c r="P28" s="69"/>
      <c r="Q28" s="69"/>
      <c r="R28" s="165"/>
      <c r="S28" s="165"/>
      <c r="T28" s="165"/>
      <c r="U28" s="165"/>
      <c r="V28" s="165"/>
      <c r="W28" s="165"/>
      <c r="X28" s="165"/>
      <c r="Y28" s="165"/>
      <c r="Z28" s="165"/>
      <c r="AA28" s="165"/>
      <c r="AB28" s="165"/>
      <c r="AC28" s="165"/>
    </row>
    <row r="29" spans="1:29">
      <c r="A29" s="67"/>
      <c r="B29" s="67"/>
      <c r="C29" s="69"/>
      <c r="D29" s="102" t="s">
        <v>518</v>
      </c>
      <c r="E29" s="67"/>
      <c r="F29" s="73"/>
      <c r="G29" s="172"/>
      <c r="H29" s="176"/>
      <c r="I29" s="176">
        <f>I30</f>
        <v>269</v>
      </c>
      <c r="J29" s="176">
        <f>J30</f>
        <v>134.5</v>
      </c>
      <c r="K29" s="176">
        <f>K30</f>
        <v>38</v>
      </c>
      <c r="L29" s="176">
        <f>L30</f>
        <v>76</v>
      </c>
      <c r="M29" s="177">
        <f>'参考值-平台主推SKU占比'!$F$108</f>
        <v>0.36080467229072</v>
      </c>
      <c r="N29" s="142"/>
      <c r="O29" s="142"/>
      <c r="P29" s="69"/>
      <c r="Q29" s="67" t="s">
        <v>519</v>
      </c>
      <c r="R29" s="173">
        <f>I29</f>
        <v>269</v>
      </c>
      <c r="S29" s="173">
        <f>I29</f>
        <v>269</v>
      </c>
      <c r="T29" s="173">
        <f>I29</f>
        <v>269</v>
      </c>
      <c r="U29" s="173">
        <f>I29</f>
        <v>269</v>
      </c>
      <c r="V29" s="173">
        <f>I29</f>
        <v>269</v>
      </c>
      <c r="W29" s="173">
        <f>I29</f>
        <v>269</v>
      </c>
      <c r="X29" s="173">
        <f>I29</f>
        <v>269</v>
      </c>
      <c r="Y29" s="173">
        <f>I29</f>
        <v>269</v>
      </c>
      <c r="Z29" s="173">
        <f>I29</f>
        <v>269</v>
      </c>
      <c r="AA29" s="173">
        <f>I29</f>
        <v>269</v>
      </c>
      <c r="AB29" s="173">
        <f>I29</f>
        <v>269</v>
      </c>
      <c r="AC29" s="173">
        <f>I29</f>
        <v>269</v>
      </c>
    </row>
    <row r="30" spans="1:29">
      <c r="A30" s="67"/>
      <c r="B30" s="67"/>
      <c r="C30" s="69"/>
      <c r="D30" s="69"/>
      <c r="E30" s="67" t="s">
        <v>520</v>
      </c>
      <c r="F30" s="73">
        <v>320</v>
      </c>
      <c r="G30" s="172">
        <f>'参考值-平台主推SKU占比'!$C$108</f>
        <v>2</v>
      </c>
      <c r="H30" s="91"/>
      <c r="I30" s="91">
        <f>'参考值-平台主推SKU占比'!$H$108</f>
        <v>269</v>
      </c>
      <c r="J30" s="91">
        <f>IFERROR(I30/G30,"")</f>
        <v>134.5</v>
      </c>
      <c r="K30" s="91">
        <f>'假设-成本与任务量'!$I$6</f>
        <v>38</v>
      </c>
      <c r="L30" s="91">
        <f>IFERROR(K30*G30,"")</f>
        <v>76</v>
      </c>
      <c r="M30" s="175"/>
      <c r="N30" s="142"/>
      <c r="O30" s="142"/>
      <c r="P30" s="69"/>
      <c r="Q30" s="67" t="s">
        <v>521</v>
      </c>
      <c r="R30" s="173">
        <f>L29</f>
        <v>76</v>
      </c>
      <c r="S30" s="173">
        <f>L29</f>
        <v>76</v>
      </c>
      <c r="T30" s="173">
        <f>L29</f>
        <v>76</v>
      </c>
      <c r="U30" s="173">
        <f>L29</f>
        <v>76</v>
      </c>
      <c r="V30" s="173">
        <f>L29</f>
        <v>76</v>
      </c>
      <c r="W30" s="173">
        <f>L29</f>
        <v>76</v>
      </c>
      <c r="X30" s="173">
        <f>L29</f>
        <v>76</v>
      </c>
      <c r="Y30" s="173">
        <f>L29</f>
        <v>76</v>
      </c>
      <c r="Z30" s="173">
        <f>L29</f>
        <v>76</v>
      </c>
      <c r="AA30" s="173">
        <f>L29</f>
        <v>76</v>
      </c>
      <c r="AB30" s="173">
        <f>L29</f>
        <v>76</v>
      </c>
      <c r="AC30" s="173">
        <f>L29</f>
        <v>76</v>
      </c>
    </row>
    <row r="31" spans="1:29">
      <c r="A31" s="67"/>
      <c r="B31" s="67"/>
      <c r="C31" s="69"/>
      <c r="D31" s="102" t="s">
        <v>522</v>
      </c>
      <c r="E31" s="67"/>
      <c r="F31" s="73"/>
      <c r="G31" s="172"/>
      <c r="H31" s="176"/>
      <c r="I31" s="176">
        <f>I32</f>
        <v>288</v>
      </c>
      <c r="J31" s="176">
        <f>J32</f>
        <v>288</v>
      </c>
      <c r="K31" s="176">
        <f>K32</f>
        <v>105</v>
      </c>
      <c r="L31" s="176">
        <f>L32</f>
        <v>105</v>
      </c>
      <c r="M31" s="177">
        <f>'参考值-平台主推SKU占比'!$F$109</f>
        <v>0.236210253082414</v>
      </c>
      <c r="N31" s="142"/>
      <c r="O31" s="142"/>
      <c r="P31" s="69"/>
      <c r="Q31" s="67" t="s">
        <v>523</v>
      </c>
      <c r="R31" s="173">
        <f>I31</f>
        <v>288</v>
      </c>
      <c r="S31" s="173">
        <f>I31</f>
        <v>288</v>
      </c>
      <c r="T31" s="173">
        <f>I31</f>
        <v>288</v>
      </c>
      <c r="U31" s="173">
        <f>I31</f>
        <v>288</v>
      </c>
      <c r="V31" s="173">
        <f>I31</f>
        <v>288</v>
      </c>
      <c r="W31" s="173">
        <f>I31</f>
        <v>288</v>
      </c>
      <c r="X31" s="173">
        <f>I31</f>
        <v>288</v>
      </c>
      <c r="Y31" s="173">
        <f>I31</f>
        <v>288</v>
      </c>
      <c r="Z31" s="173">
        <f>I31</f>
        <v>288</v>
      </c>
      <c r="AA31" s="173">
        <f>I31</f>
        <v>288</v>
      </c>
      <c r="AB31" s="173">
        <f>I31</f>
        <v>288</v>
      </c>
      <c r="AC31" s="173">
        <f>I31</f>
        <v>288</v>
      </c>
    </row>
    <row r="32" spans="1:29">
      <c r="A32" s="67"/>
      <c r="B32" s="67"/>
      <c r="C32" s="69"/>
      <c r="D32" s="69"/>
      <c r="E32" s="67" t="s">
        <v>527</v>
      </c>
      <c r="F32" s="73">
        <v>700</v>
      </c>
      <c r="G32" s="172">
        <f>'参考值-平台主推SKU占比'!$C$109</f>
        <v>1</v>
      </c>
      <c r="H32" s="91"/>
      <c r="I32" s="91">
        <f>'参考值-平台主推SKU占比'!$H$109</f>
        <v>288</v>
      </c>
      <c r="J32" s="91">
        <f>IFERROR(I32/G32,"")</f>
        <v>288</v>
      </c>
      <c r="K32" s="91">
        <f>'假设-成本与任务量'!$I$4</f>
        <v>105</v>
      </c>
      <c r="L32" s="91">
        <f>IFERROR(K32*G32,"")</f>
        <v>105</v>
      </c>
      <c r="M32" s="175"/>
      <c r="N32" s="142"/>
      <c r="O32" s="142"/>
      <c r="P32" s="69"/>
      <c r="Q32" s="67" t="s">
        <v>524</v>
      </c>
      <c r="R32" s="173">
        <f>L31</f>
        <v>105</v>
      </c>
      <c r="S32" s="173">
        <f>L31</f>
        <v>105</v>
      </c>
      <c r="T32" s="173">
        <f>L31</f>
        <v>105</v>
      </c>
      <c r="U32" s="173">
        <f>L31</f>
        <v>105</v>
      </c>
      <c r="V32" s="173">
        <f>L31</f>
        <v>105</v>
      </c>
      <c r="W32" s="173">
        <f>L31</f>
        <v>105</v>
      </c>
      <c r="X32" s="173">
        <f>L31</f>
        <v>105</v>
      </c>
      <c r="Y32" s="173">
        <f>L31</f>
        <v>105</v>
      </c>
      <c r="Z32" s="173">
        <f>L31</f>
        <v>105</v>
      </c>
      <c r="AA32" s="173">
        <f>L31</f>
        <v>105</v>
      </c>
      <c r="AB32" s="173">
        <f>L31</f>
        <v>105</v>
      </c>
      <c r="AC32" s="173">
        <f>L31</f>
        <v>105</v>
      </c>
    </row>
    <row r="33" spans="1:29">
      <c r="A33" s="67"/>
      <c r="B33" s="67"/>
      <c r="C33" s="69"/>
      <c r="D33" s="102" t="s">
        <v>525</v>
      </c>
      <c r="E33" s="67"/>
      <c r="F33" s="73"/>
      <c r="G33" s="172"/>
      <c r="H33" s="176"/>
      <c r="I33" s="176">
        <f>I34</f>
        <v>569</v>
      </c>
      <c r="J33" s="176">
        <f>J34</f>
        <v>284.5</v>
      </c>
      <c r="K33" s="176">
        <f>K34</f>
        <v>105</v>
      </c>
      <c r="L33" s="176">
        <f>L34</f>
        <v>210</v>
      </c>
      <c r="M33" s="177">
        <f>'参考值-平台主推SKU占比'!$F$110</f>
        <v>0.118105126541207</v>
      </c>
      <c r="N33" s="142"/>
      <c r="O33" s="142"/>
      <c r="P33" s="69"/>
      <c r="Q33" s="67" t="s">
        <v>526</v>
      </c>
      <c r="R33" s="173">
        <f>I33</f>
        <v>569</v>
      </c>
      <c r="S33" s="173">
        <f>I33</f>
        <v>569</v>
      </c>
      <c r="T33" s="173">
        <f>I33</f>
        <v>569</v>
      </c>
      <c r="U33" s="173">
        <f>I33</f>
        <v>569</v>
      </c>
      <c r="V33" s="173">
        <f>I33</f>
        <v>569</v>
      </c>
      <c r="W33" s="173">
        <f>I33</f>
        <v>569</v>
      </c>
      <c r="X33" s="173">
        <f>I33</f>
        <v>569</v>
      </c>
      <c r="Y33" s="173">
        <f>I33</f>
        <v>569</v>
      </c>
      <c r="Z33" s="173">
        <f>I33</f>
        <v>569</v>
      </c>
      <c r="AA33" s="173">
        <f>I33</f>
        <v>569</v>
      </c>
      <c r="AB33" s="173">
        <f>I33</f>
        <v>569</v>
      </c>
      <c r="AC33" s="173">
        <f>I33</f>
        <v>569</v>
      </c>
    </row>
    <row r="34" spans="1:29">
      <c r="A34" s="67"/>
      <c r="B34" s="67"/>
      <c r="C34" s="69"/>
      <c r="D34" s="69"/>
      <c r="E34" s="67" t="s">
        <v>527</v>
      </c>
      <c r="F34" s="73">
        <v>700</v>
      </c>
      <c r="G34" s="172">
        <f>'参考值-平台主推SKU占比'!$C$110</f>
        <v>2</v>
      </c>
      <c r="H34" s="91"/>
      <c r="I34" s="91">
        <f>'参考值-平台主推SKU占比'!$H$110</f>
        <v>569</v>
      </c>
      <c r="J34" s="91">
        <f>IFERROR(I34/G34,"")</f>
        <v>284.5</v>
      </c>
      <c r="K34" s="91">
        <f>'假设-成本与任务量'!$I$4</f>
        <v>105</v>
      </c>
      <c r="L34" s="91">
        <f>IFERROR(K34*G34,"")</f>
        <v>210</v>
      </c>
      <c r="M34" s="175"/>
      <c r="N34" s="142"/>
      <c r="O34" s="142"/>
      <c r="P34" s="69"/>
      <c r="Q34" s="67" t="s">
        <v>528</v>
      </c>
      <c r="R34" s="173">
        <f>L33</f>
        <v>210</v>
      </c>
      <c r="S34" s="173">
        <f>L33</f>
        <v>210</v>
      </c>
      <c r="T34" s="173">
        <f>L33</f>
        <v>210</v>
      </c>
      <c r="U34" s="173">
        <f>L33</f>
        <v>210</v>
      </c>
      <c r="V34" s="173">
        <f>L33</f>
        <v>210</v>
      </c>
      <c r="W34" s="173">
        <f>L33</f>
        <v>210</v>
      </c>
      <c r="X34" s="173">
        <f>L33</f>
        <v>210</v>
      </c>
      <c r="Y34" s="173">
        <f>L33</f>
        <v>210</v>
      </c>
      <c r="Z34" s="173">
        <f>L33</f>
        <v>210</v>
      </c>
      <c r="AA34" s="173">
        <f>L33</f>
        <v>210</v>
      </c>
      <c r="AB34" s="173">
        <f>L33</f>
        <v>210</v>
      </c>
      <c r="AC34" s="173">
        <f>L33</f>
        <v>210</v>
      </c>
    </row>
    <row r="35" spans="1:29">
      <c r="A35" s="67"/>
      <c r="B35" s="67"/>
      <c r="C35" s="69"/>
      <c r="D35" s="102" t="s">
        <v>529</v>
      </c>
      <c r="E35" s="67"/>
      <c r="F35" s="73"/>
      <c r="G35" s="172"/>
      <c r="H35" s="176"/>
      <c r="I35" s="176">
        <f>I36</f>
        <v>489</v>
      </c>
      <c r="J35" s="176">
        <f>J36</f>
        <v>122.25</v>
      </c>
      <c r="K35" s="176">
        <f>K36</f>
        <v>38</v>
      </c>
      <c r="L35" s="176">
        <f>L36</f>
        <v>152</v>
      </c>
      <c r="M35" s="177">
        <f>'参考值-平台主推SKU占比'!$F$111</f>
        <v>0.101881894873459</v>
      </c>
      <c r="N35" s="142"/>
      <c r="O35" s="142"/>
      <c r="P35" s="69"/>
      <c r="Q35" s="67" t="s">
        <v>530</v>
      </c>
      <c r="R35" s="173">
        <f>I35</f>
        <v>489</v>
      </c>
      <c r="S35" s="173">
        <f>I35</f>
        <v>489</v>
      </c>
      <c r="T35" s="173">
        <f>I35</f>
        <v>489</v>
      </c>
      <c r="U35" s="173">
        <f>I35</f>
        <v>489</v>
      </c>
      <c r="V35" s="173">
        <f>I35</f>
        <v>489</v>
      </c>
      <c r="W35" s="173">
        <f>I35</f>
        <v>489</v>
      </c>
      <c r="X35" s="173">
        <f>I35</f>
        <v>489</v>
      </c>
      <c r="Y35" s="173">
        <f>I35</f>
        <v>489</v>
      </c>
      <c r="Z35" s="173">
        <f>I35</f>
        <v>489</v>
      </c>
      <c r="AA35" s="173">
        <f>I35</f>
        <v>489</v>
      </c>
      <c r="AB35" s="173">
        <f>I35</f>
        <v>489</v>
      </c>
      <c r="AC35" s="173">
        <f>I35</f>
        <v>489</v>
      </c>
    </row>
    <row r="36" spans="1:29">
      <c r="A36" s="67"/>
      <c r="B36" s="67"/>
      <c r="C36" s="69"/>
      <c r="D36" s="69"/>
      <c r="E36" s="67" t="s">
        <v>520</v>
      </c>
      <c r="F36" s="73">
        <v>320</v>
      </c>
      <c r="G36" s="172">
        <f>'参考值-平台主推SKU占比'!$C$111</f>
        <v>4</v>
      </c>
      <c r="H36" s="91"/>
      <c r="I36" s="91">
        <f>'参考值-平台主推SKU占比'!$H$111</f>
        <v>489</v>
      </c>
      <c r="J36" s="91">
        <f>IFERROR(I36/G36,"")</f>
        <v>122.25</v>
      </c>
      <c r="K36" s="91">
        <f>'假设-成本与任务量'!$I$6</f>
        <v>38</v>
      </c>
      <c r="L36" s="91">
        <f>IFERROR(K36*G36,"")</f>
        <v>152</v>
      </c>
      <c r="M36" s="175"/>
      <c r="N36" s="142"/>
      <c r="O36" s="142"/>
      <c r="P36" s="69"/>
      <c r="Q36" s="67" t="s">
        <v>531</v>
      </c>
      <c r="R36" s="173">
        <f>L35</f>
        <v>152</v>
      </c>
      <c r="S36" s="173">
        <f>L35</f>
        <v>152</v>
      </c>
      <c r="T36" s="173">
        <f>L35</f>
        <v>152</v>
      </c>
      <c r="U36" s="173">
        <f>L35</f>
        <v>152</v>
      </c>
      <c r="V36" s="173">
        <f>L35</f>
        <v>152</v>
      </c>
      <c r="W36" s="173">
        <f>L35</f>
        <v>152</v>
      </c>
      <c r="X36" s="173">
        <f>L35</f>
        <v>152</v>
      </c>
      <c r="Y36" s="173">
        <f>L35</f>
        <v>152</v>
      </c>
      <c r="Z36" s="173">
        <f>L35</f>
        <v>152</v>
      </c>
      <c r="AA36" s="173">
        <f>L35</f>
        <v>152</v>
      </c>
      <c r="AB36" s="173">
        <f>L35</f>
        <v>152</v>
      </c>
      <c r="AC36" s="173">
        <f>L35</f>
        <v>152</v>
      </c>
    </row>
    <row r="37" spans="1:29">
      <c r="A37" s="67"/>
      <c r="B37" s="67"/>
      <c r="C37" s="69"/>
      <c r="D37" s="102" t="s">
        <v>532</v>
      </c>
      <c r="E37" s="67"/>
      <c r="F37" s="73"/>
      <c r="G37" s="172"/>
      <c r="H37" s="176"/>
      <c r="I37" s="176">
        <f>I38</f>
        <v>399</v>
      </c>
      <c r="J37" s="176">
        <f>J38</f>
        <v>133</v>
      </c>
      <c r="K37" s="176">
        <f>K38</f>
        <v>38</v>
      </c>
      <c r="L37" s="176">
        <f>L38</f>
        <v>114</v>
      </c>
      <c r="M37" s="177">
        <f>'参考值-平台主推SKU占比'!$F$112</f>
        <v>9.2796885139519794E-2</v>
      </c>
      <c r="N37" s="142"/>
      <c r="O37" s="142"/>
      <c r="P37" s="69"/>
      <c r="Q37" s="67" t="s">
        <v>533</v>
      </c>
      <c r="R37" s="173">
        <f>I37</f>
        <v>399</v>
      </c>
      <c r="S37" s="173">
        <f>I37</f>
        <v>399</v>
      </c>
      <c r="T37" s="173">
        <f>I37</f>
        <v>399</v>
      </c>
      <c r="U37" s="173">
        <f>I37</f>
        <v>399</v>
      </c>
      <c r="V37" s="173">
        <f>I37</f>
        <v>399</v>
      </c>
      <c r="W37" s="173">
        <f>I37</f>
        <v>399</v>
      </c>
      <c r="X37" s="173">
        <f>I37</f>
        <v>399</v>
      </c>
      <c r="Y37" s="173">
        <f>I37</f>
        <v>399</v>
      </c>
      <c r="Z37" s="173">
        <f>I37</f>
        <v>399</v>
      </c>
      <c r="AA37" s="173">
        <f>I37</f>
        <v>399</v>
      </c>
      <c r="AB37" s="173">
        <f>I37</f>
        <v>399</v>
      </c>
      <c r="AC37" s="173">
        <f>I37</f>
        <v>399</v>
      </c>
    </row>
    <row r="38" spans="1:29">
      <c r="A38" s="67"/>
      <c r="B38" s="67"/>
      <c r="C38" s="69"/>
      <c r="D38" s="69"/>
      <c r="E38" s="67" t="s">
        <v>520</v>
      </c>
      <c r="F38" s="73">
        <v>320</v>
      </c>
      <c r="G38" s="172">
        <f>'参考值-平台主推SKU占比'!$C$112</f>
        <v>3</v>
      </c>
      <c r="H38" s="91"/>
      <c r="I38" s="91">
        <f>'参考值-平台主推SKU占比'!$H$112</f>
        <v>399</v>
      </c>
      <c r="J38" s="91">
        <f>IFERROR(I38/G38,"")</f>
        <v>133</v>
      </c>
      <c r="K38" s="91">
        <f>'假设-成本与任务量'!$I$6</f>
        <v>38</v>
      </c>
      <c r="L38" s="91">
        <f>IFERROR(K38*G38,"")</f>
        <v>114</v>
      </c>
      <c r="M38" s="175"/>
      <c r="N38" s="142"/>
      <c r="O38" s="142"/>
      <c r="P38" s="69"/>
      <c r="Q38" s="67" t="s">
        <v>534</v>
      </c>
      <c r="R38" s="173">
        <f>L37</f>
        <v>114</v>
      </c>
      <c r="S38" s="173">
        <f>L37</f>
        <v>114</v>
      </c>
      <c r="T38" s="173">
        <f>L37</f>
        <v>114</v>
      </c>
      <c r="U38" s="173">
        <f>L37</f>
        <v>114</v>
      </c>
      <c r="V38" s="173">
        <f>L37</f>
        <v>114</v>
      </c>
      <c r="W38" s="173">
        <f>L37</f>
        <v>114</v>
      </c>
      <c r="X38" s="173">
        <f>L37</f>
        <v>114</v>
      </c>
      <c r="Y38" s="173">
        <f>L37</f>
        <v>114</v>
      </c>
      <c r="Z38" s="173">
        <f>L37</f>
        <v>114</v>
      </c>
      <c r="AA38" s="173">
        <f>L37</f>
        <v>114</v>
      </c>
      <c r="AB38" s="173">
        <f>L37</f>
        <v>114</v>
      </c>
      <c r="AC38" s="173">
        <f>L37</f>
        <v>114</v>
      </c>
    </row>
    <row r="39" spans="1:29">
      <c r="A39" s="67"/>
      <c r="B39" s="67"/>
      <c r="C39" s="69"/>
      <c r="D39" s="102" t="s">
        <v>535</v>
      </c>
      <c r="E39" s="67"/>
      <c r="F39" s="73"/>
      <c r="G39" s="172"/>
      <c r="H39" s="176"/>
      <c r="I39" s="176">
        <f>I40</f>
        <v>736</v>
      </c>
      <c r="J39" s="176">
        <f>J40</f>
        <v>122.66666666666667</v>
      </c>
      <c r="K39" s="176">
        <f>K40</f>
        <v>38</v>
      </c>
      <c r="L39" s="176">
        <f>L40</f>
        <v>228</v>
      </c>
      <c r="M39" s="177">
        <f>'参考值-平台主推SKU占比'!$F$113</f>
        <v>3.17975340687865E-2</v>
      </c>
      <c r="N39" s="142"/>
      <c r="O39" s="142"/>
      <c r="P39" s="69"/>
      <c r="Q39" s="67" t="s">
        <v>536</v>
      </c>
      <c r="R39" s="173">
        <f>I39</f>
        <v>736</v>
      </c>
      <c r="S39" s="173">
        <f>I39</f>
        <v>736</v>
      </c>
      <c r="T39" s="173">
        <f>I39</f>
        <v>736</v>
      </c>
      <c r="U39" s="173">
        <f>I39</f>
        <v>736</v>
      </c>
      <c r="V39" s="173">
        <f>I39</f>
        <v>736</v>
      </c>
      <c r="W39" s="173">
        <f>I39</f>
        <v>736</v>
      </c>
      <c r="X39" s="173">
        <f>I39</f>
        <v>736</v>
      </c>
      <c r="Y39" s="173">
        <f>I39</f>
        <v>736</v>
      </c>
      <c r="Z39" s="173">
        <f>I39</f>
        <v>736</v>
      </c>
      <c r="AA39" s="173">
        <f>I39</f>
        <v>736</v>
      </c>
      <c r="AB39" s="173">
        <f>I39</f>
        <v>736</v>
      </c>
      <c r="AC39" s="173">
        <f>I39</f>
        <v>736</v>
      </c>
    </row>
    <row r="40" spans="1:29">
      <c r="A40" s="67"/>
      <c r="B40" s="67"/>
      <c r="C40" s="69"/>
      <c r="D40" s="69"/>
      <c r="E40" s="67" t="s">
        <v>520</v>
      </c>
      <c r="F40" s="73">
        <v>320</v>
      </c>
      <c r="G40" s="172">
        <f>'参考值-平台主推SKU占比'!$C$113</f>
        <v>6</v>
      </c>
      <c r="H40" s="91"/>
      <c r="I40" s="91">
        <f>'参考值-平台主推SKU占比'!$H$113</f>
        <v>736</v>
      </c>
      <c r="J40" s="91">
        <f>IFERROR(I40/G40,"")</f>
        <v>122.66666666666667</v>
      </c>
      <c r="K40" s="91">
        <f>'假设-成本与任务量'!$I$6</f>
        <v>38</v>
      </c>
      <c r="L40" s="91">
        <f>IFERROR(K40*G40,"")</f>
        <v>228</v>
      </c>
      <c r="M40" s="175"/>
      <c r="N40" s="142"/>
      <c r="O40" s="142"/>
      <c r="P40" s="69"/>
      <c r="Q40" s="67" t="s">
        <v>537</v>
      </c>
      <c r="R40" s="173">
        <f>L39</f>
        <v>228</v>
      </c>
      <c r="S40" s="173">
        <f>L39</f>
        <v>228</v>
      </c>
      <c r="T40" s="173">
        <f>L39</f>
        <v>228</v>
      </c>
      <c r="U40" s="173">
        <f>L39</f>
        <v>228</v>
      </c>
      <c r="V40" s="173">
        <f>L39</f>
        <v>228</v>
      </c>
      <c r="W40" s="173">
        <f>L39</f>
        <v>228</v>
      </c>
      <c r="X40" s="173">
        <f>L39</f>
        <v>228</v>
      </c>
      <c r="Y40" s="173">
        <f>L39</f>
        <v>228</v>
      </c>
      <c r="Z40" s="173">
        <f>L39</f>
        <v>228</v>
      </c>
      <c r="AA40" s="173">
        <f>L39</f>
        <v>228</v>
      </c>
      <c r="AB40" s="173">
        <f>L39</f>
        <v>228</v>
      </c>
      <c r="AC40" s="173">
        <f>L39</f>
        <v>228</v>
      </c>
    </row>
    <row r="41" spans="1:29">
      <c r="A41" s="67"/>
      <c r="B41" s="67"/>
      <c r="C41" s="69"/>
      <c r="D41" s="102" t="s">
        <v>538</v>
      </c>
      <c r="E41" s="67"/>
      <c r="F41" s="73"/>
      <c r="G41" s="172"/>
      <c r="H41" s="176"/>
      <c r="I41" s="176">
        <f>I42</f>
        <v>122.83</v>
      </c>
      <c r="J41" s="176">
        <f>J42</f>
        <v>122.83</v>
      </c>
      <c r="K41" s="176">
        <f>K42</f>
        <v>38</v>
      </c>
      <c r="L41" s="176">
        <f>L42</f>
        <v>38</v>
      </c>
      <c r="M41" s="177">
        <f>'参考值-平台主推SKU占比'!$F$114</f>
        <v>2.3361453601557398E-2</v>
      </c>
      <c r="N41" s="142"/>
      <c r="O41" s="142"/>
      <c r="P41" s="69"/>
      <c r="Q41" s="67" t="s">
        <v>539</v>
      </c>
      <c r="R41" s="173">
        <f>I41</f>
        <v>122.83</v>
      </c>
      <c r="S41" s="173">
        <f>I41</f>
        <v>122.83</v>
      </c>
      <c r="T41" s="173">
        <f>I41</f>
        <v>122.83</v>
      </c>
      <c r="U41" s="173">
        <f>I41</f>
        <v>122.83</v>
      </c>
      <c r="V41" s="173">
        <f>I41</f>
        <v>122.83</v>
      </c>
      <c r="W41" s="173">
        <f>I41</f>
        <v>122.83</v>
      </c>
      <c r="X41" s="173">
        <f>I41</f>
        <v>122.83</v>
      </c>
      <c r="Y41" s="173">
        <f>I41</f>
        <v>122.83</v>
      </c>
      <c r="Z41" s="173">
        <f>I41</f>
        <v>122.83</v>
      </c>
      <c r="AA41" s="173">
        <f>I41</f>
        <v>122.83</v>
      </c>
      <c r="AB41" s="173">
        <f>I41</f>
        <v>122.83</v>
      </c>
      <c r="AC41" s="173">
        <f>I41</f>
        <v>122.83</v>
      </c>
    </row>
    <row r="42" spans="1:29">
      <c r="A42" s="67"/>
      <c r="B42" s="67"/>
      <c r="C42" s="69"/>
      <c r="D42" s="69"/>
      <c r="E42" s="67" t="s">
        <v>520</v>
      </c>
      <c r="F42" s="73">
        <v>320</v>
      </c>
      <c r="G42" s="172">
        <f>'参考值-平台主推SKU占比'!$C$114</f>
        <v>1</v>
      </c>
      <c r="H42" s="91"/>
      <c r="I42" s="91">
        <f>'参考值-平台主推SKU占比'!$H$114</f>
        <v>122.83</v>
      </c>
      <c r="J42" s="91">
        <f>IFERROR(I42/G42,"")</f>
        <v>122.83</v>
      </c>
      <c r="K42" s="91">
        <f>'假设-成本与任务量'!$I$6</f>
        <v>38</v>
      </c>
      <c r="L42" s="91">
        <f>IFERROR(K42*G42,"")</f>
        <v>38</v>
      </c>
      <c r="M42" s="175"/>
      <c r="N42" s="142"/>
      <c r="O42" s="142"/>
      <c r="P42" s="69"/>
      <c r="Q42" s="67" t="s">
        <v>540</v>
      </c>
      <c r="R42" s="173">
        <f>L41</f>
        <v>38</v>
      </c>
      <c r="S42" s="173">
        <f>L41</f>
        <v>38</v>
      </c>
      <c r="T42" s="173">
        <f>L41</f>
        <v>38</v>
      </c>
      <c r="U42" s="173">
        <f>L41</f>
        <v>38</v>
      </c>
      <c r="V42" s="173">
        <f>L41</f>
        <v>38</v>
      </c>
      <c r="W42" s="173">
        <f>L41</f>
        <v>38</v>
      </c>
      <c r="X42" s="173">
        <f>L41</f>
        <v>38</v>
      </c>
      <c r="Y42" s="173">
        <f>L41</f>
        <v>38</v>
      </c>
      <c r="Z42" s="173">
        <f>L41</f>
        <v>38</v>
      </c>
      <c r="AA42" s="173">
        <f>L41</f>
        <v>38</v>
      </c>
      <c r="AB42" s="173">
        <f>L41</f>
        <v>38</v>
      </c>
      <c r="AC42" s="173">
        <f>L41</f>
        <v>38</v>
      </c>
    </row>
    <row r="43" spans="1:29">
      <c r="A43" s="67"/>
      <c r="B43" s="67"/>
      <c r="C43" s="69"/>
      <c r="D43" s="102" t="s">
        <v>541</v>
      </c>
      <c r="E43" s="67"/>
      <c r="F43" s="73"/>
      <c r="G43" s="172"/>
      <c r="H43" s="176"/>
      <c r="I43" s="176">
        <f>I44</f>
        <v>809</v>
      </c>
      <c r="J43" s="176">
        <f>J44</f>
        <v>269.66666666666669</v>
      </c>
      <c r="K43" s="176">
        <f>K44</f>
        <v>105</v>
      </c>
      <c r="L43" s="176">
        <f>L44</f>
        <v>315</v>
      </c>
      <c r="M43" s="177">
        <f>'参考值-平台主推SKU占比'!$F$115</f>
        <v>1.2329656067488599E-2</v>
      </c>
      <c r="N43" s="142"/>
      <c r="O43" s="142"/>
      <c r="P43" s="69"/>
      <c r="Q43" s="67" t="s">
        <v>542</v>
      </c>
      <c r="R43" s="173">
        <f>I43</f>
        <v>809</v>
      </c>
      <c r="S43" s="173">
        <f>I43</f>
        <v>809</v>
      </c>
      <c r="T43" s="173">
        <f>I43</f>
        <v>809</v>
      </c>
      <c r="U43" s="173">
        <f>I43</f>
        <v>809</v>
      </c>
      <c r="V43" s="173">
        <f>I43</f>
        <v>809</v>
      </c>
      <c r="W43" s="173">
        <f>I43</f>
        <v>809</v>
      </c>
      <c r="X43" s="173">
        <f>I43</f>
        <v>809</v>
      </c>
      <c r="Y43" s="173">
        <f>I43</f>
        <v>809</v>
      </c>
      <c r="Z43" s="173">
        <f>I43</f>
        <v>809</v>
      </c>
      <c r="AA43" s="173">
        <f>I43</f>
        <v>809</v>
      </c>
      <c r="AB43" s="173">
        <f>I43</f>
        <v>809</v>
      </c>
      <c r="AC43" s="173">
        <f>I43</f>
        <v>809</v>
      </c>
    </row>
    <row r="44" spans="1:29">
      <c r="A44" s="67"/>
      <c r="B44" s="67"/>
      <c r="C44" s="69"/>
      <c r="D44" s="69"/>
      <c r="E44" s="67" t="s">
        <v>527</v>
      </c>
      <c r="F44" s="73">
        <v>700</v>
      </c>
      <c r="G44" s="172">
        <f>'参考值-平台主推SKU占比'!$C$115</f>
        <v>3</v>
      </c>
      <c r="H44" s="91"/>
      <c r="I44" s="91">
        <f>'参考值-平台主推SKU占比'!$H$115</f>
        <v>809</v>
      </c>
      <c r="J44" s="91">
        <f>IFERROR(I44/G44,"")</f>
        <v>269.66666666666669</v>
      </c>
      <c r="K44" s="91">
        <f>'假设-成本与任务量'!$I$4</f>
        <v>105</v>
      </c>
      <c r="L44" s="91">
        <f>IFERROR(K44*G44,"")</f>
        <v>315</v>
      </c>
      <c r="M44" s="175"/>
      <c r="N44" s="142"/>
      <c r="O44" s="142"/>
      <c r="P44" s="69"/>
      <c r="Q44" s="67" t="s">
        <v>543</v>
      </c>
      <c r="R44" s="173">
        <f>L43</f>
        <v>315</v>
      </c>
      <c r="S44" s="173">
        <f>L43</f>
        <v>315</v>
      </c>
      <c r="T44" s="173">
        <f>L43</f>
        <v>315</v>
      </c>
      <c r="U44" s="173">
        <f>L43</f>
        <v>315</v>
      </c>
      <c r="V44" s="173">
        <f>L43</f>
        <v>315</v>
      </c>
      <c r="W44" s="173">
        <f>L43</f>
        <v>315</v>
      </c>
      <c r="X44" s="173">
        <f>L43</f>
        <v>315</v>
      </c>
      <c r="Y44" s="173">
        <f>L43</f>
        <v>315</v>
      </c>
      <c r="Z44" s="173">
        <f>L43</f>
        <v>315</v>
      </c>
      <c r="AA44" s="173">
        <f>L43</f>
        <v>315</v>
      </c>
      <c r="AB44" s="173">
        <f>L43</f>
        <v>315</v>
      </c>
      <c r="AC44" s="173">
        <f>L43</f>
        <v>315</v>
      </c>
    </row>
    <row r="45" spans="1:29">
      <c r="A45" s="67"/>
      <c r="B45" s="67"/>
      <c r="C45" s="69"/>
      <c r="D45" s="102" t="s">
        <v>544</v>
      </c>
      <c r="E45" s="67"/>
      <c r="F45" s="73"/>
      <c r="G45" s="172"/>
      <c r="H45" s="176"/>
      <c r="I45" s="176">
        <f>I46</f>
        <v>1079</v>
      </c>
      <c r="J45" s="176">
        <f>J46</f>
        <v>269.75</v>
      </c>
      <c r="K45" s="176">
        <f>K46</f>
        <v>105</v>
      </c>
      <c r="L45" s="176">
        <f>L46</f>
        <v>420</v>
      </c>
      <c r="M45" s="177">
        <f>'参考值-平台主推SKU占比'!$F$116</f>
        <v>9.7339390006489293E-3</v>
      </c>
      <c r="N45" s="142"/>
      <c r="O45" s="142"/>
      <c r="P45" s="69"/>
      <c r="Q45" s="67" t="s">
        <v>545</v>
      </c>
      <c r="R45" s="173">
        <f>I45</f>
        <v>1079</v>
      </c>
      <c r="S45" s="173">
        <f>I45</f>
        <v>1079</v>
      </c>
      <c r="T45" s="173">
        <f>I45</f>
        <v>1079</v>
      </c>
      <c r="U45" s="173">
        <f>I45</f>
        <v>1079</v>
      </c>
      <c r="V45" s="173">
        <f>I45</f>
        <v>1079</v>
      </c>
      <c r="W45" s="173">
        <f>I45</f>
        <v>1079</v>
      </c>
      <c r="X45" s="173">
        <f>I45</f>
        <v>1079</v>
      </c>
      <c r="Y45" s="173">
        <f>I45</f>
        <v>1079</v>
      </c>
      <c r="Z45" s="173">
        <f>I45</f>
        <v>1079</v>
      </c>
      <c r="AA45" s="173">
        <f>I45</f>
        <v>1079</v>
      </c>
      <c r="AB45" s="173">
        <f>I45</f>
        <v>1079</v>
      </c>
      <c r="AC45" s="173">
        <f>I45</f>
        <v>1079</v>
      </c>
    </row>
    <row r="46" spans="1:29">
      <c r="A46" s="67"/>
      <c r="B46" s="67"/>
      <c r="C46" s="69"/>
      <c r="D46" s="69"/>
      <c r="E46" s="67" t="s">
        <v>527</v>
      </c>
      <c r="F46" s="73">
        <v>700</v>
      </c>
      <c r="G46" s="172">
        <f>'参考值-平台主推SKU占比'!$C$116</f>
        <v>4</v>
      </c>
      <c r="H46" s="91"/>
      <c r="I46" s="91">
        <f>'参考值-平台主推SKU占比'!$H$116</f>
        <v>1079</v>
      </c>
      <c r="J46" s="91">
        <f>IFERROR(I46/G46,"")</f>
        <v>269.75</v>
      </c>
      <c r="K46" s="91">
        <f>'假设-成本与任务量'!$I$4</f>
        <v>105</v>
      </c>
      <c r="L46" s="91">
        <f>IFERROR(K46*G46,"")</f>
        <v>420</v>
      </c>
      <c r="M46" s="175"/>
      <c r="N46" s="142"/>
      <c r="O46" s="142"/>
      <c r="P46" s="69"/>
      <c r="Q46" s="67" t="s">
        <v>546</v>
      </c>
      <c r="R46" s="173">
        <f>L45</f>
        <v>420</v>
      </c>
      <c r="S46" s="173">
        <f>L45</f>
        <v>420</v>
      </c>
      <c r="T46" s="173">
        <f>L45</f>
        <v>420</v>
      </c>
      <c r="U46" s="173">
        <f>L45</f>
        <v>420</v>
      </c>
      <c r="V46" s="173">
        <f>L45</f>
        <v>420</v>
      </c>
      <c r="W46" s="173">
        <f>L45</f>
        <v>420</v>
      </c>
      <c r="X46" s="173">
        <f>L45</f>
        <v>420</v>
      </c>
      <c r="Y46" s="173">
        <f>L45</f>
        <v>420</v>
      </c>
      <c r="Z46" s="173">
        <f>L45</f>
        <v>420</v>
      </c>
      <c r="AA46" s="173">
        <f>L45</f>
        <v>420</v>
      </c>
      <c r="AB46" s="173">
        <f>L45</f>
        <v>420</v>
      </c>
      <c r="AC46" s="173">
        <f>L45</f>
        <v>420</v>
      </c>
    </row>
    <row r="47" spans="1:29">
      <c r="A47" s="67"/>
      <c r="B47" s="67"/>
      <c r="C47" s="69"/>
      <c r="D47" s="102" t="s">
        <v>547</v>
      </c>
      <c r="E47" s="67"/>
      <c r="F47" s="73"/>
      <c r="G47" s="172"/>
      <c r="H47" s="176"/>
      <c r="I47" s="176">
        <f>I48</f>
        <v>1022</v>
      </c>
      <c r="J47" s="176">
        <f>J48</f>
        <v>127.75</v>
      </c>
      <c r="K47" s="176">
        <f>K48</f>
        <v>38</v>
      </c>
      <c r="L47" s="176">
        <f>L48</f>
        <v>304</v>
      </c>
      <c r="M47" s="177">
        <f>'参考值-平台主推SKU占比'!$F$117</f>
        <v>5.1914341336794304E-3</v>
      </c>
      <c r="N47" s="142"/>
      <c r="O47" s="142"/>
      <c r="P47" s="69"/>
      <c r="Q47" s="67" t="s">
        <v>548</v>
      </c>
      <c r="R47" s="173">
        <f>I47</f>
        <v>1022</v>
      </c>
      <c r="S47" s="173">
        <f>I47</f>
        <v>1022</v>
      </c>
      <c r="T47" s="173">
        <f>I47</f>
        <v>1022</v>
      </c>
      <c r="U47" s="173">
        <f>I47</f>
        <v>1022</v>
      </c>
      <c r="V47" s="173">
        <f>I47</f>
        <v>1022</v>
      </c>
      <c r="W47" s="173">
        <f>I47</f>
        <v>1022</v>
      </c>
      <c r="X47" s="173">
        <f>I47</f>
        <v>1022</v>
      </c>
      <c r="Y47" s="173">
        <f>I47</f>
        <v>1022</v>
      </c>
      <c r="Z47" s="173">
        <f>I47</f>
        <v>1022</v>
      </c>
      <c r="AA47" s="173">
        <f>I47</f>
        <v>1022</v>
      </c>
      <c r="AB47" s="173">
        <f>I47</f>
        <v>1022</v>
      </c>
      <c r="AC47" s="173">
        <f>I47</f>
        <v>1022</v>
      </c>
    </row>
    <row r="48" spans="1:29">
      <c r="A48" s="67"/>
      <c r="B48" s="67"/>
      <c r="C48" s="69"/>
      <c r="D48" s="69"/>
      <c r="E48" s="67" t="s">
        <v>520</v>
      </c>
      <c r="F48" s="73">
        <v>320</v>
      </c>
      <c r="G48" s="172">
        <f>'参考值-平台主推SKU占比'!$C$117</f>
        <v>8</v>
      </c>
      <c r="H48" s="91"/>
      <c r="I48" s="91">
        <f>'参考值-平台主推SKU占比'!$H$117</f>
        <v>1022</v>
      </c>
      <c r="J48" s="91">
        <f>IFERROR(I48/G48,"")</f>
        <v>127.75</v>
      </c>
      <c r="K48" s="91">
        <f>'假设-成本与任务量'!$I$6</f>
        <v>38</v>
      </c>
      <c r="L48" s="91">
        <f>IFERROR(K48*G48,"")</f>
        <v>304</v>
      </c>
      <c r="M48" s="175"/>
      <c r="N48" s="142"/>
      <c r="O48" s="142"/>
      <c r="P48" s="69"/>
      <c r="Q48" s="67" t="s">
        <v>549</v>
      </c>
      <c r="R48" s="173">
        <f>L47</f>
        <v>304</v>
      </c>
      <c r="S48" s="173">
        <f>L47</f>
        <v>304</v>
      </c>
      <c r="T48" s="173">
        <f>L47</f>
        <v>304</v>
      </c>
      <c r="U48" s="173">
        <f>L47</f>
        <v>304</v>
      </c>
      <c r="V48" s="173">
        <f>L47</f>
        <v>304</v>
      </c>
      <c r="W48" s="173">
        <f>L47</f>
        <v>304</v>
      </c>
      <c r="X48" s="173">
        <f>L47</f>
        <v>304</v>
      </c>
      <c r="Y48" s="173">
        <f>L47</f>
        <v>304</v>
      </c>
      <c r="Z48" s="173">
        <f>L47</f>
        <v>304</v>
      </c>
      <c r="AA48" s="173">
        <f>L47</f>
        <v>304</v>
      </c>
      <c r="AB48" s="173">
        <f>L47</f>
        <v>304</v>
      </c>
      <c r="AC48" s="173">
        <f>L47</f>
        <v>304</v>
      </c>
    </row>
    <row r="49" spans="1:29">
      <c r="A49" s="67"/>
      <c r="B49" s="67"/>
      <c r="C49" s="69"/>
      <c r="D49" s="102" t="s">
        <v>550</v>
      </c>
      <c r="E49" s="67"/>
      <c r="F49" s="73"/>
      <c r="G49" s="172"/>
      <c r="H49" s="176"/>
      <c r="I49" s="176">
        <f>I50</f>
        <v>1533</v>
      </c>
      <c r="J49" s="176">
        <f>J50</f>
        <v>127.75</v>
      </c>
      <c r="K49" s="176">
        <f>K50</f>
        <v>38</v>
      </c>
      <c r="L49" s="176">
        <f>L50</f>
        <v>456</v>
      </c>
      <c r="M49" s="177">
        <f>'参考值-平台主推SKU占比'!$F$118</f>
        <v>3.8935756002595702E-3</v>
      </c>
      <c r="N49" s="142"/>
      <c r="O49" s="142"/>
      <c r="P49" s="69"/>
      <c r="Q49" s="67" t="s">
        <v>551</v>
      </c>
      <c r="R49" s="173">
        <f>I49</f>
        <v>1533</v>
      </c>
      <c r="S49" s="173">
        <f>I49</f>
        <v>1533</v>
      </c>
      <c r="T49" s="173">
        <f>I49</f>
        <v>1533</v>
      </c>
      <c r="U49" s="173">
        <f>I49</f>
        <v>1533</v>
      </c>
      <c r="V49" s="173">
        <f>I49</f>
        <v>1533</v>
      </c>
      <c r="W49" s="173">
        <f>I49</f>
        <v>1533</v>
      </c>
      <c r="X49" s="173">
        <f>I49</f>
        <v>1533</v>
      </c>
      <c r="Y49" s="173">
        <f>I49</f>
        <v>1533</v>
      </c>
      <c r="Z49" s="173">
        <f>I49</f>
        <v>1533</v>
      </c>
      <c r="AA49" s="173">
        <f>I49</f>
        <v>1533</v>
      </c>
      <c r="AB49" s="173">
        <f>I49</f>
        <v>1533</v>
      </c>
      <c r="AC49" s="173">
        <f>I49</f>
        <v>1533</v>
      </c>
    </row>
    <row r="50" spans="1:29">
      <c r="A50" s="67"/>
      <c r="B50" s="67"/>
      <c r="C50" s="69"/>
      <c r="D50" s="69"/>
      <c r="E50" s="67" t="s">
        <v>520</v>
      </c>
      <c r="F50" s="73">
        <v>320</v>
      </c>
      <c r="G50" s="172">
        <f>'参考值-平台主推SKU占比'!$C$118</f>
        <v>12</v>
      </c>
      <c r="H50" s="91"/>
      <c r="I50" s="91">
        <f>'参考值-平台主推SKU占比'!$H$118</f>
        <v>1533</v>
      </c>
      <c r="J50" s="91">
        <f>IFERROR(I50/G50,"")</f>
        <v>127.75</v>
      </c>
      <c r="K50" s="91">
        <f>'假设-成本与任务量'!$I$6</f>
        <v>38</v>
      </c>
      <c r="L50" s="91">
        <f>IFERROR(K50*G50,"")</f>
        <v>456</v>
      </c>
      <c r="M50" s="175"/>
      <c r="N50" s="142"/>
      <c r="O50" s="142"/>
      <c r="P50" s="69"/>
      <c r="Q50" s="67" t="s">
        <v>552</v>
      </c>
      <c r="R50" s="173">
        <f>L49</f>
        <v>456</v>
      </c>
      <c r="S50" s="173">
        <f>L49</f>
        <v>456</v>
      </c>
      <c r="T50" s="173">
        <f>L49</f>
        <v>456</v>
      </c>
      <c r="U50" s="173">
        <f>L49</f>
        <v>456</v>
      </c>
      <c r="V50" s="173">
        <f>L49</f>
        <v>456</v>
      </c>
      <c r="W50" s="173">
        <f>L49</f>
        <v>456</v>
      </c>
      <c r="X50" s="173">
        <f>L49</f>
        <v>456</v>
      </c>
      <c r="Y50" s="173">
        <f>L49</f>
        <v>456</v>
      </c>
      <c r="Z50" s="173">
        <f>L49</f>
        <v>456</v>
      </c>
      <c r="AA50" s="173">
        <f>L49</f>
        <v>456</v>
      </c>
      <c r="AB50" s="173">
        <f>L49</f>
        <v>456</v>
      </c>
      <c r="AC50" s="173">
        <f>L49</f>
        <v>456</v>
      </c>
    </row>
    <row r="51" spans="1:29">
      <c r="A51" s="67"/>
      <c r="B51" s="67"/>
      <c r="C51" s="69"/>
      <c r="D51" s="102" t="s">
        <v>553</v>
      </c>
      <c r="E51" s="67"/>
      <c r="F51" s="73"/>
      <c r="G51" s="172"/>
      <c r="H51" s="176"/>
      <c r="I51" s="176">
        <f>I52</f>
        <v>1629</v>
      </c>
      <c r="J51" s="176">
        <f>J52</f>
        <v>271.5</v>
      </c>
      <c r="K51" s="176">
        <f>K52</f>
        <v>105</v>
      </c>
      <c r="L51" s="176">
        <f>L52</f>
        <v>630</v>
      </c>
      <c r="M51" s="177">
        <f>'参考值-平台主推SKU占比'!$F$119</f>
        <v>2.59571706683971E-3</v>
      </c>
      <c r="N51" s="142"/>
      <c r="O51" s="142"/>
      <c r="P51" s="69"/>
      <c r="Q51" s="67" t="s">
        <v>554</v>
      </c>
      <c r="R51" s="173">
        <f>I51</f>
        <v>1629</v>
      </c>
      <c r="S51" s="173">
        <f>I51</f>
        <v>1629</v>
      </c>
      <c r="T51" s="173">
        <f>I51</f>
        <v>1629</v>
      </c>
      <c r="U51" s="173">
        <f>I51</f>
        <v>1629</v>
      </c>
      <c r="V51" s="173">
        <f>I51</f>
        <v>1629</v>
      </c>
      <c r="W51" s="173">
        <f>I51</f>
        <v>1629</v>
      </c>
      <c r="X51" s="173">
        <f>I51</f>
        <v>1629</v>
      </c>
      <c r="Y51" s="173">
        <f>I51</f>
        <v>1629</v>
      </c>
      <c r="Z51" s="173">
        <f>I51</f>
        <v>1629</v>
      </c>
      <c r="AA51" s="173">
        <f>I51</f>
        <v>1629</v>
      </c>
      <c r="AB51" s="173">
        <f>I51</f>
        <v>1629</v>
      </c>
      <c r="AC51" s="173">
        <f>I51</f>
        <v>1629</v>
      </c>
    </row>
    <row r="52" spans="1:29">
      <c r="A52" s="67"/>
      <c r="B52" s="67"/>
      <c r="C52" s="69"/>
      <c r="D52" s="69"/>
      <c r="E52" s="67" t="s">
        <v>527</v>
      </c>
      <c r="F52" s="73">
        <v>700</v>
      </c>
      <c r="G52" s="172">
        <f>'参考值-平台主推SKU占比'!$C$119</f>
        <v>6</v>
      </c>
      <c r="H52" s="91"/>
      <c r="I52" s="91">
        <f>'参考值-平台主推SKU占比'!$H$119</f>
        <v>1629</v>
      </c>
      <c r="J52" s="91">
        <f>IFERROR(I52/G52,"")</f>
        <v>271.5</v>
      </c>
      <c r="K52" s="91">
        <f>'假设-成本与任务量'!$I$4</f>
        <v>105</v>
      </c>
      <c r="L52" s="91">
        <f>IFERROR(K52*G52,"")</f>
        <v>630</v>
      </c>
      <c r="M52" s="175"/>
      <c r="N52" s="142"/>
      <c r="O52" s="142"/>
      <c r="P52" s="69"/>
      <c r="Q52" s="67" t="s">
        <v>555</v>
      </c>
      <c r="R52" s="173">
        <f>L51</f>
        <v>630</v>
      </c>
      <c r="S52" s="173">
        <f>L51</f>
        <v>630</v>
      </c>
      <c r="T52" s="173">
        <f>L51</f>
        <v>630</v>
      </c>
      <c r="U52" s="173">
        <f>L51</f>
        <v>630</v>
      </c>
      <c r="V52" s="173">
        <f>L51</f>
        <v>630</v>
      </c>
      <c r="W52" s="173">
        <f>L51</f>
        <v>630</v>
      </c>
      <c r="X52" s="173">
        <f>L51</f>
        <v>630</v>
      </c>
      <c r="Y52" s="173">
        <f>L51</f>
        <v>630</v>
      </c>
      <c r="Z52" s="173">
        <f>L51</f>
        <v>630</v>
      </c>
      <c r="AA52" s="173">
        <f>L51</f>
        <v>630</v>
      </c>
      <c r="AB52" s="173">
        <f>L51</f>
        <v>630</v>
      </c>
      <c r="AC52" s="173">
        <f>L51</f>
        <v>630</v>
      </c>
    </row>
    <row r="53" spans="1:29">
      <c r="A53" s="67"/>
      <c r="B53" s="67"/>
      <c r="C53" s="69"/>
      <c r="D53" s="102" t="s">
        <v>556</v>
      </c>
      <c r="E53" s="67"/>
      <c r="F53" s="73"/>
      <c r="G53" s="172"/>
      <c r="H53" s="176"/>
      <c r="I53" s="176">
        <f>I54</f>
        <v>1212.25</v>
      </c>
      <c r="J53" s="176">
        <f>J54</f>
        <v>121.22499999999999</v>
      </c>
      <c r="K53" s="176">
        <f>K54</f>
        <v>38</v>
      </c>
      <c r="L53" s="176">
        <f>L54</f>
        <v>380</v>
      </c>
      <c r="M53" s="177">
        <f>'参考值-平台主推SKU占比'!$F$120</f>
        <v>1.29785853341986E-3</v>
      </c>
      <c r="N53" s="142"/>
      <c r="O53" s="142"/>
      <c r="P53" s="69"/>
      <c r="Q53" s="67" t="s">
        <v>557</v>
      </c>
      <c r="R53" s="173">
        <f>I53</f>
        <v>1212.25</v>
      </c>
      <c r="S53" s="173">
        <f>I53</f>
        <v>1212.25</v>
      </c>
      <c r="T53" s="173">
        <f>I53</f>
        <v>1212.25</v>
      </c>
      <c r="U53" s="173">
        <f>I53</f>
        <v>1212.25</v>
      </c>
      <c r="V53" s="173">
        <f>I53</f>
        <v>1212.25</v>
      </c>
      <c r="W53" s="173">
        <f>I53</f>
        <v>1212.25</v>
      </c>
      <c r="X53" s="173">
        <f>I53</f>
        <v>1212.25</v>
      </c>
      <c r="Y53" s="173">
        <f>I53</f>
        <v>1212.25</v>
      </c>
      <c r="Z53" s="173">
        <f>I53</f>
        <v>1212.25</v>
      </c>
      <c r="AA53" s="173">
        <f>I53</f>
        <v>1212.25</v>
      </c>
      <c r="AB53" s="173">
        <f>I53</f>
        <v>1212.25</v>
      </c>
      <c r="AC53" s="173">
        <f>I53</f>
        <v>1212.25</v>
      </c>
    </row>
    <row r="54" spans="1:29">
      <c r="A54" s="67"/>
      <c r="B54" s="67"/>
      <c r="C54" s="69"/>
      <c r="D54" s="69"/>
      <c r="E54" s="67" t="s">
        <v>520</v>
      </c>
      <c r="F54" s="73">
        <v>320</v>
      </c>
      <c r="G54" s="172">
        <f>'参考值-平台主推SKU占比'!$C$120</f>
        <v>10</v>
      </c>
      <c r="H54" s="91"/>
      <c r="I54" s="91">
        <f>'参考值-平台主推SKU占比'!$H$120</f>
        <v>1212.25</v>
      </c>
      <c r="J54" s="91">
        <f>IFERROR(I54/G54,"")</f>
        <v>121.22499999999999</v>
      </c>
      <c r="K54" s="91">
        <f>'假设-成本与任务量'!$I$6</f>
        <v>38</v>
      </c>
      <c r="L54" s="91">
        <f>IFERROR(K54*G54,"")</f>
        <v>380</v>
      </c>
      <c r="M54" s="175">
        <f>M56+M58+M60+M62+M64+M66+M68+M70+M72+M74</f>
        <v>0.99999999999999933</v>
      </c>
      <c r="N54" s="142" t="s">
        <v>293</v>
      </c>
      <c r="O54" s="142"/>
      <c r="P54" s="69"/>
      <c r="Q54" s="67" t="s">
        <v>558</v>
      </c>
      <c r="R54" s="173">
        <f>L53</f>
        <v>380</v>
      </c>
      <c r="S54" s="173">
        <f>L53</f>
        <v>380</v>
      </c>
      <c r="T54" s="173">
        <f>L53</f>
        <v>380</v>
      </c>
      <c r="U54" s="173">
        <f>L53</f>
        <v>380</v>
      </c>
      <c r="V54" s="173">
        <f>L53</f>
        <v>380</v>
      </c>
      <c r="W54" s="173">
        <f>L53</f>
        <v>380</v>
      </c>
      <c r="X54" s="173">
        <f>L53</f>
        <v>380</v>
      </c>
      <c r="Y54" s="173">
        <f>L53</f>
        <v>380</v>
      </c>
      <c r="Z54" s="173">
        <f>L53</f>
        <v>380</v>
      </c>
      <c r="AA54" s="173">
        <f>L53</f>
        <v>380</v>
      </c>
      <c r="AB54" s="173">
        <f>L53</f>
        <v>380</v>
      </c>
      <c r="AC54" s="173">
        <f>L53</f>
        <v>380</v>
      </c>
    </row>
    <row r="55" spans="1:29">
      <c r="A55" s="67"/>
      <c r="B55" s="67"/>
      <c r="C55" s="102" t="s">
        <v>226</v>
      </c>
      <c r="D55" s="69"/>
      <c r="E55" s="69"/>
      <c r="F55" s="73"/>
      <c r="G55" s="172"/>
      <c r="H55" s="173"/>
      <c r="I55" s="173"/>
      <c r="J55" s="173"/>
      <c r="K55" s="173"/>
      <c r="L55" s="173"/>
      <c r="M55" s="175"/>
      <c r="N55" s="142"/>
      <c r="O55" s="142"/>
      <c r="P55" s="69"/>
      <c r="Q55" s="69"/>
      <c r="R55" s="165"/>
      <c r="S55" s="165"/>
      <c r="T55" s="165"/>
      <c r="U55" s="165"/>
      <c r="V55" s="165"/>
      <c r="W55" s="165"/>
      <c r="X55" s="165"/>
      <c r="Y55" s="165"/>
      <c r="Z55" s="165"/>
      <c r="AA55" s="165"/>
      <c r="AB55" s="165"/>
      <c r="AC55" s="165"/>
    </row>
    <row r="56" spans="1:29">
      <c r="A56" s="67"/>
      <c r="B56" s="67"/>
      <c r="C56" s="69"/>
      <c r="D56" s="102" t="s">
        <v>518</v>
      </c>
      <c r="E56" s="67"/>
      <c r="F56" s="73"/>
      <c r="G56" s="172"/>
      <c r="H56" s="176"/>
      <c r="I56" s="176">
        <f>I57</f>
        <v>2461.0500000000002</v>
      </c>
      <c r="J56" s="176">
        <f>J57</f>
        <v>1230.5250000000001</v>
      </c>
      <c r="K56" s="176">
        <f>K57</f>
        <v>8</v>
      </c>
      <c r="L56" s="176">
        <f>L57</f>
        <v>16</v>
      </c>
      <c r="M56" s="177">
        <f>'参考值-平台主推SKU占比'!$F$3</f>
        <v>0.4</v>
      </c>
      <c r="N56" s="142"/>
      <c r="O56" s="142"/>
      <c r="P56" s="69"/>
      <c r="Q56" s="67" t="s">
        <v>519</v>
      </c>
      <c r="R56" s="173">
        <f>I56</f>
        <v>2461.0500000000002</v>
      </c>
      <c r="S56" s="173">
        <f>I56</f>
        <v>2461.0500000000002</v>
      </c>
      <c r="T56" s="173">
        <f>I56</f>
        <v>2461.0500000000002</v>
      </c>
      <c r="U56" s="173">
        <f>I56</f>
        <v>2461.0500000000002</v>
      </c>
      <c r="V56" s="173">
        <f>I56</f>
        <v>2461.0500000000002</v>
      </c>
      <c r="W56" s="173">
        <f>I56</f>
        <v>2461.0500000000002</v>
      </c>
      <c r="X56" s="173">
        <f>I56</f>
        <v>2461.0500000000002</v>
      </c>
      <c r="Y56" s="173">
        <f>I56</f>
        <v>2461.0500000000002</v>
      </c>
      <c r="Z56" s="173">
        <f>I56</f>
        <v>2461.0500000000002</v>
      </c>
      <c r="AA56" s="173">
        <f>I56</f>
        <v>2461.0500000000002</v>
      </c>
      <c r="AB56" s="173">
        <f>I56</f>
        <v>2461.0500000000002</v>
      </c>
      <c r="AC56" s="173">
        <f>I56</f>
        <v>2461.0500000000002</v>
      </c>
    </row>
    <row r="57" spans="1:29">
      <c r="A57" s="67"/>
      <c r="B57" s="67"/>
      <c r="C57" s="69"/>
      <c r="D57" s="69"/>
      <c r="E57" s="67" t="s">
        <v>559</v>
      </c>
      <c r="F57" s="73">
        <v>60</v>
      </c>
      <c r="G57" s="172">
        <f>'参考值-平台主推SKU占比'!$C$3</f>
        <v>2</v>
      </c>
      <c r="H57" s="91"/>
      <c r="I57" s="91">
        <f>'参考值-平台主推SKU占比'!$H$3</f>
        <v>2461.0500000000002</v>
      </c>
      <c r="J57" s="91">
        <f>IFERROR(I57/G57,"")</f>
        <v>1230.5250000000001</v>
      </c>
      <c r="K57" s="91">
        <f>'假设-成本与任务量'!$I$8</f>
        <v>8</v>
      </c>
      <c r="L57" s="91">
        <f>IFERROR(K57*G57,"")</f>
        <v>16</v>
      </c>
      <c r="M57" s="175"/>
      <c r="N57" s="142"/>
      <c r="O57" s="142"/>
      <c r="P57" s="69"/>
      <c r="Q57" s="67" t="s">
        <v>521</v>
      </c>
      <c r="R57" s="173">
        <f>L56</f>
        <v>16</v>
      </c>
      <c r="S57" s="173">
        <f>L56</f>
        <v>16</v>
      </c>
      <c r="T57" s="173">
        <f>L56</f>
        <v>16</v>
      </c>
      <c r="U57" s="173">
        <f>L56</f>
        <v>16</v>
      </c>
      <c r="V57" s="173">
        <f>L56</f>
        <v>16</v>
      </c>
      <c r="W57" s="173">
        <f>L56</f>
        <v>16</v>
      </c>
      <c r="X57" s="173">
        <f>L56</f>
        <v>16</v>
      </c>
      <c r="Y57" s="173">
        <f>L56</f>
        <v>16</v>
      </c>
      <c r="Z57" s="173">
        <f>L56</f>
        <v>16</v>
      </c>
      <c r="AA57" s="173">
        <f>L56</f>
        <v>16</v>
      </c>
      <c r="AB57" s="173">
        <f>L56</f>
        <v>16</v>
      </c>
      <c r="AC57" s="173">
        <f>L56</f>
        <v>16</v>
      </c>
    </row>
    <row r="58" spans="1:29">
      <c r="A58" s="67"/>
      <c r="B58" s="102"/>
      <c r="C58" s="69"/>
      <c r="D58" s="102" t="s">
        <v>522</v>
      </c>
      <c r="E58" s="67"/>
      <c r="F58" s="73"/>
      <c r="G58" s="172"/>
      <c r="H58" s="176"/>
      <c r="I58" s="176">
        <f>I59</f>
        <v>1169</v>
      </c>
      <c r="J58" s="176">
        <f>J59</f>
        <v>194.83333333333334</v>
      </c>
      <c r="K58" s="176">
        <f>K59</f>
        <v>105</v>
      </c>
      <c r="L58" s="176">
        <f>L59</f>
        <v>630</v>
      </c>
      <c r="M58" s="177">
        <f>'参考值-平台主推SKU占比'!$F$4</f>
        <v>0.233333333333333</v>
      </c>
      <c r="N58" s="142"/>
      <c r="O58" s="142"/>
      <c r="P58" s="69"/>
      <c r="Q58" s="67" t="s">
        <v>523</v>
      </c>
      <c r="R58" s="173">
        <f>I58</f>
        <v>1169</v>
      </c>
      <c r="S58" s="173">
        <f>I58</f>
        <v>1169</v>
      </c>
      <c r="T58" s="173">
        <f>I58</f>
        <v>1169</v>
      </c>
      <c r="U58" s="173">
        <f>I58</f>
        <v>1169</v>
      </c>
      <c r="V58" s="173">
        <f>I58</f>
        <v>1169</v>
      </c>
      <c r="W58" s="173">
        <f>I58</f>
        <v>1169</v>
      </c>
      <c r="X58" s="173">
        <f>I58</f>
        <v>1169</v>
      </c>
      <c r="Y58" s="173">
        <f>I58</f>
        <v>1169</v>
      </c>
      <c r="Z58" s="173">
        <f>I58</f>
        <v>1169</v>
      </c>
      <c r="AA58" s="173">
        <f>I58</f>
        <v>1169</v>
      </c>
      <c r="AB58" s="173">
        <f>I58</f>
        <v>1169</v>
      </c>
      <c r="AC58" s="173">
        <f>I58</f>
        <v>1169</v>
      </c>
    </row>
    <row r="59" spans="1:29">
      <c r="A59" s="67"/>
      <c r="B59" s="67"/>
      <c r="C59" s="69"/>
      <c r="D59" s="69"/>
      <c r="E59" s="67" t="s">
        <v>527</v>
      </c>
      <c r="F59" s="73">
        <v>700</v>
      </c>
      <c r="G59" s="172">
        <f>'参考值-平台主推SKU占比'!$C$4</f>
        <v>6</v>
      </c>
      <c r="H59" s="91"/>
      <c r="I59" s="91">
        <f>'参考值-平台主推SKU占比'!$H$4</f>
        <v>1169</v>
      </c>
      <c r="J59" s="91">
        <f>IFERROR(I59/G59,"")</f>
        <v>194.83333333333334</v>
      </c>
      <c r="K59" s="91">
        <f>'假设-成本与任务量'!$I$4</f>
        <v>105</v>
      </c>
      <c r="L59" s="91">
        <f>IFERROR(K59*G59,"")</f>
        <v>630</v>
      </c>
      <c r="M59" s="175"/>
      <c r="N59" s="142"/>
      <c r="O59" s="142"/>
      <c r="P59" s="69"/>
      <c r="Q59" s="67" t="s">
        <v>524</v>
      </c>
      <c r="R59" s="173">
        <f>L58</f>
        <v>630</v>
      </c>
      <c r="S59" s="173">
        <f>L58</f>
        <v>630</v>
      </c>
      <c r="T59" s="173">
        <f>L58</f>
        <v>630</v>
      </c>
      <c r="U59" s="173">
        <f>L58</f>
        <v>630</v>
      </c>
      <c r="V59" s="173">
        <f>L58</f>
        <v>630</v>
      </c>
      <c r="W59" s="173">
        <f>L58</f>
        <v>630</v>
      </c>
      <c r="X59" s="173">
        <f>L58</f>
        <v>630</v>
      </c>
      <c r="Y59" s="173">
        <f>L58</f>
        <v>630</v>
      </c>
      <c r="Z59" s="173">
        <f>L58</f>
        <v>630</v>
      </c>
      <c r="AA59" s="173">
        <f>L58</f>
        <v>630</v>
      </c>
      <c r="AB59" s="173">
        <f>L58</f>
        <v>630</v>
      </c>
      <c r="AC59" s="173">
        <f>L58</f>
        <v>630</v>
      </c>
    </row>
    <row r="60" spans="1:29">
      <c r="A60" s="67"/>
      <c r="B60" s="67"/>
      <c r="C60" s="69"/>
      <c r="D60" s="102" t="s">
        <v>525</v>
      </c>
      <c r="E60" s="67"/>
      <c r="F60" s="73"/>
      <c r="G60" s="172"/>
      <c r="H60" s="176"/>
      <c r="I60" s="176">
        <f>I61</f>
        <v>412.63</v>
      </c>
      <c r="J60" s="176">
        <f>J61</f>
        <v>206.315</v>
      </c>
      <c r="K60" s="176">
        <f>K61</f>
        <v>105</v>
      </c>
      <c r="L60" s="176">
        <f>L61</f>
        <v>210</v>
      </c>
      <c r="M60" s="177">
        <f>'参考值-平台主推SKU占比'!$F$5</f>
        <v>0.133333333333333</v>
      </c>
      <c r="N60" s="142"/>
      <c r="O60" s="142"/>
      <c r="P60" s="69"/>
      <c r="Q60" s="67" t="s">
        <v>526</v>
      </c>
      <c r="R60" s="173">
        <f>I60</f>
        <v>412.63</v>
      </c>
      <c r="S60" s="173">
        <f>I60</f>
        <v>412.63</v>
      </c>
      <c r="T60" s="173">
        <f>I60</f>
        <v>412.63</v>
      </c>
      <c r="U60" s="173">
        <f>I60</f>
        <v>412.63</v>
      </c>
      <c r="V60" s="173">
        <f>I60</f>
        <v>412.63</v>
      </c>
      <c r="W60" s="173">
        <f>I60</f>
        <v>412.63</v>
      </c>
      <c r="X60" s="173">
        <f>I60</f>
        <v>412.63</v>
      </c>
      <c r="Y60" s="173">
        <f>I60</f>
        <v>412.63</v>
      </c>
      <c r="Z60" s="173">
        <f>I60</f>
        <v>412.63</v>
      </c>
      <c r="AA60" s="173">
        <f>I60</f>
        <v>412.63</v>
      </c>
      <c r="AB60" s="173">
        <f>I60</f>
        <v>412.63</v>
      </c>
      <c r="AC60" s="173">
        <f>I60</f>
        <v>412.63</v>
      </c>
    </row>
    <row r="61" spans="1:29">
      <c r="A61" s="67"/>
      <c r="B61" s="67"/>
      <c r="C61" s="69"/>
      <c r="D61" s="69"/>
      <c r="E61" s="67" t="s">
        <v>527</v>
      </c>
      <c r="F61" s="73">
        <v>700</v>
      </c>
      <c r="G61" s="172">
        <f>'参考值-平台主推SKU占比'!$C$5</f>
        <v>2</v>
      </c>
      <c r="H61" s="91"/>
      <c r="I61" s="91">
        <f>'参考值-平台主推SKU占比'!$H$5</f>
        <v>412.63</v>
      </c>
      <c r="J61" s="91">
        <f>IFERROR(I61/G61,"")</f>
        <v>206.315</v>
      </c>
      <c r="K61" s="91">
        <f>'假设-成本与任务量'!$I$4</f>
        <v>105</v>
      </c>
      <c r="L61" s="91">
        <f>IFERROR(K61*G61,"")</f>
        <v>210</v>
      </c>
      <c r="M61" s="175"/>
      <c r="N61" s="142"/>
      <c r="O61" s="142"/>
      <c r="P61" s="69"/>
      <c r="Q61" s="67" t="s">
        <v>528</v>
      </c>
      <c r="R61" s="173">
        <f>L60</f>
        <v>210</v>
      </c>
      <c r="S61" s="173">
        <f>L60</f>
        <v>210</v>
      </c>
      <c r="T61" s="173">
        <f>L60</f>
        <v>210</v>
      </c>
      <c r="U61" s="173">
        <f>L60</f>
        <v>210</v>
      </c>
      <c r="V61" s="173">
        <f>L60</f>
        <v>210</v>
      </c>
      <c r="W61" s="173">
        <f>L60</f>
        <v>210</v>
      </c>
      <c r="X61" s="173">
        <f>L60</f>
        <v>210</v>
      </c>
      <c r="Y61" s="173">
        <f>L60</f>
        <v>210</v>
      </c>
      <c r="Z61" s="173">
        <f>L60</f>
        <v>210</v>
      </c>
      <c r="AA61" s="173">
        <f>L60</f>
        <v>210</v>
      </c>
      <c r="AB61" s="173">
        <f>L60</f>
        <v>210</v>
      </c>
      <c r="AC61" s="173">
        <f>L60</f>
        <v>210</v>
      </c>
    </row>
    <row r="62" spans="1:29">
      <c r="A62" s="67"/>
      <c r="B62" s="67"/>
      <c r="C62" s="69"/>
      <c r="D62" s="102" t="s">
        <v>529</v>
      </c>
      <c r="E62" s="67"/>
      <c r="F62" s="73"/>
      <c r="G62" s="172"/>
      <c r="H62" s="176"/>
      <c r="I62" s="176">
        <f>I63</f>
        <v>39.799999999999997</v>
      </c>
      <c r="J62" s="176">
        <f>J63</f>
        <v>6.6333333333333329</v>
      </c>
      <c r="K62" s="176">
        <f>K63</f>
        <v>2.38</v>
      </c>
      <c r="L62" s="176">
        <f>L63</f>
        <v>14.28</v>
      </c>
      <c r="M62" s="177">
        <f>'参考值-平台主推SKU占比'!$F$6</f>
        <v>8.8888888888888906E-2</v>
      </c>
      <c r="N62" s="142"/>
      <c r="O62" s="142"/>
      <c r="P62" s="69"/>
      <c r="Q62" s="67" t="s">
        <v>530</v>
      </c>
      <c r="R62" s="173">
        <f>I62</f>
        <v>39.799999999999997</v>
      </c>
      <c r="S62" s="173">
        <f>I62</f>
        <v>39.799999999999997</v>
      </c>
      <c r="T62" s="173">
        <f>I62</f>
        <v>39.799999999999997</v>
      </c>
      <c r="U62" s="173">
        <f>I62</f>
        <v>39.799999999999997</v>
      </c>
      <c r="V62" s="173">
        <f>I62</f>
        <v>39.799999999999997</v>
      </c>
      <c r="W62" s="173">
        <f>I62</f>
        <v>39.799999999999997</v>
      </c>
      <c r="X62" s="173">
        <f>I62</f>
        <v>39.799999999999997</v>
      </c>
      <c r="Y62" s="173">
        <f>I62</f>
        <v>39.799999999999997</v>
      </c>
      <c r="Z62" s="173">
        <f>I62</f>
        <v>39.799999999999997</v>
      </c>
      <c r="AA62" s="173">
        <f>I62</f>
        <v>39.799999999999997</v>
      </c>
      <c r="AB62" s="173">
        <f>I62</f>
        <v>39.799999999999997</v>
      </c>
      <c r="AC62" s="173">
        <f>I62</f>
        <v>39.799999999999997</v>
      </c>
    </row>
    <row r="63" spans="1:29">
      <c r="A63" s="67"/>
      <c r="B63" s="67"/>
      <c r="C63" s="69"/>
      <c r="D63" s="69"/>
      <c r="E63" s="67" t="s">
        <v>560</v>
      </c>
      <c r="F63" s="73">
        <v>20</v>
      </c>
      <c r="G63" s="172">
        <f>'参考值-平台主推SKU占比'!$C$6</f>
        <v>6</v>
      </c>
      <c r="H63" s="91"/>
      <c r="I63" s="91">
        <f>'参考值-平台主推SKU占比'!$H$6</f>
        <v>39.799999999999997</v>
      </c>
      <c r="J63" s="91">
        <f>IFERROR(I63/G63,"")</f>
        <v>6.6333333333333329</v>
      </c>
      <c r="K63" s="91">
        <f>'假设-成本与任务量'!$I$23</f>
        <v>2.38</v>
      </c>
      <c r="L63" s="91">
        <f>IFERROR(K63*G63,"")</f>
        <v>14.28</v>
      </c>
      <c r="M63" s="175"/>
      <c r="N63" s="142"/>
      <c r="O63" s="142"/>
      <c r="P63" s="69"/>
      <c r="Q63" s="67" t="s">
        <v>531</v>
      </c>
      <c r="R63" s="173">
        <f>L62</f>
        <v>14.28</v>
      </c>
      <c r="S63" s="173">
        <f>L62</f>
        <v>14.28</v>
      </c>
      <c r="T63" s="173">
        <f>L62</f>
        <v>14.28</v>
      </c>
      <c r="U63" s="173">
        <f>L62</f>
        <v>14.28</v>
      </c>
      <c r="V63" s="173">
        <f>L62</f>
        <v>14.28</v>
      </c>
      <c r="W63" s="173">
        <f>L62</f>
        <v>14.28</v>
      </c>
      <c r="X63" s="173">
        <f>L62</f>
        <v>14.28</v>
      </c>
      <c r="Y63" s="173">
        <f>L62</f>
        <v>14.28</v>
      </c>
      <c r="Z63" s="173">
        <f>L62</f>
        <v>14.28</v>
      </c>
      <c r="AA63" s="173">
        <f>L62</f>
        <v>14.28</v>
      </c>
      <c r="AB63" s="173">
        <f>L62</f>
        <v>14.28</v>
      </c>
      <c r="AC63" s="173">
        <f>L62</f>
        <v>14.28</v>
      </c>
    </row>
    <row r="64" spans="1:29">
      <c r="A64" s="67"/>
      <c r="B64" s="67"/>
      <c r="C64" s="69"/>
      <c r="D64" s="102" t="s">
        <v>532</v>
      </c>
      <c r="E64" s="67"/>
      <c r="F64" s="73"/>
      <c r="G64" s="172"/>
      <c r="H64" s="176"/>
      <c r="I64" s="176">
        <f>I65</f>
        <v>388</v>
      </c>
      <c r="J64" s="176">
        <f>J65</f>
        <v>97</v>
      </c>
      <c r="K64" s="176">
        <f>K65</f>
        <v>38</v>
      </c>
      <c r="L64" s="176">
        <f>L65</f>
        <v>152</v>
      </c>
      <c r="M64" s="177">
        <f>'参考值-平台主推SKU占比'!$F$7</f>
        <v>3.3333333333333298E-2</v>
      </c>
      <c r="N64" s="142"/>
      <c r="O64" s="142"/>
      <c r="P64" s="69"/>
      <c r="Q64" s="67" t="s">
        <v>533</v>
      </c>
      <c r="R64" s="173">
        <f>I64</f>
        <v>388</v>
      </c>
      <c r="S64" s="173">
        <f>I64</f>
        <v>388</v>
      </c>
      <c r="T64" s="173">
        <f>I64</f>
        <v>388</v>
      </c>
      <c r="U64" s="173">
        <f>I64</f>
        <v>388</v>
      </c>
      <c r="V64" s="173">
        <f>I64</f>
        <v>388</v>
      </c>
      <c r="W64" s="173">
        <f>I64</f>
        <v>388</v>
      </c>
      <c r="X64" s="173">
        <f>I64</f>
        <v>388</v>
      </c>
      <c r="Y64" s="173">
        <f>I64</f>
        <v>388</v>
      </c>
      <c r="Z64" s="173">
        <f>I64</f>
        <v>388</v>
      </c>
      <c r="AA64" s="173">
        <f>I64</f>
        <v>388</v>
      </c>
      <c r="AB64" s="173">
        <f>I64</f>
        <v>388</v>
      </c>
      <c r="AC64" s="173">
        <f>I64</f>
        <v>388</v>
      </c>
    </row>
    <row r="65" spans="1:29">
      <c r="A65" s="67"/>
      <c r="B65" s="67"/>
      <c r="C65" s="69"/>
      <c r="D65" s="69"/>
      <c r="E65" s="67" t="s">
        <v>520</v>
      </c>
      <c r="F65" s="73">
        <v>320</v>
      </c>
      <c r="G65" s="172">
        <f>'参考值-平台主推SKU占比'!$C$7</f>
        <v>4</v>
      </c>
      <c r="H65" s="91"/>
      <c r="I65" s="91">
        <f>'参考值-平台主推SKU占比'!$H$7</f>
        <v>388</v>
      </c>
      <c r="J65" s="91">
        <f>IFERROR(I65/G65,"")</f>
        <v>97</v>
      </c>
      <c r="K65" s="91">
        <f>'假设-成本与任务量'!$I$6</f>
        <v>38</v>
      </c>
      <c r="L65" s="91">
        <f>IFERROR(K65*G65,"")</f>
        <v>152</v>
      </c>
      <c r="M65" s="175"/>
      <c r="N65" s="142"/>
      <c r="O65" s="142"/>
      <c r="P65" s="69"/>
      <c r="Q65" s="67" t="s">
        <v>534</v>
      </c>
      <c r="R65" s="173">
        <f>L64</f>
        <v>152</v>
      </c>
      <c r="S65" s="173">
        <f>L64</f>
        <v>152</v>
      </c>
      <c r="T65" s="173">
        <f>L64</f>
        <v>152</v>
      </c>
      <c r="U65" s="173">
        <f>L64</f>
        <v>152</v>
      </c>
      <c r="V65" s="173">
        <f>L64</f>
        <v>152</v>
      </c>
      <c r="W65" s="173">
        <f>L64</f>
        <v>152</v>
      </c>
      <c r="X65" s="173">
        <f>L64</f>
        <v>152</v>
      </c>
      <c r="Y65" s="173">
        <f>L64</f>
        <v>152</v>
      </c>
      <c r="Z65" s="173">
        <f>L64</f>
        <v>152</v>
      </c>
      <c r="AA65" s="173">
        <f>L64</f>
        <v>152</v>
      </c>
      <c r="AB65" s="173">
        <f>L64</f>
        <v>152</v>
      </c>
      <c r="AC65" s="173">
        <f>L64</f>
        <v>152</v>
      </c>
    </row>
    <row r="66" spans="1:29">
      <c r="A66" s="67"/>
      <c r="B66" s="67"/>
      <c r="C66" s="69"/>
      <c r="D66" s="102" t="s">
        <v>535</v>
      </c>
      <c r="E66" s="67"/>
      <c r="F66" s="73"/>
      <c r="G66" s="172"/>
      <c r="H66" s="176"/>
      <c r="I66" s="176">
        <f>I67</f>
        <v>1159</v>
      </c>
      <c r="J66" s="176">
        <f>J67</f>
        <v>96.583333333333329</v>
      </c>
      <c r="K66" s="176">
        <f>K67</f>
        <v>38</v>
      </c>
      <c r="L66" s="176">
        <f>L67</f>
        <v>456</v>
      </c>
      <c r="M66" s="177">
        <f>'参考值-平台主推SKU占比'!$F$8</f>
        <v>3.3333333333333298E-2</v>
      </c>
      <c r="N66" s="142"/>
      <c r="O66" s="142"/>
      <c r="P66" s="69"/>
      <c r="Q66" s="67" t="s">
        <v>536</v>
      </c>
      <c r="R66" s="173">
        <f>I66</f>
        <v>1159</v>
      </c>
      <c r="S66" s="173">
        <f>I66</f>
        <v>1159</v>
      </c>
      <c r="T66" s="173">
        <f>I66</f>
        <v>1159</v>
      </c>
      <c r="U66" s="173">
        <f>I66</f>
        <v>1159</v>
      </c>
      <c r="V66" s="173">
        <f>I66</f>
        <v>1159</v>
      </c>
      <c r="W66" s="173">
        <f>I66</f>
        <v>1159</v>
      </c>
      <c r="X66" s="173">
        <f>I66</f>
        <v>1159</v>
      </c>
      <c r="Y66" s="173">
        <f>I66</f>
        <v>1159</v>
      </c>
      <c r="Z66" s="173">
        <f>I66</f>
        <v>1159</v>
      </c>
      <c r="AA66" s="173">
        <f>I66</f>
        <v>1159</v>
      </c>
      <c r="AB66" s="173">
        <f>I66</f>
        <v>1159</v>
      </c>
      <c r="AC66" s="173">
        <f>I66</f>
        <v>1159</v>
      </c>
    </row>
    <row r="67" spans="1:29">
      <c r="A67" s="67"/>
      <c r="B67" s="67"/>
      <c r="C67" s="69"/>
      <c r="D67" s="69"/>
      <c r="E67" s="67" t="s">
        <v>520</v>
      </c>
      <c r="F67" s="73">
        <v>320</v>
      </c>
      <c r="G67" s="172">
        <f>'参考值-平台主推SKU占比'!$C$8</f>
        <v>12</v>
      </c>
      <c r="H67" s="91"/>
      <c r="I67" s="91">
        <f>'参考值-平台主推SKU占比'!$H$8</f>
        <v>1159</v>
      </c>
      <c r="J67" s="91">
        <f>IFERROR(I67/G67,"")</f>
        <v>96.583333333333329</v>
      </c>
      <c r="K67" s="91">
        <f>'假设-成本与任务量'!$I$6</f>
        <v>38</v>
      </c>
      <c r="L67" s="91">
        <f>IFERROR(K67*G67,"")</f>
        <v>456</v>
      </c>
      <c r="M67" s="175"/>
      <c r="N67" s="142"/>
      <c r="O67" s="142"/>
      <c r="P67" s="69"/>
      <c r="Q67" s="67" t="s">
        <v>537</v>
      </c>
      <c r="R67" s="173">
        <f>L66</f>
        <v>456</v>
      </c>
      <c r="S67" s="173">
        <f>L66</f>
        <v>456</v>
      </c>
      <c r="T67" s="173">
        <f>L66</f>
        <v>456</v>
      </c>
      <c r="U67" s="173">
        <f>L66</f>
        <v>456</v>
      </c>
      <c r="V67" s="173">
        <f>L66</f>
        <v>456</v>
      </c>
      <c r="W67" s="173">
        <f>L66</f>
        <v>456</v>
      </c>
      <c r="X67" s="173">
        <f>L66</f>
        <v>456</v>
      </c>
      <c r="Y67" s="173">
        <f>L66</f>
        <v>456</v>
      </c>
      <c r="Z67" s="173">
        <f>L66</f>
        <v>456</v>
      </c>
      <c r="AA67" s="173">
        <f>L66</f>
        <v>456</v>
      </c>
      <c r="AB67" s="173">
        <f>L66</f>
        <v>456</v>
      </c>
      <c r="AC67" s="173">
        <f>L66</f>
        <v>456</v>
      </c>
    </row>
    <row r="68" spans="1:29">
      <c r="A68" s="67"/>
      <c r="B68" s="67"/>
      <c r="C68" s="69"/>
      <c r="D68" s="102" t="s">
        <v>538</v>
      </c>
      <c r="E68" s="67"/>
      <c r="F68" s="73"/>
      <c r="G68" s="172"/>
      <c r="H68" s="176"/>
      <c r="I68" s="176">
        <f>I69</f>
        <v>272</v>
      </c>
      <c r="J68" s="176">
        <f>J69</f>
        <v>136</v>
      </c>
      <c r="K68" s="176">
        <f>K69</f>
        <v>38</v>
      </c>
      <c r="L68" s="176">
        <f>L69</f>
        <v>76</v>
      </c>
      <c r="M68" s="177">
        <f>'参考值-平台主推SKU占比'!$F$9</f>
        <v>3.3333333333333298E-2</v>
      </c>
      <c r="N68" s="142"/>
      <c r="O68" s="142"/>
      <c r="P68" s="69"/>
      <c r="Q68" s="67" t="s">
        <v>539</v>
      </c>
      <c r="R68" s="173">
        <f>I68</f>
        <v>272</v>
      </c>
      <c r="S68" s="173">
        <f>I68</f>
        <v>272</v>
      </c>
      <c r="T68" s="173">
        <f>I68</f>
        <v>272</v>
      </c>
      <c r="U68" s="173">
        <f>I68</f>
        <v>272</v>
      </c>
      <c r="V68" s="173">
        <f>I68</f>
        <v>272</v>
      </c>
      <c r="W68" s="173">
        <f>I68</f>
        <v>272</v>
      </c>
      <c r="X68" s="173">
        <f>I68</f>
        <v>272</v>
      </c>
      <c r="Y68" s="173">
        <f>I68</f>
        <v>272</v>
      </c>
      <c r="Z68" s="173">
        <f>I68</f>
        <v>272</v>
      </c>
      <c r="AA68" s="173">
        <f>I68</f>
        <v>272</v>
      </c>
      <c r="AB68" s="173">
        <f>I68</f>
        <v>272</v>
      </c>
      <c r="AC68" s="173">
        <f>I68</f>
        <v>272</v>
      </c>
    </row>
    <row r="69" spans="1:29">
      <c r="A69" s="67"/>
      <c r="B69" s="67"/>
      <c r="C69" s="69"/>
      <c r="D69" s="69"/>
      <c r="E69" s="67" t="s">
        <v>520</v>
      </c>
      <c r="F69" s="73">
        <v>320</v>
      </c>
      <c r="G69" s="172">
        <f>'参考值-平台主推SKU占比'!$C$9</f>
        <v>2</v>
      </c>
      <c r="H69" s="91"/>
      <c r="I69" s="91">
        <f>'参考值-平台主推SKU占比'!$H$9</f>
        <v>272</v>
      </c>
      <c r="J69" s="91">
        <f>IFERROR(I69/G69,"")</f>
        <v>136</v>
      </c>
      <c r="K69" s="91">
        <f>'假设-成本与任务量'!$I$6</f>
        <v>38</v>
      </c>
      <c r="L69" s="91">
        <f>IFERROR(K69*G69,"")</f>
        <v>76</v>
      </c>
      <c r="M69" s="175"/>
      <c r="N69" s="142"/>
      <c r="O69" s="142"/>
      <c r="P69" s="69"/>
      <c r="Q69" s="67" t="s">
        <v>540</v>
      </c>
      <c r="R69" s="173">
        <f>L68</f>
        <v>76</v>
      </c>
      <c r="S69" s="173">
        <f>L68</f>
        <v>76</v>
      </c>
      <c r="T69" s="173">
        <f>L68</f>
        <v>76</v>
      </c>
      <c r="U69" s="173">
        <f>L68</f>
        <v>76</v>
      </c>
      <c r="V69" s="173">
        <f>L68</f>
        <v>76</v>
      </c>
      <c r="W69" s="173">
        <f>L68</f>
        <v>76</v>
      </c>
      <c r="X69" s="173">
        <f>L68</f>
        <v>76</v>
      </c>
      <c r="Y69" s="173">
        <f>L68</f>
        <v>76</v>
      </c>
      <c r="Z69" s="173">
        <f>L68</f>
        <v>76</v>
      </c>
      <c r="AA69" s="173">
        <f>L68</f>
        <v>76</v>
      </c>
      <c r="AB69" s="173">
        <f>L68</f>
        <v>76</v>
      </c>
      <c r="AC69" s="173">
        <f>L68</f>
        <v>76</v>
      </c>
    </row>
    <row r="70" spans="1:29">
      <c r="A70" s="67"/>
      <c r="B70" s="67"/>
      <c r="C70" s="69"/>
      <c r="D70" s="102" t="s">
        <v>541</v>
      </c>
      <c r="E70" s="67"/>
      <c r="F70" s="73"/>
      <c r="G70" s="172"/>
      <c r="H70" s="176"/>
      <c r="I70" s="176">
        <f>I71</f>
        <v>378</v>
      </c>
      <c r="J70" s="176">
        <f>J71</f>
        <v>126</v>
      </c>
      <c r="K70" s="176">
        <f>K71</f>
        <v>38</v>
      </c>
      <c r="L70" s="176">
        <f>L71</f>
        <v>114</v>
      </c>
      <c r="M70" s="177">
        <f>'参考值-平台主推SKU占比'!$F$10</f>
        <v>2.2222222222222199E-2</v>
      </c>
      <c r="N70" s="142"/>
      <c r="O70" s="142"/>
      <c r="P70" s="69"/>
      <c r="Q70" s="67" t="s">
        <v>542</v>
      </c>
      <c r="R70" s="173">
        <f>I70</f>
        <v>378</v>
      </c>
      <c r="S70" s="173">
        <f>I70</f>
        <v>378</v>
      </c>
      <c r="T70" s="173">
        <f>I70</f>
        <v>378</v>
      </c>
      <c r="U70" s="173">
        <f>I70</f>
        <v>378</v>
      </c>
      <c r="V70" s="173">
        <f>I70</f>
        <v>378</v>
      </c>
      <c r="W70" s="173">
        <f>I70</f>
        <v>378</v>
      </c>
      <c r="X70" s="173">
        <f>I70</f>
        <v>378</v>
      </c>
      <c r="Y70" s="173">
        <f>I70</f>
        <v>378</v>
      </c>
      <c r="Z70" s="173">
        <f>I70</f>
        <v>378</v>
      </c>
      <c r="AA70" s="173">
        <f>I70</f>
        <v>378</v>
      </c>
      <c r="AB70" s="173">
        <f>I70</f>
        <v>378</v>
      </c>
      <c r="AC70" s="173">
        <f>I70</f>
        <v>378</v>
      </c>
    </row>
    <row r="71" spans="1:29">
      <c r="A71" s="67"/>
      <c r="B71" s="67"/>
      <c r="C71" s="69"/>
      <c r="D71" s="69"/>
      <c r="E71" s="67" t="s">
        <v>520</v>
      </c>
      <c r="F71" s="73">
        <v>320</v>
      </c>
      <c r="G71" s="172">
        <f>'参考值-平台主推SKU占比'!$C$10</f>
        <v>3</v>
      </c>
      <c r="H71" s="91"/>
      <c r="I71" s="91">
        <f>'参考值-平台主推SKU占比'!$H$10</f>
        <v>378</v>
      </c>
      <c r="J71" s="91">
        <f>IFERROR(I71/G71,"")</f>
        <v>126</v>
      </c>
      <c r="K71" s="91">
        <f>'假设-成本与任务量'!$I$6</f>
        <v>38</v>
      </c>
      <c r="L71" s="91">
        <f>IFERROR(K71*G71,"")</f>
        <v>114</v>
      </c>
      <c r="M71" s="175"/>
      <c r="N71" s="142"/>
      <c r="O71" s="142"/>
      <c r="P71" s="69"/>
      <c r="Q71" s="67" t="s">
        <v>543</v>
      </c>
      <c r="R71" s="173">
        <f>L70</f>
        <v>114</v>
      </c>
      <c r="S71" s="173">
        <f>L70</f>
        <v>114</v>
      </c>
      <c r="T71" s="173">
        <f>L70</f>
        <v>114</v>
      </c>
      <c r="U71" s="173">
        <f>L70</f>
        <v>114</v>
      </c>
      <c r="V71" s="173">
        <f>L70</f>
        <v>114</v>
      </c>
      <c r="W71" s="173">
        <f>L70</f>
        <v>114</v>
      </c>
      <c r="X71" s="173">
        <f>L70</f>
        <v>114</v>
      </c>
      <c r="Y71" s="173">
        <f>L70</f>
        <v>114</v>
      </c>
      <c r="Z71" s="173">
        <f>L70</f>
        <v>114</v>
      </c>
      <c r="AA71" s="173">
        <f>L70</f>
        <v>114</v>
      </c>
      <c r="AB71" s="173">
        <f>L70</f>
        <v>114</v>
      </c>
      <c r="AC71" s="173">
        <f>L70</f>
        <v>114</v>
      </c>
    </row>
    <row r="72" spans="1:29">
      <c r="A72" s="67"/>
      <c r="B72" s="67"/>
      <c r="C72" s="69"/>
      <c r="D72" s="102" t="s">
        <v>544</v>
      </c>
      <c r="E72" s="67"/>
      <c r="F72" s="73"/>
      <c r="G72" s="172"/>
      <c r="H72" s="176"/>
      <c r="I72" s="176">
        <f>I73</f>
        <v>2598</v>
      </c>
      <c r="J72" s="176">
        <f>J73</f>
        <v>216.5</v>
      </c>
      <c r="K72" s="176">
        <f>K73</f>
        <v>105</v>
      </c>
      <c r="L72" s="176">
        <f>L73</f>
        <v>1260</v>
      </c>
      <c r="M72" s="177">
        <f>'参考值-平台主推SKU占比'!$F$11</f>
        <v>1.1111111111111099E-2</v>
      </c>
      <c r="N72" s="142"/>
      <c r="O72" s="142"/>
      <c r="P72" s="69"/>
      <c r="Q72" s="67" t="s">
        <v>545</v>
      </c>
      <c r="R72" s="173">
        <f>I72</f>
        <v>2598</v>
      </c>
      <c r="S72" s="173">
        <f>I72</f>
        <v>2598</v>
      </c>
      <c r="T72" s="173">
        <f>I72</f>
        <v>2598</v>
      </c>
      <c r="U72" s="173">
        <f>I72</f>
        <v>2598</v>
      </c>
      <c r="V72" s="173">
        <f>I72</f>
        <v>2598</v>
      </c>
      <c r="W72" s="173">
        <f>I72</f>
        <v>2598</v>
      </c>
      <c r="X72" s="173">
        <f>I72</f>
        <v>2598</v>
      </c>
      <c r="Y72" s="173">
        <f>I72</f>
        <v>2598</v>
      </c>
      <c r="Z72" s="173">
        <f>I72</f>
        <v>2598</v>
      </c>
      <c r="AA72" s="173">
        <f>I72</f>
        <v>2598</v>
      </c>
      <c r="AB72" s="173">
        <f>I72</f>
        <v>2598</v>
      </c>
      <c r="AC72" s="173">
        <f>I72</f>
        <v>2598</v>
      </c>
    </row>
    <row r="73" spans="1:29">
      <c r="A73" s="67"/>
      <c r="B73" s="67"/>
      <c r="C73" s="69"/>
      <c r="D73" s="69"/>
      <c r="E73" s="67" t="s">
        <v>527</v>
      </c>
      <c r="F73" s="73">
        <v>700</v>
      </c>
      <c r="G73" s="172">
        <f>'参考值-平台主推SKU占比'!$C$11</f>
        <v>12</v>
      </c>
      <c r="H73" s="91"/>
      <c r="I73" s="91">
        <f>'参考值-平台主推SKU占比'!$H$11</f>
        <v>2598</v>
      </c>
      <c r="J73" s="91">
        <f>IFERROR(I73/G73,"")</f>
        <v>216.5</v>
      </c>
      <c r="K73" s="91">
        <f>'假设-成本与任务量'!$I$4</f>
        <v>105</v>
      </c>
      <c r="L73" s="91">
        <f>IFERROR(K73*G73,"")</f>
        <v>1260</v>
      </c>
      <c r="M73" s="175"/>
      <c r="N73" s="142"/>
      <c r="O73" s="142"/>
      <c r="P73" s="69"/>
      <c r="Q73" s="67" t="s">
        <v>546</v>
      </c>
      <c r="R73" s="173">
        <f>L72</f>
        <v>1260</v>
      </c>
      <c r="S73" s="173">
        <f>L72</f>
        <v>1260</v>
      </c>
      <c r="T73" s="173">
        <f>L72</f>
        <v>1260</v>
      </c>
      <c r="U73" s="173">
        <f>L72</f>
        <v>1260</v>
      </c>
      <c r="V73" s="173">
        <f>L72</f>
        <v>1260</v>
      </c>
      <c r="W73" s="173">
        <f>L72</f>
        <v>1260</v>
      </c>
      <c r="X73" s="173">
        <f>L72</f>
        <v>1260</v>
      </c>
      <c r="Y73" s="173">
        <f>L72</f>
        <v>1260</v>
      </c>
      <c r="Z73" s="173">
        <f>L72</f>
        <v>1260</v>
      </c>
      <c r="AA73" s="173">
        <f>L72</f>
        <v>1260</v>
      </c>
      <c r="AB73" s="173">
        <f>L72</f>
        <v>1260</v>
      </c>
      <c r="AC73" s="173">
        <f>L72</f>
        <v>1260</v>
      </c>
    </row>
    <row r="74" spans="1:29">
      <c r="A74" s="67"/>
      <c r="B74" s="67"/>
      <c r="C74" s="69"/>
      <c r="D74" s="102" t="s">
        <v>547</v>
      </c>
      <c r="E74" s="67"/>
      <c r="F74" s="73"/>
      <c r="G74" s="172"/>
      <c r="H74" s="176"/>
      <c r="I74" s="176">
        <f>I75</f>
        <v>2461.0500000000002</v>
      </c>
      <c r="J74" s="176">
        <f>J75</f>
        <v>615.26250000000005</v>
      </c>
      <c r="K74" s="176">
        <f>K75</f>
        <v>8</v>
      </c>
      <c r="L74" s="176">
        <f>L75</f>
        <v>32</v>
      </c>
      <c r="M74" s="177">
        <f>'参考值-平台主推SKU占比'!$F$12</f>
        <v>1.1111111111111099E-2</v>
      </c>
      <c r="N74" s="142"/>
      <c r="O74" s="142"/>
      <c r="P74" s="69"/>
      <c r="Q74" s="67" t="s">
        <v>548</v>
      </c>
      <c r="R74" s="173">
        <f>I74</f>
        <v>2461.0500000000002</v>
      </c>
      <c r="S74" s="173">
        <f>I74</f>
        <v>2461.0500000000002</v>
      </c>
      <c r="T74" s="173">
        <f>I74</f>
        <v>2461.0500000000002</v>
      </c>
      <c r="U74" s="173">
        <f>I74</f>
        <v>2461.0500000000002</v>
      </c>
      <c r="V74" s="173">
        <f>I74</f>
        <v>2461.0500000000002</v>
      </c>
      <c r="W74" s="173">
        <f>I74</f>
        <v>2461.0500000000002</v>
      </c>
      <c r="X74" s="173">
        <f>I74</f>
        <v>2461.0500000000002</v>
      </c>
      <c r="Y74" s="173">
        <f>I74</f>
        <v>2461.0500000000002</v>
      </c>
      <c r="Z74" s="173">
        <f>I74</f>
        <v>2461.0500000000002</v>
      </c>
      <c r="AA74" s="173">
        <f>I74</f>
        <v>2461.0500000000002</v>
      </c>
      <c r="AB74" s="173">
        <f>I74</f>
        <v>2461.0500000000002</v>
      </c>
      <c r="AC74" s="173">
        <f>I74</f>
        <v>2461.0500000000002</v>
      </c>
    </row>
    <row r="75" spans="1:29">
      <c r="A75" s="67"/>
      <c r="B75" s="67"/>
      <c r="C75" s="69"/>
      <c r="D75" s="69"/>
      <c r="E75" s="67" t="s">
        <v>559</v>
      </c>
      <c r="F75" s="73">
        <v>60</v>
      </c>
      <c r="G75" s="172">
        <f>'参考值-平台主推SKU占比'!$C$12</f>
        <v>4</v>
      </c>
      <c r="H75" s="91"/>
      <c r="I75" s="91">
        <f>'参考值-平台主推SKU占比'!$H$12</f>
        <v>2461.0500000000002</v>
      </c>
      <c r="J75" s="91">
        <f>IFERROR(I75/G75,"")</f>
        <v>615.26250000000005</v>
      </c>
      <c r="K75" s="91">
        <f>'假设-成本与任务量'!$I$8</f>
        <v>8</v>
      </c>
      <c r="L75" s="91">
        <f>IFERROR(K75*G75,"")</f>
        <v>32</v>
      </c>
      <c r="M75" s="175">
        <f>M77+M79+M81+M83</f>
        <v>0.99999999999999967</v>
      </c>
      <c r="N75" s="142" t="s">
        <v>293</v>
      </c>
      <c r="O75" s="142"/>
      <c r="P75" s="69"/>
      <c r="Q75" s="67" t="s">
        <v>549</v>
      </c>
      <c r="R75" s="173">
        <f>L74</f>
        <v>32</v>
      </c>
      <c r="S75" s="173">
        <f>L74</f>
        <v>32</v>
      </c>
      <c r="T75" s="173">
        <f>L74</f>
        <v>32</v>
      </c>
      <c r="U75" s="173">
        <f>L74</f>
        <v>32</v>
      </c>
      <c r="V75" s="173">
        <f>L74</f>
        <v>32</v>
      </c>
      <c r="W75" s="173">
        <f>L74</f>
        <v>32</v>
      </c>
      <c r="X75" s="173">
        <f>L74</f>
        <v>32</v>
      </c>
      <c r="Y75" s="173">
        <f>L74</f>
        <v>32</v>
      </c>
      <c r="Z75" s="173">
        <f>L74</f>
        <v>32</v>
      </c>
      <c r="AA75" s="173">
        <f>L74</f>
        <v>32</v>
      </c>
      <c r="AB75" s="173">
        <f>L74</f>
        <v>32</v>
      </c>
      <c r="AC75" s="173">
        <f>L74</f>
        <v>32</v>
      </c>
    </row>
    <row r="76" spans="1:29">
      <c r="A76" s="67"/>
      <c r="B76" s="67"/>
      <c r="C76" s="102" t="s">
        <v>278</v>
      </c>
      <c r="D76" s="69"/>
      <c r="E76" s="69"/>
      <c r="F76" s="73"/>
      <c r="G76" s="172"/>
      <c r="H76" s="173"/>
      <c r="I76" s="173"/>
      <c r="J76" s="173"/>
      <c r="K76" s="173"/>
      <c r="L76" s="173"/>
      <c r="M76" s="175"/>
      <c r="N76" s="142"/>
      <c r="O76" s="142"/>
      <c r="P76" s="69"/>
      <c r="Q76" s="69"/>
      <c r="R76" s="165"/>
      <c r="S76" s="165"/>
      <c r="T76" s="165"/>
      <c r="U76" s="165"/>
      <c r="V76" s="165"/>
      <c r="W76" s="165"/>
      <c r="X76" s="165"/>
      <c r="Y76" s="165"/>
      <c r="Z76" s="165"/>
      <c r="AA76" s="165"/>
      <c r="AB76" s="165"/>
      <c r="AC76" s="165"/>
    </row>
    <row r="77" spans="1:29">
      <c r="A77" s="67"/>
      <c r="B77" s="67"/>
      <c r="C77" s="69"/>
      <c r="D77" s="102" t="s">
        <v>518</v>
      </c>
      <c r="E77" s="67"/>
      <c r="F77" s="73"/>
      <c r="G77" s="172"/>
      <c r="H77" s="176"/>
      <c r="I77" s="176">
        <f>I78</f>
        <v>288</v>
      </c>
      <c r="J77" s="176">
        <f>J78</f>
        <v>288</v>
      </c>
      <c r="K77" s="176">
        <f>K78</f>
        <v>105</v>
      </c>
      <c r="L77" s="176">
        <f>L78</f>
        <v>105</v>
      </c>
      <c r="M77" s="177">
        <f>'参考值-平台主推SKU占比'!$F$102</f>
        <v>0.69230769230769196</v>
      </c>
      <c r="N77" s="142"/>
      <c r="O77" s="142"/>
      <c r="P77" s="69"/>
      <c r="Q77" s="67" t="s">
        <v>519</v>
      </c>
      <c r="R77" s="173">
        <f>I77</f>
        <v>288</v>
      </c>
      <c r="S77" s="173">
        <f>I77</f>
        <v>288</v>
      </c>
      <c r="T77" s="173">
        <f>I77</f>
        <v>288</v>
      </c>
      <c r="U77" s="173">
        <f>I77</f>
        <v>288</v>
      </c>
      <c r="V77" s="173">
        <f>I77</f>
        <v>288</v>
      </c>
      <c r="W77" s="173">
        <f>I77</f>
        <v>288</v>
      </c>
      <c r="X77" s="173">
        <f>I77</f>
        <v>288</v>
      </c>
      <c r="Y77" s="173">
        <f>I77</f>
        <v>288</v>
      </c>
      <c r="Z77" s="173">
        <f>I77</f>
        <v>288</v>
      </c>
      <c r="AA77" s="173">
        <f>I77</f>
        <v>288</v>
      </c>
      <c r="AB77" s="173">
        <f>I77</f>
        <v>288</v>
      </c>
      <c r="AC77" s="173">
        <f>I77</f>
        <v>288</v>
      </c>
    </row>
    <row r="78" spans="1:29">
      <c r="A78" s="67"/>
      <c r="B78" s="67"/>
      <c r="C78" s="69"/>
      <c r="D78" s="69"/>
      <c r="E78" s="67" t="s">
        <v>527</v>
      </c>
      <c r="F78" s="73">
        <v>700</v>
      </c>
      <c r="G78" s="172">
        <f>'参考值-平台主推SKU占比'!$C$102</f>
        <v>1</v>
      </c>
      <c r="H78" s="91"/>
      <c r="I78" s="91">
        <f>'参考值-平台主推SKU占比'!$H$102</f>
        <v>288</v>
      </c>
      <c r="J78" s="91">
        <f>IFERROR(I78/G78,"")</f>
        <v>288</v>
      </c>
      <c r="K78" s="91">
        <f>'假设-成本与任务量'!$I$4</f>
        <v>105</v>
      </c>
      <c r="L78" s="91">
        <f>IFERROR(K78*G78,"")</f>
        <v>105</v>
      </c>
      <c r="M78" s="175"/>
      <c r="N78" s="142"/>
      <c r="O78" s="142"/>
      <c r="P78" s="69"/>
      <c r="Q78" s="67" t="s">
        <v>521</v>
      </c>
      <c r="R78" s="173">
        <f>L77</f>
        <v>105</v>
      </c>
      <c r="S78" s="173">
        <f>L77</f>
        <v>105</v>
      </c>
      <c r="T78" s="173">
        <f>L77</f>
        <v>105</v>
      </c>
      <c r="U78" s="173">
        <f>L77</f>
        <v>105</v>
      </c>
      <c r="V78" s="173">
        <f>L77</f>
        <v>105</v>
      </c>
      <c r="W78" s="173">
        <f>L77</f>
        <v>105</v>
      </c>
      <c r="X78" s="173">
        <f>L77</f>
        <v>105</v>
      </c>
      <c r="Y78" s="173">
        <f>L77</f>
        <v>105</v>
      </c>
      <c r="Z78" s="173">
        <f>L77</f>
        <v>105</v>
      </c>
      <c r="AA78" s="173">
        <f>L77</f>
        <v>105</v>
      </c>
      <c r="AB78" s="173">
        <f>L77</f>
        <v>105</v>
      </c>
      <c r="AC78" s="173">
        <f>L77</f>
        <v>105</v>
      </c>
    </row>
    <row r="79" spans="1:29">
      <c r="A79" s="67"/>
      <c r="B79" s="67"/>
      <c r="C79" s="69"/>
      <c r="D79" s="102" t="s">
        <v>522</v>
      </c>
      <c r="E79" s="67"/>
      <c r="F79" s="73"/>
      <c r="G79" s="172"/>
      <c r="H79" s="176"/>
      <c r="I79" s="176">
        <f>I80</f>
        <v>252</v>
      </c>
      <c r="J79" s="176">
        <f>J80</f>
        <v>126</v>
      </c>
      <c r="K79" s="176">
        <f>K80</f>
        <v>38</v>
      </c>
      <c r="L79" s="176">
        <f>L80</f>
        <v>76</v>
      </c>
      <c r="M79" s="177">
        <f>'参考值-平台主推SKU占比'!$F$103</f>
        <v>0.15384615384615399</v>
      </c>
      <c r="N79" s="142"/>
      <c r="O79" s="142"/>
      <c r="P79" s="69"/>
      <c r="Q79" s="67" t="s">
        <v>523</v>
      </c>
      <c r="R79" s="173">
        <f>I79</f>
        <v>252</v>
      </c>
      <c r="S79" s="173">
        <f>I79</f>
        <v>252</v>
      </c>
      <c r="T79" s="173">
        <f>I79</f>
        <v>252</v>
      </c>
      <c r="U79" s="173">
        <f>I79</f>
        <v>252</v>
      </c>
      <c r="V79" s="173">
        <f>I79</f>
        <v>252</v>
      </c>
      <c r="W79" s="173">
        <f>I79</f>
        <v>252</v>
      </c>
      <c r="X79" s="173">
        <f>I79</f>
        <v>252</v>
      </c>
      <c r="Y79" s="173">
        <f>I79</f>
        <v>252</v>
      </c>
      <c r="Z79" s="173">
        <f>I79</f>
        <v>252</v>
      </c>
      <c r="AA79" s="173">
        <f>I79</f>
        <v>252</v>
      </c>
      <c r="AB79" s="173">
        <f>I79</f>
        <v>252</v>
      </c>
      <c r="AC79" s="173">
        <f>I79</f>
        <v>252</v>
      </c>
    </row>
    <row r="80" spans="1:29">
      <c r="A80" s="67"/>
      <c r="B80" s="67"/>
      <c r="C80" s="69"/>
      <c r="D80" s="69"/>
      <c r="E80" s="67" t="s">
        <v>520</v>
      </c>
      <c r="F80" s="73">
        <v>320</v>
      </c>
      <c r="G80" s="172">
        <f>'参考值-平台主推SKU占比'!$C$103</f>
        <v>2</v>
      </c>
      <c r="H80" s="91"/>
      <c r="I80" s="91">
        <f>'参考值-平台主推SKU占比'!$H$103</f>
        <v>252</v>
      </c>
      <c r="J80" s="91">
        <f>IFERROR(I80/G80,"")</f>
        <v>126</v>
      </c>
      <c r="K80" s="91">
        <f>'假设-成本与任务量'!$I$6</f>
        <v>38</v>
      </c>
      <c r="L80" s="91">
        <f>IFERROR(K80*G80,"")</f>
        <v>76</v>
      </c>
      <c r="M80" s="175"/>
      <c r="N80" s="142"/>
      <c r="O80" s="142"/>
      <c r="P80" s="69"/>
      <c r="Q80" s="67" t="s">
        <v>524</v>
      </c>
      <c r="R80" s="173">
        <f>L79</f>
        <v>76</v>
      </c>
      <c r="S80" s="173">
        <f>L79</f>
        <v>76</v>
      </c>
      <c r="T80" s="173">
        <f>L79</f>
        <v>76</v>
      </c>
      <c r="U80" s="173">
        <f>L79</f>
        <v>76</v>
      </c>
      <c r="V80" s="173">
        <f>L79</f>
        <v>76</v>
      </c>
      <c r="W80" s="173">
        <f>L79</f>
        <v>76</v>
      </c>
      <c r="X80" s="173">
        <f>L79</f>
        <v>76</v>
      </c>
      <c r="Y80" s="173">
        <f>L79</f>
        <v>76</v>
      </c>
      <c r="Z80" s="173">
        <f>L79</f>
        <v>76</v>
      </c>
      <c r="AA80" s="173">
        <f>L79</f>
        <v>76</v>
      </c>
      <c r="AB80" s="173">
        <f>L79</f>
        <v>76</v>
      </c>
      <c r="AC80" s="173">
        <f>L79</f>
        <v>76</v>
      </c>
    </row>
    <row r="81" spans="1:29">
      <c r="A81" s="67"/>
      <c r="B81" s="67"/>
      <c r="C81" s="69"/>
      <c r="D81" s="102" t="s">
        <v>525</v>
      </c>
      <c r="E81" s="67"/>
      <c r="F81" s="73"/>
      <c r="G81" s="172"/>
      <c r="H81" s="176"/>
      <c r="I81" s="176">
        <f>I82</f>
        <v>158</v>
      </c>
      <c r="J81" s="176">
        <f>J82</f>
        <v>158</v>
      </c>
      <c r="K81" s="176">
        <f>K82</f>
        <v>38</v>
      </c>
      <c r="L81" s="176">
        <f>L82</f>
        <v>38</v>
      </c>
      <c r="M81" s="177">
        <f>'参考值-平台主推SKU占比'!$F$104</f>
        <v>7.69230769230769E-2</v>
      </c>
      <c r="N81" s="142"/>
      <c r="O81" s="142"/>
      <c r="P81" s="69"/>
      <c r="Q81" s="67" t="s">
        <v>526</v>
      </c>
      <c r="R81" s="173">
        <f>I81</f>
        <v>158</v>
      </c>
      <c r="S81" s="173">
        <f>I81</f>
        <v>158</v>
      </c>
      <c r="T81" s="173">
        <f>I81</f>
        <v>158</v>
      </c>
      <c r="U81" s="173">
        <f>I81</f>
        <v>158</v>
      </c>
      <c r="V81" s="173">
        <f>I81</f>
        <v>158</v>
      </c>
      <c r="W81" s="173">
        <f>I81</f>
        <v>158</v>
      </c>
      <c r="X81" s="173">
        <f>I81</f>
        <v>158</v>
      </c>
      <c r="Y81" s="173">
        <f>I81</f>
        <v>158</v>
      </c>
      <c r="Z81" s="173">
        <f>I81</f>
        <v>158</v>
      </c>
      <c r="AA81" s="173">
        <f>I81</f>
        <v>158</v>
      </c>
      <c r="AB81" s="173">
        <f>I81</f>
        <v>158</v>
      </c>
      <c r="AC81" s="173">
        <f>I81</f>
        <v>158</v>
      </c>
    </row>
    <row r="82" spans="1:29">
      <c r="A82" s="67"/>
      <c r="B82" s="67"/>
      <c r="C82" s="69"/>
      <c r="D82" s="69"/>
      <c r="E82" s="67" t="s">
        <v>520</v>
      </c>
      <c r="F82" s="73">
        <v>320</v>
      </c>
      <c r="G82" s="172">
        <f>'参考值-平台主推SKU占比'!$C$104</f>
        <v>1</v>
      </c>
      <c r="H82" s="91"/>
      <c r="I82" s="91">
        <f>'参考值-平台主推SKU占比'!$H$104</f>
        <v>158</v>
      </c>
      <c r="J82" s="91">
        <f>IFERROR(I82/G82,"")</f>
        <v>158</v>
      </c>
      <c r="K82" s="91">
        <f>'假设-成本与任务量'!$I$6</f>
        <v>38</v>
      </c>
      <c r="L82" s="91">
        <f>IFERROR(K82*G82,"")</f>
        <v>38</v>
      </c>
      <c r="M82" s="175"/>
      <c r="N82" s="142"/>
      <c r="O82" s="142"/>
      <c r="P82" s="69"/>
      <c r="Q82" s="67" t="s">
        <v>528</v>
      </c>
      <c r="R82" s="173">
        <f>L81</f>
        <v>38</v>
      </c>
      <c r="S82" s="173">
        <f>L81</f>
        <v>38</v>
      </c>
      <c r="T82" s="173">
        <f>L81</f>
        <v>38</v>
      </c>
      <c r="U82" s="173">
        <f>L81</f>
        <v>38</v>
      </c>
      <c r="V82" s="173">
        <f>L81</f>
        <v>38</v>
      </c>
      <c r="W82" s="173">
        <f>L81</f>
        <v>38</v>
      </c>
      <c r="X82" s="173">
        <f>L81</f>
        <v>38</v>
      </c>
      <c r="Y82" s="173">
        <f>L81</f>
        <v>38</v>
      </c>
      <c r="Z82" s="173">
        <f>L81</f>
        <v>38</v>
      </c>
      <c r="AA82" s="173">
        <f>L81</f>
        <v>38</v>
      </c>
      <c r="AB82" s="173">
        <f>L81</f>
        <v>38</v>
      </c>
      <c r="AC82" s="173">
        <f>L81</f>
        <v>38</v>
      </c>
    </row>
    <row r="83" spans="1:29">
      <c r="A83" s="67"/>
      <c r="B83" s="67"/>
      <c r="C83" s="69"/>
      <c r="D83" s="102" t="s">
        <v>529</v>
      </c>
      <c r="E83" s="67"/>
      <c r="F83" s="73"/>
      <c r="G83" s="172"/>
      <c r="H83" s="176"/>
      <c r="I83" s="176">
        <f>I84</f>
        <v>504</v>
      </c>
      <c r="J83" s="176">
        <f>J84</f>
        <v>126</v>
      </c>
      <c r="K83" s="176">
        <f>K84</f>
        <v>38</v>
      </c>
      <c r="L83" s="176">
        <f>L84</f>
        <v>152</v>
      </c>
      <c r="M83" s="177">
        <f>'参考值-平台主推SKU占比'!$F$105</f>
        <v>7.69230769230769E-2</v>
      </c>
      <c r="N83" s="142"/>
      <c r="O83" s="142"/>
      <c r="P83" s="69"/>
      <c r="Q83" s="67" t="s">
        <v>530</v>
      </c>
      <c r="R83" s="173">
        <f>I83</f>
        <v>504</v>
      </c>
      <c r="S83" s="173">
        <f>I83</f>
        <v>504</v>
      </c>
      <c r="T83" s="173">
        <f>I83</f>
        <v>504</v>
      </c>
      <c r="U83" s="173">
        <f>I83</f>
        <v>504</v>
      </c>
      <c r="V83" s="173">
        <f>I83</f>
        <v>504</v>
      </c>
      <c r="W83" s="173">
        <f>I83</f>
        <v>504</v>
      </c>
      <c r="X83" s="173">
        <f>I83</f>
        <v>504</v>
      </c>
      <c r="Y83" s="173">
        <f>I83</f>
        <v>504</v>
      </c>
      <c r="Z83" s="173">
        <f>I83</f>
        <v>504</v>
      </c>
      <c r="AA83" s="173">
        <f>I83</f>
        <v>504</v>
      </c>
      <c r="AB83" s="173">
        <f>I83</f>
        <v>504</v>
      </c>
      <c r="AC83" s="173">
        <f>I83</f>
        <v>504</v>
      </c>
    </row>
    <row r="84" spans="1:29">
      <c r="A84" s="67"/>
      <c r="B84" s="67"/>
      <c r="C84" s="69"/>
      <c r="D84" s="69"/>
      <c r="E84" s="67" t="s">
        <v>520</v>
      </c>
      <c r="F84" s="73">
        <v>320</v>
      </c>
      <c r="G84" s="172">
        <f>'参考值-平台主推SKU占比'!$C$105</f>
        <v>4</v>
      </c>
      <c r="H84" s="91"/>
      <c r="I84" s="91">
        <f>'参考值-平台主推SKU占比'!$H$105</f>
        <v>504</v>
      </c>
      <c r="J84" s="91">
        <f>IFERROR(I84/G84,"")</f>
        <v>126</v>
      </c>
      <c r="K84" s="91">
        <f>'假设-成本与任务量'!$I$6</f>
        <v>38</v>
      </c>
      <c r="L84" s="91">
        <f>IFERROR(K84*G84,"")</f>
        <v>152</v>
      </c>
      <c r="M84" s="175">
        <f>M86+M88+M90+M92+M94+M96+M98+M100+M102+M104+M106+M108+M110+M112+M114+M116+M118+M120+M122+M124+M126+M128+M130+M132+M134+M136+M138+M140+M142+M144+M146+M148+M150+M152+M154+M156+M158+M160+M162+M164+M166+M168+M170+M172+M174+M176+M178+M180+M182+M184+M186+M188+M190+M192+M194+M196+M198+M200+M202+M204+M206+M208+M210+M212+M214+M216+M218+M220</f>
        <v>0.99999999999999933</v>
      </c>
      <c r="N84" s="142" t="s">
        <v>293</v>
      </c>
      <c r="O84" s="142"/>
      <c r="P84" s="69"/>
      <c r="Q84" s="67" t="s">
        <v>531</v>
      </c>
      <c r="R84" s="173">
        <f>L83</f>
        <v>152</v>
      </c>
      <c r="S84" s="173">
        <f>L83</f>
        <v>152</v>
      </c>
      <c r="T84" s="173">
        <f>L83</f>
        <v>152</v>
      </c>
      <c r="U84" s="173">
        <f>L83</f>
        <v>152</v>
      </c>
      <c r="V84" s="173">
        <f>L83</f>
        <v>152</v>
      </c>
      <c r="W84" s="173">
        <f>L83</f>
        <v>152</v>
      </c>
      <c r="X84" s="173">
        <f>L83</f>
        <v>152</v>
      </c>
      <c r="Y84" s="173">
        <f>L83</f>
        <v>152</v>
      </c>
      <c r="Z84" s="173">
        <f>L83</f>
        <v>152</v>
      </c>
      <c r="AA84" s="173">
        <f>L83</f>
        <v>152</v>
      </c>
      <c r="AB84" s="173">
        <f>L83</f>
        <v>152</v>
      </c>
      <c r="AC84" s="173">
        <f>L83</f>
        <v>152</v>
      </c>
    </row>
    <row r="85" spans="1:29">
      <c r="A85" s="67"/>
      <c r="B85" s="67"/>
      <c r="C85" s="102" t="s">
        <v>153</v>
      </c>
      <c r="D85" s="69"/>
      <c r="E85" s="69"/>
      <c r="F85" s="73"/>
      <c r="G85" s="172"/>
      <c r="H85" s="173"/>
      <c r="I85" s="173"/>
      <c r="J85" s="173"/>
      <c r="K85" s="173"/>
      <c r="L85" s="173"/>
      <c r="M85" s="175"/>
      <c r="N85" s="142"/>
      <c r="O85" s="142"/>
      <c r="P85" s="69"/>
      <c r="Q85" s="69"/>
      <c r="R85" s="165"/>
      <c r="S85" s="165"/>
      <c r="T85" s="165"/>
      <c r="U85" s="165"/>
      <c r="V85" s="165"/>
      <c r="W85" s="165"/>
      <c r="X85" s="165"/>
      <c r="Y85" s="165"/>
      <c r="Z85" s="165"/>
      <c r="AA85" s="165"/>
      <c r="AB85" s="165"/>
      <c r="AC85" s="165"/>
    </row>
    <row r="86" spans="1:29">
      <c r="A86" s="67"/>
      <c r="B86" s="67"/>
      <c r="C86" s="69"/>
      <c r="D86" s="102" t="s">
        <v>518</v>
      </c>
      <c r="E86" s="67"/>
      <c r="F86" s="73"/>
      <c r="G86" s="172"/>
      <c r="H86" s="176"/>
      <c r="I86" s="176">
        <f>I87</f>
        <v>2856</v>
      </c>
      <c r="J86" s="176">
        <f>J87</f>
        <v>119</v>
      </c>
      <c r="K86" s="176">
        <f>K87</f>
        <v>38</v>
      </c>
      <c r="L86" s="176">
        <f>L87</f>
        <v>912</v>
      </c>
      <c r="M86" s="177">
        <f>'参考值-平台主推SKU占比'!$F$22</f>
        <v>0.23109243697479001</v>
      </c>
      <c r="N86" s="142"/>
      <c r="O86" s="142"/>
      <c r="P86" s="69"/>
      <c r="Q86" s="67" t="s">
        <v>519</v>
      </c>
      <c r="R86" s="173">
        <f>I86</f>
        <v>2856</v>
      </c>
      <c r="S86" s="173">
        <f>I86</f>
        <v>2856</v>
      </c>
      <c r="T86" s="173">
        <f>I86</f>
        <v>2856</v>
      </c>
      <c r="U86" s="173">
        <f>I86</f>
        <v>2856</v>
      </c>
      <c r="V86" s="173">
        <f>I86</f>
        <v>2856</v>
      </c>
      <c r="W86" s="173">
        <f>I86</f>
        <v>2856</v>
      </c>
      <c r="X86" s="173">
        <f>I86</f>
        <v>2856</v>
      </c>
      <c r="Y86" s="173">
        <f>I86</f>
        <v>2856</v>
      </c>
      <c r="Z86" s="173">
        <f>I86</f>
        <v>2856</v>
      </c>
      <c r="AA86" s="173">
        <f>I86</f>
        <v>2856</v>
      </c>
      <c r="AB86" s="173">
        <f>I86</f>
        <v>2856</v>
      </c>
      <c r="AC86" s="173">
        <f>I86</f>
        <v>2856</v>
      </c>
    </row>
    <row r="87" spans="1:29">
      <c r="A87" s="67"/>
      <c r="B87" s="67"/>
      <c r="C87" s="69"/>
      <c r="D87" s="69"/>
      <c r="E87" s="67" t="s">
        <v>520</v>
      </c>
      <c r="F87" s="73">
        <v>320</v>
      </c>
      <c r="G87" s="172">
        <f>'参考值-平台主推SKU占比'!$C$22</f>
        <v>24</v>
      </c>
      <c r="H87" s="91"/>
      <c r="I87" s="91">
        <f>'参考值-平台主推SKU占比'!$H$22</f>
        <v>2856</v>
      </c>
      <c r="J87" s="91">
        <f>IFERROR(I87/G87,"")</f>
        <v>119</v>
      </c>
      <c r="K87" s="91">
        <f>'假设-成本与任务量'!$I$6</f>
        <v>38</v>
      </c>
      <c r="L87" s="91">
        <f>IFERROR(K87*G87,"")</f>
        <v>912</v>
      </c>
      <c r="M87" s="175"/>
      <c r="N87" s="142"/>
      <c r="O87" s="142"/>
      <c r="P87" s="69"/>
      <c r="Q87" s="67" t="s">
        <v>521</v>
      </c>
      <c r="R87" s="173">
        <f>L86</f>
        <v>912</v>
      </c>
      <c r="S87" s="173">
        <f>L86</f>
        <v>912</v>
      </c>
      <c r="T87" s="173">
        <f>L86</f>
        <v>912</v>
      </c>
      <c r="U87" s="173">
        <f>L86</f>
        <v>912</v>
      </c>
      <c r="V87" s="173">
        <f>L86</f>
        <v>912</v>
      </c>
      <c r="W87" s="173">
        <f>L86</f>
        <v>912</v>
      </c>
      <c r="X87" s="173">
        <f>L86</f>
        <v>912</v>
      </c>
      <c r="Y87" s="173">
        <f>L86</f>
        <v>912</v>
      </c>
      <c r="Z87" s="173">
        <f>L86</f>
        <v>912</v>
      </c>
      <c r="AA87" s="173">
        <f>L86</f>
        <v>912</v>
      </c>
      <c r="AB87" s="173">
        <f>L86</f>
        <v>912</v>
      </c>
      <c r="AC87" s="173">
        <f>L86</f>
        <v>912</v>
      </c>
    </row>
    <row r="88" spans="1:29">
      <c r="A88" s="67"/>
      <c r="B88" s="67"/>
      <c r="C88" s="69"/>
      <c r="D88" s="102" t="s">
        <v>522</v>
      </c>
      <c r="E88" s="67"/>
      <c r="F88" s="73"/>
      <c r="G88" s="172"/>
      <c r="H88" s="176"/>
      <c r="I88" s="176">
        <f>I89</f>
        <v>1374</v>
      </c>
      <c r="J88" s="176">
        <f>J89</f>
        <v>229</v>
      </c>
      <c r="K88" s="176">
        <f>K89</f>
        <v>105</v>
      </c>
      <c r="L88" s="176">
        <f>L89</f>
        <v>630</v>
      </c>
      <c r="M88" s="177">
        <f>'参考值-平台主推SKU占比'!$F$23</f>
        <v>0.14915966386554599</v>
      </c>
      <c r="N88" s="142"/>
      <c r="O88" s="142"/>
      <c r="P88" s="69"/>
      <c r="Q88" s="67" t="s">
        <v>523</v>
      </c>
      <c r="R88" s="173">
        <f>I88</f>
        <v>1374</v>
      </c>
      <c r="S88" s="173">
        <f>I88</f>
        <v>1374</v>
      </c>
      <c r="T88" s="173">
        <f>I88</f>
        <v>1374</v>
      </c>
      <c r="U88" s="173">
        <f>I88</f>
        <v>1374</v>
      </c>
      <c r="V88" s="173">
        <f>I88</f>
        <v>1374</v>
      </c>
      <c r="W88" s="173">
        <f>I88</f>
        <v>1374</v>
      </c>
      <c r="X88" s="173">
        <f>I88</f>
        <v>1374</v>
      </c>
      <c r="Y88" s="173">
        <f>I88</f>
        <v>1374</v>
      </c>
      <c r="Z88" s="173">
        <f>I88</f>
        <v>1374</v>
      </c>
      <c r="AA88" s="173">
        <f>I88</f>
        <v>1374</v>
      </c>
      <c r="AB88" s="173">
        <f>I88</f>
        <v>1374</v>
      </c>
      <c r="AC88" s="173">
        <f>I88</f>
        <v>1374</v>
      </c>
    </row>
    <row r="89" spans="1:29">
      <c r="A89" s="67"/>
      <c r="B89" s="67"/>
      <c r="C89" s="69"/>
      <c r="D89" s="69"/>
      <c r="E89" s="67" t="s">
        <v>527</v>
      </c>
      <c r="F89" s="73">
        <v>700</v>
      </c>
      <c r="G89" s="172">
        <f>'参考值-平台主推SKU占比'!$C$23</f>
        <v>6</v>
      </c>
      <c r="H89" s="91"/>
      <c r="I89" s="91">
        <f>'参考值-平台主推SKU占比'!$H$23</f>
        <v>1374</v>
      </c>
      <c r="J89" s="91">
        <f>IFERROR(I89/G89,"")</f>
        <v>229</v>
      </c>
      <c r="K89" s="91">
        <f>'假设-成本与任务量'!$I$4</f>
        <v>105</v>
      </c>
      <c r="L89" s="91">
        <f>IFERROR(K89*G89,"")</f>
        <v>630</v>
      </c>
      <c r="M89" s="175"/>
      <c r="N89" s="142"/>
      <c r="O89" s="142"/>
      <c r="P89" s="69"/>
      <c r="Q89" s="67" t="s">
        <v>524</v>
      </c>
      <c r="R89" s="173">
        <f>L88</f>
        <v>630</v>
      </c>
      <c r="S89" s="173">
        <f>L88</f>
        <v>630</v>
      </c>
      <c r="T89" s="173">
        <f>L88</f>
        <v>630</v>
      </c>
      <c r="U89" s="173">
        <f>L88</f>
        <v>630</v>
      </c>
      <c r="V89" s="173">
        <f>L88</f>
        <v>630</v>
      </c>
      <c r="W89" s="173">
        <f>L88</f>
        <v>630</v>
      </c>
      <c r="X89" s="173">
        <f>L88</f>
        <v>630</v>
      </c>
      <c r="Y89" s="173">
        <f>L88</f>
        <v>630</v>
      </c>
      <c r="Z89" s="173">
        <f>L88</f>
        <v>630</v>
      </c>
      <c r="AA89" s="173">
        <f>L88</f>
        <v>630</v>
      </c>
      <c r="AB89" s="173">
        <f>L88</f>
        <v>630</v>
      </c>
      <c r="AC89" s="173">
        <f>L88</f>
        <v>630</v>
      </c>
    </row>
    <row r="90" spans="1:29">
      <c r="A90" s="67"/>
      <c r="B90" s="67"/>
      <c r="C90" s="69"/>
      <c r="D90" s="102" t="s">
        <v>525</v>
      </c>
      <c r="E90" s="67"/>
      <c r="F90" s="73"/>
      <c r="G90" s="172"/>
      <c r="H90" s="176"/>
      <c r="I90" s="176">
        <f>I91</f>
        <v>4122</v>
      </c>
      <c r="J90" s="176">
        <f>J91</f>
        <v>229</v>
      </c>
      <c r="K90" s="176">
        <f>K91</f>
        <v>105</v>
      </c>
      <c r="L90" s="176">
        <f>L91</f>
        <v>1890</v>
      </c>
      <c r="M90" s="177">
        <f>'参考值-平台主推SKU占比'!$F$24</f>
        <v>9.4537815126050403E-2</v>
      </c>
      <c r="N90" s="142"/>
      <c r="O90" s="142"/>
      <c r="P90" s="69"/>
      <c r="Q90" s="67" t="s">
        <v>526</v>
      </c>
      <c r="R90" s="173">
        <f>I90</f>
        <v>4122</v>
      </c>
      <c r="S90" s="173">
        <f>I90</f>
        <v>4122</v>
      </c>
      <c r="T90" s="173">
        <f>I90</f>
        <v>4122</v>
      </c>
      <c r="U90" s="173">
        <f>I90</f>
        <v>4122</v>
      </c>
      <c r="V90" s="173">
        <f>I90</f>
        <v>4122</v>
      </c>
      <c r="W90" s="173">
        <f>I90</f>
        <v>4122</v>
      </c>
      <c r="X90" s="173">
        <f>I90</f>
        <v>4122</v>
      </c>
      <c r="Y90" s="173">
        <f>I90</f>
        <v>4122</v>
      </c>
      <c r="Z90" s="173">
        <f>I90</f>
        <v>4122</v>
      </c>
      <c r="AA90" s="173">
        <f>I90</f>
        <v>4122</v>
      </c>
      <c r="AB90" s="173">
        <f>I90</f>
        <v>4122</v>
      </c>
      <c r="AC90" s="173">
        <f>I90</f>
        <v>4122</v>
      </c>
    </row>
    <row r="91" spans="1:29">
      <c r="A91" s="67"/>
      <c r="B91" s="67"/>
      <c r="C91" s="69"/>
      <c r="D91" s="69"/>
      <c r="E91" s="67" t="s">
        <v>527</v>
      </c>
      <c r="F91" s="73">
        <v>700</v>
      </c>
      <c r="G91" s="172">
        <f>'参考值-平台主推SKU占比'!$C$24</f>
        <v>18</v>
      </c>
      <c r="H91" s="91"/>
      <c r="I91" s="91">
        <f>'参考值-平台主推SKU占比'!$H$24</f>
        <v>4122</v>
      </c>
      <c r="J91" s="91">
        <f>IFERROR(I91/G91,"")</f>
        <v>229</v>
      </c>
      <c r="K91" s="91">
        <f>'假设-成本与任务量'!$I$4</f>
        <v>105</v>
      </c>
      <c r="L91" s="91">
        <f>IFERROR(K91*G91,"")</f>
        <v>1890</v>
      </c>
      <c r="M91" s="175"/>
      <c r="N91" s="142"/>
      <c r="O91" s="142"/>
      <c r="P91" s="69"/>
      <c r="Q91" s="67" t="s">
        <v>528</v>
      </c>
      <c r="R91" s="173">
        <f>L90</f>
        <v>1890</v>
      </c>
      <c r="S91" s="173">
        <f>L90</f>
        <v>1890</v>
      </c>
      <c r="T91" s="173">
        <f>L90</f>
        <v>1890</v>
      </c>
      <c r="U91" s="173">
        <f>L90</f>
        <v>1890</v>
      </c>
      <c r="V91" s="173">
        <f>L90</f>
        <v>1890</v>
      </c>
      <c r="W91" s="173">
        <f>L90</f>
        <v>1890</v>
      </c>
      <c r="X91" s="173">
        <f>L90</f>
        <v>1890</v>
      </c>
      <c r="Y91" s="173">
        <f>L90</f>
        <v>1890</v>
      </c>
      <c r="Z91" s="173">
        <f>L90</f>
        <v>1890</v>
      </c>
      <c r="AA91" s="173">
        <f>L90</f>
        <v>1890</v>
      </c>
      <c r="AB91" s="173">
        <f>L90</f>
        <v>1890</v>
      </c>
      <c r="AC91" s="173">
        <f>L90</f>
        <v>1890</v>
      </c>
    </row>
    <row r="92" spans="1:29">
      <c r="A92" s="67"/>
      <c r="B92" s="67"/>
      <c r="C92" s="69"/>
      <c r="D92" s="102" t="s">
        <v>529</v>
      </c>
      <c r="E92" s="67"/>
      <c r="F92" s="73"/>
      <c r="G92" s="172"/>
      <c r="H92" s="176"/>
      <c r="I92" s="176">
        <f>I93</f>
        <v>2748</v>
      </c>
      <c r="J92" s="176">
        <f>J93</f>
        <v>229</v>
      </c>
      <c r="K92" s="176">
        <f>K93</f>
        <v>105</v>
      </c>
      <c r="L92" s="176">
        <f>L93</f>
        <v>1260</v>
      </c>
      <c r="M92" s="177">
        <f>'参考值-平台主推SKU占比'!$F$25</f>
        <v>8.6134453781512604E-2</v>
      </c>
      <c r="N92" s="142"/>
      <c r="O92" s="142"/>
      <c r="P92" s="69"/>
      <c r="Q92" s="67" t="s">
        <v>530</v>
      </c>
      <c r="R92" s="173">
        <f>I92</f>
        <v>2748</v>
      </c>
      <c r="S92" s="173">
        <f>I92</f>
        <v>2748</v>
      </c>
      <c r="T92" s="173">
        <f>I92</f>
        <v>2748</v>
      </c>
      <c r="U92" s="173">
        <f>I92</f>
        <v>2748</v>
      </c>
      <c r="V92" s="173">
        <f>I92</f>
        <v>2748</v>
      </c>
      <c r="W92" s="173">
        <f>I92</f>
        <v>2748</v>
      </c>
      <c r="X92" s="173">
        <f>I92</f>
        <v>2748</v>
      </c>
      <c r="Y92" s="173">
        <f>I92</f>
        <v>2748</v>
      </c>
      <c r="Z92" s="173">
        <f>I92</f>
        <v>2748</v>
      </c>
      <c r="AA92" s="173">
        <f>I92</f>
        <v>2748</v>
      </c>
      <c r="AB92" s="173">
        <f>I92</f>
        <v>2748</v>
      </c>
      <c r="AC92" s="173">
        <f>I92</f>
        <v>2748</v>
      </c>
    </row>
    <row r="93" spans="1:29">
      <c r="A93" s="67"/>
      <c r="B93" s="67"/>
      <c r="C93" s="69"/>
      <c r="D93" s="69"/>
      <c r="E93" s="67" t="s">
        <v>527</v>
      </c>
      <c r="F93" s="73">
        <v>700</v>
      </c>
      <c r="G93" s="172">
        <f>'参考值-平台主推SKU占比'!$C$25</f>
        <v>12</v>
      </c>
      <c r="H93" s="91"/>
      <c r="I93" s="91">
        <f>'参考值-平台主推SKU占比'!$H$25</f>
        <v>2748</v>
      </c>
      <c r="J93" s="91">
        <f>IFERROR(I93/G93,"")</f>
        <v>229</v>
      </c>
      <c r="K93" s="91">
        <f>'假设-成本与任务量'!$I$4</f>
        <v>105</v>
      </c>
      <c r="L93" s="91">
        <f>IFERROR(K93*G93,"")</f>
        <v>1260</v>
      </c>
      <c r="M93" s="175"/>
      <c r="N93" s="142"/>
      <c r="O93" s="142"/>
      <c r="P93" s="69"/>
      <c r="Q93" s="67" t="s">
        <v>531</v>
      </c>
      <c r="R93" s="173">
        <f>L92</f>
        <v>1260</v>
      </c>
      <c r="S93" s="173">
        <f>L92</f>
        <v>1260</v>
      </c>
      <c r="T93" s="173">
        <f>L92</f>
        <v>1260</v>
      </c>
      <c r="U93" s="173">
        <f>L92</f>
        <v>1260</v>
      </c>
      <c r="V93" s="173">
        <f>L92</f>
        <v>1260</v>
      </c>
      <c r="W93" s="173">
        <f>L92</f>
        <v>1260</v>
      </c>
      <c r="X93" s="173">
        <f>L92</f>
        <v>1260</v>
      </c>
      <c r="Y93" s="173">
        <f>L92</f>
        <v>1260</v>
      </c>
      <c r="Z93" s="173">
        <f>L92</f>
        <v>1260</v>
      </c>
      <c r="AA93" s="173">
        <f>L92</f>
        <v>1260</v>
      </c>
      <c r="AB93" s="173">
        <f>L92</f>
        <v>1260</v>
      </c>
      <c r="AC93" s="173">
        <f>L92</f>
        <v>1260</v>
      </c>
    </row>
    <row r="94" spans="1:29">
      <c r="A94" s="67"/>
      <c r="B94" s="67"/>
      <c r="C94" s="69"/>
      <c r="D94" s="102" t="s">
        <v>532</v>
      </c>
      <c r="E94" s="67"/>
      <c r="F94" s="73"/>
      <c r="G94" s="172"/>
      <c r="H94" s="176"/>
      <c r="I94" s="176">
        <f>I95</f>
        <v>5496</v>
      </c>
      <c r="J94" s="176">
        <f>J95</f>
        <v>229</v>
      </c>
      <c r="K94" s="176">
        <f>K95</f>
        <v>105</v>
      </c>
      <c r="L94" s="176">
        <f>L95</f>
        <v>2520</v>
      </c>
      <c r="M94" s="177">
        <f>'参考值-平台主推SKU占比'!$F$26</f>
        <v>7.1428571428571397E-2</v>
      </c>
      <c r="N94" s="142"/>
      <c r="O94" s="142"/>
      <c r="P94" s="69"/>
      <c r="Q94" s="67" t="s">
        <v>533</v>
      </c>
      <c r="R94" s="173">
        <f>I94</f>
        <v>5496</v>
      </c>
      <c r="S94" s="173">
        <f>I94</f>
        <v>5496</v>
      </c>
      <c r="T94" s="173">
        <f>I94</f>
        <v>5496</v>
      </c>
      <c r="U94" s="173">
        <f>I94</f>
        <v>5496</v>
      </c>
      <c r="V94" s="173">
        <f>I94</f>
        <v>5496</v>
      </c>
      <c r="W94" s="173">
        <f>I94</f>
        <v>5496</v>
      </c>
      <c r="X94" s="173">
        <f>I94</f>
        <v>5496</v>
      </c>
      <c r="Y94" s="173">
        <f>I94</f>
        <v>5496</v>
      </c>
      <c r="Z94" s="173">
        <f>I94</f>
        <v>5496</v>
      </c>
      <c r="AA94" s="173">
        <f>I94</f>
        <v>5496</v>
      </c>
      <c r="AB94" s="173">
        <f>I94</f>
        <v>5496</v>
      </c>
      <c r="AC94" s="173">
        <f>I94</f>
        <v>5496</v>
      </c>
    </row>
    <row r="95" spans="1:29">
      <c r="A95" s="67"/>
      <c r="B95" s="67"/>
      <c r="C95" s="69"/>
      <c r="D95" s="69"/>
      <c r="E95" s="67" t="s">
        <v>527</v>
      </c>
      <c r="F95" s="73">
        <v>700</v>
      </c>
      <c r="G95" s="172">
        <f>'参考值-平台主推SKU占比'!$C$26</f>
        <v>24</v>
      </c>
      <c r="H95" s="91"/>
      <c r="I95" s="91">
        <f>'参考值-平台主推SKU占比'!$H$26</f>
        <v>5496</v>
      </c>
      <c r="J95" s="91">
        <f>IFERROR(I95/G95,"")</f>
        <v>229</v>
      </c>
      <c r="K95" s="91">
        <f>'假设-成本与任务量'!$I$4</f>
        <v>105</v>
      </c>
      <c r="L95" s="91">
        <f>IFERROR(K95*G95,"")</f>
        <v>2520</v>
      </c>
      <c r="M95" s="175"/>
      <c r="N95" s="142"/>
      <c r="O95" s="142"/>
      <c r="P95" s="69"/>
      <c r="Q95" s="67" t="s">
        <v>534</v>
      </c>
      <c r="R95" s="173">
        <f>L94</f>
        <v>2520</v>
      </c>
      <c r="S95" s="173">
        <f>L94</f>
        <v>2520</v>
      </c>
      <c r="T95" s="173">
        <f>L94</f>
        <v>2520</v>
      </c>
      <c r="U95" s="173">
        <f>L94</f>
        <v>2520</v>
      </c>
      <c r="V95" s="173">
        <f>L94</f>
        <v>2520</v>
      </c>
      <c r="W95" s="173">
        <f>L94</f>
        <v>2520</v>
      </c>
      <c r="X95" s="173">
        <f>L94</f>
        <v>2520</v>
      </c>
      <c r="Y95" s="173">
        <f>L94</f>
        <v>2520</v>
      </c>
      <c r="Z95" s="173">
        <f>L94</f>
        <v>2520</v>
      </c>
      <c r="AA95" s="173">
        <f>L94</f>
        <v>2520</v>
      </c>
      <c r="AB95" s="173">
        <f>L94</f>
        <v>2520</v>
      </c>
      <c r="AC95" s="173">
        <f>L94</f>
        <v>2520</v>
      </c>
    </row>
    <row r="96" spans="1:29">
      <c r="A96" s="67"/>
      <c r="B96" s="67"/>
      <c r="C96" s="69"/>
      <c r="D96" s="102" t="s">
        <v>535</v>
      </c>
      <c r="E96" s="67"/>
      <c r="F96" s="73"/>
      <c r="G96" s="172"/>
      <c r="H96" s="176"/>
      <c r="I96" s="176">
        <f>I97</f>
        <v>5712</v>
      </c>
      <c r="J96" s="176">
        <f>J97</f>
        <v>119</v>
      </c>
      <c r="K96" s="176">
        <f>K97</f>
        <v>38</v>
      </c>
      <c r="L96" s="176">
        <f>L97</f>
        <v>1824</v>
      </c>
      <c r="M96" s="177">
        <f>'参考值-平台主推SKU占比'!$F$27</f>
        <v>4.6218487394957999E-2</v>
      </c>
      <c r="N96" s="142"/>
      <c r="O96" s="142"/>
      <c r="P96" s="69"/>
      <c r="Q96" s="67" t="s">
        <v>536</v>
      </c>
      <c r="R96" s="173">
        <f>I96</f>
        <v>5712</v>
      </c>
      <c r="S96" s="173">
        <f>I96</f>
        <v>5712</v>
      </c>
      <c r="T96" s="173">
        <f>I96</f>
        <v>5712</v>
      </c>
      <c r="U96" s="173">
        <f>I96</f>
        <v>5712</v>
      </c>
      <c r="V96" s="173">
        <f>I96</f>
        <v>5712</v>
      </c>
      <c r="W96" s="173">
        <f>I96</f>
        <v>5712</v>
      </c>
      <c r="X96" s="173">
        <f>I96</f>
        <v>5712</v>
      </c>
      <c r="Y96" s="173">
        <f>I96</f>
        <v>5712</v>
      </c>
      <c r="Z96" s="173">
        <f>I96</f>
        <v>5712</v>
      </c>
      <c r="AA96" s="173">
        <f>I96</f>
        <v>5712</v>
      </c>
      <c r="AB96" s="173">
        <f>I96</f>
        <v>5712</v>
      </c>
      <c r="AC96" s="173">
        <f>I96</f>
        <v>5712</v>
      </c>
    </row>
    <row r="97" spans="1:29">
      <c r="A97" s="67"/>
      <c r="B97" s="67"/>
      <c r="C97" s="69"/>
      <c r="D97" s="69"/>
      <c r="E97" s="67" t="s">
        <v>520</v>
      </c>
      <c r="F97" s="73">
        <v>320</v>
      </c>
      <c r="G97" s="172">
        <f>'参考值-平台主推SKU占比'!$C$27</f>
        <v>48</v>
      </c>
      <c r="H97" s="91"/>
      <c r="I97" s="91">
        <f>'参考值-平台主推SKU占比'!$H$27</f>
        <v>5712</v>
      </c>
      <c r="J97" s="91">
        <f>IFERROR(I97/G97,"")</f>
        <v>119</v>
      </c>
      <c r="K97" s="91">
        <f>'假设-成本与任务量'!$I$6</f>
        <v>38</v>
      </c>
      <c r="L97" s="91">
        <f>IFERROR(K97*G97,"")</f>
        <v>1824</v>
      </c>
      <c r="M97" s="175"/>
      <c r="N97" s="142"/>
      <c r="O97" s="142"/>
      <c r="P97" s="69"/>
      <c r="Q97" s="67" t="s">
        <v>537</v>
      </c>
      <c r="R97" s="173">
        <f>L96</f>
        <v>1824</v>
      </c>
      <c r="S97" s="173">
        <f>L96</f>
        <v>1824</v>
      </c>
      <c r="T97" s="173">
        <f>L96</f>
        <v>1824</v>
      </c>
      <c r="U97" s="173">
        <f>L96</f>
        <v>1824</v>
      </c>
      <c r="V97" s="173">
        <f>L96</f>
        <v>1824</v>
      </c>
      <c r="W97" s="173">
        <f>L96</f>
        <v>1824</v>
      </c>
      <c r="X97" s="173">
        <f>L96</f>
        <v>1824</v>
      </c>
      <c r="Y97" s="173">
        <f>L96</f>
        <v>1824</v>
      </c>
      <c r="Z97" s="173">
        <f>L96</f>
        <v>1824</v>
      </c>
      <c r="AA97" s="173">
        <f>L96</f>
        <v>1824</v>
      </c>
      <c r="AB97" s="173">
        <f>L96</f>
        <v>1824</v>
      </c>
      <c r="AC97" s="173">
        <f>L96</f>
        <v>1824</v>
      </c>
    </row>
    <row r="98" spans="1:29">
      <c r="A98" s="67"/>
      <c r="B98" s="67"/>
      <c r="C98" s="69"/>
      <c r="D98" s="102" t="s">
        <v>538</v>
      </c>
      <c r="E98" s="67"/>
      <c r="F98" s="73"/>
      <c r="G98" s="172"/>
      <c r="H98" s="176"/>
      <c r="I98" s="176">
        <f>I99</f>
        <v>8568</v>
      </c>
      <c r="J98" s="176">
        <f>J99</f>
        <v>119</v>
      </c>
      <c r="K98" s="176">
        <f>K99</f>
        <v>38</v>
      </c>
      <c r="L98" s="176">
        <f>L99</f>
        <v>2736</v>
      </c>
      <c r="M98" s="177">
        <f>'参考值-平台主推SKU占比'!$F$28</f>
        <v>1.89075630252101E-2</v>
      </c>
      <c r="N98" s="142"/>
      <c r="O98" s="142"/>
      <c r="P98" s="69"/>
      <c r="Q98" s="67" t="s">
        <v>539</v>
      </c>
      <c r="R98" s="173">
        <f>I98</f>
        <v>8568</v>
      </c>
      <c r="S98" s="173">
        <f>I98</f>
        <v>8568</v>
      </c>
      <c r="T98" s="173">
        <f>I98</f>
        <v>8568</v>
      </c>
      <c r="U98" s="173">
        <f>I98</f>
        <v>8568</v>
      </c>
      <c r="V98" s="173">
        <f>I98</f>
        <v>8568</v>
      </c>
      <c r="W98" s="173">
        <f>I98</f>
        <v>8568</v>
      </c>
      <c r="X98" s="173">
        <f>I98</f>
        <v>8568</v>
      </c>
      <c r="Y98" s="173">
        <f>I98</f>
        <v>8568</v>
      </c>
      <c r="Z98" s="173">
        <f>I98</f>
        <v>8568</v>
      </c>
      <c r="AA98" s="173">
        <f>I98</f>
        <v>8568</v>
      </c>
      <c r="AB98" s="173">
        <f>I98</f>
        <v>8568</v>
      </c>
      <c r="AC98" s="173">
        <f>I98</f>
        <v>8568</v>
      </c>
    </row>
    <row r="99" spans="1:29">
      <c r="A99" s="67"/>
      <c r="B99" s="67"/>
      <c r="C99" s="69"/>
      <c r="D99" s="69"/>
      <c r="E99" s="67" t="s">
        <v>520</v>
      </c>
      <c r="F99" s="73">
        <v>320</v>
      </c>
      <c r="G99" s="172">
        <f>'参考值-平台主推SKU占比'!$C$28</f>
        <v>72</v>
      </c>
      <c r="H99" s="91"/>
      <c r="I99" s="91">
        <f>'参考值-平台主推SKU占比'!$H$28</f>
        <v>8568</v>
      </c>
      <c r="J99" s="91">
        <f>IFERROR(I99/G99,"")</f>
        <v>119</v>
      </c>
      <c r="K99" s="91">
        <f>'假设-成本与任务量'!$I$6</f>
        <v>38</v>
      </c>
      <c r="L99" s="91">
        <f>IFERROR(K99*G99,"")</f>
        <v>2736</v>
      </c>
      <c r="M99" s="175"/>
      <c r="N99" s="142"/>
      <c r="O99" s="142"/>
      <c r="P99" s="69"/>
      <c r="Q99" s="67" t="s">
        <v>540</v>
      </c>
      <c r="R99" s="173">
        <f>L98</f>
        <v>2736</v>
      </c>
      <c r="S99" s="173">
        <f>L98</f>
        <v>2736</v>
      </c>
      <c r="T99" s="173">
        <f>L98</f>
        <v>2736</v>
      </c>
      <c r="U99" s="173">
        <f>L98</f>
        <v>2736</v>
      </c>
      <c r="V99" s="173">
        <f>L98</f>
        <v>2736</v>
      </c>
      <c r="W99" s="173">
        <f>L98</f>
        <v>2736</v>
      </c>
      <c r="X99" s="173">
        <f>L98</f>
        <v>2736</v>
      </c>
      <c r="Y99" s="173">
        <f>L98</f>
        <v>2736</v>
      </c>
      <c r="Z99" s="173">
        <f>L98</f>
        <v>2736</v>
      </c>
      <c r="AA99" s="173">
        <f>L98</f>
        <v>2736</v>
      </c>
      <c r="AB99" s="173">
        <f>L98</f>
        <v>2736</v>
      </c>
      <c r="AC99" s="173">
        <f>L98</f>
        <v>2736</v>
      </c>
    </row>
    <row r="100" spans="1:29">
      <c r="A100" s="67"/>
      <c r="B100" s="67"/>
      <c r="C100" s="69"/>
      <c r="D100" s="102" t="s">
        <v>541</v>
      </c>
      <c r="E100" s="67"/>
      <c r="F100" s="73"/>
      <c r="G100" s="172"/>
      <c r="H100" s="176"/>
      <c r="I100" s="176">
        <f>I101</f>
        <v>11424</v>
      </c>
      <c r="J100" s="176">
        <f>J101</f>
        <v>119</v>
      </c>
      <c r="K100" s="176">
        <f>K101</f>
        <v>38</v>
      </c>
      <c r="L100" s="176">
        <f>L101</f>
        <v>3648</v>
      </c>
      <c r="M100" s="177">
        <f>'参考值-平台主推SKU占比'!$F$29</f>
        <v>1.6806722689075598E-2</v>
      </c>
      <c r="N100" s="142"/>
      <c r="O100" s="142"/>
      <c r="P100" s="69"/>
      <c r="Q100" s="67" t="s">
        <v>542</v>
      </c>
      <c r="R100" s="173">
        <f>I100</f>
        <v>11424</v>
      </c>
      <c r="S100" s="173">
        <f>I100</f>
        <v>11424</v>
      </c>
      <c r="T100" s="173">
        <f>I100</f>
        <v>11424</v>
      </c>
      <c r="U100" s="173">
        <f>I100</f>
        <v>11424</v>
      </c>
      <c r="V100" s="173">
        <f>I100</f>
        <v>11424</v>
      </c>
      <c r="W100" s="173">
        <f>I100</f>
        <v>11424</v>
      </c>
      <c r="X100" s="173">
        <f>I100</f>
        <v>11424</v>
      </c>
      <c r="Y100" s="173">
        <f>I100</f>
        <v>11424</v>
      </c>
      <c r="Z100" s="173">
        <f>I100</f>
        <v>11424</v>
      </c>
      <c r="AA100" s="173">
        <f>I100</f>
        <v>11424</v>
      </c>
      <c r="AB100" s="173">
        <f>I100</f>
        <v>11424</v>
      </c>
      <c r="AC100" s="173">
        <f>I100</f>
        <v>11424</v>
      </c>
    </row>
    <row r="101" spans="1:29">
      <c r="A101" s="67"/>
      <c r="B101" s="67"/>
      <c r="C101" s="69"/>
      <c r="D101" s="69"/>
      <c r="E101" s="67" t="s">
        <v>520</v>
      </c>
      <c r="F101" s="73">
        <v>320</v>
      </c>
      <c r="G101" s="172">
        <f>'参考值-平台主推SKU占比'!$C$29</f>
        <v>96</v>
      </c>
      <c r="H101" s="91"/>
      <c r="I101" s="91">
        <f>'参考值-平台主推SKU占比'!$H$29</f>
        <v>11424</v>
      </c>
      <c r="J101" s="91">
        <f>IFERROR(I101/G101,"")</f>
        <v>119</v>
      </c>
      <c r="K101" s="91">
        <f>'假设-成本与任务量'!$I$6</f>
        <v>38</v>
      </c>
      <c r="L101" s="91">
        <f>IFERROR(K101*G101,"")</f>
        <v>3648</v>
      </c>
      <c r="M101" s="175"/>
      <c r="N101" s="142"/>
      <c r="O101" s="142"/>
      <c r="P101" s="69"/>
      <c r="Q101" s="67" t="s">
        <v>543</v>
      </c>
      <c r="R101" s="173">
        <f>L100</f>
        <v>3648</v>
      </c>
      <c r="S101" s="173">
        <f>L100</f>
        <v>3648</v>
      </c>
      <c r="T101" s="173">
        <f>L100</f>
        <v>3648</v>
      </c>
      <c r="U101" s="173">
        <f>L100</f>
        <v>3648</v>
      </c>
      <c r="V101" s="173">
        <f>L100</f>
        <v>3648</v>
      </c>
      <c r="W101" s="173">
        <f>L100</f>
        <v>3648</v>
      </c>
      <c r="X101" s="173">
        <f>L100</f>
        <v>3648</v>
      </c>
      <c r="Y101" s="173">
        <f>L100</f>
        <v>3648</v>
      </c>
      <c r="Z101" s="173">
        <f>L100</f>
        <v>3648</v>
      </c>
      <c r="AA101" s="173">
        <f>L100</f>
        <v>3648</v>
      </c>
      <c r="AB101" s="173">
        <f>L100</f>
        <v>3648</v>
      </c>
      <c r="AC101" s="173">
        <f>L100</f>
        <v>3648</v>
      </c>
    </row>
    <row r="102" spans="1:29">
      <c r="A102" s="67"/>
      <c r="B102" s="67"/>
      <c r="C102" s="69"/>
      <c r="D102" s="102" t="s">
        <v>544</v>
      </c>
      <c r="E102" s="67"/>
      <c r="F102" s="73"/>
      <c r="G102" s="172"/>
      <c r="H102" s="176"/>
      <c r="I102" s="176">
        <f>I103</f>
        <v>6870</v>
      </c>
      <c r="J102" s="176">
        <f>J103</f>
        <v>229</v>
      </c>
      <c r="K102" s="176">
        <f>K103</f>
        <v>105</v>
      </c>
      <c r="L102" s="176">
        <f>L103</f>
        <v>3150</v>
      </c>
      <c r="M102" s="177">
        <f>'参考值-平台主推SKU占比'!$F$30</f>
        <v>1.6806722689075598E-2</v>
      </c>
      <c r="N102" s="142"/>
      <c r="O102" s="142"/>
      <c r="P102" s="69"/>
      <c r="Q102" s="67" t="s">
        <v>545</v>
      </c>
      <c r="R102" s="173">
        <f>I102</f>
        <v>6870</v>
      </c>
      <c r="S102" s="173">
        <f>I102</f>
        <v>6870</v>
      </c>
      <c r="T102" s="173">
        <f>I102</f>
        <v>6870</v>
      </c>
      <c r="U102" s="173">
        <f>I102</f>
        <v>6870</v>
      </c>
      <c r="V102" s="173">
        <f>I102</f>
        <v>6870</v>
      </c>
      <c r="W102" s="173">
        <f>I102</f>
        <v>6870</v>
      </c>
      <c r="X102" s="173">
        <f>I102</f>
        <v>6870</v>
      </c>
      <c r="Y102" s="173">
        <f>I102</f>
        <v>6870</v>
      </c>
      <c r="Z102" s="173">
        <f>I102</f>
        <v>6870</v>
      </c>
      <c r="AA102" s="173">
        <f>I102</f>
        <v>6870</v>
      </c>
      <c r="AB102" s="173">
        <f>I102</f>
        <v>6870</v>
      </c>
      <c r="AC102" s="173">
        <f>I102</f>
        <v>6870</v>
      </c>
    </row>
    <row r="103" spans="1:29">
      <c r="A103" s="67"/>
      <c r="B103" s="67"/>
      <c r="C103" s="69"/>
      <c r="D103" s="69"/>
      <c r="E103" s="67" t="s">
        <v>527</v>
      </c>
      <c r="F103" s="73">
        <v>700</v>
      </c>
      <c r="G103" s="172">
        <f>'参考值-平台主推SKU占比'!$C$30</f>
        <v>30</v>
      </c>
      <c r="H103" s="91"/>
      <c r="I103" s="91">
        <f>'参考值-平台主推SKU占比'!$H$30</f>
        <v>6870</v>
      </c>
      <c r="J103" s="91">
        <f>IFERROR(I103/G103,"")</f>
        <v>229</v>
      </c>
      <c r="K103" s="91">
        <f>'假设-成本与任务量'!$I$4</f>
        <v>105</v>
      </c>
      <c r="L103" s="91">
        <f>IFERROR(K103*G103,"")</f>
        <v>3150</v>
      </c>
      <c r="M103" s="175"/>
      <c r="N103" s="142"/>
      <c r="O103" s="142"/>
      <c r="P103" s="69"/>
      <c r="Q103" s="67" t="s">
        <v>546</v>
      </c>
      <c r="R103" s="173">
        <f>L102</f>
        <v>3150</v>
      </c>
      <c r="S103" s="173">
        <f>L102</f>
        <v>3150</v>
      </c>
      <c r="T103" s="173">
        <f>L102</f>
        <v>3150</v>
      </c>
      <c r="U103" s="173">
        <f>L102</f>
        <v>3150</v>
      </c>
      <c r="V103" s="173">
        <f>L102</f>
        <v>3150</v>
      </c>
      <c r="W103" s="173">
        <f>L102</f>
        <v>3150</v>
      </c>
      <c r="X103" s="173">
        <f>L102</f>
        <v>3150</v>
      </c>
      <c r="Y103" s="173">
        <f>L102</f>
        <v>3150</v>
      </c>
      <c r="Z103" s="173">
        <f>L102</f>
        <v>3150</v>
      </c>
      <c r="AA103" s="173">
        <f>L102</f>
        <v>3150</v>
      </c>
      <c r="AB103" s="173">
        <f>L102</f>
        <v>3150</v>
      </c>
      <c r="AC103" s="173">
        <f>L102</f>
        <v>3150</v>
      </c>
    </row>
    <row r="104" spans="1:29">
      <c r="A104" s="67"/>
      <c r="B104" s="67"/>
      <c r="C104" s="69"/>
      <c r="D104" s="102" t="s">
        <v>547</v>
      </c>
      <c r="E104" s="67"/>
      <c r="F104" s="73"/>
      <c r="G104" s="172"/>
      <c r="H104" s="176"/>
      <c r="I104" s="176">
        <f>I105</f>
        <v>10992</v>
      </c>
      <c r="J104" s="176">
        <f>J105</f>
        <v>229</v>
      </c>
      <c r="K104" s="176">
        <f>K105</f>
        <v>105</v>
      </c>
      <c r="L104" s="176">
        <f>L105</f>
        <v>5040</v>
      </c>
      <c r="M104" s="177">
        <f>'参考值-平台主推SKU占比'!$F$31</f>
        <v>1.4705882352941201E-2</v>
      </c>
      <c r="N104" s="142"/>
      <c r="O104" s="142"/>
      <c r="P104" s="69"/>
      <c r="Q104" s="67" t="s">
        <v>548</v>
      </c>
      <c r="R104" s="173">
        <f>I104</f>
        <v>10992</v>
      </c>
      <c r="S104" s="173">
        <f>I104</f>
        <v>10992</v>
      </c>
      <c r="T104" s="173">
        <f>I104</f>
        <v>10992</v>
      </c>
      <c r="U104" s="173">
        <f>I104</f>
        <v>10992</v>
      </c>
      <c r="V104" s="173">
        <f>I104</f>
        <v>10992</v>
      </c>
      <c r="W104" s="173">
        <f>I104</f>
        <v>10992</v>
      </c>
      <c r="X104" s="173">
        <f>I104</f>
        <v>10992</v>
      </c>
      <c r="Y104" s="173">
        <f>I104</f>
        <v>10992</v>
      </c>
      <c r="Z104" s="173">
        <f>I104</f>
        <v>10992</v>
      </c>
      <c r="AA104" s="173">
        <f>I104</f>
        <v>10992</v>
      </c>
      <c r="AB104" s="173">
        <f>I104</f>
        <v>10992</v>
      </c>
      <c r="AC104" s="173">
        <f>I104</f>
        <v>10992</v>
      </c>
    </row>
    <row r="105" spans="1:29">
      <c r="A105" s="67"/>
      <c r="B105" s="67"/>
      <c r="C105" s="69"/>
      <c r="D105" s="69"/>
      <c r="E105" s="67" t="s">
        <v>527</v>
      </c>
      <c r="F105" s="73">
        <v>700</v>
      </c>
      <c r="G105" s="172">
        <f>'参考值-平台主推SKU占比'!$C$31</f>
        <v>48</v>
      </c>
      <c r="H105" s="91"/>
      <c r="I105" s="91">
        <f>'参考值-平台主推SKU占比'!$H$31</f>
        <v>10992</v>
      </c>
      <c r="J105" s="91">
        <f>IFERROR(I105/G105,"")</f>
        <v>229</v>
      </c>
      <c r="K105" s="91">
        <f>'假设-成本与任务量'!$I$4</f>
        <v>105</v>
      </c>
      <c r="L105" s="91">
        <f>IFERROR(K105*G105,"")</f>
        <v>5040</v>
      </c>
      <c r="M105" s="175"/>
      <c r="N105" s="142"/>
      <c r="O105" s="142"/>
      <c r="P105" s="69"/>
      <c r="Q105" s="67" t="s">
        <v>549</v>
      </c>
      <c r="R105" s="173">
        <f>L104</f>
        <v>5040</v>
      </c>
      <c r="S105" s="173">
        <f>L104</f>
        <v>5040</v>
      </c>
      <c r="T105" s="173">
        <f>L104</f>
        <v>5040</v>
      </c>
      <c r="U105" s="173">
        <f>L104</f>
        <v>5040</v>
      </c>
      <c r="V105" s="173">
        <f>L104</f>
        <v>5040</v>
      </c>
      <c r="W105" s="173">
        <f>L104</f>
        <v>5040</v>
      </c>
      <c r="X105" s="173">
        <f>L104</f>
        <v>5040</v>
      </c>
      <c r="Y105" s="173">
        <f>L104</f>
        <v>5040</v>
      </c>
      <c r="Z105" s="173">
        <f>L104</f>
        <v>5040</v>
      </c>
      <c r="AA105" s="173">
        <f>L104</f>
        <v>5040</v>
      </c>
      <c r="AB105" s="173">
        <f>L104</f>
        <v>5040</v>
      </c>
      <c r="AC105" s="173">
        <f>L104</f>
        <v>5040</v>
      </c>
    </row>
    <row r="106" spans="1:29">
      <c r="A106" s="67"/>
      <c r="B106" s="67"/>
      <c r="C106" s="69"/>
      <c r="D106" s="102" t="s">
        <v>550</v>
      </c>
      <c r="E106" s="67"/>
      <c r="F106" s="73"/>
      <c r="G106" s="172"/>
      <c r="H106" s="176"/>
      <c r="I106" s="176">
        <f>I107</f>
        <v>8244</v>
      </c>
      <c r="J106" s="176">
        <f>J107</f>
        <v>229</v>
      </c>
      <c r="K106" s="176">
        <f>K107</f>
        <v>105</v>
      </c>
      <c r="L106" s="176">
        <f>L107</f>
        <v>3780</v>
      </c>
      <c r="M106" s="177">
        <f>'参考值-平台主推SKU占比'!$F$32</f>
        <v>1.4705882352941201E-2</v>
      </c>
      <c r="N106" s="142"/>
      <c r="O106" s="142"/>
      <c r="P106" s="69"/>
      <c r="Q106" s="67" t="s">
        <v>551</v>
      </c>
      <c r="R106" s="173">
        <f>I106</f>
        <v>8244</v>
      </c>
      <c r="S106" s="173">
        <f>I106</f>
        <v>8244</v>
      </c>
      <c r="T106" s="173">
        <f>I106</f>
        <v>8244</v>
      </c>
      <c r="U106" s="173">
        <f>I106</f>
        <v>8244</v>
      </c>
      <c r="V106" s="173">
        <f>I106</f>
        <v>8244</v>
      </c>
      <c r="W106" s="173">
        <f>I106</f>
        <v>8244</v>
      </c>
      <c r="X106" s="173">
        <f>I106</f>
        <v>8244</v>
      </c>
      <c r="Y106" s="173">
        <f>I106</f>
        <v>8244</v>
      </c>
      <c r="Z106" s="173">
        <f>I106</f>
        <v>8244</v>
      </c>
      <c r="AA106" s="173">
        <f>I106</f>
        <v>8244</v>
      </c>
      <c r="AB106" s="173">
        <f>I106</f>
        <v>8244</v>
      </c>
      <c r="AC106" s="173">
        <f>I106</f>
        <v>8244</v>
      </c>
    </row>
    <row r="107" spans="1:29">
      <c r="A107" s="67"/>
      <c r="B107" s="67"/>
      <c r="C107" s="69"/>
      <c r="D107" s="69"/>
      <c r="E107" s="67" t="s">
        <v>527</v>
      </c>
      <c r="F107" s="73">
        <v>700</v>
      </c>
      <c r="G107" s="172">
        <f>'参考值-平台主推SKU占比'!$C$32</f>
        <v>36</v>
      </c>
      <c r="H107" s="91"/>
      <c r="I107" s="91">
        <f>'参考值-平台主推SKU占比'!$H$32</f>
        <v>8244</v>
      </c>
      <c r="J107" s="91">
        <f>IFERROR(I107/G107,"")</f>
        <v>229</v>
      </c>
      <c r="K107" s="91">
        <f>'假设-成本与任务量'!$I$4</f>
        <v>105</v>
      </c>
      <c r="L107" s="91">
        <f>IFERROR(K107*G107,"")</f>
        <v>3780</v>
      </c>
      <c r="M107" s="175"/>
      <c r="N107" s="142"/>
      <c r="O107" s="142"/>
      <c r="P107" s="69"/>
      <c r="Q107" s="67" t="s">
        <v>552</v>
      </c>
      <c r="R107" s="173">
        <f>L106</f>
        <v>3780</v>
      </c>
      <c r="S107" s="173">
        <f>L106</f>
        <v>3780</v>
      </c>
      <c r="T107" s="173">
        <f>L106</f>
        <v>3780</v>
      </c>
      <c r="U107" s="173">
        <f>L106</f>
        <v>3780</v>
      </c>
      <c r="V107" s="173">
        <f>L106</f>
        <v>3780</v>
      </c>
      <c r="W107" s="173">
        <f>L106</f>
        <v>3780</v>
      </c>
      <c r="X107" s="173">
        <f>L106</f>
        <v>3780</v>
      </c>
      <c r="Y107" s="173">
        <f>L106</f>
        <v>3780</v>
      </c>
      <c r="Z107" s="173">
        <f>L106</f>
        <v>3780</v>
      </c>
      <c r="AA107" s="173">
        <f>L106</f>
        <v>3780</v>
      </c>
      <c r="AB107" s="173">
        <f>L106</f>
        <v>3780</v>
      </c>
      <c r="AC107" s="173">
        <f>L106</f>
        <v>3780</v>
      </c>
    </row>
    <row r="108" spans="1:29">
      <c r="A108" s="67"/>
      <c r="B108" s="67"/>
      <c r="C108" s="69"/>
      <c r="D108" s="102" t="s">
        <v>553</v>
      </c>
      <c r="E108" s="67"/>
      <c r="F108" s="73"/>
      <c r="G108" s="172"/>
      <c r="H108" s="176"/>
      <c r="I108" s="176">
        <f>I109</f>
        <v>14280</v>
      </c>
      <c r="J108" s="176">
        <f>J109</f>
        <v>119</v>
      </c>
      <c r="K108" s="176">
        <f>K109</f>
        <v>38</v>
      </c>
      <c r="L108" s="176">
        <f>L109</f>
        <v>4560</v>
      </c>
      <c r="M108" s="177">
        <f>'参考值-平台主推SKU占比'!$F$33</f>
        <v>1.26050420168067E-2</v>
      </c>
      <c r="N108" s="142"/>
      <c r="O108" s="142"/>
      <c r="P108" s="69"/>
      <c r="Q108" s="67" t="s">
        <v>554</v>
      </c>
      <c r="R108" s="173">
        <f>I108</f>
        <v>14280</v>
      </c>
      <c r="S108" s="173">
        <f>I108</f>
        <v>14280</v>
      </c>
      <c r="T108" s="173">
        <f>I108</f>
        <v>14280</v>
      </c>
      <c r="U108" s="173">
        <f>I108</f>
        <v>14280</v>
      </c>
      <c r="V108" s="173">
        <f>I108</f>
        <v>14280</v>
      </c>
      <c r="W108" s="173">
        <f>I108</f>
        <v>14280</v>
      </c>
      <c r="X108" s="173">
        <f>I108</f>
        <v>14280</v>
      </c>
      <c r="Y108" s="173">
        <f>I108</f>
        <v>14280</v>
      </c>
      <c r="Z108" s="173">
        <f>I108</f>
        <v>14280</v>
      </c>
      <c r="AA108" s="173">
        <f>I108</f>
        <v>14280</v>
      </c>
      <c r="AB108" s="173">
        <f>I108</f>
        <v>14280</v>
      </c>
      <c r="AC108" s="173">
        <f>I108</f>
        <v>14280</v>
      </c>
    </row>
    <row r="109" spans="1:29">
      <c r="A109" s="67"/>
      <c r="B109" s="102"/>
      <c r="C109" s="69"/>
      <c r="D109" s="69"/>
      <c r="E109" s="67" t="s">
        <v>520</v>
      </c>
      <c r="F109" s="73">
        <v>320</v>
      </c>
      <c r="G109" s="172">
        <f>'参考值-平台主推SKU占比'!$C$33</f>
        <v>120</v>
      </c>
      <c r="H109" s="91"/>
      <c r="I109" s="91">
        <f>'参考值-平台主推SKU占比'!$H$33</f>
        <v>14280</v>
      </c>
      <c r="J109" s="91">
        <f>IFERROR(I109/G109,"")</f>
        <v>119</v>
      </c>
      <c r="K109" s="91">
        <f>'假设-成本与任务量'!$I$6</f>
        <v>38</v>
      </c>
      <c r="L109" s="91">
        <f>IFERROR(K109*G109,"")</f>
        <v>4560</v>
      </c>
      <c r="M109" s="175"/>
      <c r="N109" s="142"/>
      <c r="O109" s="142"/>
      <c r="P109" s="69"/>
      <c r="Q109" s="67" t="s">
        <v>555</v>
      </c>
      <c r="R109" s="173">
        <f>L108</f>
        <v>4560</v>
      </c>
      <c r="S109" s="173">
        <f>L108</f>
        <v>4560</v>
      </c>
      <c r="T109" s="173">
        <f>L108</f>
        <v>4560</v>
      </c>
      <c r="U109" s="173">
        <f>L108</f>
        <v>4560</v>
      </c>
      <c r="V109" s="173">
        <f>L108</f>
        <v>4560</v>
      </c>
      <c r="W109" s="173">
        <f>L108</f>
        <v>4560</v>
      </c>
      <c r="X109" s="173">
        <f>L108</f>
        <v>4560</v>
      </c>
      <c r="Y109" s="173">
        <f>L108</f>
        <v>4560</v>
      </c>
      <c r="Z109" s="173">
        <f>L108</f>
        <v>4560</v>
      </c>
      <c r="AA109" s="173">
        <f>L108</f>
        <v>4560</v>
      </c>
      <c r="AB109" s="173">
        <f>L108</f>
        <v>4560</v>
      </c>
      <c r="AC109" s="173">
        <f>L108</f>
        <v>4560</v>
      </c>
    </row>
    <row r="110" spans="1:29">
      <c r="A110" s="67"/>
      <c r="B110" s="67"/>
      <c r="C110" s="69"/>
      <c r="D110" s="102" t="s">
        <v>556</v>
      </c>
      <c r="E110" s="67"/>
      <c r="F110" s="73"/>
      <c r="G110" s="172"/>
      <c r="H110" s="176"/>
      <c r="I110" s="176">
        <f>I111</f>
        <v>20610</v>
      </c>
      <c r="J110" s="176">
        <f>J111</f>
        <v>229</v>
      </c>
      <c r="K110" s="176">
        <f>K111</f>
        <v>105</v>
      </c>
      <c r="L110" s="176">
        <f>L111</f>
        <v>9450</v>
      </c>
      <c r="M110" s="177">
        <f>'参考值-平台主推SKU占比'!$F$34</f>
        <v>1.26050420168067E-2</v>
      </c>
      <c r="N110" s="142"/>
      <c r="O110" s="142"/>
      <c r="P110" s="69"/>
      <c r="Q110" s="67" t="s">
        <v>557</v>
      </c>
      <c r="R110" s="173">
        <f>I110</f>
        <v>20610</v>
      </c>
      <c r="S110" s="173">
        <f>I110</f>
        <v>20610</v>
      </c>
      <c r="T110" s="173">
        <f>I110</f>
        <v>20610</v>
      </c>
      <c r="U110" s="173">
        <f>I110</f>
        <v>20610</v>
      </c>
      <c r="V110" s="173">
        <f>I110</f>
        <v>20610</v>
      </c>
      <c r="W110" s="173">
        <f>I110</f>
        <v>20610</v>
      </c>
      <c r="X110" s="173">
        <f>I110</f>
        <v>20610</v>
      </c>
      <c r="Y110" s="173">
        <f>I110</f>
        <v>20610</v>
      </c>
      <c r="Z110" s="173">
        <f>I110</f>
        <v>20610</v>
      </c>
      <c r="AA110" s="173">
        <f>I110</f>
        <v>20610</v>
      </c>
      <c r="AB110" s="173">
        <f>I110</f>
        <v>20610</v>
      </c>
      <c r="AC110" s="173">
        <f>I110</f>
        <v>20610</v>
      </c>
    </row>
    <row r="111" spans="1:29">
      <c r="A111" s="67"/>
      <c r="B111" s="67"/>
      <c r="C111" s="69"/>
      <c r="D111" s="69"/>
      <c r="E111" s="67" t="s">
        <v>527</v>
      </c>
      <c r="F111" s="73">
        <v>700</v>
      </c>
      <c r="G111" s="172">
        <f>'参考值-平台主推SKU占比'!$C$34</f>
        <v>90</v>
      </c>
      <c r="H111" s="91"/>
      <c r="I111" s="91">
        <f>'参考值-平台主推SKU占比'!$H$34</f>
        <v>20610</v>
      </c>
      <c r="J111" s="91">
        <f>IFERROR(I111/G111,"")</f>
        <v>229</v>
      </c>
      <c r="K111" s="91">
        <f>'假设-成本与任务量'!$I$4</f>
        <v>105</v>
      </c>
      <c r="L111" s="91">
        <f>IFERROR(K111*G111,"")</f>
        <v>9450</v>
      </c>
      <c r="M111" s="175"/>
      <c r="N111" s="142"/>
      <c r="O111" s="142"/>
      <c r="P111" s="69"/>
      <c r="Q111" s="67" t="s">
        <v>558</v>
      </c>
      <c r="R111" s="173">
        <f>L110</f>
        <v>9450</v>
      </c>
      <c r="S111" s="173">
        <f>L110</f>
        <v>9450</v>
      </c>
      <c r="T111" s="173">
        <f>L110</f>
        <v>9450</v>
      </c>
      <c r="U111" s="173">
        <f>L110</f>
        <v>9450</v>
      </c>
      <c r="V111" s="173">
        <f>L110</f>
        <v>9450</v>
      </c>
      <c r="W111" s="173">
        <f>L110</f>
        <v>9450</v>
      </c>
      <c r="X111" s="173">
        <f>L110</f>
        <v>9450</v>
      </c>
      <c r="Y111" s="173">
        <f>L110</f>
        <v>9450</v>
      </c>
      <c r="Z111" s="173">
        <f>L110</f>
        <v>9450</v>
      </c>
      <c r="AA111" s="173">
        <f>L110</f>
        <v>9450</v>
      </c>
      <c r="AB111" s="173">
        <f>L110</f>
        <v>9450</v>
      </c>
      <c r="AC111" s="173">
        <f>L110</f>
        <v>9450</v>
      </c>
    </row>
    <row r="112" spans="1:29">
      <c r="A112" s="67"/>
      <c r="B112" s="67"/>
      <c r="C112" s="69"/>
      <c r="D112" s="102" t="s">
        <v>561</v>
      </c>
      <c r="E112" s="67"/>
      <c r="F112" s="73"/>
      <c r="G112" s="172"/>
      <c r="H112" s="176"/>
      <c r="I112" s="176">
        <f>I113</f>
        <v>27480</v>
      </c>
      <c r="J112" s="176">
        <f>J113</f>
        <v>229</v>
      </c>
      <c r="K112" s="176">
        <f>K113</f>
        <v>105</v>
      </c>
      <c r="L112" s="176">
        <f>L113</f>
        <v>12600</v>
      </c>
      <c r="M112" s="177">
        <f>'参考值-平台主推SKU占比'!$F$35</f>
        <v>1.0504201680672299E-2</v>
      </c>
      <c r="N112" s="142"/>
      <c r="O112" s="142"/>
      <c r="P112" s="69"/>
      <c r="Q112" s="67" t="s">
        <v>562</v>
      </c>
      <c r="R112" s="173">
        <f>I112</f>
        <v>27480</v>
      </c>
      <c r="S112" s="173">
        <f>I112</f>
        <v>27480</v>
      </c>
      <c r="T112" s="173">
        <f>I112</f>
        <v>27480</v>
      </c>
      <c r="U112" s="173">
        <f>I112</f>
        <v>27480</v>
      </c>
      <c r="V112" s="173">
        <f>I112</f>
        <v>27480</v>
      </c>
      <c r="W112" s="173">
        <f>I112</f>
        <v>27480</v>
      </c>
      <c r="X112" s="173">
        <f>I112</f>
        <v>27480</v>
      </c>
      <c r="Y112" s="173">
        <f>I112</f>
        <v>27480</v>
      </c>
      <c r="Z112" s="173">
        <f>I112</f>
        <v>27480</v>
      </c>
      <c r="AA112" s="173">
        <f>I112</f>
        <v>27480</v>
      </c>
      <c r="AB112" s="173">
        <f>I112</f>
        <v>27480</v>
      </c>
      <c r="AC112" s="173">
        <f>I112</f>
        <v>27480</v>
      </c>
    </row>
    <row r="113" spans="1:29">
      <c r="A113" s="67"/>
      <c r="B113" s="67"/>
      <c r="C113" s="69"/>
      <c r="D113" s="69"/>
      <c r="E113" s="67" t="s">
        <v>527</v>
      </c>
      <c r="F113" s="73">
        <v>700</v>
      </c>
      <c r="G113" s="172">
        <f>'参考值-平台主推SKU占比'!$C$35</f>
        <v>120</v>
      </c>
      <c r="H113" s="91"/>
      <c r="I113" s="91">
        <f>'参考值-平台主推SKU占比'!$H$35</f>
        <v>27480</v>
      </c>
      <c r="J113" s="91">
        <f>IFERROR(I113/G113,"")</f>
        <v>229</v>
      </c>
      <c r="K113" s="91">
        <f>'假设-成本与任务量'!$I$4</f>
        <v>105</v>
      </c>
      <c r="L113" s="91">
        <f>IFERROR(K113*G113,"")</f>
        <v>12600</v>
      </c>
      <c r="M113" s="175"/>
      <c r="N113" s="142"/>
      <c r="O113" s="142"/>
      <c r="P113" s="69"/>
      <c r="Q113" s="67" t="s">
        <v>563</v>
      </c>
      <c r="R113" s="173">
        <f>L112</f>
        <v>12600</v>
      </c>
      <c r="S113" s="173">
        <f>L112</f>
        <v>12600</v>
      </c>
      <c r="T113" s="173">
        <f>L112</f>
        <v>12600</v>
      </c>
      <c r="U113" s="173">
        <f>L112</f>
        <v>12600</v>
      </c>
      <c r="V113" s="173">
        <f>L112</f>
        <v>12600</v>
      </c>
      <c r="W113" s="173">
        <f>L112</f>
        <v>12600</v>
      </c>
      <c r="X113" s="173">
        <f>L112</f>
        <v>12600</v>
      </c>
      <c r="Y113" s="173">
        <f>L112</f>
        <v>12600</v>
      </c>
      <c r="Z113" s="173">
        <f>L112</f>
        <v>12600</v>
      </c>
      <c r="AA113" s="173">
        <f>L112</f>
        <v>12600</v>
      </c>
      <c r="AB113" s="173">
        <f>L112</f>
        <v>12600</v>
      </c>
      <c r="AC113" s="173">
        <f>L112</f>
        <v>12600</v>
      </c>
    </row>
    <row r="114" spans="1:29">
      <c r="A114" s="67"/>
      <c r="B114" s="67"/>
      <c r="C114" s="69"/>
      <c r="D114" s="102" t="s">
        <v>564</v>
      </c>
      <c r="E114" s="67"/>
      <c r="F114" s="73"/>
      <c r="G114" s="172"/>
      <c r="H114" s="176"/>
      <c r="I114" s="176">
        <f>I115</f>
        <v>19992</v>
      </c>
      <c r="J114" s="176">
        <f>J115</f>
        <v>119</v>
      </c>
      <c r="K114" s="176">
        <f>K115</f>
        <v>38</v>
      </c>
      <c r="L114" s="176">
        <f>L115</f>
        <v>6384</v>
      </c>
      <c r="M114" s="177">
        <f>'参考值-平台主推SKU占比'!$F$36</f>
        <v>1.0504201680672299E-2</v>
      </c>
      <c r="N114" s="142"/>
      <c r="O114" s="142"/>
      <c r="P114" s="69"/>
      <c r="Q114" s="67" t="s">
        <v>565</v>
      </c>
      <c r="R114" s="173">
        <f>I114</f>
        <v>19992</v>
      </c>
      <c r="S114" s="173">
        <f>I114</f>
        <v>19992</v>
      </c>
      <c r="T114" s="173">
        <f>I114</f>
        <v>19992</v>
      </c>
      <c r="U114" s="173">
        <f>I114</f>
        <v>19992</v>
      </c>
      <c r="V114" s="173">
        <f>I114</f>
        <v>19992</v>
      </c>
      <c r="W114" s="173">
        <f>I114</f>
        <v>19992</v>
      </c>
      <c r="X114" s="173">
        <f>I114</f>
        <v>19992</v>
      </c>
      <c r="Y114" s="173">
        <f>I114</f>
        <v>19992</v>
      </c>
      <c r="Z114" s="173">
        <f>I114</f>
        <v>19992</v>
      </c>
      <c r="AA114" s="173">
        <f>I114</f>
        <v>19992</v>
      </c>
      <c r="AB114" s="173">
        <f>I114</f>
        <v>19992</v>
      </c>
      <c r="AC114" s="173">
        <f>I114</f>
        <v>19992</v>
      </c>
    </row>
    <row r="115" spans="1:29">
      <c r="A115" s="67"/>
      <c r="B115" s="67"/>
      <c r="C115" s="69"/>
      <c r="D115" s="69"/>
      <c r="E115" s="67" t="s">
        <v>520</v>
      </c>
      <c r="F115" s="73">
        <v>320</v>
      </c>
      <c r="G115" s="172">
        <f>'参考值-平台主推SKU占比'!$C$36</f>
        <v>168</v>
      </c>
      <c r="H115" s="91"/>
      <c r="I115" s="91">
        <f>'参考值-平台主推SKU占比'!$H$36</f>
        <v>19992</v>
      </c>
      <c r="J115" s="91">
        <f>IFERROR(I115/G115,"")</f>
        <v>119</v>
      </c>
      <c r="K115" s="91">
        <f>'假设-成本与任务量'!$I$6</f>
        <v>38</v>
      </c>
      <c r="L115" s="91">
        <f>IFERROR(K115*G115,"")</f>
        <v>6384</v>
      </c>
      <c r="M115" s="175"/>
      <c r="N115" s="142"/>
      <c r="O115" s="142"/>
      <c r="P115" s="69"/>
      <c r="Q115" s="67" t="s">
        <v>566</v>
      </c>
      <c r="R115" s="173">
        <f>L114</f>
        <v>6384</v>
      </c>
      <c r="S115" s="173">
        <f>L114</f>
        <v>6384</v>
      </c>
      <c r="T115" s="173">
        <f>L114</f>
        <v>6384</v>
      </c>
      <c r="U115" s="173">
        <f>L114</f>
        <v>6384</v>
      </c>
      <c r="V115" s="173">
        <f>L114</f>
        <v>6384</v>
      </c>
      <c r="W115" s="173">
        <f>L114</f>
        <v>6384</v>
      </c>
      <c r="X115" s="173">
        <f>L114</f>
        <v>6384</v>
      </c>
      <c r="Y115" s="173">
        <f>L114</f>
        <v>6384</v>
      </c>
      <c r="Z115" s="173">
        <f>L114</f>
        <v>6384</v>
      </c>
      <c r="AA115" s="173">
        <f>L114</f>
        <v>6384</v>
      </c>
      <c r="AB115" s="173">
        <f>L114</f>
        <v>6384</v>
      </c>
      <c r="AC115" s="173">
        <f>L114</f>
        <v>6384</v>
      </c>
    </row>
    <row r="116" spans="1:29">
      <c r="A116" s="67"/>
      <c r="B116" s="67"/>
      <c r="C116" s="69"/>
      <c r="D116" s="102" t="s">
        <v>567</v>
      </c>
      <c r="E116" s="67"/>
      <c r="F116" s="73"/>
      <c r="G116" s="172"/>
      <c r="H116" s="176"/>
      <c r="I116" s="176">
        <f>I117</f>
        <v>16488</v>
      </c>
      <c r="J116" s="176">
        <f>J117</f>
        <v>229</v>
      </c>
      <c r="K116" s="176">
        <f>K117</f>
        <v>105</v>
      </c>
      <c r="L116" s="176">
        <f>L117</f>
        <v>7560</v>
      </c>
      <c r="M116" s="177">
        <f>'参考值-平台主推SKU占比'!$F$37</f>
        <v>8.40336134453782E-3</v>
      </c>
      <c r="N116" s="142"/>
      <c r="O116" s="142"/>
      <c r="P116" s="69"/>
      <c r="Q116" s="67" t="s">
        <v>568</v>
      </c>
      <c r="R116" s="173">
        <f>I116</f>
        <v>16488</v>
      </c>
      <c r="S116" s="173">
        <f>I116</f>
        <v>16488</v>
      </c>
      <c r="T116" s="173">
        <f>I116</f>
        <v>16488</v>
      </c>
      <c r="U116" s="173">
        <f>I116</f>
        <v>16488</v>
      </c>
      <c r="V116" s="173">
        <f>I116</f>
        <v>16488</v>
      </c>
      <c r="W116" s="173">
        <f>I116</f>
        <v>16488</v>
      </c>
      <c r="X116" s="173">
        <f>I116</f>
        <v>16488</v>
      </c>
      <c r="Y116" s="173">
        <f>I116</f>
        <v>16488</v>
      </c>
      <c r="Z116" s="173">
        <f>I116</f>
        <v>16488</v>
      </c>
      <c r="AA116" s="173">
        <f>I116</f>
        <v>16488</v>
      </c>
      <c r="AB116" s="173">
        <f>I116</f>
        <v>16488</v>
      </c>
      <c r="AC116" s="173">
        <f>I116</f>
        <v>16488</v>
      </c>
    </row>
    <row r="117" spans="1:29">
      <c r="A117" s="67"/>
      <c r="B117" s="67"/>
      <c r="C117" s="69"/>
      <c r="D117" s="69"/>
      <c r="E117" s="67" t="s">
        <v>527</v>
      </c>
      <c r="F117" s="73">
        <v>700</v>
      </c>
      <c r="G117" s="172">
        <f>'参考值-平台主推SKU占比'!$C$37</f>
        <v>72</v>
      </c>
      <c r="H117" s="91"/>
      <c r="I117" s="91">
        <f>'参考值-平台主推SKU占比'!$H$37</f>
        <v>16488</v>
      </c>
      <c r="J117" s="91">
        <f>IFERROR(I117/G117,"")</f>
        <v>229</v>
      </c>
      <c r="K117" s="91">
        <f>'假设-成本与任务量'!$I$4</f>
        <v>105</v>
      </c>
      <c r="L117" s="91">
        <f>IFERROR(K117*G117,"")</f>
        <v>7560</v>
      </c>
      <c r="M117" s="175"/>
      <c r="N117" s="142"/>
      <c r="O117" s="142"/>
      <c r="P117" s="69"/>
      <c r="Q117" s="67" t="s">
        <v>569</v>
      </c>
      <c r="R117" s="173">
        <f>L116</f>
        <v>7560</v>
      </c>
      <c r="S117" s="173">
        <f>L116</f>
        <v>7560</v>
      </c>
      <c r="T117" s="173">
        <f>L116</f>
        <v>7560</v>
      </c>
      <c r="U117" s="173">
        <f>L116</f>
        <v>7560</v>
      </c>
      <c r="V117" s="173">
        <f>L116</f>
        <v>7560</v>
      </c>
      <c r="W117" s="173">
        <f>L116</f>
        <v>7560</v>
      </c>
      <c r="X117" s="173">
        <f>L116</f>
        <v>7560</v>
      </c>
      <c r="Y117" s="173">
        <f>L116</f>
        <v>7560</v>
      </c>
      <c r="Z117" s="173">
        <f>L116</f>
        <v>7560</v>
      </c>
      <c r="AA117" s="173">
        <f>L116</f>
        <v>7560</v>
      </c>
      <c r="AB117" s="173">
        <f>L116</f>
        <v>7560</v>
      </c>
      <c r="AC117" s="173">
        <f>L116</f>
        <v>7560</v>
      </c>
    </row>
    <row r="118" spans="1:29">
      <c r="A118" s="67"/>
      <c r="B118" s="67"/>
      <c r="C118" s="69"/>
      <c r="D118" s="102" t="s">
        <v>570</v>
      </c>
      <c r="E118" s="67"/>
      <c r="F118" s="73"/>
      <c r="G118" s="172"/>
      <c r="H118" s="176"/>
      <c r="I118" s="176">
        <f>I119</f>
        <v>30228</v>
      </c>
      <c r="J118" s="176">
        <f>J119</f>
        <v>229</v>
      </c>
      <c r="K118" s="176">
        <f>K119</f>
        <v>105</v>
      </c>
      <c r="L118" s="176">
        <f>L119</f>
        <v>13860</v>
      </c>
      <c r="M118" s="177">
        <f>'参考值-平台主推SKU占比'!$F$38</f>
        <v>8.40336134453782E-3</v>
      </c>
      <c r="N118" s="142"/>
      <c r="O118" s="142"/>
      <c r="P118" s="69"/>
      <c r="Q118" s="67" t="s">
        <v>571</v>
      </c>
      <c r="R118" s="173">
        <f>I118</f>
        <v>30228</v>
      </c>
      <c r="S118" s="173">
        <f>I118</f>
        <v>30228</v>
      </c>
      <c r="T118" s="173">
        <f>I118</f>
        <v>30228</v>
      </c>
      <c r="U118" s="173">
        <f>I118</f>
        <v>30228</v>
      </c>
      <c r="V118" s="173">
        <f>I118</f>
        <v>30228</v>
      </c>
      <c r="W118" s="173">
        <f>I118</f>
        <v>30228</v>
      </c>
      <c r="X118" s="173">
        <f>I118</f>
        <v>30228</v>
      </c>
      <c r="Y118" s="173">
        <f>I118</f>
        <v>30228</v>
      </c>
      <c r="Z118" s="173">
        <f>I118</f>
        <v>30228</v>
      </c>
      <c r="AA118" s="173">
        <f>I118</f>
        <v>30228</v>
      </c>
      <c r="AB118" s="173">
        <f>I118</f>
        <v>30228</v>
      </c>
      <c r="AC118" s="173">
        <f>I118</f>
        <v>30228</v>
      </c>
    </row>
    <row r="119" spans="1:29">
      <c r="A119" s="67"/>
      <c r="B119" s="67"/>
      <c r="C119" s="69"/>
      <c r="D119" s="69"/>
      <c r="E119" s="67" t="s">
        <v>527</v>
      </c>
      <c r="F119" s="73">
        <v>700</v>
      </c>
      <c r="G119" s="172">
        <f>'参考值-平台主推SKU占比'!$C$38</f>
        <v>132</v>
      </c>
      <c r="H119" s="91"/>
      <c r="I119" s="91">
        <f>'参考值-平台主推SKU占比'!$H$38</f>
        <v>30228</v>
      </c>
      <c r="J119" s="91">
        <f>IFERROR(I119/G119,"")</f>
        <v>229</v>
      </c>
      <c r="K119" s="91">
        <f>'假设-成本与任务量'!$I$4</f>
        <v>105</v>
      </c>
      <c r="L119" s="91">
        <f>IFERROR(K119*G119,"")</f>
        <v>13860</v>
      </c>
      <c r="M119" s="175"/>
      <c r="N119" s="142"/>
      <c r="O119" s="142"/>
      <c r="P119" s="69"/>
      <c r="Q119" s="67" t="s">
        <v>572</v>
      </c>
      <c r="R119" s="173">
        <f>L118</f>
        <v>13860</v>
      </c>
      <c r="S119" s="173">
        <f>L118</f>
        <v>13860</v>
      </c>
      <c r="T119" s="173">
        <f>L118</f>
        <v>13860</v>
      </c>
      <c r="U119" s="173">
        <f>L118</f>
        <v>13860</v>
      </c>
      <c r="V119" s="173">
        <f>L118</f>
        <v>13860</v>
      </c>
      <c r="W119" s="173">
        <f>L118</f>
        <v>13860</v>
      </c>
      <c r="X119" s="173">
        <f>L118</f>
        <v>13860</v>
      </c>
      <c r="Y119" s="173">
        <f>L118</f>
        <v>13860</v>
      </c>
      <c r="Z119" s="173">
        <f>L118</f>
        <v>13860</v>
      </c>
      <c r="AA119" s="173">
        <f>L118</f>
        <v>13860</v>
      </c>
      <c r="AB119" s="173">
        <f>L118</f>
        <v>13860</v>
      </c>
      <c r="AC119" s="173">
        <f>L118</f>
        <v>13860</v>
      </c>
    </row>
    <row r="120" spans="1:29">
      <c r="A120" s="67"/>
      <c r="B120" s="67"/>
      <c r="C120" s="69"/>
      <c r="D120" s="102" t="s">
        <v>573</v>
      </c>
      <c r="E120" s="67"/>
      <c r="F120" s="73"/>
      <c r="G120" s="172"/>
      <c r="H120" s="176"/>
      <c r="I120" s="176">
        <f>I121</f>
        <v>17136</v>
      </c>
      <c r="J120" s="176">
        <f>J121</f>
        <v>119</v>
      </c>
      <c r="K120" s="176">
        <f>K121</f>
        <v>38</v>
      </c>
      <c r="L120" s="176">
        <f>L121</f>
        <v>5472</v>
      </c>
      <c r="M120" s="177">
        <f>'参考值-平台主推SKU占比'!$F$39</f>
        <v>8.40336134453782E-3</v>
      </c>
      <c r="N120" s="142"/>
      <c r="O120" s="142"/>
      <c r="P120" s="69"/>
      <c r="Q120" s="67" t="s">
        <v>574</v>
      </c>
      <c r="R120" s="173">
        <f>I120</f>
        <v>17136</v>
      </c>
      <c r="S120" s="173">
        <f>I120</f>
        <v>17136</v>
      </c>
      <c r="T120" s="173">
        <f>I120</f>
        <v>17136</v>
      </c>
      <c r="U120" s="173">
        <f>I120</f>
        <v>17136</v>
      </c>
      <c r="V120" s="173">
        <f>I120</f>
        <v>17136</v>
      </c>
      <c r="W120" s="173">
        <f>I120</f>
        <v>17136</v>
      </c>
      <c r="X120" s="173">
        <f>I120</f>
        <v>17136</v>
      </c>
      <c r="Y120" s="173">
        <f>I120</f>
        <v>17136</v>
      </c>
      <c r="Z120" s="173">
        <f>I120</f>
        <v>17136</v>
      </c>
      <c r="AA120" s="173">
        <f>I120</f>
        <v>17136</v>
      </c>
      <c r="AB120" s="173">
        <f>I120</f>
        <v>17136</v>
      </c>
      <c r="AC120" s="173">
        <f>I120</f>
        <v>17136</v>
      </c>
    </row>
    <row r="121" spans="1:29">
      <c r="A121" s="67"/>
      <c r="B121" s="67"/>
      <c r="C121" s="69"/>
      <c r="D121" s="69"/>
      <c r="E121" s="67" t="s">
        <v>520</v>
      </c>
      <c r="F121" s="73">
        <v>320</v>
      </c>
      <c r="G121" s="172">
        <f>'参考值-平台主推SKU占比'!$C$39</f>
        <v>144</v>
      </c>
      <c r="H121" s="91"/>
      <c r="I121" s="91">
        <f>'参考值-平台主推SKU占比'!$H$39</f>
        <v>17136</v>
      </c>
      <c r="J121" s="91">
        <f>IFERROR(I121/G121,"")</f>
        <v>119</v>
      </c>
      <c r="K121" s="91">
        <f>'假设-成本与任务量'!$I$6</f>
        <v>38</v>
      </c>
      <c r="L121" s="91">
        <f>IFERROR(K121*G121,"")</f>
        <v>5472</v>
      </c>
      <c r="M121" s="175"/>
      <c r="N121" s="142"/>
      <c r="O121" s="142"/>
      <c r="P121" s="69"/>
      <c r="Q121" s="67" t="s">
        <v>575</v>
      </c>
      <c r="R121" s="173">
        <f>L120</f>
        <v>5472</v>
      </c>
      <c r="S121" s="173">
        <f>L120</f>
        <v>5472</v>
      </c>
      <c r="T121" s="173">
        <f>L120</f>
        <v>5472</v>
      </c>
      <c r="U121" s="173">
        <f>L120</f>
        <v>5472</v>
      </c>
      <c r="V121" s="173">
        <f>L120</f>
        <v>5472</v>
      </c>
      <c r="W121" s="173">
        <f>L120</f>
        <v>5472</v>
      </c>
      <c r="X121" s="173">
        <f>L120</f>
        <v>5472</v>
      </c>
      <c r="Y121" s="173">
        <f>L120</f>
        <v>5472</v>
      </c>
      <c r="Z121" s="173">
        <f>L120</f>
        <v>5472</v>
      </c>
      <c r="AA121" s="173">
        <f>L120</f>
        <v>5472</v>
      </c>
      <c r="AB121" s="173">
        <f>L120</f>
        <v>5472</v>
      </c>
      <c r="AC121" s="173">
        <f>L120</f>
        <v>5472</v>
      </c>
    </row>
    <row r="122" spans="1:29">
      <c r="A122" s="67"/>
      <c r="B122" s="67"/>
      <c r="C122" s="69"/>
      <c r="D122" s="102" t="s">
        <v>576</v>
      </c>
      <c r="E122" s="67"/>
      <c r="F122" s="73"/>
      <c r="G122" s="172"/>
      <c r="H122" s="176"/>
      <c r="I122" s="176">
        <f>I123</f>
        <v>9618</v>
      </c>
      <c r="J122" s="176">
        <f>J123</f>
        <v>229</v>
      </c>
      <c r="K122" s="176">
        <f>K123</f>
        <v>105</v>
      </c>
      <c r="L122" s="176">
        <f>L123</f>
        <v>4410</v>
      </c>
      <c r="M122" s="177">
        <f>'参考值-平台主推SKU占比'!$F$40</f>
        <v>8.40336134453782E-3</v>
      </c>
      <c r="N122" s="142"/>
      <c r="O122" s="142"/>
      <c r="P122" s="69"/>
      <c r="Q122" s="67" t="s">
        <v>577</v>
      </c>
      <c r="R122" s="173">
        <f>I122</f>
        <v>9618</v>
      </c>
      <c r="S122" s="173">
        <f>I122</f>
        <v>9618</v>
      </c>
      <c r="T122" s="173">
        <f>I122</f>
        <v>9618</v>
      </c>
      <c r="U122" s="173">
        <f>I122</f>
        <v>9618</v>
      </c>
      <c r="V122" s="173">
        <f>I122</f>
        <v>9618</v>
      </c>
      <c r="W122" s="173">
        <f>I122</f>
        <v>9618</v>
      </c>
      <c r="X122" s="173">
        <f>I122</f>
        <v>9618</v>
      </c>
      <c r="Y122" s="173">
        <f>I122</f>
        <v>9618</v>
      </c>
      <c r="Z122" s="173">
        <f>I122</f>
        <v>9618</v>
      </c>
      <c r="AA122" s="173">
        <f>I122</f>
        <v>9618</v>
      </c>
      <c r="AB122" s="173">
        <f>I122</f>
        <v>9618</v>
      </c>
      <c r="AC122" s="173">
        <f>I122</f>
        <v>9618</v>
      </c>
    </row>
    <row r="123" spans="1:29">
      <c r="A123" s="67"/>
      <c r="B123" s="67"/>
      <c r="C123" s="69"/>
      <c r="D123" s="69"/>
      <c r="E123" s="67" t="s">
        <v>527</v>
      </c>
      <c r="F123" s="73">
        <v>700</v>
      </c>
      <c r="G123" s="172">
        <f>'参考值-平台主推SKU占比'!$C$40</f>
        <v>42</v>
      </c>
      <c r="H123" s="91"/>
      <c r="I123" s="91">
        <f>'参考值-平台主推SKU占比'!$H$40</f>
        <v>9618</v>
      </c>
      <c r="J123" s="91">
        <f>IFERROR(I123/G123,"")</f>
        <v>229</v>
      </c>
      <c r="K123" s="91">
        <f>'假设-成本与任务量'!$I$4</f>
        <v>105</v>
      </c>
      <c r="L123" s="91">
        <f>IFERROR(K123*G123,"")</f>
        <v>4410</v>
      </c>
      <c r="M123" s="175"/>
      <c r="N123" s="142"/>
      <c r="O123" s="142"/>
      <c r="P123" s="69"/>
      <c r="Q123" s="67" t="s">
        <v>578</v>
      </c>
      <c r="R123" s="173">
        <f>L122</f>
        <v>4410</v>
      </c>
      <c r="S123" s="173">
        <f>L122</f>
        <v>4410</v>
      </c>
      <c r="T123" s="173">
        <f>L122</f>
        <v>4410</v>
      </c>
      <c r="U123" s="173">
        <f>L122</f>
        <v>4410</v>
      </c>
      <c r="V123" s="173">
        <f>L122</f>
        <v>4410</v>
      </c>
      <c r="W123" s="173">
        <f>L122</f>
        <v>4410</v>
      </c>
      <c r="X123" s="173">
        <f>L122</f>
        <v>4410</v>
      </c>
      <c r="Y123" s="173">
        <f>L122</f>
        <v>4410</v>
      </c>
      <c r="Z123" s="173">
        <f>L122</f>
        <v>4410</v>
      </c>
      <c r="AA123" s="173">
        <f>L122</f>
        <v>4410</v>
      </c>
      <c r="AB123" s="173">
        <f>L122</f>
        <v>4410</v>
      </c>
      <c r="AC123" s="173">
        <f>L122</f>
        <v>4410</v>
      </c>
    </row>
    <row r="124" spans="1:29">
      <c r="A124" s="67"/>
      <c r="B124" s="67"/>
      <c r="C124" s="69"/>
      <c r="D124" s="102" t="s">
        <v>579</v>
      </c>
      <c r="E124" s="67"/>
      <c r="F124" s="73"/>
      <c r="G124" s="172"/>
      <c r="H124" s="176"/>
      <c r="I124" s="176">
        <f>I125</f>
        <v>22848</v>
      </c>
      <c r="J124" s="176">
        <f>J125</f>
        <v>119</v>
      </c>
      <c r="K124" s="176">
        <f>K125</f>
        <v>38</v>
      </c>
      <c r="L124" s="176">
        <f>L125</f>
        <v>7296</v>
      </c>
      <c r="M124" s="177">
        <f>'参考值-平台主推SKU占比'!$F$41</f>
        <v>8.40336134453782E-3</v>
      </c>
      <c r="N124" s="142"/>
      <c r="O124" s="142"/>
      <c r="P124" s="69"/>
      <c r="Q124" s="67" t="s">
        <v>580</v>
      </c>
      <c r="R124" s="173">
        <f>I124</f>
        <v>22848</v>
      </c>
      <c r="S124" s="173">
        <f>I124</f>
        <v>22848</v>
      </c>
      <c r="T124" s="173">
        <f>I124</f>
        <v>22848</v>
      </c>
      <c r="U124" s="173">
        <f>I124</f>
        <v>22848</v>
      </c>
      <c r="V124" s="173">
        <f>I124</f>
        <v>22848</v>
      </c>
      <c r="W124" s="173">
        <f>I124</f>
        <v>22848</v>
      </c>
      <c r="X124" s="173">
        <f>I124</f>
        <v>22848</v>
      </c>
      <c r="Y124" s="173">
        <f>I124</f>
        <v>22848</v>
      </c>
      <c r="Z124" s="173">
        <f>I124</f>
        <v>22848</v>
      </c>
      <c r="AA124" s="173">
        <f>I124</f>
        <v>22848</v>
      </c>
      <c r="AB124" s="173">
        <f>I124</f>
        <v>22848</v>
      </c>
      <c r="AC124" s="173">
        <f>I124</f>
        <v>22848</v>
      </c>
    </row>
    <row r="125" spans="1:29">
      <c r="A125" s="67"/>
      <c r="B125" s="67"/>
      <c r="C125" s="69"/>
      <c r="D125" s="69"/>
      <c r="E125" s="67" t="s">
        <v>520</v>
      </c>
      <c r="F125" s="73">
        <v>320</v>
      </c>
      <c r="G125" s="172">
        <f>'参考值-平台主推SKU占比'!$C$41</f>
        <v>192</v>
      </c>
      <c r="H125" s="91"/>
      <c r="I125" s="91">
        <f>'参考值-平台主推SKU占比'!$H$41</f>
        <v>22848</v>
      </c>
      <c r="J125" s="91">
        <f>IFERROR(I125/G125,"")</f>
        <v>119</v>
      </c>
      <c r="K125" s="91">
        <f>'假设-成本与任务量'!$I$6</f>
        <v>38</v>
      </c>
      <c r="L125" s="91">
        <f>IFERROR(K125*G125,"")</f>
        <v>7296</v>
      </c>
      <c r="M125" s="175"/>
      <c r="N125" s="142"/>
      <c r="O125" s="142"/>
      <c r="P125" s="69"/>
      <c r="Q125" s="67" t="s">
        <v>581</v>
      </c>
      <c r="R125" s="173">
        <f>L124</f>
        <v>7296</v>
      </c>
      <c r="S125" s="173">
        <f>L124</f>
        <v>7296</v>
      </c>
      <c r="T125" s="173">
        <f>L124</f>
        <v>7296</v>
      </c>
      <c r="U125" s="173">
        <f>L124</f>
        <v>7296</v>
      </c>
      <c r="V125" s="173">
        <f>L124</f>
        <v>7296</v>
      </c>
      <c r="W125" s="173">
        <f>L124</f>
        <v>7296</v>
      </c>
      <c r="X125" s="173">
        <f>L124</f>
        <v>7296</v>
      </c>
      <c r="Y125" s="173">
        <f>L124</f>
        <v>7296</v>
      </c>
      <c r="Z125" s="173">
        <f>L124</f>
        <v>7296</v>
      </c>
      <c r="AA125" s="173">
        <f>L124</f>
        <v>7296</v>
      </c>
      <c r="AB125" s="173">
        <f>L124</f>
        <v>7296</v>
      </c>
      <c r="AC125" s="173">
        <f>L124</f>
        <v>7296</v>
      </c>
    </row>
    <row r="126" spans="1:29">
      <c r="A126" s="67"/>
      <c r="B126" s="67"/>
      <c r="C126" s="69"/>
      <c r="D126" s="102" t="s">
        <v>582</v>
      </c>
      <c r="E126" s="67"/>
      <c r="F126" s="73"/>
      <c r="G126" s="172"/>
      <c r="H126" s="176"/>
      <c r="I126" s="176">
        <f>I127</f>
        <v>98948.4</v>
      </c>
      <c r="J126" s="176">
        <f>J127</f>
        <v>549.71333333333325</v>
      </c>
      <c r="K126" s="176">
        <f>K127</f>
        <v>38</v>
      </c>
      <c r="L126" s="176">
        <f>L127</f>
        <v>6840</v>
      </c>
      <c r="M126" s="177">
        <f>'参考值-平台主推SKU占比'!$F$42</f>
        <v>8.40336134453782E-3</v>
      </c>
      <c r="N126" s="142"/>
      <c r="O126" s="142"/>
      <c r="P126" s="69"/>
      <c r="Q126" s="67" t="s">
        <v>583</v>
      </c>
      <c r="R126" s="173">
        <f>I126</f>
        <v>98948.4</v>
      </c>
      <c r="S126" s="173">
        <f>I126</f>
        <v>98948.4</v>
      </c>
      <c r="T126" s="173">
        <f>I126</f>
        <v>98948.4</v>
      </c>
      <c r="U126" s="173">
        <f>I126</f>
        <v>98948.4</v>
      </c>
      <c r="V126" s="173">
        <f>I126</f>
        <v>98948.4</v>
      </c>
      <c r="W126" s="173">
        <f>I126</f>
        <v>98948.4</v>
      </c>
      <c r="X126" s="173">
        <f>I126</f>
        <v>98948.4</v>
      </c>
      <c r="Y126" s="173">
        <f>I126</f>
        <v>98948.4</v>
      </c>
      <c r="Z126" s="173">
        <f>I126</f>
        <v>98948.4</v>
      </c>
      <c r="AA126" s="173">
        <f>I126</f>
        <v>98948.4</v>
      </c>
      <c r="AB126" s="173">
        <f>I126</f>
        <v>98948.4</v>
      </c>
      <c r="AC126" s="173">
        <f>I126</f>
        <v>98948.4</v>
      </c>
    </row>
    <row r="127" spans="1:29">
      <c r="A127" s="67"/>
      <c r="B127" s="67"/>
      <c r="C127" s="69"/>
      <c r="D127" s="69"/>
      <c r="E127" s="67" t="s">
        <v>520</v>
      </c>
      <c r="F127" s="73">
        <v>320</v>
      </c>
      <c r="G127" s="172">
        <f>'参考值-平台主推SKU占比'!$C$42</f>
        <v>180</v>
      </c>
      <c r="H127" s="91"/>
      <c r="I127" s="91">
        <f>'参考值-平台主推SKU占比'!$H$42</f>
        <v>98948.4</v>
      </c>
      <c r="J127" s="91">
        <f>IFERROR(I127/G127,"")</f>
        <v>549.71333333333325</v>
      </c>
      <c r="K127" s="91">
        <f>'假设-成本与任务量'!$I$6</f>
        <v>38</v>
      </c>
      <c r="L127" s="91">
        <f>IFERROR(K127*G127,"")</f>
        <v>6840</v>
      </c>
      <c r="M127" s="175"/>
      <c r="N127" s="142"/>
      <c r="O127" s="142"/>
      <c r="P127" s="69"/>
      <c r="Q127" s="67" t="s">
        <v>584</v>
      </c>
      <c r="R127" s="173">
        <f>L126</f>
        <v>6840</v>
      </c>
      <c r="S127" s="173">
        <f>L126</f>
        <v>6840</v>
      </c>
      <c r="T127" s="173">
        <f>L126</f>
        <v>6840</v>
      </c>
      <c r="U127" s="173">
        <f>L126</f>
        <v>6840</v>
      </c>
      <c r="V127" s="173">
        <f>L126</f>
        <v>6840</v>
      </c>
      <c r="W127" s="173">
        <f>L126</f>
        <v>6840</v>
      </c>
      <c r="X127" s="173">
        <f>L126</f>
        <v>6840</v>
      </c>
      <c r="Y127" s="173">
        <f>L126</f>
        <v>6840</v>
      </c>
      <c r="Z127" s="173">
        <f>L126</f>
        <v>6840</v>
      </c>
      <c r="AA127" s="173">
        <f>L126</f>
        <v>6840</v>
      </c>
      <c r="AB127" s="173">
        <f>L126</f>
        <v>6840</v>
      </c>
      <c r="AC127" s="173">
        <f>L126</f>
        <v>6840</v>
      </c>
    </row>
    <row r="128" spans="1:29">
      <c r="A128" s="67"/>
      <c r="B128" s="67"/>
      <c r="C128" s="69"/>
      <c r="D128" s="102" t="s">
        <v>585</v>
      </c>
      <c r="E128" s="67"/>
      <c r="F128" s="73"/>
      <c r="G128" s="172"/>
      <c r="H128" s="176"/>
      <c r="I128" s="176">
        <f>I129</f>
        <v>17862</v>
      </c>
      <c r="J128" s="176">
        <f>J129</f>
        <v>229</v>
      </c>
      <c r="K128" s="176">
        <f>K129</f>
        <v>105</v>
      </c>
      <c r="L128" s="176">
        <f>L129</f>
        <v>8190</v>
      </c>
      <c r="M128" s="177">
        <f>'参考值-平台主推SKU占比'!$F$43</f>
        <v>8.40336134453782E-3</v>
      </c>
      <c r="N128" s="142"/>
      <c r="O128" s="142"/>
      <c r="P128" s="69"/>
      <c r="Q128" s="67" t="s">
        <v>586</v>
      </c>
      <c r="R128" s="173">
        <f>I128</f>
        <v>17862</v>
      </c>
      <c r="S128" s="173">
        <f>I128</f>
        <v>17862</v>
      </c>
      <c r="T128" s="173">
        <f>I128</f>
        <v>17862</v>
      </c>
      <c r="U128" s="173">
        <f>I128</f>
        <v>17862</v>
      </c>
      <c r="V128" s="173">
        <f>I128</f>
        <v>17862</v>
      </c>
      <c r="W128" s="173">
        <f>I128</f>
        <v>17862</v>
      </c>
      <c r="X128" s="173">
        <f>I128</f>
        <v>17862</v>
      </c>
      <c r="Y128" s="173">
        <f>I128</f>
        <v>17862</v>
      </c>
      <c r="Z128" s="173">
        <f>I128</f>
        <v>17862</v>
      </c>
      <c r="AA128" s="173">
        <f>I128</f>
        <v>17862</v>
      </c>
      <c r="AB128" s="173">
        <f>I128</f>
        <v>17862</v>
      </c>
      <c r="AC128" s="173">
        <f>I128</f>
        <v>17862</v>
      </c>
    </row>
    <row r="129" spans="1:29">
      <c r="A129" s="67"/>
      <c r="B129" s="67"/>
      <c r="C129" s="69"/>
      <c r="D129" s="69"/>
      <c r="E129" s="67" t="s">
        <v>527</v>
      </c>
      <c r="F129" s="73">
        <v>700</v>
      </c>
      <c r="G129" s="172">
        <f>'参考值-平台主推SKU占比'!$C$43</f>
        <v>78</v>
      </c>
      <c r="H129" s="91"/>
      <c r="I129" s="91">
        <f>'参考值-平台主推SKU占比'!$H$43</f>
        <v>17862</v>
      </c>
      <c r="J129" s="91">
        <f>IFERROR(I129/G129,"")</f>
        <v>229</v>
      </c>
      <c r="K129" s="91">
        <f>'假设-成本与任务量'!$I$4</f>
        <v>105</v>
      </c>
      <c r="L129" s="91">
        <f>IFERROR(K129*G129,"")</f>
        <v>8190</v>
      </c>
      <c r="M129" s="175"/>
      <c r="N129" s="142"/>
      <c r="O129" s="142"/>
      <c r="P129" s="69"/>
      <c r="Q129" s="67" t="s">
        <v>587</v>
      </c>
      <c r="R129" s="173">
        <f>L128</f>
        <v>8190</v>
      </c>
      <c r="S129" s="173">
        <f>L128</f>
        <v>8190</v>
      </c>
      <c r="T129" s="173">
        <f>L128</f>
        <v>8190</v>
      </c>
      <c r="U129" s="173">
        <f>L128</f>
        <v>8190</v>
      </c>
      <c r="V129" s="173">
        <f>L128</f>
        <v>8190</v>
      </c>
      <c r="W129" s="173">
        <f>L128</f>
        <v>8190</v>
      </c>
      <c r="X129" s="173">
        <f>L128</f>
        <v>8190</v>
      </c>
      <c r="Y129" s="173">
        <f>L128</f>
        <v>8190</v>
      </c>
      <c r="Z129" s="173">
        <f>L128</f>
        <v>8190</v>
      </c>
      <c r="AA129" s="173">
        <f>L128</f>
        <v>8190</v>
      </c>
      <c r="AB129" s="173">
        <f>L128</f>
        <v>8190</v>
      </c>
      <c r="AC129" s="173">
        <f>L128</f>
        <v>8190</v>
      </c>
    </row>
    <row r="130" spans="1:29">
      <c r="A130" s="67"/>
      <c r="B130" s="67"/>
      <c r="C130" s="69"/>
      <c r="D130" s="102" t="s">
        <v>588</v>
      </c>
      <c r="E130" s="67"/>
      <c r="F130" s="73"/>
      <c r="G130" s="172"/>
      <c r="H130" s="176"/>
      <c r="I130" s="176">
        <f>I131</f>
        <v>23358</v>
      </c>
      <c r="J130" s="176">
        <f>J131</f>
        <v>229</v>
      </c>
      <c r="K130" s="176">
        <f>K131</f>
        <v>105</v>
      </c>
      <c r="L130" s="176">
        <f>L131</f>
        <v>10710</v>
      </c>
      <c r="M130" s="177">
        <f>'参考值-平台主推SKU占比'!$F$44</f>
        <v>6.3025210084033598E-3</v>
      </c>
      <c r="N130" s="142"/>
      <c r="O130" s="142"/>
      <c r="P130" s="69"/>
      <c r="Q130" s="67" t="s">
        <v>589</v>
      </c>
      <c r="R130" s="173">
        <f>I130</f>
        <v>23358</v>
      </c>
      <c r="S130" s="173">
        <f>I130</f>
        <v>23358</v>
      </c>
      <c r="T130" s="173">
        <f>I130</f>
        <v>23358</v>
      </c>
      <c r="U130" s="173">
        <f>I130</f>
        <v>23358</v>
      </c>
      <c r="V130" s="173">
        <f>I130</f>
        <v>23358</v>
      </c>
      <c r="W130" s="173">
        <f>I130</f>
        <v>23358</v>
      </c>
      <c r="X130" s="173">
        <f>I130</f>
        <v>23358</v>
      </c>
      <c r="Y130" s="173">
        <f>I130</f>
        <v>23358</v>
      </c>
      <c r="Z130" s="173">
        <f>I130</f>
        <v>23358</v>
      </c>
      <c r="AA130" s="173">
        <f>I130</f>
        <v>23358</v>
      </c>
      <c r="AB130" s="173">
        <f>I130</f>
        <v>23358</v>
      </c>
      <c r="AC130" s="173">
        <f>I130</f>
        <v>23358</v>
      </c>
    </row>
    <row r="131" spans="1:29">
      <c r="A131" s="67"/>
      <c r="B131" s="67"/>
      <c r="C131" s="69"/>
      <c r="D131" s="69"/>
      <c r="E131" s="67" t="s">
        <v>527</v>
      </c>
      <c r="F131" s="73">
        <v>700</v>
      </c>
      <c r="G131" s="172">
        <f>'参考值-平台主推SKU占比'!$C$44</f>
        <v>102</v>
      </c>
      <c r="H131" s="91"/>
      <c r="I131" s="91">
        <f>'参考值-平台主推SKU占比'!$H$44</f>
        <v>23358</v>
      </c>
      <c r="J131" s="91">
        <f>IFERROR(I131/G131,"")</f>
        <v>229</v>
      </c>
      <c r="K131" s="91">
        <f>'假设-成本与任务量'!$I$4</f>
        <v>105</v>
      </c>
      <c r="L131" s="91">
        <f>IFERROR(K131*G131,"")</f>
        <v>10710</v>
      </c>
      <c r="M131" s="175"/>
      <c r="N131" s="142"/>
      <c r="O131" s="142"/>
      <c r="P131" s="69"/>
      <c r="Q131" s="67" t="s">
        <v>590</v>
      </c>
      <c r="R131" s="173">
        <f>L130</f>
        <v>10710</v>
      </c>
      <c r="S131" s="173">
        <f>L130</f>
        <v>10710</v>
      </c>
      <c r="T131" s="173">
        <f>L130</f>
        <v>10710</v>
      </c>
      <c r="U131" s="173">
        <f>L130</f>
        <v>10710</v>
      </c>
      <c r="V131" s="173">
        <f>L130</f>
        <v>10710</v>
      </c>
      <c r="W131" s="173">
        <f>L130</f>
        <v>10710</v>
      </c>
      <c r="X131" s="173">
        <f>L130</f>
        <v>10710</v>
      </c>
      <c r="Y131" s="173">
        <f>L130</f>
        <v>10710</v>
      </c>
      <c r="Z131" s="173">
        <f>L130</f>
        <v>10710</v>
      </c>
      <c r="AA131" s="173">
        <f>L130</f>
        <v>10710</v>
      </c>
      <c r="AB131" s="173">
        <f>L130</f>
        <v>10710</v>
      </c>
      <c r="AC131" s="173">
        <f>L130</f>
        <v>10710</v>
      </c>
    </row>
    <row r="132" spans="1:29">
      <c r="A132" s="67"/>
      <c r="B132" s="67"/>
      <c r="C132" s="69"/>
      <c r="D132" s="102" t="s">
        <v>591</v>
      </c>
      <c r="E132" s="67"/>
      <c r="F132" s="73"/>
      <c r="G132" s="172"/>
      <c r="H132" s="176"/>
      <c r="I132" s="176">
        <f>I133</f>
        <v>1428</v>
      </c>
      <c r="J132" s="176">
        <f>J133</f>
        <v>119</v>
      </c>
      <c r="K132" s="176">
        <f>K133</f>
        <v>38</v>
      </c>
      <c r="L132" s="176">
        <f>L133</f>
        <v>456</v>
      </c>
      <c r="M132" s="177">
        <f>'参考值-平台主推SKU占比'!$F$45</f>
        <v>6.3025210084033598E-3</v>
      </c>
      <c r="N132" s="142"/>
      <c r="O132" s="142"/>
      <c r="P132" s="69"/>
      <c r="Q132" s="67" t="s">
        <v>592</v>
      </c>
      <c r="R132" s="173">
        <f>I132</f>
        <v>1428</v>
      </c>
      <c r="S132" s="173">
        <f>I132</f>
        <v>1428</v>
      </c>
      <c r="T132" s="173">
        <f>I132</f>
        <v>1428</v>
      </c>
      <c r="U132" s="173">
        <f>I132</f>
        <v>1428</v>
      </c>
      <c r="V132" s="173">
        <f>I132</f>
        <v>1428</v>
      </c>
      <c r="W132" s="173">
        <f>I132</f>
        <v>1428</v>
      </c>
      <c r="X132" s="173">
        <f>I132</f>
        <v>1428</v>
      </c>
      <c r="Y132" s="173">
        <f>I132</f>
        <v>1428</v>
      </c>
      <c r="Z132" s="173">
        <f>I132</f>
        <v>1428</v>
      </c>
      <c r="AA132" s="173">
        <f>I132</f>
        <v>1428</v>
      </c>
      <c r="AB132" s="173">
        <f>I132</f>
        <v>1428</v>
      </c>
      <c r="AC132" s="173">
        <f>I132</f>
        <v>1428</v>
      </c>
    </row>
    <row r="133" spans="1:29">
      <c r="A133" s="67"/>
      <c r="B133" s="67"/>
      <c r="C133" s="69"/>
      <c r="D133" s="69"/>
      <c r="E133" s="67" t="s">
        <v>520</v>
      </c>
      <c r="F133" s="73">
        <v>320</v>
      </c>
      <c r="G133" s="172">
        <f>'参考值-平台主推SKU占比'!$C$45</f>
        <v>12</v>
      </c>
      <c r="H133" s="91"/>
      <c r="I133" s="91">
        <f>'参考值-平台主推SKU占比'!$H$45</f>
        <v>1428</v>
      </c>
      <c r="J133" s="91">
        <f>IFERROR(I133/G133,"")</f>
        <v>119</v>
      </c>
      <c r="K133" s="91">
        <f>'假设-成本与任务量'!$I$6</f>
        <v>38</v>
      </c>
      <c r="L133" s="91">
        <f>IFERROR(K133*G133,"")</f>
        <v>456</v>
      </c>
      <c r="M133" s="175"/>
      <c r="N133" s="142"/>
      <c r="O133" s="142"/>
      <c r="P133" s="69"/>
      <c r="Q133" s="67" t="s">
        <v>593</v>
      </c>
      <c r="R133" s="173">
        <f>L132</f>
        <v>456</v>
      </c>
      <c r="S133" s="173">
        <f>L132</f>
        <v>456</v>
      </c>
      <c r="T133" s="173">
        <f>L132</f>
        <v>456</v>
      </c>
      <c r="U133" s="173">
        <f>L132</f>
        <v>456</v>
      </c>
      <c r="V133" s="173">
        <f>L132</f>
        <v>456</v>
      </c>
      <c r="W133" s="173">
        <f>L132</f>
        <v>456</v>
      </c>
      <c r="X133" s="173">
        <f>L132</f>
        <v>456</v>
      </c>
      <c r="Y133" s="173">
        <f>L132</f>
        <v>456</v>
      </c>
      <c r="Z133" s="173">
        <f>L132</f>
        <v>456</v>
      </c>
      <c r="AA133" s="173">
        <f>L132</f>
        <v>456</v>
      </c>
      <c r="AB133" s="173">
        <f>L132</f>
        <v>456</v>
      </c>
      <c r="AC133" s="173">
        <f>L132</f>
        <v>456</v>
      </c>
    </row>
    <row r="134" spans="1:29">
      <c r="A134" s="67"/>
      <c r="B134" s="67"/>
      <c r="C134" s="69"/>
      <c r="D134" s="102" t="s">
        <v>594</v>
      </c>
      <c r="E134" s="67"/>
      <c r="F134" s="73"/>
      <c r="G134" s="172"/>
      <c r="H134" s="176"/>
      <c r="I134" s="176">
        <f>I135</f>
        <v>25704</v>
      </c>
      <c r="J134" s="176">
        <f>J135</f>
        <v>119</v>
      </c>
      <c r="K134" s="176">
        <f>K135</f>
        <v>38</v>
      </c>
      <c r="L134" s="176">
        <f>L135</f>
        <v>8208</v>
      </c>
      <c r="M134" s="177">
        <f>'参考值-平台主推SKU占比'!$F$46</f>
        <v>6.3025210084033598E-3</v>
      </c>
      <c r="N134" s="142"/>
      <c r="O134" s="142"/>
      <c r="P134" s="69"/>
      <c r="Q134" s="67" t="s">
        <v>595</v>
      </c>
      <c r="R134" s="173">
        <f>I134</f>
        <v>25704</v>
      </c>
      <c r="S134" s="173">
        <f>I134</f>
        <v>25704</v>
      </c>
      <c r="T134" s="173">
        <f>I134</f>
        <v>25704</v>
      </c>
      <c r="U134" s="173">
        <f>I134</f>
        <v>25704</v>
      </c>
      <c r="V134" s="173">
        <f>I134</f>
        <v>25704</v>
      </c>
      <c r="W134" s="173">
        <f>I134</f>
        <v>25704</v>
      </c>
      <c r="X134" s="173">
        <f>I134</f>
        <v>25704</v>
      </c>
      <c r="Y134" s="173">
        <f>I134</f>
        <v>25704</v>
      </c>
      <c r="Z134" s="173">
        <f>I134</f>
        <v>25704</v>
      </c>
      <c r="AA134" s="173">
        <f>I134</f>
        <v>25704</v>
      </c>
      <c r="AB134" s="173">
        <f>I134</f>
        <v>25704</v>
      </c>
      <c r="AC134" s="173">
        <f>I134</f>
        <v>25704</v>
      </c>
    </row>
    <row r="135" spans="1:29">
      <c r="A135" s="67"/>
      <c r="B135" s="67"/>
      <c r="C135" s="69"/>
      <c r="D135" s="69"/>
      <c r="E135" s="67" t="s">
        <v>520</v>
      </c>
      <c r="F135" s="73">
        <v>320</v>
      </c>
      <c r="G135" s="172">
        <f>'参考值-平台主推SKU占比'!$C$46</f>
        <v>216</v>
      </c>
      <c r="H135" s="91"/>
      <c r="I135" s="91">
        <f>'参考值-平台主推SKU占比'!$H$46</f>
        <v>25704</v>
      </c>
      <c r="J135" s="91">
        <f>IFERROR(I135/G135,"")</f>
        <v>119</v>
      </c>
      <c r="K135" s="91">
        <f>'假设-成本与任务量'!$I$6</f>
        <v>38</v>
      </c>
      <c r="L135" s="91">
        <f>IFERROR(K135*G135,"")</f>
        <v>8208</v>
      </c>
      <c r="M135" s="175"/>
      <c r="N135" s="142"/>
      <c r="O135" s="142"/>
      <c r="P135" s="69"/>
      <c r="Q135" s="67" t="s">
        <v>596</v>
      </c>
      <c r="R135" s="173">
        <f>L134</f>
        <v>8208</v>
      </c>
      <c r="S135" s="173">
        <f>L134</f>
        <v>8208</v>
      </c>
      <c r="T135" s="173">
        <f>L134</f>
        <v>8208</v>
      </c>
      <c r="U135" s="173">
        <f>L134</f>
        <v>8208</v>
      </c>
      <c r="V135" s="173">
        <f>L134</f>
        <v>8208</v>
      </c>
      <c r="W135" s="173">
        <f>L134</f>
        <v>8208</v>
      </c>
      <c r="X135" s="173">
        <f>L134</f>
        <v>8208</v>
      </c>
      <c r="Y135" s="173">
        <f>L134</f>
        <v>8208</v>
      </c>
      <c r="Z135" s="173">
        <f>L134</f>
        <v>8208</v>
      </c>
      <c r="AA135" s="173">
        <f>L134</f>
        <v>8208</v>
      </c>
      <c r="AB135" s="173">
        <f>L134</f>
        <v>8208</v>
      </c>
      <c r="AC135" s="173">
        <f>L134</f>
        <v>8208</v>
      </c>
    </row>
    <row r="136" spans="1:29">
      <c r="A136" s="67"/>
      <c r="B136" s="67"/>
      <c r="C136" s="69"/>
      <c r="D136" s="102" t="s">
        <v>597</v>
      </c>
      <c r="E136" s="67"/>
      <c r="F136" s="73"/>
      <c r="G136" s="172"/>
      <c r="H136" s="176"/>
      <c r="I136" s="176">
        <f>I137</f>
        <v>235506</v>
      </c>
      <c r="J136" s="176">
        <f>J137</f>
        <v>785.02</v>
      </c>
      <c r="K136" s="176">
        <f>K137</f>
        <v>38</v>
      </c>
      <c r="L136" s="176">
        <f>L137</f>
        <v>11400</v>
      </c>
      <c r="M136" s="177">
        <f>'参考值-平台主推SKU占比'!$F$47</f>
        <v>6.3025210084033598E-3</v>
      </c>
      <c r="N136" s="142"/>
      <c r="O136" s="142"/>
      <c r="P136" s="69"/>
      <c r="Q136" s="67" t="s">
        <v>598</v>
      </c>
      <c r="R136" s="173">
        <f>I136</f>
        <v>235506</v>
      </c>
      <c r="S136" s="173">
        <f>I136</f>
        <v>235506</v>
      </c>
      <c r="T136" s="173">
        <f>I136</f>
        <v>235506</v>
      </c>
      <c r="U136" s="173">
        <f>I136</f>
        <v>235506</v>
      </c>
      <c r="V136" s="173">
        <f>I136</f>
        <v>235506</v>
      </c>
      <c r="W136" s="173">
        <f>I136</f>
        <v>235506</v>
      </c>
      <c r="X136" s="173">
        <f>I136</f>
        <v>235506</v>
      </c>
      <c r="Y136" s="173">
        <f>I136</f>
        <v>235506</v>
      </c>
      <c r="Z136" s="173">
        <f>I136</f>
        <v>235506</v>
      </c>
      <c r="AA136" s="173">
        <f>I136</f>
        <v>235506</v>
      </c>
      <c r="AB136" s="173">
        <f>I136</f>
        <v>235506</v>
      </c>
      <c r="AC136" s="173">
        <f>I136</f>
        <v>235506</v>
      </c>
    </row>
    <row r="137" spans="1:29">
      <c r="A137" s="67"/>
      <c r="B137" s="67"/>
      <c r="C137" s="69"/>
      <c r="D137" s="69"/>
      <c r="E137" s="67" t="s">
        <v>520</v>
      </c>
      <c r="F137" s="73">
        <v>320</v>
      </c>
      <c r="G137" s="172">
        <f>'参考值-平台主推SKU占比'!$C$47</f>
        <v>300</v>
      </c>
      <c r="H137" s="91"/>
      <c r="I137" s="91">
        <f>'参考值-平台主推SKU占比'!$H$47</f>
        <v>235506</v>
      </c>
      <c r="J137" s="91">
        <f>IFERROR(I137/G137,"")</f>
        <v>785.02</v>
      </c>
      <c r="K137" s="91">
        <f>'假设-成本与任务量'!$I$6</f>
        <v>38</v>
      </c>
      <c r="L137" s="91">
        <f>IFERROR(K137*G137,"")</f>
        <v>11400</v>
      </c>
      <c r="M137" s="175"/>
      <c r="N137" s="142"/>
      <c r="O137" s="142"/>
      <c r="P137" s="69"/>
      <c r="Q137" s="67" t="s">
        <v>599</v>
      </c>
      <c r="R137" s="173">
        <f>L136</f>
        <v>11400</v>
      </c>
      <c r="S137" s="173">
        <f>L136</f>
        <v>11400</v>
      </c>
      <c r="T137" s="173">
        <f>L136</f>
        <v>11400</v>
      </c>
      <c r="U137" s="173">
        <f>L136</f>
        <v>11400</v>
      </c>
      <c r="V137" s="173">
        <f>L136</f>
        <v>11400</v>
      </c>
      <c r="W137" s="173">
        <f>L136</f>
        <v>11400</v>
      </c>
      <c r="X137" s="173">
        <f>L136</f>
        <v>11400</v>
      </c>
      <c r="Y137" s="173">
        <f>L136</f>
        <v>11400</v>
      </c>
      <c r="Z137" s="173">
        <f>L136</f>
        <v>11400</v>
      </c>
      <c r="AA137" s="173">
        <f>L136</f>
        <v>11400</v>
      </c>
      <c r="AB137" s="173">
        <f>L136</f>
        <v>11400</v>
      </c>
      <c r="AC137" s="173">
        <f>L136</f>
        <v>11400</v>
      </c>
    </row>
    <row r="138" spans="1:29">
      <c r="A138" s="67"/>
      <c r="B138" s="67"/>
      <c r="C138" s="69"/>
      <c r="D138" s="102" t="s">
        <v>600</v>
      </c>
      <c r="E138" s="67"/>
      <c r="F138" s="73"/>
      <c r="G138" s="172"/>
      <c r="H138" s="176"/>
      <c r="I138" s="176">
        <f>I139</f>
        <v>24732</v>
      </c>
      <c r="J138" s="176">
        <f>J139</f>
        <v>229</v>
      </c>
      <c r="K138" s="176">
        <f>K139</f>
        <v>105</v>
      </c>
      <c r="L138" s="176">
        <f>L139</f>
        <v>11340</v>
      </c>
      <c r="M138" s="177">
        <f>'参考值-平台主推SKU占比'!$F$48</f>
        <v>4.20168067226891E-3</v>
      </c>
      <c r="N138" s="142"/>
      <c r="O138" s="142"/>
      <c r="P138" s="69"/>
      <c r="Q138" s="67" t="s">
        <v>601</v>
      </c>
      <c r="R138" s="173">
        <f>I138</f>
        <v>24732</v>
      </c>
      <c r="S138" s="173">
        <f>I138</f>
        <v>24732</v>
      </c>
      <c r="T138" s="173">
        <f>I138</f>
        <v>24732</v>
      </c>
      <c r="U138" s="173">
        <f>I138</f>
        <v>24732</v>
      </c>
      <c r="V138" s="173">
        <f>I138</f>
        <v>24732</v>
      </c>
      <c r="W138" s="173">
        <f>I138</f>
        <v>24732</v>
      </c>
      <c r="X138" s="173">
        <f>I138</f>
        <v>24732</v>
      </c>
      <c r="Y138" s="173">
        <f>I138</f>
        <v>24732</v>
      </c>
      <c r="Z138" s="173">
        <f>I138</f>
        <v>24732</v>
      </c>
      <c r="AA138" s="173">
        <f>I138</f>
        <v>24732</v>
      </c>
      <c r="AB138" s="173">
        <f>I138</f>
        <v>24732</v>
      </c>
      <c r="AC138" s="173">
        <f>I138</f>
        <v>24732</v>
      </c>
    </row>
    <row r="139" spans="1:29">
      <c r="A139" s="67"/>
      <c r="B139" s="67"/>
      <c r="C139" s="69"/>
      <c r="D139" s="69"/>
      <c r="E139" s="67" t="s">
        <v>527</v>
      </c>
      <c r="F139" s="73">
        <v>700</v>
      </c>
      <c r="G139" s="172">
        <f>'参考值-平台主推SKU占比'!$C$48</f>
        <v>108</v>
      </c>
      <c r="H139" s="91"/>
      <c r="I139" s="91">
        <f>'参考值-平台主推SKU占比'!$H$48</f>
        <v>24732</v>
      </c>
      <c r="J139" s="91">
        <f>IFERROR(I139/G139,"")</f>
        <v>229</v>
      </c>
      <c r="K139" s="91">
        <f>'假设-成本与任务量'!$I$4</f>
        <v>105</v>
      </c>
      <c r="L139" s="91">
        <f>IFERROR(K139*G139,"")</f>
        <v>11340</v>
      </c>
      <c r="M139" s="175"/>
      <c r="N139" s="142"/>
      <c r="O139" s="142"/>
      <c r="P139" s="69"/>
      <c r="Q139" s="67" t="s">
        <v>602</v>
      </c>
      <c r="R139" s="173">
        <f>L138</f>
        <v>11340</v>
      </c>
      <c r="S139" s="173">
        <f>L138</f>
        <v>11340</v>
      </c>
      <c r="T139" s="173">
        <f>L138</f>
        <v>11340</v>
      </c>
      <c r="U139" s="173">
        <f>L138</f>
        <v>11340</v>
      </c>
      <c r="V139" s="173">
        <f>L138</f>
        <v>11340</v>
      </c>
      <c r="W139" s="173">
        <f>L138</f>
        <v>11340</v>
      </c>
      <c r="X139" s="173">
        <f>L138</f>
        <v>11340</v>
      </c>
      <c r="Y139" s="173">
        <f>L138</f>
        <v>11340</v>
      </c>
      <c r="Z139" s="173">
        <f>L138</f>
        <v>11340</v>
      </c>
      <c r="AA139" s="173">
        <f>L138</f>
        <v>11340</v>
      </c>
      <c r="AB139" s="173">
        <f>L138</f>
        <v>11340</v>
      </c>
      <c r="AC139" s="173">
        <f>L138</f>
        <v>11340</v>
      </c>
    </row>
    <row r="140" spans="1:29">
      <c r="A140" s="67"/>
      <c r="B140" s="67"/>
      <c r="C140" s="69"/>
      <c r="D140" s="102" t="s">
        <v>603</v>
      </c>
      <c r="E140" s="67"/>
      <c r="F140" s="73"/>
      <c r="G140" s="172"/>
      <c r="H140" s="176"/>
      <c r="I140" s="176">
        <f>I141</f>
        <v>19236</v>
      </c>
      <c r="J140" s="176">
        <f>J141</f>
        <v>229</v>
      </c>
      <c r="K140" s="176">
        <f>K141</f>
        <v>105</v>
      </c>
      <c r="L140" s="176">
        <f>L141</f>
        <v>8820</v>
      </c>
      <c r="M140" s="177">
        <f>'参考值-平台主推SKU占比'!$F$49</f>
        <v>4.20168067226891E-3</v>
      </c>
      <c r="N140" s="142"/>
      <c r="O140" s="142"/>
      <c r="P140" s="69"/>
      <c r="Q140" s="67" t="s">
        <v>604</v>
      </c>
      <c r="R140" s="173">
        <f>I140</f>
        <v>19236</v>
      </c>
      <c r="S140" s="173">
        <f>I140</f>
        <v>19236</v>
      </c>
      <c r="T140" s="173">
        <f>I140</f>
        <v>19236</v>
      </c>
      <c r="U140" s="173">
        <f>I140</f>
        <v>19236</v>
      </c>
      <c r="V140" s="173">
        <f>I140</f>
        <v>19236</v>
      </c>
      <c r="W140" s="173">
        <f>I140</f>
        <v>19236</v>
      </c>
      <c r="X140" s="173">
        <f>I140</f>
        <v>19236</v>
      </c>
      <c r="Y140" s="173">
        <f>I140</f>
        <v>19236</v>
      </c>
      <c r="Z140" s="173">
        <f>I140</f>
        <v>19236</v>
      </c>
      <c r="AA140" s="173">
        <f>I140</f>
        <v>19236</v>
      </c>
      <c r="AB140" s="173">
        <f>I140</f>
        <v>19236</v>
      </c>
      <c r="AC140" s="173">
        <f>I140</f>
        <v>19236</v>
      </c>
    </row>
    <row r="141" spans="1:29">
      <c r="A141" s="67"/>
      <c r="B141" s="67"/>
      <c r="C141" s="69"/>
      <c r="D141" s="69"/>
      <c r="E141" s="67" t="s">
        <v>527</v>
      </c>
      <c r="F141" s="73">
        <v>700</v>
      </c>
      <c r="G141" s="172">
        <f>'参考值-平台主推SKU占比'!$C$49</f>
        <v>84</v>
      </c>
      <c r="H141" s="91"/>
      <c r="I141" s="91">
        <f>'参考值-平台主推SKU占比'!$H$49</f>
        <v>19236</v>
      </c>
      <c r="J141" s="91">
        <f>IFERROR(I141/G141,"")</f>
        <v>229</v>
      </c>
      <c r="K141" s="91">
        <f>'假设-成本与任务量'!$I$4</f>
        <v>105</v>
      </c>
      <c r="L141" s="91">
        <f>IFERROR(K141*G141,"")</f>
        <v>8820</v>
      </c>
      <c r="M141" s="175"/>
      <c r="N141" s="142"/>
      <c r="O141" s="142"/>
      <c r="P141" s="69"/>
      <c r="Q141" s="67" t="s">
        <v>605</v>
      </c>
      <c r="R141" s="173">
        <f>L140</f>
        <v>8820</v>
      </c>
      <c r="S141" s="173">
        <f>L140</f>
        <v>8820</v>
      </c>
      <c r="T141" s="173">
        <f>L140</f>
        <v>8820</v>
      </c>
      <c r="U141" s="173">
        <f>L140</f>
        <v>8820</v>
      </c>
      <c r="V141" s="173">
        <f>L140</f>
        <v>8820</v>
      </c>
      <c r="W141" s="173">
        <f>L140</f>
        <v>8820</v>
      </c>
      <c r="X141" s="173">
        <f>L140</f>
        <v>8820</v>
      </c>
      <c r="Y141" s="173">
        <f>L140</f>
        <v>8820</v>
      </c>
      <c r="Z141" s="173">
        <f>L140</f>
        <v>8820</v>
      </c>
      <c r="AA141" s="173">
        <f>L140</f>
        <v>8820</v>
      </c>
      <c r="AB141" s="173">
        <f>L140</f>
        <v>8820</v>
      </c>
      <c r="AC141" s="173">
        <f>L140</f>
        <v>8820</v>
      </c>
    </row>
    <row r="142" spans="1:29">
      <c r="A142" s="67"/>
      <c r="B142" s="67"/>
      <c r="C142" s="69"/>
      <c r="D142" s="102" t="s">
        <v>606</v>
      </c>
      <c r="E142" s="67"/>
      <c r="F142" s="73"/>
      <c r="G142" s="172"/>
      <c r="H142" s="176"/>
      <c r="I142" s="176">
        <f>I143</f>
        <v>12366</v>
      </c>
      <c r="J142" s="176">
        <f>J143</f>
        <v>229</v>
      </c>
      <c r="K142" s="176">
        <f>K143</f>
        <v>105</v>
      </c>
      <c r="L142" s="176">
        <f>L143</f>
        <v>5670</v>
      </c>
      <c r="M142" s="177">
        <f>'参考值-平台主推SKU占比'!$F$50</f>
        <v>4.20168067226891E-3</v>
      </c>
      <c r="N142" s="142"/>
      <c r="O142" s="142"/>
      <c r="P142" s="69"/>
      <c r="Q142" s="67" t="s">
        <v>607</v>
      </c>
      <c r="R142" s="173">
        <f>I142</f>
        <v>12366</v>
      </c>
      <c r="S142" s="173">
        <f>I142</f>
        <v>12366</v>
      </c>
      <c r="T142" s="173">
        <f>I142</f>
        <v>12366</v>
      </c>
      <c r="U142" s="173">
        <f>I142</f>
        <v>12366</v>
      </c>
      <c r="V142" s="173">
        <f>I142</f>
        <v>12366</v>
      </c>
      <c r="W142" s="173">
        <f>I142</f>
        <v>12366</v>
      </c>
      <c r="X142" s="173">
        <f>I142</f>
        <v>12366</v>
      </c>
      <c r="Y142" s="173">
        <f>I142</f>
        <v>12366</v>
      </c>
      <c r="Z142" s="173">
        <f>I142</f>
        <v>12366</v>
      </c>
      <c r="AA142" s="173">
        <f>I142</f>
        <v>12366</v>
      </c>
      <c r="AB142" s="173">
        <f>I142</f>
        <v>12366</v>
      </c>
      <c r="AC142" s="173">
        <f>I142</f>
        <v>12366</v>
      </c>
    </row>
    <row r="143" spans="1:29">
      <c r="A143" s="67"/>
      <c r="B143" s="67"/>
      <c r="C143" s="69"/>
      <c r="D143" s="69"/>
      <c r="E143" s="67" t="s">
        <v>527</v>
      </c>
      <c r="F143" s="73">
        <v>700</v>
      </c>
      <c r="G143" s="172">
        <f>'参考值-平台主推SKU占比'!$C$50</f>
        <v>54</v>
      </c>
      <c r="H143" s="91"/>
      <c r="I143" s="91">
        <f>'参考值-平台主推SKU占比'!$H$50</f>
        <v>12366</v>
      </c>
      <c r="J143" s="91">
        <f>IFERROR(I143/G143,"")</f>
        <v>229</v>
      </c>
      <c r="K143" s="91">
        <f>'假设-成本与任务量'!$I$4</f>
        <v>105</v>
      </c>
      <c r="L143" s="91">
        <f>IFERROR(K143*G143,"")</f>
        <v>5670</v>
      </c>
      <c r="M143" s="175"/>
      <c r="N143" s="142"/>
      <c r="O143" s="142"/>
      <c r="P143" s="69"/>
      <c r="Q143" s="67" t="s">
        <v>608</v>
      </c>
      <c r="R143" s="173">
        <f>L142</f>
        <v>5670</v>
      </c>
      <c r="S143" s="173">
        <f>L142</f>
        <v>5670</v>
      </c>
      <c r="T143" s="173">
        <f>L142</f>
        <v>5670</v>
      </c>
      <c r="U143" s="173">
        <f>L142</f>
        <v>5670</v>
      </c>
      <c r="V143" s="173">
        <f>L142</f>
        <v>5670</v>
      </c>
      <c r="W143" s="173">
        <f>L142</f>
        <v>5670</v>
      </c>
      <c r="X143" s="173">
        <f>L142</f>
        <v>5670</v>
      </c>
      <c r="Y143" s="173">
        <f>L142</f>
        <v>5670</v>
      </c>
      <c r="Z143" s="173">
        <f>L142</f>
        <v>5670</v>
      </c>
      <c r="AA143" s="173">
        <f>L142</f>
        <v>5670</v>
      </c>
      <c r="AB143" s="173">
        <f>L142</f>
        <v>5670</v>
      </c>
      <c r="AC143" s="173">
        <f>L142</f>
        <v>5670</v>
      </c>
    </row>
    <row r="144" spans="1:29">
      <c r="A144" s="67"/>
      <c r="B144" s="67"/>
      <c r="C144" s="69"/>
      <c r="D144" s="102" t="s">
        <v>609</v>
      </c>
      <c r="E144" s="67"/>
      <c r="F144" s="73"/>
      <c r="G144" s="172"/>
      <c r="H144" s="176"/>
      <c r="I144" s="176">
        <f>I145</f>
        <v>81567.600000000006</v>
      </c>
      <c r="J144" s="176">
        <f>J145</f>
        <v>906.30666666666673</v>
      </c>
      <c r="K144" s="176">
        <f>K145</f>
        <v>38</v>
      </c>
      <c r="L144" s="176">
        <f>L145</f>
        <v>3420</v>
      </c>
      <c r="M144" s="177">
        <f>'参考值-平台主推SKU占比'!$F$51</f>
        <v>4.20168067226891E-3</v>
      </c>
      <c r="N144" s="142"/>
      <c r="O144" s="142"/>
      <c r="P144" s="69"/>
      <c r="Q144" s="67" t="s">
        <v>610</v>
      </c>
      <c r="R144" s="173">
        <f>I144</f>
        <v>81567.600000000006</v>
      </c>
      <c r="S144" s="173">
        <f>I144</f>
        <v>81567.600000000006</v>
      </c>
      <c r="T144" s="173">
        <f>I144</f>
        <v>81567.600000000006</v>
      </c>
      <c r="U144" s="173">
        <f>I144</f>
        <v>81567.600000000006</v>
      </c>
      <c r="V144" s="173">
        <f>I144</f>
        <v>81567.600000000006</v>
      </c>
      <c r="W144" s="173">
        <f>I144</f>
        <v>81567.600000000006</v>
      </c>
      <c r="X144" s="173">
        <f>I144</f>
        <v>81567.600000000006</v>
      </c>
      <c r="Y144" s="173">
        <f>I144</f>
        <v>81567.600000000006</v>
      </c>
      <c r="Z144" s="173">
        <f>I144</f>
        <v>81567.600000000006</v>
      </c>
      <c r="AA144" s="173">
        <f>I144</f>
        <v>81567.600000000006</v>
      </c>
      <c r="AB144" s="173">
        <f>I144</f>
        <v>81567.600000000006</v>
      </c>
      <c r="AC144" s="173">
        <f>I144</f>
        <v>81567.600000000006</v>
      </c>
    </row>
    <row r="145" spans="1:29">
      <c r="A145" s="67"/>
      <c r="B145" s="67"/>
      <c r="C145" s="69"/>
      <c r="D145" s="69"/>
      <c r="E145" s="67" t="s">
        <v>520</v>
      </c>
      <c r="F145" s="73">
        <v>320</v>
      </c>
      <c r="G145" s="172">
        <f>'参考值-平台主推SKU占比'!$C$51</f>
        <v>90</v>
      </c>
      <c r="H145" s="91"/>
      <c r="I145" s="91">
        <f>'参考值-平台主推SKU占比'!$H$51</f>
        <v>81567.600000000006</v>
      </c>
      <c r="J145" s="91">
        <f>IFERROR(I145/G145,"")</f>
        <v>906.30666666666673</v>
      </c>
      <c r="K145" s="91">
        <f>'假设-成本与任务量'!$I$6</f>
        <v>38</v>
      </c>
      <c r="L145" s="91">
        <f>IFERROR(K145*G145,"")</f>
        <v>3420</v>
      </c>
      <c r="M145" s="175"/>
      <c r="N145" s="142"/>
      <c r="O145" s="142"/>
      <c r="P145" s="69"/>
      <c r="Q145" s="67" t="s">
        <v>611</v>
      </c>
      <c r="R145" s="173">
        <f>L144</f>
        <v>3420</v>
      </c>
      <c r="S145" s="173">
        <f>L144</f>
        <v>3420</v>
      </c>
      <c r="T145" s="173">
        <f>L144</f>
        <v>3420</v>
      </c>
      <c r="U145" s="173">
        <f>L144</f>
        <v>3420</v>
      </c>
      <c r="V145" s="173">
        <f>L144</f>
        <v>3420</v>
      </c>
      <c r="W145" s="173">
        <f>L144</f>
        <v>3420</v>
      </c>
      <c r="X145" s="173">
        <f>L144</f>
        <v>3420</v>
      </c>
      <c r="Y145" s="173">
        <f>L144</f>
        <v>3420</v>
      </c>
      <c r="Z145" s="173">
        <f>L144</f>
        <v>3420</v>
      </c>
      <c r="AA145" s="173">
        <f>L144</f>
        <v>3420</v>
      </c>
      <c r="AB145" s="173">
        <f>L144</f>
        <v>3420</v>
      </c>
      <c r="AC145" s="173">
        <f>L144</f>
        <v>3420</v>
      </c>
    </row>
    <row r="146" spans="1:29">
      <c r="A146" s="67"/>
      <c r="B146" s="67"/>
      <c r="C146" s="69"/>
      <c r="D146" s="102" t="s">
        <v>612</v>
      </c>
      <c r="E146" s="67"/>
      <c r="F146" s="73"/>
      <c r="G146" s="172"/>
      <c r="H146" s="176"/>
      <c r="I146" s="176">
        <f>I147</f>
        <v>37098</v>
      </c>
      <c r="J146" s="176">
        <f>J147</f>
        <v>229</v>
      </c>
      <c r="K146" s="176">
        <f>K147</f>
        <v>105</v>
      </c>
      <c r="L146" s="176">
        <f>L147</f>
        <v>17010</v>
      </c>
      <c r="M146" s="177">
        <f>'参考值-平台主推SKU占比'!$F$52</f>
        <v>4.20168067226891E-3</v>
      </c>
      <c r="N146" s="142"/>
      <c r="O146" s="142"/>
      <c r="P146" s="69"/>
      <c r="Q146" s="67" t="s">
        <v>613</v>
      </c>
      <c r="R146" s="173">
        <f>I146</f>
        <v>37098</v>
      </c>
      <c r="S146" s="173">
        <f>I146</f>
        <v>37098</v>
      </c>
      <c r="T146" s="173">
        <f>I146</f>
        <v>37098</v>
      </c>
      <c r="U146" s="173">
        <f>I146</f>
        <v>37098</v>
      </c>
      <c r="V146" s="173">
        <f>I146</f>
        <v>37098</v>
      </c>
      <c r="W146" s="173">
        <f>I146</f>
        <v>37098</v>
      </c>
      <c r="X146" s="173">
        <f>I146</f>
        <v>37098</v>
      </c>
      <c r="Y146" s="173">
        <f>I146</f>
        <v>37098</v>
      </c>
      <c r="Z146" s="173">
        <f>I146</f>
        <v>37098</v>
      </c>
      <c r="AA146" s="173">
        <f>I146</f>
        <v>37098</v>
      </c>
      <c r="AB146" s="173">
        <f>I146</f>
        <v>37098</v>
      </c>
      <c r="AC146" s="173">
        <f>I146</f>
        <v>37098</v>
      </c>
    </row>
    <row r="147" spans="1:29">
      <c r="A147" s="67"/>
      <c r="B147" s="67"/>
      <c r="C147" s="69"/>
      <c r="D147" s="69"/>
      <c r="E147" s="67" t="s">
        <v>527</v>
      </c>
      <c r="F147" s="73">
        <v>700</v>
      </c>
      <c r="G147" s="172">
        <f>'参考值-平台主推SKU占比'!$C$52</f>
        <v>162</v>
      </c>
      <c r="H147" s="91"/>
      <c r="I147" s="91">
        <f>'参考值-平台主推SKU占比'!$H$52</f>
        <v>37098</v>
      </c>
      <c r="J147" s="91">
        <f>IFERROR(I147/G147,"")</f>
        <v>229</v>
      </c>
      <c r="K147" s="91">
        <f>'假设-成本与任务量'!$I$4</f>
        <v>105</v>
      </c>
      <c r="L147" s="91">
        <f>IFERROR(K147*G147,"")</f>
        <v>17010</v>
      </c>
      <c r="M147" s="175"/>
      <c r="N147" s="142"/>
      <c r="O147" s="142"/>
      <c r="P147" s="69"/>
      <c r="Q147" s="67" t="s">
        <v>614</v>
      </c>
      <c r="R147" s="173">
        <f>L146</f>
        <v>17010</v>
      </c>
      <c r="S147" s="173">
        <f>L146</f>
        <v>17010</v>
      </c>
      <c r="T147" s="173">
        <f>L146</f>
        <v>17010</v>
      </c>
      <c r="U147" s="173">
        <f>L146</f>
        <v>17010</v>
      </c>
      <c r="V147" s="173">
        <f>L146</f>
        <v>17010</v>
      </c>
      <c r="W147" s="173">
        <f>L146</f>
        <v>17010</v>
      </c>
      <c r="X147" s="173">
        <f>L146</f>
        <v>17010</v>
      </c>
      <c r="Y147" s="173">
        <f>L146</f>
        <v>17010</v>
      </c>
      <c r="Z147" s="173">
        <f>L146</f>
        <v>17010</v>
      </c>
      <c r="AA147" s="173">
        <f>L146</f>
        <v>17010</v>
      </c>
      <c r="AB147" s="173">
        <f>L146</f>
        <v>17010</v>
      </c>
      <c r="AC147" s="173">
        <f>L146</f>
        <v>17010</v>
      </c>
    </row>
    <row r="148" spans="1:29">
      <c r="A148" s="67"/>
      <c r="B148" s="67"/>
      <c r="C148" s="69"/>
      <c r="D148" s="102" t="s">
        <v>615</v>
      </c>
      <c r="E148" s="67"/>
      <c r="F148" s="73"/>
      <c r="G148" s="172"/>
      <c r="H148" s="176"/>
      <c r="I148" s="176">
        <f>I149</f>
        <v>31602</v>
      </c>
      <c r="J148" s="176">
        <f>J149</f>
        <v>229</v>
      </c>
      <c r="K148" s="176">
        <f>K149</f>
        <v>105</v>
      </c>
      <c r="L148" s="176">
        <f>L149</f>
        <v>14490</v>
      </c>
      <c r="M148" s="177">
        <f>'参考值-平台主推SKU占比'!$F$53</f>
        <v>4.20168067226891E-3</v>
      </c>
      <c r="N148" s="142"/>
      <c r="O148" s="142"/>
      <c r="P148" s="69"/>
      <c r="Q148" s="67" t="s">
        <v>616</v>
      </c>
      <c r="R148" s="173">
        <f>I148</f>
        <v>31602</v>
      </c>
      <c r="S148" s="173">
        <f>I148</f>
        <v>31602</v>
      </c>
      <c r="T148" s="173">
        <f>I148</f>
        <v>31602</v>
      </c>
      <c r="U148" s="173">
        <f>I148</f>
        <v>31602</v>
      </c>
      <c r="V148" s="173">
        <f>I148</f>
        <v>31602</v>
      </c>
      <c r="W148" s="173">
        <f>I148</f>
        <v>31602</v>
      </c>
      <c r="X148" s="173">
        <f>I148</f>
        <v>31602</v>
      </c>
      <c r="Y148" s="173">
        <f>I148</f>
        <v>31602</v>
      </c>
      <c r="Z148" s="173">
        <f>I148</f>
        <v>31602</v>
      </c>
      <c r="AA148" s="173">
        <f>I148</f>
        <v>31602</v>
      </c>
      <c r="AB148" s="173">
        <f>I148</f>
        <v>31602</v>
      </c>
      <c r="AC148" s="173">
        <f>I148</f>
        <v>31602</v>
      </c>
    </row>
    <row r="149" spans="1:29">
      <c r="A149" s="67"/>
      <c r="B149" s="67"/>
      <c r="C149" s="69"/>
      <c r="D149" s="69"/>
      <c r="E149" s="67" t="s">
        <v>527</v>
      </c>
      <c r="F149" s="73">
        <v>700</v>
      </c>
      <c r="G149" s="172">
        <f>'参考值-平台主推SKU占比'!$C$53</f>
        <v>138</v>
      </c>
      <c r="H149" s="91"/>
      <c r="I149" s="91">
        <f>'参考值-平台主推SKU占比'!$H$53</f>
        <v>31602</v>
      </c>
      <c r="J149" s="91">
        <f>IFERROR(I149/G149,"")</f>
        <v>229</v>
      </c>
      <c r="K149" s="91">
        <f>'假设-成本与任务量'!$I$4</f>
        <v>105</v>
      </c>
      <c r="L149" s="91">
        <f>IFERROR(K149*G149,"")</f>
        <v>14490</v>
      </c>
      <c r="M149" s="175"/>
      <c r="N149" s="142"/>
      <c r="O149" s="142"/>
      <c r="P149" s="69"/>
      <c r="Q149" s="67" t="s">
        <v>617</v>
      </c>
      <c r="R149" s="173">
        <f>L148</f>
        <v>14490</v>
      </c>
      <c r="S149" s="173">
        <f>L148</f>
        <v>14490</v>
      </c>
      <c r="T149" s="173">
        <f>L148</f>
        <v>14490</v>
      </c>
      <c r="U149" s="173">
        <f>L148</f>
        <v>14490</v>
      </c>
      <c r="V149" s="173">
        <f>L148</f>
        <v>14490</v>
      </c>
      <c r="W149" s="173">
        <f>L148</f>
        <v>14490</v>
      </c>
      <c r="X149" s="173">
        <f>L148</f>
        <v>14490</v>
      </c>
      <c r="Y149" s="173">
        <f>L148</f>
        <v>14490</v>
      </c>
      <c r="Z149" s="173">
        <f>L148</f>
        <v>14490</v>
      </c>
      <c r="AA149" s="173">
        <f>L148</f>
        <v>14490</v>
      </c>
      <c r="AB149" s="173">
        <f>L148</f>
        <v>14490</v>
      </c>
      <c r="AC149" s="173">
        <f>L148</f>
        <v>14490</v>
      </c>
    </row>
    <row r="150" spans="1:29">
      <c r="A150" s="67"/>
      <c r="B150" s="67"/>
      <c r="C150" s="69"/>
      <c r="D150" s="102" t="s">
        <v>618</v>
      </c>
      <c r="E150" s="67"/>
      <c r="F150" s="73"/>
      <c r="G150" s="172"/>
      <c r="H150" s="176"/>
      <c r="I150" s="176">
        <f>I151</f>
        <v>21984</v>
      </c>
      <c r="J150" s="176">
        <f>J151</f>
        <v>229</v>
      </c>
      <c r="K150" s="176">
        <f>K151</f>
        <v>105</v>
      </c>
      <c r="L150" s="176">
        <f>L151</f>
        <v>10080</v>
      </c>
      <c r="M150" s="177">
        <f>'参考值-平台主推SKU占比'!$F$54</f>
        <v>4.20168067226891E-3</v>
      </c>
      <c r="N150" s="142"/>
      <c r="O150" s="142"/>
      <c r="P150" s="69"/>
      <c r="Q150" s="67" t="s">
        <v>619</v>
      </c>
      <c r="R150" s="173">
        <f>I150</f>
        <v>21984</v>
      </c>
      <c r="S150" s="173">
        <f>I150</f>
        <v>21984</v>
      </c>
      <c r="T150" s="173">
        <f>I150</f>
        <v>21984</v>
      </c>
      <c r="U150" s="173">
        <f>I150</f>
        <v>21984</v>
      </c>
      <c r="V150" s="173">
        <f>I150</f>
        <v>21984</v>
      </c>
      <c r="W150" s="173">
        <f>I150</f>
        <v>21984</v>
      </c>
      <c r="X150" s="173">
        <f>I150</f>
        <v>21984</v>
      </c>
      <c r="Y150" s="173">
        <f>I150</f>
        <v>21984</v>
      </c>
      <c r="Z150" s="173">
        <f>I150</f>
        <v>21984</v>
      </c>
      <c r="AA150" s="173">
        <f>I150</f>
        <v>21984</v>
      </c>
      <c r="AB150" s="173">
        <f>I150</f>
        <v>21984</v>
      </c>
      <c r="AC150" s="173">
        <f>I150</f>
        <v>21984</v>
      </c>
    </row>
    <row r="151" spans="1:29">
      <c r="A151" s="67"/>
      <c r="B151" s="67"/>
      <c r="C151" s="69"/>
      <c r="D151" s="69"/>
      <c r="E151" s="67" t="s">
        <v>527</v>
      </c>
      <c r="F151" s="73">
        <v>700</v>
      </c>
      <c r="G151" s="172">
        <f>'参考值-平台主推SKU占比'!$C$54</f>
        <v>96</v>
      </c>
      <c r="H151" s="91"/>
      <c r="I151" s="91">
        <f>'参考值-平台主推SKU占比'!$H$54</f>
        <v>21984</v>
      </c>
      <c r="J151" s="91">
        <f>IFERROR(I151/G151,"")</f>
        <v>229</v>
      </c>
      <c r="K151" s="91">
        <f>'假设-成本与任务量'!$I$4</f>
        <v>105</v>
      </c>
      <c r="L151" s="91">
        <f>IFERROR(K151*G151,"")</f>
        <v>10080</v>
      </c>
      <c r="M151" s="175"/>
      <c r="N151" s="142"/>
      <c r="O151" s="142"/>
      <c r="P151" s="69"/>
      <c r="Q151" s="67" t="s">
        <v>620</v>
      </c>
      <c r="R151" s="173">
        <f>L150</f>
        <v>10080</v>
      </c>
      <c r="S151" s="173">
        <f>L150</f>
        <v>10080</v>
      </c>
      <c r="T151" s="173">
        <f>L150</f>
        <v>10080</v>
      </c>
      <c r="U151" s="173">
        <f>L150</f>
        <v>10080</v>
      </c>
      <c r="V151" s="173">
        <f>L150</f>
        <v>10080</v>
      </c>
      <c r="W151" s="173">
        <f>L150</f>
        <v>10080</v>
      </c>
      <c r="X151" s="173">
        <f>L150</f>
        <v>10080</v>
      </c>
      <c r="Y151" s="173">
        <f>L150</f>
        <v>10080</v>
      </c>
      <c r="Z151" s="173">
        <f>L150</f>
        <v>10080</v>
      </c>
      <c r="AA151" s="173">
        <f>L150</f>
        <v>10080</v>
      </c>
      <c r="AB151" s="173">
        <f>L150</f>
        <v>10080</v>
      </c>
      <c r="AC151" s="173">
        <f>L150</f>
        <v>10080</v>
      </c>
    </row>
    <row r="152" spans="1:29">
      <c r="A152" s="67"/>
      <c r="B152" s="67"/>
      <c r="C152" s="69"/>
      <c r="D152" s="102" t="s">
        <v>621</v>
      </c>
      <c r="E152" s="67"/>
      <c r="F152" s="73"/>
      <c r="G152" s="172"/>
      <c r="H152" s="176"/>
      <c r="I152" s="176">
        <f>I153</f>
        <v>201578.4</v>
      </c>
      <c r="J152" s="176">
        <f>J153</f>
        <v>419.95499999999998</v>
      </c>
      <c r="K152" s="176">
        <f>K153</f>
        <v>38</v>
      </c>
      <c r="L152" s="176">
        <f>L153</f>
        <v>18240</v>
      </c>
      <c r="M152" s="177">
        <f>'参考值-平台主推SKU占比'!$F$55</f>
        <v>4.20168067226891E-3</v>
      </c>
      <c r="N152" s="142"/>
      <c r="O152" s="142"/>
      <c r="P152" s="69"/>
      <c r="Q152" s="67" t="s">
        <v>622</v>
      </c>
      <c r="R152" s="173">
        <f>I152</f>
        <v>201578.4</v>
      </c>
      <c r="S152" s="173">
        <f>I152</f>
        <v>201578.4</v>
      </c>
      <c r="T152" s="173">
        <f>I152</f>
        <v>201578.4</v>
      </c>
      <c r="U152" s="173">
        <f>I152</f>
        <v>201578.4</v>
      </c>
      <c r="V152" s="173">
        <f>I152</f>
        <v>201578.4</v>
      </c>
      <c r="W152" s="173">
        <f>I152</f>
        <v>201578.4</v>
      </c>
      <c r="X152" s="173">
        <f>I152</f>
        <v>201578.4</v>
      </c>
      <c r="Y152" s="173">
        <f>I152</f>
        <v>201578.4</v>
      </c>
      <c r="Z152" s="173">
        <f>I152</f>
        <v>201578.4</v>
      </c>
      <c r="AA152" s="173">
        <f>I152</f>
        <v>201578.4</v>
      </c>
      <c r="AB152" s="173">
        <f>I152</f>
        <v>201578.4</v>
      </c>
      <c r="AC152" s="173">
        <f>I152</f>
        <v>201578.4</v>
      </c>
    </row>
    <row r="153" spans="1:29">
      <c r="A153" s="67"/>
      <c r="B153" s="67"/>
      <c r="C153" s="69"/>
      <c r="D153" s="69"/>
      <c r="E153" s="67" t="s">
        <v>520</v>
      </c>
      <c r="F153" s="73">
        <v>320</v>
      </c>
      <c r="G153" s="172">
        <f>'参考值-平台主推SKU占比'!$C$55</f>
        <v>480</v>
      </c>
      <c r="H153" s="91"/>
      <c r="I153" s="91">
        <f>'参考值-平台主推SKU占比'!$H$55</f>
        <v>201578.4</v>
      </c>
      <c r="J153" s="91">
        <f>IFERROR(I153/G153,"")</f>
        <v>419.95499999999998</v>
      </c>
      <c r="K153" s="91">
        <f>'假设-成本与任务量'!$I$6</f>
        <v>38</v>
      </c>
      <c r="L153" s="91">
        <f>IFERROR(K153*G153,"")</f>
        <v>18240</v>
      </c>
      <c r="M153" s="175"/>
      <c r="N153" s="142"/>
      <c r="O153" s="142"/>
      <c r="P153" s="69"/>
      <c r="Q153" s="67" t="s">
        <v>623</v>
      </c>
      <c r="R153" s="173">
        <f>L152</f>
        <v>18240</v>
      </c>
      <c r="S153" s="173">
        <f>L152</f>
        <v>18240</v>
      </c>
      <c r="T153" s="173">
        <f>L152</f>
        <v>18240</v>
      </c>
      <c r="U153" s="173">
        <f>L152</f>
        <v>18240</v>
      </c>
      <c r="V153" s="173">
        <f>L152</f>
        <v>18240</v>
      </c>
      <c r="W153" s="173">
        <f>L152</f>
        <v>18240</v>
      </c>
      <c r="X153" s="173">
        <f>L152</f>
        <v>18240</v>
      </c>
      <c r="Y153" s="173">
        <f>L152</f>
        <v>18240</v>
      </c>
      <c r="Z153" s="173">
        <f>L152</f>
        <v>18240</v>
      </c>
      <c r="AA153" s="173">
        <f>L152</f>
        <v>18240</v>
      </c>
      <c r="AB153" s="173">
        <f>L152</f>
        <v>18240</v>
      </c>
      <c r="AC153" s="173">
        <f>L152</f>
        <v>18240</v>
      </c>
    </row>
    <row r="154" spans="1:29">
      <c r="A154" s="67"/>
      <c r="B154" s="67"/>
      <c r="C154" s="69"/>
      <c r="D154" s="102" t="s">
        <v>624</v>
      </c>
      <c r="E154" s="67"/>
      <c r="F154" s="73"/>
      <c r="G154" s="172"/>
      <c r="H154" s="176"/>
      <c r="I154" s="176">
        <f>I155</f>
        <v>46716</v>
      </c>
      <c r="J154" s="176">
        <f>J155</f>
        <v>229</v>
      </c>
      <c r="K154" s="176">
        <f>K155</f>
        <v>105</v>
      </c>
      <c r="L154" s="176">
        <f>L155</f>
        <v>21420</v>
      </c>
      <c r="M154" s="177">
        <f>'参考值-平台主推SKU占比'!$F$56</f>
        <v>4.20168067226891E-3</v>
      </c>
      <c r="N154" s="142"/>
      <c r="O154" s="142"/>
      <c r="P154" s="69"/>
      <c r="Q154" s="67" t="s">
        <v>625</v>
      </c>
      <c r="R154" s="173">
        <f>I154</f>
        <v>46716</v>
      </c>
      <c r="S154" s="173">
        <f>I154</f>
        <v>46716</v>
      </c>
      <c r="T154" s="173">
        <f>I154</f>
        <v>46716</v>
      </c>
      <c r="U154" s="173">
        <f>I154</f>
        <v>46716</v>
      </c>
      <c r="V154" s="173">
        <f>I154</f>
        <v>46716</v>
      </c>
      <c r="W154" s="173">
        <f>I154</f>
        <v>46716</v>
      </c>
      <c r="X154" s="173">
        <f>I154</f>
        <v>46716</v>
      </c>
      <c r="Y154" s="173">
        <f>I154</f>
        <v>46716</v>
      </c>
      <c r="Z154" s="173">
        <f>I154</f>
        <v>46716</v>
      </c>
      <c r="AA154" s="173">
        <f>I154</f>
        <v>46716</v>
      </c>
      <c r="AB154" s="173">
        <f>I154</f>
        <v>46716</v>
      </c>
      <c r="AC154" s="173">
        <f>I154</f>
        <v>46716</v>
      </c>
    </row>
    <row r="155" spans="1:29">
      <c r="A155" s="67"/>
      <c r="B155" s="67"/>
      <c r="C155" s="69"/>
      <c r="D155" s="69"/>
      <c r="E155" s="67" t="s">
        <v>527</v>
      </c>
      <c r="F155" s="73">
        <v>700</v>
      </c>
      <c r="G155" s="172">
        <f>'参考值-平台主推SKU占比'!$C$56</f>
        <v>204</v>
      </c>
      <c r="H155" s="91"/>
      <c r="I155" s="91">
        <f>'参考值-平台主推SKU占比'!$H$56</f>
        <v>46716</v>
      </c>
      <c r="J155" s="91">
        <f>IFERROR(I155/G155,"")</f>
        <v>229</v>
      </c>
      <c r="K155" s="91">
        <f>'假设-成本与任务量'!$I$4</f>
        <v>105</v>
      </c>
      <c r="L155" s="91">
        <f>IFERROR(K155*G155,"")</f>
        <v>21420</v>
      </c>
      <c r="M155" s="175"/>
      <c r="N155" s="142"/>
      <c r="O155" s="142"/>
      <c r="P155" s="69"/>
      <c r="Q155" s="67" t="s">
        <v>626</v>
      </c>
      <c r="R155" s="173">
        <f>L154</f>
        <v>21420</v>
      </c>
      <c r="S155" s="173">
        <f>L154</f>
        <v>21420</v>
      </c>
      <c r="T155" s="173">
        <f>L154</f>
        <v>21420</v>
      </c>
      <c r="U155" s="173">
        <f>L154</f>
        <v>21420</v>
      </c>
      <c r="V155" s="173">
        <f>L154</f>
        <v>21420</v>
      </c>
      <c r="W155" s="173">
        <f>L154</f>
        <v>21420</v>
      </c>
      <c r="X155" s="173">
        <f>L154</f>
        <v>21420</v>
      </c>
      <c r="Y155" s="173">
        <f>L154</f>
        <v>21420</v>
      </c>
      <c r="Z155" s="173">
        <f>L154</f>
        <v>21420</v>
      </c>
      <c r="AA155" s="173">
        <f>L154</f>
        <v>21420</v>
      </c>
      <c r="AB155" s="173">
        <f>L154</f>
        <v>21420</v>
      </c>
      <c r="AC155" s="173">
        <f>L154</f>
        <v>21420</v>
      </c>
    </row>
    <row r="156" spans="1:29">
      <c r="A156" s="67"/>
      <c r="B156" s="67"/>
      <c r="C156" s="69"/>
      <c r="D156" s="102" t="s">
        <v>627</v>
      </c>
      <c r="E156" s="67"/>
      <c r="F156" s="73"/>
      <c r="G156" s="172"/>
      <c r="H156" s="176"/>
      <c r="I156" s="176">
        <f>I157</f>
        <v>23682</v>
      </c>
      <c r="J156" s="176">
        <f>J157</f>
        <v>358.81818181818181</v>
      </c>
      <c r="K156" s="176">
        <f>K157</f>
        <v>105</v>
      </c>
      <c r="L156" s="176">
        <f>L157</f>
        <v>6930</v>
      </c>
      <c r="M156" s="177">
        <f>'参考值-平台主推SKU占比'!$F$57</f>
        <v>4.20168067226891E-3</v>
      </c>
      <c r="N156" s="142"/>
      <c r="O156" s="142"/>
      <c r="P156" s="69"/>
      <c r="Q156" s="67" t="s">
        <v>628</v>
      </c>
      <c r="R156" s="173">
        <f>I156</f>
        <v>23682</v>
      </c>
      <c r="S156" s="173">
        <f>I156</f>
        <v>23682</v>
      </c>
      <c r="T156" s="173">
        <f>I156</f>
        <v>23682</v>
      </c>
      <c r="U156" s="173">
        <f>I156</f>
        <v>23682</v>
      </c>
      <c r="V156" s="173">
        <f>I156</f>
        <v>23682</v>
      </c>
      <c r="W156" s="173">
        <f>I156</f>
        <v>23682</v>
      </c>
      <c r="X156" s="173">
        <f>I156</f>
        <v>23682</v>
      </c>
      <c r="Y156" s="173">
        <f>I156</f>
        <v>23682</v>
      </c>
      <c r="Z156" s="173">
        <f>I156</f>
        <v>23682</v>
      </c>
      <c r="AA156" s="173">
        <f>I156</f>
        <v>23682</v>
      </c>
      <c r="AB156" s="173">
        <f>I156</f>
        <v>23682</v>
      </c>
      <c r="AC156" s="173">
        <f>I156</f>
        <v>23682</v>
      </c>
    </row>
    <row r="157" spans="1:29">
      <c r="A157" s="67"/>
      <c r="B157" s="67"/>
      <c r="C157" s="69"/>
      <c r="D157" s="69"/>
      <c r="E157" s="67" t="s">
        <v>527</v>
      </c>
      <c r="F157" s="73">
        <v>700</v>
      </c>
      <c r="G157" s="172">
        <f>'参考值-平台主推SKU占比'!$C$57</f>
        <v>66</v>
      </c>
      <c r="H157" s="91"/>
      <c r="I157" s="91">
        <f>'参考值-平台主推SKU占比'!$H$57</f>
        <v>23682</v>
      </c>
      <c r="J157" s="91">
        <f>IFERROR(I157/G157,"")</f>
        <v>358.81818181818181</v>
      </c>
      <c r="K157" s="91">
        <f>'假设-成本与任务量'!$I$4</f>
        <v>105</v>
      </c>
      <c r="L157" s="91">
        <f>IFERROR(K157*G157,"")</f>
        <v>6930</v>
      </c>
      <c r="M157" s="175"/>
      <c r="N157" s="142"/>
      <c r="O157" s="142"/>
      <c r="P157" s="69"/>
      <c r="Q157" s="67" t="s">
        <v>629</v>
      </c>
      <c r="R157" s="173">
        <f>L156</f>
        <v>6930</v>
      </c>
      <c r="S157" s="173">
        <f>L156</f>
        <v>6930</v>
      </c>
      <c r="T157" s="173">
        <f>L156</f>
        <v>6930</v>
      </c>
      <c r="U157" s="173">
        <f>L156</f>
        <v>6930</v>
      </c>
      <c r="V157" s="173">
        <f>L156</f>
        <v>6930</v>
      </c>
      <c r="W157" s="173">
        <f>L156</f>
        <v>6930</v>
      </c>
      <c r="X157" s="173">
        <f>L156</f>
        <v>6930</v>
      </c>
      <c r="Y157" s="173">
        <f>L156</f>
        <v>6930</v>
      </c>
      <c r="Z157" s="173">
        <f>L156</f>
        <v>6930</v>
      </c>
      <c r="AA157" s="173">
        <f>L156</f>
        <v>6930</v>
      </c>
      <c r="AB157" s="173">
        <f>L156</f>
        <v>6930</v>
      </c>
      <c r="AC157" s="173">
        <f>L156</f>
        <v>6930</v>
      </c>
    </row>
    <row r="158" spans="1:29">
      <c r="A158" s="67"/>
      <c r="B158" s="67"/>
      <c r="C158" s="69"/>
      <c r="D158" s="102" t="s">
        <v>630</v>
      </c>
      <c r="E158" s="67"/>
      <c r="F158" s="73"/>
      <c r="G158" s="172"/>
      <c r="H158" s="176"/>
      <c r="I158" s="176">
        <f>I159</f>
        <v>13740</v>
      </c>
      <c r="J158" s="176">
        <f>J159</f>
        <v>229</v>
      </c>
      <c r="K158" s="176">
        <f>K159</f>
        <v>105</v>
      </c>
      <c r="L158" s="176">
        <f>L159</f>
        <v>6300</v>
      </c>
      <c r="M158" s="177">
        <f>'参考值-平台主推SKU占比'!$F$58</f>
        <v>2.1008403361344498E-3</v>
      </c>
      <c r="N158" s="142"/>
      <c r="O158" s="142"/>
      <c r="P158" s="69"/>
      <c r="Q158" s="67" t="s">
        <v>631</v>
      </c>
      <c r="R158" s="173">
        <f>I158</f>
        <v>13740</v>
      </c>
      <c r="S158" s="173">
        <f>I158</f>
        <v>13740</v>
      </c>
      <c r="T158" s="173">
        <f>I158</f>
        <v>13740</v>
      </c>
      <c r="U158" s="173">
        <f>I158</f>
        <v>13740</v>
      </c>
      <c r="V158" s="173">
        <f>I158</f>
        <v>13740</v>
      </c>
      <c r="W158" s="173">
        <f>I158</f>
        <v>13740</v>
      </c>
      <c r="X158" s="173">
        <f>I158</f>
        <v>13740</v>
      </c>
      <c r="Y158" s="173">
        <f>I158</f>
        <v>13740</v>
      </c>
      <c r="Z158" s="173">
        <f>I158</f>
        <v>13740</v>
      </c>
      <c r="AA158" s="173">
        <f>I158</f>
        <v>13740</v>
      </c>
      <c r="AB158" s="173">
        <f>I158</f>
        <v>13740</v>
      </c>
      <c r="AC158" s="173">
        <f>I158</f>
        <v>13740</v>
      </c>
    </row>
    <row r="159" spans="1:29">
      <c r="A159" s="67"/>
      <c r="B159" s="67"/>
      <c r="C159" s="69"/>
      <c r="D159" s="69"/>
      <c r="E159" s="67" t="s">
        <v>527</v>
      </c>
      <c r="F159" s="73">
        <v>700</v>
      </c>
      <c r="G159" s="172">
        <f>'参考值-平台主推SKU占比'!$C$58</f>
        <v>60</v>
      </c>
      <c r="H159" s="91"/>
      <c r="I159" s="91">
        <f>'参考值-平台主推SKU占比'!$H$58</f>
        <v>13740</v>
      </c>
      <c r="J159" s="91">
        <f>IFERROR(I159/G159,"")</f>
        <v>229</v>
      </c>
      <c r="K159" s="91">
        <f>'假设-成本与任务量'!$I$4</f>
        <v>105</v>
      </c>
      <c r="L159" s="91">
        <f>IFERROR(K159*G159,"")</f>
        <v>6300</v>
      </c>
      <c r="M159" s="175"/>
      <c r="N159" s="142"/>
      <c r="O159" s="142"/>
      <c r="P159" s="69"/>
      <c r="Q159" s="67" t="s">
        <v>632</v>
      </c>
      <c r="R159" s="173">
        <f>L158</f>
        <v>6300</v>
      </c>
      <c r="S159" s="173">
        <f>L158</f>
        <v>6300</v>
      </c>
      <c r="T159" s="173">
        <f>L158</f>
        <v>6300</v>
      </c>
      <c r="U159" s="173">
        <f>L158</f>
        <v>6300</v>
      </c>
      <c r="V159" s="173">
        <f>L158</f>
        <v>6300</v>
      </c>
      <c r="W159" s="173">
        <f>L158</f>
        <v>6300</v>
      </c>
      <c r="X159" s="173">
        <f>L158</f>
        <v>6300</v>
      </c>
      <c r="Y159" s="173">
        <f>L158</f>
        <v>6300</v>
      </c>
      <c r="Z159" s="173">
        <f>L158</f>
        <v>6300</v>
      </c>
      <c r="AA159" s="173">
        <f>L158</f>
        <v>6300</v>
      </c>
      <c r="AB159" s="173">
        <f>L158</f>
        <v>6300</v>
      </c>
      <c r="AC159" s="173">
        <f>L158</f>
        <v>6300</v>
      </c>
    </row>
    <row r="160" spans="1:29">
      <c r="A160" s="67"/>
      <c r="B160" s="67"/>
      <c r="C160" s="69"/>
      <c r="D160" s="102" t="s">
        <v>633</v>
      </c>
      <c r="E160" s="67"/>
      <c r="F160" s="73"/>
      <c r="G160" s="172"/>
      <c r="H160" s="176"/>
      <c r="I160" s="176">
        <f>I161</f>
        <v>144540</v>
      </c>
      <c r="J160" s="176">
        <f>J161</f>
        <v>2409</v>
      </c>
      <c r="K160" s="176">
        <f>K161</f>
        <v>38</v>
      </c>
      <c r="L160" s="176">
        <f>L161</f>
        <v>2280</v>
      </c>
      <c r="M160" s="177">
        <f>'参考值-平台主推SKU占比'!$F$59</f>
        <v>2.1008403361344498E-3</v>
      </c>
      <c r="N160" s="142"/>
      <c r="O160" s="142"/>
      <c r="P160" s="69"/>
      <c r="Q160" s="67" t="s">
        <v>634</v>
      </c>
      <c r="R160" s="173">
        <f>I160</f>
        <v>144540</v>
      </c>
      <c r="S160" s="173">
        <f>I160</f>
        <v>144540</v>
      </c>
      <c r="T160" s="173">
        <f>I160</f>
        <v>144540</v>
      </c>
      <c r="U160" s="173">
        <f>I160</f>
        <v>144540</v>
      </c>
      <c r="V160" s="173">
        <f>I160</f>
        <v>144540</v>
      </c>
      <c r="W160" s="173">
        <f>I160</f>
        <v>144540</v>
      </c>
      <c r="X160" s="173">
        <f>I160</f>
        <v>144540</v>
      </c>
      <c r="Y160" s="173">
        <f>I160</f>
        <v>144540</v>
      </c>
      <c r="Z160" s="173">
        <f>I160</f>
        <v>144540</v>
      </c>
      <c r="AA160" s="173">
        <f>I160</f>
        <v>144540</v>
      </c>
      <c r="AB160" s="173">
        <f>I160</f>
        <v>144540</v>
      </c>
      <c r="AC160" s="173">
        <f>I160</f>
        <v>144540</v>
      </c>
    </row>
    <row r="161" spans="1:29">
      <c r="A161" s="67"/>
      <c r="B161" s="67"/>
      <c r="C161" s="69"/>
      <c r="D161" s="69"/>
      <c r="E161" s="67" t="s">
        <v>520</v>
      </c>
      <c r="F161" s="73">
        <v>320</v>
      </c>
      <c r="G161" s="172">
        <f>'参考值-平台主推SKU占比'!$C$59</f>
        <v>60</v>
      </c>
      <c r="H161" s="91"/>
      <c r="I161" s="91">
        <f>'参考值-平台主推SKU占比'!$H$59</f>
        <v>144540</v>
      </c>
      <c r="J161" s="91">
        <f>IFERROR(I161/G161,"")</f>
        <v>2409</v>
      </c>
      <c r="K161" s="91">
        <f>'假设-成本与任务量'!$I$6</f>
        <v>38</v>
      </c>
      <c r="L161" s="91">
        <f>IFERROR(K161*G161,"")</f>
        <v>2280</v>
      </c>
      <c r="M161" s="175"/>
      <c r="N161" s="142"/>
      <c r="O161" s="142"/>
      <c r="P161" s="69"/>
      <c r="Q161" s="67" t="s">
        <v>635</v>
      </c>
      <c r="R161" s="173">
        <f>L160</f>
        <v>2280</v>
      </c>
      <c r="S161" s="173">
        <f>L160</f>
        <v>2280</v>
      </c>
      <c r="T161" s="173">
        <f>L160</f>
        <v>2280</v>
      </c>
      <c r="U161" s="173">
        <f>L160</f>
        <v>2280</v>
      </c>
      <c r="V161" s="173">
        <f>L160</f>
        <v>2280</v>
      </c>
      <c r="W161" s="173">
        <f>L160</f>
        <v>2280</v>
      </c>
      <c r="X161" s="173">
        <f>L160</f>
        <v>2280</v>
      </c>
      <c r="Y161" s="173">
        <f>L160</f>
        <v>2280</v>
      </c>
      <c r="Z161" s="173">
        <f>L160</f>
        <v>2280</v>
      </c>
      <c r="AA161" s="173">
        <f>L160</f>
        <v>2280</v>
      </c>
      <c r="AB161" s="173">
        <f>L160</f>
        <v>2280</v>
      </c>
      <c r="AC161" s="173">
        <f>L160</f>
        <v>2280</v>
      </c>
    </row>
    <row r="162" spans="1:29">
      <c r="A162" s="67"/>
      <c r="B162" s="67"/>
      <c r="C162" s="69"/>
      <c r="D162" s="102" t="s">
        <v>636</v>
      </c>
      <c r="E162" s="67"/>
      <c r="F162" s="73"/>
      <c r="G162" s="172"/>
      <c r="H162" s="176"/>
      <c r="I162" s="176">
        <f>I163</f>
        <v>304560</v>
      </c>
      <c r="J162" s="176">
        <f>J163</f>
        <v>507.6</v>
      </c>
      <c r="K162" s="176">
        <f>K163</f>
        <v>38</v>
      </c>
      <c r="L162" s="176">
        <f>L163</f>
        <v>22800</v>
      </c>
      <c r="M162" s="177">
        <f>'参考值-平台主推SKU占比'!$F$60</f>
        <v>2.1008403361344498E-3</v>
      </c>
      <c r="N162" s="142"/>
      <c r="O162" s="142"/>
      <c r="P162" s="69"/>
      <c r="Q162" s="67" t="s">
        <v>637</v>
      </c>
      <c r="R162" s="173">
        <f>I162</f>
        <v>304560</v>
      </c>
      <c r="S162" s="173">
        <f>I162</f>
        <v>304560</v>
      </c>
      <c r="T162" s="173">
        <f>I162</f>
        <v>304560</v>
      </c>
      <c r="U162" s="173">
        <f>I162</f>
        <v>304560</v>
      </c>
      <c r="V162" s="173">
        <f>I162</f>
        <v>304560</v>
      </c>
      <c r="W162" s="173">
        <f>I162</f>
        <v>304560</v>
      </c>
      <c r="X162" s="173">
        <f>I162</f>
        <v>304560</v>
      </c>
      <c r="Y162" s="173">
        <f>I162</f>
        <v>304560</v>
      </c>
      <c r="Z162" s="173">
        <f>I162</f>
        <v>304560</v>
      </c>
      <c r="AA162" s="173">
        <f>I162</f>
        <v>304560</v>
      </c>
      <c r="AB162" s="173">
        <f>I162</f>
        <v>304560</v>
      </c>
      <c r="AC162" s="173">
        <f>I162</f>
        <v>304560</v>
      </c>
    </row>
    <row r="163" spans="1:29">
      <c r="A163" s="67"/>
      <c r="B163" s="67"/>
      <c r="C163" s="69"/>
      <c r="D163" s="69"/>
      <c r="E163" s="67" t="s">
        <v>520</v>
      </c>
      <c r="F163" s="73">
        <v>320</v>
      </c>
      <c r="G163" s="172">
        <f>'参考值-平台主推SKU占比'!$C$60</f>
        <v>600</v>
      </c>
      <c r="H163" s="91"/>
      <c r="I163" s="91">
        <f>'参考值-平台主推SKU占比'!$H$60</f>
        <v>304560</v>
      </c>
      <c r="J163" s="91">
        <f>IFERROR(I163/G163,"")</f>
        <v>507.6</v>
      </c>
      <c r="K163" s="91">
        <f>'假设-成本与任务量'!$I$6</f>
        <v>38</v>
      </c>
      <c r="L163" s="91">
        <f>IFERROR(K163*G163,"")</f>
        <v>22800</v>
      </c>
      <c r="M163" s="175"/>
      <c r="N163" s="142"/>
      <c r="O163" s="142"/>
      <c r="P163" s="69"/>
      <c r="Q163" s="67" t="s">
        <v>638</v>
      </c>
      <c r="R163" s="173">
        <f>L162</f>
        <v>22800</v>
      </c>
      <c r="S163" s="173">
        <f>L162</f>
        <v>22800</v>
      </c>
      <c r="T163" s="173">
        <f>L162</f>
        <v>22800</v>
      </c>
      <c r="U163" s="173">
        <f>L162</f>
        <v>22800</v>
      </c>
      <c r="V163" s="173">
        <f>L162</f>
        <v>22800</v>
      </c>
      <c r="W163" s="173">
        <f>L162</f>
        <v>22800</v>
      </c>
      <c r="X163" s="173">
        <f>L162</f>
        <v>22800</v>
      </c>
      <c r="Y163" s="173">
        <f>L162</f>
        <v>22800</v>
      </c>
      <c r="Z163" s="173">
        <f>L162</f>
        <v>22800</v>
      </c>
      <c r="AA163" s="173">
        <f>L162</f>
        <v>22800</v>
      </c>
      <c r="AB163" s="173">
        <f>L162</f>
        <v>22800</v>
      </c>
      <c r="AC163" s="173">
        <f>L162</f>
        <v>22800</v>
      </c>
    </row>
    <row r="164" spans="1:29">
      <c r="A164" s="67"/>
      <c r="B164" s="67"/>
      <c r="C164" s="69"/>
      <c r="D164" s="102" t="s">
        <v>639</v>
      </c>
      <c r="E164" s="67"/>
      <c r="F164" s="73"/>
      <c r="G164" s="172"/>
      <c r="H164" s="176"/>
      <c r="I164" s="176">
        <f>I165</f>
        <v>49464</v>
      </c>
      <c r="J164" s="176">
        <f>J165</f>
        <v>229</v>
      </c>
      <c r="K164" s="176">
        <f>K165</f>
        <v>105</v>
      </c>
      <c r="L164" s="176">
        <f>L165</f>
        <v>22680</v>
      </c>
      <c r="M164" s="177">
        <f>'参考值-平台主推SKU占比'!$F$61</f>
        <v>2.1008403361344498E-3</v>
      </c>
      <c r="N164" s="142"/>
      <c r="O164" s="142"/>
      <c r="P164" s="69"/>
      <c r="Q164" s="67" t="s">
        <v>640</v>
      </c>
      <c r="R164" s="173">
        <f>I164</f>
        <v>49464</v>
      </c>
      <c r="S164" s="173">
        <f>I164</f>
        <v>49464</v>
      </c>
      <c r="T164" s="173">
        <f>I164</f>
        <v>49464</v>
      </c>
      <c r="U164" s="173">
        <f>I164</f>
        <v>49464</v>
      </c>
      <c r="V164" s="173">
        <f>I164</f>
        <v>49464</v>
      </c>
      <c r="W164" s="173">
        <f>I164</f>
        <v>49464</v>
      </c>
      <c r="X164" s="173">
        <f>I164</f>
        <v>49464</v>
      </c>
      <c r="Y164" s="173">
        <f>I164</f>
        <v>49464</v>
      </c>
      <c r="Z164" s="173">
        <f>I164</f>
        <v>49464</v>
      </c>
      <c r="AA164" s="173">
        <f>I164</f>
        <v>49464</v>
      </c>
      <c r="AB164" s="173">
        <f>I164</f>
        <v>49464</v>
      </c>
      <c r="AC164" s="173">
        <f>I164</f>
        <v>49464</v>
      </c>
    </row>
    <row r="165" spans="1:29">
      <c r="A165" s="67"/>
      <c r="B165" s="67"/>
      <c r="C165" s="69"/>
      <c r="D165" s="69"/>
      <c r="E165" s="67" t="s">
        <v>527</v>
      </c>
      <c r="F165" s="73">
        <v>700</v>
      </c>
      <c r="G165" s="172">
        <f>'参考值-平台主推SKU占比'!$C$61</f>
        <v>216</v>
      </c>
      <c r="H165" s="91"/>
      <c r="I165" s="91">
        <f>'参考值-平台主推SKU占比'!$H$61</f>
        <v>49464</v>
      </c>
      <c r="J165" s="91">
        <f>IFERROR(I165/G165,"")</f>
        <v>229</v>
      </c>
      <c r="K165" s="91">
        <f>'假设-成本与任务量'!$I$4</f>
        <v>105</v>
      </c>
      <c r="L165" s="91">
        <f>IFERROR(K165*G165,"")</f>
        <v>22680</v>
      </c>
      <c r="M165" s="175"/>
      <c r="N165" s="142"/>
      <c r="O165" s="142"/>
      <c r="P165" s="69"/>
      <c r="Q165" s="67" t="s">
        <v>641</v>
      </c>
      <c r="R165" s="173">
        <f>L164</f>
        <v>22680</v>
      </c>
      <c r="S165" s="173">
        <f>L164</f>
        <v>22680</v>
      </c>
      <c r="T165" s="173">
        <f>L164</f>
        <v>22680</v>
      </c>
      <c r="U165" s="173">
        <f>L164</f>
        <v>22680</v>
      </c>
      <c r="V165" s="173">
        <f>L164</f>
        <v>22680</v>
      </c>
      <c r="W165" s="173">
        <f>L164</f>
        <v>22680</v>
      </c>
      <c r="X165" s="173">
        <f>L164</f>
        <v>22680</v>
      </c>
      <c r="Y165" s="173">
        <f>L164</f>
        <v>22680</v>
      </c>
      <c r="Z165" s="173">
        <f>L164</f>
        <v>22680</v>
      </c>
      <c r="AA165" s="173">
        <f>L164</f>
        <v>22680</v>
      </c>
      <c r="AB165" s="173">
        <f>L164</f>
        <v>22680</v>
      </c>
      <c r="AC165" s="173">
        <f>L164</f>
        <v>22680</v>
      </c>
    </row>
    <row r="166" spans="1:29">
      <c r="A166" s="67"/>
      <c r="B166" s="67"/>
      <c r="C166" s="69"/>
      <c r="D166" s="102" t="s">
        <v>642</v>
      </c>
      <c r="E166" s="67"/>
      <c r="F166" s="73"/>
      <c r="G166" s="172"/>
      <c r="H166" s="176"/>
      <c r="I166" s="176">
        <f>I167</f>
        <v>59082</v>
      </c>
      <c r="J166" s="176">
        <f>J167</f>
        <v>229</v>
      </c>
      <c r="K166" s="176">
        <f>K167</f>
        <v>105</v>
      </c>
      <c r="L166" s="176">
        <f>L167</f>
        <v>27090</v>
      </c>
      <c r="M166" s="177">
        <f>'参考值-平台主推SKU占比'!$F$62</f>
        <v>2.1008403361344498E-3</v>
      </c>
      <c r="N166" s="142"/>
      <c r="O166" s="142"/>
      <c r="P166" s="69"/>
      <c r="Q166" s="67" t="s">
        <v>643</v>
      </c>
      <c r="R166" s="173">
        <f>I166</f>
        <v>59082</v>
      </c>
      <c r="S166" s="173">
        <f>I166</f>
        <v>59082</v>
      </c>
      <c r="T166" s="173">
        <f>I166</f>
        <v>59082</v>
      </c>
      <c r="U166" s="173">
        <f>I166</f>
        <v>59082</v>
      </c>
      <c r="V166" s="173">
        <f>I166</f>
        <v>59082</v>
      </c>
      <c r="W166" s="173">
        <f>I166</f>
        <v>59082</v>
      </c>
      <c r="X166" s="173">
        <f>I166</f>
        <v>59082</v>
      </c>
      <c r="Y166" s="173">
        <f>I166</f>
        <v>59082</v>
      </c>
      <c r="Z166" s="173">
        <f>I166</f>
        <v>59082</v>
      </c>
      <c r="AA166" s="173">
        <f>I166</f>
        <v>59082</v>
      </c>
      <c r="AB166" s="173">
        <f>I166</f>
        <v>59082</v>
      </c>
      <c r="AC166" s="173">
        <f>I166</f>
        <v>59082</v>
      </c>
    </row>
    <row r="167" spans="1:29">
      <c r="A167" s="67"/>
      <c r="B167" s="67"/>
      <c r="C167" s="69"/>
      <c r="D167" s="69"/>
      <c r="E167" s="67" t="s">
        <v>527</v>
      </c>
      <c r="F167" s="73">
        <v>700</v>
      </c>
      <c r="G167" s="172">
        <f>'参考值-平台主推SKU占比'!$C$62</f>
        <v>258</v>
      </c>
      <c r="H167" s="91"/>
      <c r="I167" s="91">
        <f>'参考值-平台主推SKU占比'!$H$62</f>
        <v>59082</v>
      </c>
      <c r="J167" s="91">
        <f>IFERROR(I167/G167,"")</f>
        <v>229</v>
      </c>
      <c r="K167" s="91">
        <f>'假设-成本与任务量'!$I$4</f>
        <v>105</v>
      </c>
      <c r="L167" s="91">
        <f>IFERROR(K167*G167,"")</f>
        <v>27090</v>
      </c>
      <c r="M167" s="175"/>
      <c r="N167" s="142"/>
      <c r="O167" s="142"/>
      <c r="P167" s="69"/>
      <c r="Q167" s="67" t="s">
        <v>644</v>
      </c>
      <c r="R167" s="173">
        <f>L166</f>
        <v>27090</v>
      </c>
      <c r="S167" s="173">
        <f>L166</f>
        <v>27090</v>
      </c>
      <c r="T167" s="173">
        <f>L166</f>
        <v>27090</v>
      </c>
      <c r="U167" s="173">
        <f>L166</f>
        <v>27090</v>
      </c>
      <c r="V167" s="173">
        <f>L166</f>
        <v>27090</v>
      </c>
      <c r="W167" s="173">
        <f>L166</f>
        <v>27090</v>
      </c>
      <c r="X167" s="173">
        <f>L166</f>
        <v>27090</v>
      </c>
      <c r="Y167" s="173">
        <f>L166</f>
        <v>27090</v>
      </c>
      <c r="Z167" s="173">
        <f>L166</f>
        <v>27090</v>
      </c>
      <c r="AA167" s="173">
        <f>L166</f>
        <v>27090</v>
      </c>
      <c r="AB167" s="173">
        <f>L166</f>
        <v>27090</v>
      </c>
      <c r="AC167" s="173">
        <f>L166</f>
        <v>27090</v>
      </c>
    </row>
    <row r="168" spans="1:29">
      <c r="A168" s="67"/>
      <c r="B168" s="67"/>
      <c r="C168" s="69"/>
      <c r="D168" s="102" t="s">
        <v>645</v>
      </c>
      <c r="E168" s="67"/>
      <c r="F168" s="73"/>
      <c r="G168" s="172"/>
      <c r="H168" s="176"/>
      <c r="I168" s="176">
        <f>I169</f>
        <v>63204</v>
      </c>
      <c r="J168" s="176">
        <f>J169</f>
        <v>229</v>
      </c>
      <c r="K168" s="176">
        <f>K169</f>
        <v>105</v>
      </c>
      <c r="L168" s="176">
        <f>L169</f>
        <v>28980</v>
      </c>
      <c r="M168" s="177">
        <f>'参考值-平台主推SKU占比'!$F$63</f>
        <v>2.1008403361344498E-3</v>
      </c>
      <c r="N168" s="142"/>
      <c r="O168" s="142"/>
      <c r="P168" s="69"/>
      <c r="Q168" s="67" t="s">
        <v>646</v>
      </c>
      <c r="R168" s="173">
        <f>I168</f>
        <v>63204</v>
      </c>
      <c r="S168" s="173">
        <f>I168</f>
        <v>63204</v>
      </c>
      <c r="T168" s="173">
        <f>I168</f>
        <v>63204</v>
      </c>
      <c r="U168" s="173">
        <f>I168</f>
        <v>63204</v>
      </c>
      <c r="V168" s="173">
        <f>I168</f>
        <v>63204</v>
      </c>
      <c r="W168" s="173">
        <f>I168</f>
        <v>63204</v>
      </c>
      <c r="X168" s="173">
        <f>I168</f>
        <v>63204</v>
      </c>
      <c r="Y168" s="173">
        <f>I168</f>
        <v>63204</v>
      </c>
      <c r="Z168" s="173">
        <f>I168</f>
        <v>63204</v>
      </c>
      <c r="AA168" s="173">
        <f>I168</f>
        <v>63204</v>
      </c>
      <c r="AB168" s="173">
        <f>I168</f>
        <v>63204</v>
      </c>
      <c r="AC168" s="173">
        <f>I168</f>
        <v>63204</v>
      </c>
    </row>
    <row r="169" spans="1:29">
      <c r="A169" s="67"/>
      <c r="B169" s="67"/>
      <c r="C169" s="69"/>
      <c r="D169" s="69"/>
      <c r="E169" s="67" t="s">
        <v>527</v>
      </c>
      <c r="F169" s="73">
        <v>700</v>
      </c>
      <c r="G169" s="172">
        <f>'参考值-平台主推SKU占比'!$C$63</f>
        <v>276</v>
      </c>
      <c r="H169" s="91"/>
      <c r="I169" s="91">
        <f>'参考值-平台主推SKU占比'!$H$63</f>
        <v>63204</v>
      </c>
      <c r="J169" s="91">
        <f>IFERROR(I169/G169,"")</f>
        <v>229</v>
      </c>
      <c r="K169" s="91">
        <f>'假设-成本与任务量'!$I$4</f>
        <v>105</v>
      </c>
      <c r="L169" s="91">
        <f>IFERROR(K169*G169,"")</f>
        <v>28980</v>
      </c>
      <c r="M169" s="175"/>
      <c r="N169" s="142"/>
      <c r="O169" s="142"/>
      <c r="P169" s="69"/>
      <c r="Q169" s="67" t="s">
        <v>647</v>
      </c>
      <c r="R169" s="173">
        <f>L168</f>
        <v>28980</v>
      </c>
      <c r="S169" s="173">
        <f>L168</f>
        <v>28980</v>
      </c>
      <c r="T169" s="173">
        <f>L168</f>
        <v>28980</v>
      </c>
      <c r="U169" s="173">
        <f>L168</f>
        <v>28980</v>
      </c>
      <c r="V169" s="173">
        <f>L168</f>
        <v>28980</v>
      </c>
      <c r="W169" s="173">
        <f>L168</f>
        <v>28980</v>
      </c>
      <c r="X169" s="173">
        <f>L168</f>
        <v>28980</v>
      </c>
      <c r="Y169" s="173">
        <f>L168</f>
        <v>28980</v>
      </c>
      <c r="Z169" s="173">
        <f>L168</f>
        <v>28980</v>
      </c>
      <c r="AA169" s="173">
        <f>L168</f>
        <v>28980</v>
      </c>
      <c r="AB169" s="173">
        <f>L168</f>
        <v>28980</v>
      </c>
      <c r="AC169" s="173">
        <f>L168</f>
        <v>28980</v>
      </c>
    </row>
    <row r="170" spans="1:29">
      <c r="A170" s="67"/>
      <c r="B170" s="67"/>
      <c r="C170" s="69"/>
      <c r="D170" s="102" t="s">
        <v>648</v>
      </c>
      <c r="E170" s="67"/>
      <c r="F170" s="73"/>
      <c r="G170" s="172"/>
      <c r="H170" s="176"/>
      <c r="I170" s="176">
        <f>I171</f>
        <v>41220</v>
      </c>
      <c r="J170" s="176">
        <f>J171</f>
        <v>229</v>
      </c>
      <c r="K170" s="176">
        <f>K171</f>
        <v>105</v>
      </c>
      <c r="L170" s="176">
        <f>L171</f>
        <v>18900</v>
      </c>
      <c r="M170" s="177">
        <f>'参考值-平台主推SKU占比'!$F$64</f>
        <v>2.1008403361344498E-3</v>
      </c>
      <c r="N170" s="142"/>
      <c r="O170" s="142"/>
      <c r="P170" s="69"/>
      <c r="Q170" s="67" t="s">
        <v>649</v>
      </c>
      <c r="R170" s="173">
        <f>I170</f>
        <v>41220</v>
      </c>
      <c r="S170" s="173">
        <f>I170</f>
        <v>41220</v>
      </c>
      <c r="T170" s="173">
        <f>I170</f>
        <v>41220</v>
      </c>
      <c r="U170" s="173">
        <f>I170</f>
        <v>41220</v>
      </c>
      <c r="V170" s="173">
        <f>I170</f>
        <v>41220</v>
      </c>
      <c r="W170" s="173">
        <f>I170</f>
        <v>41220</v>
      </c>
      <c r="X170" s="173">
        <f>I170</f>
        <v>41220</v>
      </c>
      <c r="Y170" s="173">
        <f>I170</f>
        <v>41220</v>
      </c>
      <c r="Z170" s="173">
        <f>I170</f>
        <v>41220</v>
      </c>
      <c r="AA170" s="173">
        <f>I170</f>
        <v>41220</v>
      </c>
      <c r="AB170" s="173">
        <f>I170</f>
        <v>41220</v>
      </c>
      <c r="AC170" s="173">
        <f>I170</f>
        <v>41220</v>
      </c>
    </row>
    <row r="171" spans="1:29">
      <c r="A171" s="67"/>
      <c r="B171" s="67"/>
      <c r="C171" s="69"/>
      <c r="D171" s="69"/>
      <c r="E171" s="67" t="s">
        <v>527</v>
      </c>
      <c r="F171" s="73">
        <v>700</v>
      </c>
      <c r="G171" s="172">
        <f>'参考值-平台主推SKU占比'!$C$64</f>
        <v>180</v>
      </c>
      <c r="H171" s="91"/>
      <c r="I171" s="91">
        <f>'参考值-平台主推SKU占比'!$H$64</f>
        <v>41220</v>
      </c>
      <c r="J171" s="91">
        <f>IFERROR(I171/G171,"")</f>
        <v>229</v>
      </c>
      <c r="K171" s="91">
        <f>'假设-成本与任务量'!$I$4</f>
        <v>105</v>
      </c>
      <c r="L171" s="91">
        <f>IFERROR(K171*G171,"")</f>
        <v>18900</v>
      </c>
      <c r="M171" s="175"/>
      <c r="N171" s="142"/>
      <c r="O171" s="142"/>
      <c r="P171" s="69"/>
      <c r="Q171" s="67" t="s">
        <v>650</v>
      </c>
      <c r="R171" s="173">
        <f>L170</f>
        <v>18900</v>
      </c>
      <c r="S171" s="173">
        <f>L170</f>
        <v>18900</v>
      </c>
      <c r="T171" s="173">
        <f>L170</f>
        <v>18900</v>
      </c>
      <c r="U171" s="173">
        <f>L170</f>
        <v>18900</v>
      </c>
      <c r="V171" s="173">
        <f>L170</f>
        <v>18900</v>
      </c>
      <c r="W171" s="173">
        <f>L170</f>
        <v>18900</v>
      </c>
      <c r="X171" s="173">
        <f>L170</f>
        <v>18900</v>
      </c>
      <c r="Y171" s="173">
        <f>L170</f>
        <v>18900</v>
      </c>
      <c r="Z171" s="173">
        <f>L170</f>
        <v>18900</v>
      </c>
      <c r="AA171" s="173">
        <f>L170</f>
        <v>18900</v>
      </c>
      <c r="AB171" s="173">
        <f>L170</f>
        <v>18900</v>
      </c>
      <c r="AC171" s="173">
        <f>L170</f>
        <v>18900</v>
      </c>
    </row>
    <row r="172" spans="1:29">
      <c r="A172" s="67"/>
      <c r="B172" s="67"/>
      <c r="C172" s="69"/>
      <c r="D172" s="102" t="s">
        <v>651</v>
      </c>
      <c r="E172" s="67"/>
      <c r="F172" s="73"/>
      <c r="G172" s="172"/>
      <c r="H172" s="176"/>
      <c r="I172" s="176">
        <f>I173</f>
        <v>116760</v>
      </c>
      <c r="J172" s="176">
        <f>J173</f>
        <v>149.69230769230768</v>
      </c>
      <c r="K172" s="176">
        <f>K173</f>
        <v>38</v>
      </c>
      <c r="L172" s="176">
        <f>L173</f>
        <v>29640</v>
      </c>
      <c r="M172" s="177">
        <f>'参考值-平台主推SKU占比'!$F$65</f>
        <v>2.1008403361344498E-3</v>
      </c>
      <c r="N172" s="142"/>
      <c r="O172" s="142"/>
      <c r="P172" s="69"/>
      <c r="Q172" s="67" t="s">
        <v>652</v>
      </c>
      <c r="R172" s="173">
        <f>I172</f>
        <v>116760</v>
      </c>
      <c r="S172" s="173">
        <f>I172</f>
        <v>116760</v>
      </c>
      <c r="T172" s="173">
        <f>I172</f>
        <v>116760</v>
      </c>
      <c r="U172" s="173">
        <f>I172</f>
        <v>116760</v>
      </c>
      <c r="V172" s="173">
        <f>I172</f>
        <v>116760</v>
      </c>
      <c r="W172" s="173">
        <f>I172</f>
        <v>116760</v>
      </c>
      <c r="X172" s="173">
        <f>I172</f>
        <v>116760</v>
      </c>
      <c r="Y172" s="173">
        <f>I172</f>
        <v>116760</v>
      </c>
      <c r="Z172" s="173">
        <f>I172</f>
        <v>116760</v>
      </c>
      <c r="AA172" s="173">
        <f>I172</f>
        <v>116760</v>
      </c>
      <c r="AB172" s="173">
        <f>I172</f>
        <v>116760</v>
      </c>
      <c r="AC172" s="173">
        <f>I172</f>
        <v>116760</v>
      </c>
    </row>
    <row r="173" spans="1:29">
      <c r="A173" s="67"/>
      <c r="B173" s="67"/>
      <c r="C173" s="69"/>
      <c r="D173" s="69"/>
      <c r="E173" s="67" t="s">
        <v>520</v>
      </c>
      <c r="F173" s="73">
        <v>320</v>
      </c>
      <c r="G173" s="172">
        <f>'参考值-平台主推SKU占比'!$C$65</f>
        <v>780</v>
      </c>
      <c r="H173" s="91"/>
      <c r="I173" s="91">
        <f>'参考值-平台主推SKU占比'!$H$65</f>
        <v>116760</v>
      </c>
      <c r="J173" s="91">
        <f>IFERROR(I173/G173,"")</f>
        <v>149.69230769230768</v>
      </c>
      <c r="K173" s="91">
        <f>'假设-成本与任务量'!$I$6</f>
        <v>38</v>
      </c>
      <c r="L173" s="91">
        <f>IFERROR(K173*G173,"")</f>
        <v>29640</v>
      </c>
      <c r="M173" s="175"/>
      <c r="N173" s="142"/>
      <c r="O173" s="142"/>
      <c r="P173" s="69"/>
      <c r="Q173" s="67" t="s">
        <v>653</v>
      </c>
      <c r="R173" s="173">
        <f>L172</f>
        <v>29640</v>
      </c>
      <c r="S173" s="173">
        <f>L172</f>
        <v>29640</v>
      </c>
      <c r="T173" s="173">
        <f>L172</f>
        <v>29640</v>
      </c>
      <c r="U173" s="173">
        <f>L172</f>
        <v>29640</v>
      </c>
      <c r="V173" s="173">
        <f>L172</f>
        <v>29640</v>
      </c>
      <c r="W173" s="173">
        <f>L172</f>
        <v>29640</v>
      </c>
      <c r="X173" s="173">
        <f>L172</f>
        <v>29640</v>
      </c>
      <c r="Y173" s="173">
        <f>L172</f>
        <v>29640</v>
      </c>
      <c r="Z173" s="173">
        <f>L172</f>
        <v>29640</v>
      </c>
      <c r="AA173" s="173">
        <f>L172</f>
        <v>29640</v>
      </c>
      <c r="AB173" s="173">
        <f>L172</f>
        <v>29640</v>
      </c>
      <c r="AC173" s="173">
        <f>L172</f>
        <v>29640</v>
      </c>
    </row>
    <row r="174" spans="1:29">
      <c r="A174" s="67"/>
      <c r="B174" s="67"/>
      <c r="C174" s="69"/>
      <c r="D174" s="102" t="s">
        <v>654</v>
      </c>
      <c r="E174" s="67"/>
      <c r="F174" s="73"/>
      <c r="G174" s="172"/>
      <c r="H174" s="176"/>
      <c r="I174" s="176">
        <f>I175</f>
        <v>76776</v>
      </c>
      <c r="J174" s="176">
        <f>J175</f>
        <v>172.91891891891891</v>
      </c>
      <c r="K174" s="176">
        <f>K175</f>
        <v>38</v>
      </c>
      <c r="L174" s="176">
        <f>L175</f>
        <v>16872</v>
      </c>
      <c r="M174" s="177">
        <f>'参考值-平台主推SKU占比'!$F$66</f>
        <v>2.1008403361344498E-3</v>
      </c>
      <c r="N174" s="142"/>
      <c r="O174" s="142"/>
      <c r="P174" s="69"/>
      <c r="Q174" s="67" t="s">
        <v>655</v>
      </c>
      <c r="R174" s="173">
        <f>I174</f>
        <v>76776</v>
      </c>
      <c r="S174" s="173">
        <f>I174</f>
        <v>76776</v>
      </c>
      <c r="T174" s="173">
        <f>I174</f>
        <v>76776</v>
      </c>
      <c r="U174" s="173">
        <f>I174</f>
        <v>76776</v>
      </c>
      <c r="V174" s="173">
        <f>I174</f>
        <v>76776</v>
      </c>
      <c r="W174" s="173">
        <f>I174</f>
        <v>76776</v>
      </c>
      <c r="X174" s="173">
        <f>I174</f>
        <v>76776</v>
      </c>
      <c r="Y174" s="173">
        <f>I174</f>
        <v>76776</v>
      </c>
      <c r="Z174" s="173">
        <f>I174</f>
        <v>76776</v>
      </c>
      <c r="AA174" s="173">
        <f>I174</f>
        <v>76776</v>
      </c>
      <c r="AB174" s="173">
        <f>I174</f>
        <v>76776</v>
      </c>
      <c r="AC174" s="173">
        <f>I174</f>
        <v>76776</v>
      </c>
    </row>
    <row r="175" spans="1:29">
      <c r="A175" s="67"/>
      <c r="B175" s="67"/>
      <c r="C175" s="69"/>
      <c r="D175" s="69"/>
      <c r="E175" s="67" t="s">
        <v>520</v>
      </c>
      <c r="F175" s="73">
        <v>320</v>
      </c>
      <c r="G175" s="172">
        <f>'参考值-平台主推SKU占比'!$C$66</f>
        <v>444</v>
      </c>
      <c r="H175" s="91"/>
      <c r="I175" s="91">
        <f>'参考值-平台主推SKU占比'!$H$66</f>
        <v>76776</v>
      </c>
      <c r="J175" s="91">
        <f>IFERROR(I175/G175,"")</f>
        <v>172.91891891891891</v>
      </c>
      <c r="K175" s="91">
        <f>'假设-成本与任务量'!$I$6</f>
        <v>38</v>
      </c>
      <c r="L175" s="91">
        <f>IFERROR(K175*G175,"")</f>
        <v>16872</v>
      </c>
      <c r="M175" s="175"/>
      <c r="N175" s="142"/>
      <c r="O175" s="142"/>
      <c r="P175" s="69"/>
      <c r="Q175" s="67" t="s">
        <v>656</v>
      </c>
      <c r="R175" s="173">
        <f>L174</f>
        <v>16872</v>
      </c>
      <c r="S175" s="173">
        <f>L174</f>
        <v>16872</v>
      </c>
      <c r="T175" s="173">
        <f>L174</f>
        <v>16872</v>
      </c>
      <c r="U175" s="173">
        <f>L174</f>
        <v>16872</v>
      </c>
      <c r="V175" s="173">
        <f>L174</f>
        <v>16872</v>
      </c>
      <c r="W175" s="173">
        <f>L174</f>
        <v>16872</v>
      </c>
      <c r="X175" s="173">
        <f>L174</f>
        <v>16872</v>
      </c>
      <c r="Y175" s="173">
        <f>L174</f>
        <v>16872</v>
      </c>
      <c r="Z175" s="173">
        <f>L174</f>
        <v>16872</v>
      </c>
      <c r="AA175" s="173">
        <f>L174</f>
        <v>16872</v>
      </c>
      <c r="AB175" s="173">
        <f>L174</f>
        <v>16872</v>
      </c>
      <c r="AC175" s="173">
        <f>L174</f>
        <v>16872</v>
      </c>
    </row>
    <row r="176" spans="1:29">
      <c r="A176" s="67"/>
      <c r="B176" s="67"/>
      <c r="C176" s="69"/>
      <c r="D176" s="102" t="s">
        <v>657</v>
      </c>
      <c r="E176" s="67"/>
      <c r="F176" s="73"/>
      <c r="G176" s="172"/>
      <c r="H176" s="176"/>
      <c r="I176" s="176">
        <f>I177</f>
        <v>65688</v>
      </c>
      <c r="J176" s="176">
        <f>J177</f>
        <v>119</v>
      </c>
      <c r="K176" s="176">
        <f>K177</f>
        <v>38</v>
      </c>
      <c r="L176" s="176">
        <f>L177</f>
        <v>20976</v>
      </c>
      <c r="M176" s="177">
        <f>'参考值-平台主推SKU占比'!$F$67</f>
        <v>2.1008403361344498E-3</v>
      </c>
      <c r="N176" s="142"/>
      <c r="O176" s="142"/>
      <c r="P176" s="69"/>
      <c r="Q176" s="67" t="s">
        <v>658</v>
      </c>
      <c r="R176" s="173">
        <f>I176</f>
        <v>65688</v>
      </c>
      <c r="S176" s="173">
        <f>I176</f>
        <v>65688</v>
      </c>
      <c r="T176" s="173">
        <f>I176</f>
        <v>65688</v>
      </c>
      <c r="U176" s="173">
        <f>I176</f>
        <v>65688</v>
      </c>
      <c r="V176" s="173">
        <f>I176</f>
        <v>65688</v>
      </c>
      <c r="W176" s="173">
        <f>I176</f>
        <v>65688</v>
      </c>
      <c r="X176" s="173">
        <f>I176</f>
        <v>65688</v>
      </c>
      <c r="Y176" s="173">
        <f>I176</f>
        <v>65688</v>
      </c>
      <c r="Z176" s="173">
        <f>I176</f>
        <v>65688</v>
      </c>
      <c r="AA176" s="173">
        <f>I176</f>
        <v>65688</v>
      </c>
      <c r="AB176" s="173">
        <f>I176</f>
        <v>65688</v>
      </c>
      <c r="AC176" s="173">
        <f>I176</f>
        <v>65688</v>
      </c>
    </row>
    <row r="177" spans="1:29">
      <c r="A177" s="67"/>
      <c r="B177" s="67"/>
      <c r="C177" s="69"/>
      <c r="D177" s="69"/>
      <c r="E177" s="67" t="s">
        <v>520</v>
      </c>
      <c r="F177" s="73">
        <v>320</v>
      </c>
      <c r="G177" s="172">
        <f>'参考值-平台主推SKU占比'!$C$67</f>
        <v>552</v>
      </c>
      <c r="H177" s="91"/>
      <c r="I177" s="91">
        <f>'参考值-平台主推SKU占比'!$H$67</f>
        <v>65688</v>
      </c>
      <c r="J177" s="91">
        <f>IFERROR(I177/G177,"")</f>
        <v>119</v>
      </c>
      <c r="K177" s="91">
        <f>'假设-成本与任务量'!$I$6</f>
        <v>38</v>
      </c>
      <c r="L177" s="91">
        <f>IFERROR(K177*G177,"")</f>
        <v>20976</v>
      </c>
      <c r="M177" s="175"/>
      <c r="N177" s="142"/>
      <c r="O177" s="142"/>
      <c r="P177" s="69"/>
      <c r="Q177" s="67" t="s">
        <v>659</v>
      </c>
      <c r="R177" s="173">
        <f>L176</f>
        <v>20976</v>
      </c>
      <c r="S177" s="173">
        <f>L176</f>
        <v>20976</v>
      </c>
      <c r="T177" s="173">
        <f>L176</f>
        <v>20976</v>
      </c>
      <c r="U177" s="173">
        <f>L176</f>
        <v>20976</v>
      </c>
      <c r="V177" s="173">
        <f>L176</f>
        <v>20976</v>
      </c>
      <c r="W177" s="173">
        <f>L176</f>
        <v>20976</v>
      </c>
      <c r="X177" s="173">
        <f>L176</f>
        <v>20976</v>
      </c>
      <c r="Y177" s="173">
        <f>L176</f>
        <v>20976</v>
      </c>
      <c r="Z177" s="173">
        <f>L176</f>
        <v>20976</v>
      </c>
      <c r="AA177" s="173">
        <f>L176</f>
        <v>20976</v>
      </c>
      <c r="AB177" s="173">
        <f>L176</f>
        <v>20976</v>
      </c>
      <c r="AC177" s="173">
        <f>L176</f>
        <v>20976</v>
      </c>
    </row>
    <row r="178" spans="1:29">
      <c r="A178" s="67"/>
      <c r="B178" s="67"/>
      <c r="C178" s="69"/>
      <c r="D178" s="102" t="s">
        <v>660</v>
      </c>
      <c r="E178" s="67"/>
      <c r="F178" s="73"/>
      <c r="G178" s="172"/>
      <c r="H178" s="176"/>
      <c r="I178" s="176">
        <f>I179</f>
        <v>28854</v>
      </c>
      <c r="J178" s="176">
        <f>J179</f>
        <v>229</v>
      </c>
      <c r="K178" s="176">
        <f>K179</f>
        <v>105</v>
      </c>
      <c r="L178" s="176">
        <f>L179</f>
        <v>13230</v>
      </c>
      <c r="M178" s="177">
        <f>'参考值-平台主推SKU占比'!$F$68</f>
        <v>2.1008403361344498E-3</v>
      </c>
      <c r="N178" s="142"/>
      <c r="O178" s="142"/>
      <c r="P178" s="69"/>
      <c r="Q178" s="67" t="s">
        <v>661</v>
      </c>
      <c r="R178" s="173">
        <f>I178</f>
        <v>28854</v>
      </c>
      <c r="S178" s="173">
        <f>I178</f>
        <v>28854</v>
      </c>
      <c r="T178" s="173">
        <f>I178</f>
        <v>28854</v>
      </c>
      <c r="U178" s="173">
        <f>I178</f>
        <v>28854</v>
      </c>
      <c r="V178" s="173">
        <f>I178</f>
        <v>28854</v>
      </c>
      <c r="W178" s="173">
        <f>I178</f>
        <v>28854</v>
      </c>
      <c r="X178" s="173">
        <f>I178</f>
        <v>28854</v>
      </c>
      <c r="Y178" s="173">
        <f>I178</f>
        <v>28854</v>
      </c>
      <c r="Z178" s="173">
        <f>I178</f>
        <v>28854</v>
      </c>
      <c r="AA178" s="173">
        <f>I178</f>
        <v>28854</v>
      </c>
      <c r="AB178" s="173">
        <f>I178</f>
        <v>28854</v>
      </c>
      <c r="AC178" s="173">
        <f>I178</f>
        <v>28854</v>
      </c>
    </row>
    <row r="179" spans="1:29">
      <c r="A179" s="67"/>
      <c r="B179" s="67"/>
      <c r="C179" s="69"/>
      <c r="D179" s="69"/>
      <c r="E179" s="67" t="s">
        <v>527</v>
      </c>
      <c r="F179" s="73">
        <v>700</v>
      </c>
      <c r="G179" s="172">
        <f>'参考值-平台主推SKU占比'!$C$68</f>
        <v>126</v>
      </c>
      <c r="H179" s="91"/>
      <c r="I179" s="91">
        <f>'参考值-平台主推SKU占比'!$H$68</f>
        <v>28854</v>
      </c>
      <c r="J179" s="91">
        <f>IFERROR(I179/G179,"")</f>
        <v>229</v>
      </c>
      <c r="K179" s="91">
        <f>'假设-成本与任务量'!$I$4</f>
        <v>105</v>
      </c>
      <c r="L179" s="91">
        <f>IFERROR(K179*G179,"")</f>
        <v>13230</v>
      </c>
      <c r="M179" s="175"/>
      <c r="N179" s="142"/>
      <c r="O179" s="142"/>
      <c r="P179" s="69"/>
      <c r="Q179" s="67" t="s">
        <v>662</v>
      </c>
      <c r="R179" s="173">
        <f>L178</f>
        <v>13230</v>
      </c>
      <c r="S179" s="173">
        <f>L178</f>
        <v>13230</v>
      </c>
      <c r="T179" s="173">
        <f>L178</f>
        <v>13230</v>
      </c>
      <c r="U179" s="173">
        <f>L178</f>
        <v>13230</v>
      </c>
      <c r="V179" s="173">
        <f>L178</f>
        <v>13230</v>
      </c>
      <c r="W179" s="173">
        <f>L178</f>
        <v>13230</v>
      </c>
      <c r="X179" s="173">
        <f>L178</f>
        <v>13230</v>
      </c>
      <c r="Y179" s="173">
        <f>L178</f>
        <v>13230</v>
      </c>
      <c r="Z179" s="173">
        <f>L178</f>
        <v>13230</v>
      </c>
      <c r="AA179" s="173">
        <f>L178</f>
        <v>13230</v>
      </c>
      <c r="AB179" s="173">
        <f>L178</f>
        <v>13230</v>
      </c>
      <c r="AC179" s="173">
        <f>L178</f>
        <v>13230</v>
      </c>
    </row>
    <row r="180" spans="1:29">
      <c r="A180" s="67"/>
      <c r="B180" s="102"/>
      <c r="C180" s="69"/>
      <c r="D180" s="102" t="s">
        <v>663</v>
      </c>
      <c r="E180" s="67"/>
      <c r="F180" s="73"/>
      <c r="G180" s="172"/>
      <c r="H180" s="176"/>
      <c r="I180" s="176">
        <f>I181</f>
        <v>60456</v>
      </c>
      <c r="J180" s="176">
        <f>J181</f>
        <v>229</v>
      </c>
      <c r="K180" s="176">
        <f>K181</f>
        <v>105</v>
      </c>
      <c r="L180" s="176">
        <f>L181</f>
        <v>27720</v>
      </c>
      <c r="M180" s="177">
        <f>'参考值-平台主推SKU占比'!$F$69</f>
        <v>2.1008403361344498E-3</v>
      </c>
      <c r="N180" s="142"/>
      <c r="O180" s="142"/>
      <c r="P180" s="69"/>
      <c r="Q180" s="67" t="s">
        <v>664</v>
      </c>
      <c r="R180" s="173">
        <f>I180</f>
        <v>60456</v>
      </c>
      <c r="S180" s="173">
        <f>I180</f>
        <v>60456</v>
      </c>
      <c r="T180" s="173">
        <f>I180</f>
        <v>60456</v>
      </c>
      <c r="U180" s="173">
        <f>I180</f>
        <v>60456</v>
      </c>
      <c r="V180" s="173">
        <f>I180</f>
        <v>60456</v>
      </c>
      <c r="W180" s="173">
        <f>I180</f>
        <v>60456</v>
      </c>
      <c r="X180" s="173">
        <f>I180</f>
        <v>60456</v>
      </c>
      <c r="Y180" s="173">
        <f>I180</f>
        <v>60456</v>
      </c>
      <c r="Z180" s="173">
        <f>I180</f>
        <v>60456</v>
      </c>
      <c r="AA180" s="173">
        <f>I180</f>
        <v>60456</v>
      </c>
      <c r="AB180" s="173">
        <f>I180</f>
        <v>60456</v>
      </c>
      <c r="AC180" s="173">
        <f>I180</f>
        <v>60456</v>
      </c>
    </row>
    <row r="181" spans="1:29">
      <c r="A181" s="67"/>
      <c r="B181" s="67"/>
      <c r="C181" s="69"/>
      <c r="D181" s="69"/>
      <c r="E181" s="67" t="s">
        <v>527</v>
      </c>
      <c r="F181" s="73">
        <v>700</v>
      </c>
      <c r="G181" s="172">
        <f>'参考值-平台主推SKU占比'!$C$69</f>
        <v>264</v>
      </c>
      <c r="H181" s="91"/>
      <c r="I181" s="91">
        <f>'参考值-平台主推SKU占比'!$H$69</f>
        <v>60456</v>
      </c>
      <c r="J181" s="91">
        <f>IFERROR(I181/G181,"")</f>
        <v>229</v>
      </c>
      <c r="K181" s="91">
        <f>'假设-成本与任务量'!$I$4</f>
        <v>105</v>
      </c>
      <c r="L181" s="91">
        <f>IFERROR(K181*G181,"")</f>
        <v>27720</v>
      </c>
      <c r="M181" s="175"/>
      <c r="N181" s="142"/>
      <c r="O181" s="142"/>
      <c r="P181" s="69"/>
      <c r="Q181" s="67" t="s">
        <v>665</v>
      </c>
      <c r="R181" s="173">
        <f>L180</f>
        <v>27720</v>
      </c>
      <c r="S181" s="173">
        <f>L180</f>
        <v>27720</v>
      </c>
      <c r="T181" s="173">
        <f>L180</f>
        <v>27720</v>
      </c>
      <c r="U181" s="173">
        <f>L180</f>
        <v>27720</v>
      </c>
      <c r="V181" s="173">
        <f>L180</f>
        <v>27720</v>
      </c>
      <c r="W181" s="173">
        <f>L180</f>
        <v>27720</v>
      </c>
      <c r="X181" s="173">
        <f>L180</f>
        <v>27720</v>
      </c>
      <c r="Y181" s="173">
        <f>L180</f>
        <v>27720</v>
      </c>
      <c r="Z181" s="173">
        <f>L180</f>
        <v>27720</v>
      </c>
      <c r="AA181" s="173">
        <f>L180</f>
        <v>27720</v>
      </c>
      <c r="AB181" s="173">
        <f>L180</f>
        <v>27720</v>
      </c>
      <c r="AC181" s="173">
        <f>L180</f>
        <v>27720</v>
      </c>
    </row>
    <row r="182" spans="1:29">
      <c r="A182" s="67"/>
      <c r="B182" s="67"/>
      <c r="C182" s="69"/>
      <c r="D182" s="102" t="s">
        <v>666</v>
      </c>
      <c r="E182" s="67"/>
      <c r="F182" s="73"/>
      <c r="G182" s="172"/>
      <c r="H182" s="176"/>
      <c r="I182" s="176">
        <f>I183</f>
        <v>70104</v>
      </c>
      <c r="J182" s="176">
        <f>J183</f>
        <v>486.83333333333331</v>
      </c>
      <c r="K182" s="176">
        <f>K183</f>
        <v>105</v>
      </c>
      <c r="L182" s="176">
        <f>L183</f>
        <v>15120</v>
      </c>
      <c r="M182" s="177">
        <f>'参考值-平台主推SKU占比'!$F$70</f>
        <v>2.1008403361344498E-3</v>
      </c>
      <c r="N182" s="142"/>
      <c r="O182" s="142"/>
      <c r="P182" s="69"/>
      <c r="Q182" s="67" t="s">
        <v>667</v>
      </c>
      <c r="R182" s="173">
        <f>I182</f>
        <v>70104</v>
      </c>
      <c r="S182" s="173">
        <f>I182</f>
        <v>70104</v>
      </c>
      <c r="T182" s="173">
        <f>I182</f>
        <v>70104</v>
      </c>
      <c r="U182" s="173">
        <f>I182</f>
        <v>70104</v>
      </c>
      <c r="V182" s="173">
        <f>I182</f>
        <v>70104</v>
      </c>
      <c r="W182" s="173">
        <f>I182</f>
        <v>70104</v>
      </c>
      <c r="X182" s="173">
        <f>I182</f>
        <v>70104</v>
      </c>
      <c r="Y182" s="173">
        <f>I182</f>
        <v>70104</v>
      </c>
      <c r="Z182" s="173">
        <f>I182</f>
        <v>70104</v>
      </c>
      <c r="AA182" s="173">
        <f>I182</f>
        <v>70104</v>
      </c>
      <c r="AB182" s="173">
        <f>I182</f>
        <v>70104</v>
      </c>
      <c r="AC182" s="173">
        <f>I182</f>
        <v>70104</v>
      </c>
    </row>
    <row r="183" spans="1:29">
      <c r="A183" s="67"/>
      <c r="B183" s="67"/>
      <c r="C183" s="69"/>
      <c r="D183" s="69"/>
      <c r="E183" s="67" t="s">
        <v>527</v>
      </c>
      <c r="F183" s="73">
        <v>700</v>
      </c>
      <c r="G183" s="172">
        <f>'参考值-平台主推SKU占比'!$C$70</f>
        <v>144</v>
      </c>
      <c r="H183" s="91"/>
      <c r="I183" s="91">
        <f>'参考值-平台主推SKU占比'!$H$70</f>
        <v>70104</v>
      </c>
      <c r="J183" s="91">
        <f>IFERROR(I183/G183,"")</f>
        <v>486.83333333333331</v>
      </c>
      <c r="K183" s="91">
        <f>'假设-成本与任务量'!$I$4</f>
        <v>105</v>
      </c>
      <c r="L183" s="91">
        <f>IFERROR(K183*G183,"")</f>
        <v>15120</v>
      </c>
      <c r="M183" s="175"/>
      <c r="N183" s="142"/>
      <c r="O183" s="142"/>
      <c r="P183" s="69"/>
      <c r="Q183" s="67" t="s">
        <v>668</v>
      </c>
      <c r="R183" s="173">
        <f>L182</f>
        <v>15120</v>
      </c>
      <c r="S183" s="173">
        <f>L182</f>
        <v>15120</v>
      </c>
      <c r="T183" s="173">
        <f>L182</f>
        <v>15120</v>
      </c>
      <c r="U183" s="173">
        <f>L182</f>
        <v>15120</v>
      </c>
      <c r="V183" s="173">
        <f>L182</f>
        <v>15120</v>
      </c>
      <c r="W183" s="173">
        <f>L182</f>
        <v>15120</v>
      </c>
      <c r="X183" s="173">
        <f>L182</f>
        <v>15120</v>
      </c>
      <c r="Y183" s="173">
        <f>L182</f>
        <v>15120</v>
      </c>
      <c r="Z183" s="173">
        <f>L182</f>
        <v>15120</v>
      </c>
      <c r="AA183" s="173">
        <f>L182</f>
        <v>15120</v>
      </c>
      <c r="AB183" s="173">
        <f>L182</f>
        <v>15120</v>
      </c>
      <c r="AC183" s="173">
        <f>L182</f>
        <v>15120</v>
      </c>
    </row>
    <row r="184" spans="1:29">
      <c r="A184" s="67"/>
      <c r="B184" s="67"/>
      <c r="C184" s="69"/>
      <c r="D184" s="102" t="s">
        <v>669</v>
      </c>
      <c r="E184" s="67"/>
      <c r="F184" s="73"/>
      <c r="G184" s="172"/>
      <c r="H184" s="176"/>
      <c r="I184" s="176">
        <f>I185</f>
        <v>222577.2</v>
      </c>
      <c r="J184" s="176">
        <f>J185</f>
        <v>488.10789473684213</v>
      </c>
      <c r="K184" s="176">
        <f>K185</f>
        <v>38</v>
      </c>
      <c r="L184" s="176">
        <f>L185</f>
        <v>17328</v>
      </c>
      <c r="M184" s="177">
        <f>'参考值-平台主推SKU占比'!$F$71</f>
        <v>2.1008403361344498E-3</v>
      </c>
      <c r="N184" s="142"/>
      <c r="O184" s="142"/>
      <c r="P184" s="69"/>
      <c r="Q184" s="67" t="s">
        <v>670</v>
      </c>
      <c r="R184" s="173">
        <f>I184</f>
        <v>222577.2</v>
      </c>
      <c r="S184" s="173">
        <f>I184</f>
        <v>222577.2</v>
      </c>
      <c r="T184" s="173">
        <f>I184</f>
        <v>222577.2</v>
      </c>
      <c r="U184" s="173">
        <f>I184</f>
        <v>222577.2</v>
      </c>
      <c r="V184" s="173">
        <f>I184</f>
        <v>222577.2</v>
      </c>
      <c r="W184" s="173">
        <f>I184</f>
        <v>222577.2</v>
      </c>
      <c r="X184" s="173">
        <f>I184</f>
        <v>222577.2</v>
      </c>
      <c r="Y184" s="173">
        <f>I184</f>
        <v>222577.2</v>
      </c>
      <c r="Z184" s="173">
        <f>I184</f>
        <v>222577.2</v>
      </c>
      <c r="AA184" s="173">
        <f>I184</f>
        <v>222577.2</v>
      </c>
      <c r="AB184" s="173">
        <f>I184</f>
        <v>222577.2</v>
      </c>
      <c r="AC184" s="173">
        <f>I184</f>
        <v>222577.2</v>
      </c>
    </row>
    <row r="185" spans="1:29">
      <c r="A185" s="67"/>
      <c r="B185" s="67"/>
      <c r="C185" s="69"/>
      <c r="D185" s="69"/>
      <c r="E185" s="67" t="s">
        <v>520</v>
      </c>
      <c r="F185" s="73">
        <v>320</v>
      </c>
      <c r="G185" s="172">
        <f>'参考值-平台主推SKU占比'!$C$71</f>
        <v>456</v>
      </c>
      <c r="H185" s="91"/>
      <c r="I185" s="91">
        <f>'参考值-平台主推SKU占比'!$H$71</f>
        <v>222577.2</v>
      </c>
      <c r="J185" s="91">
        <f>IFERROR(I185/G185,"")</f>
        <v>488.10789473684213</v>
      </c>
      <c r="K185" s="91">
        <f>'假设-成本与任务量'!$I$6</f>
        <v>38</v>
      </c>
      <c r="L185" s="91">
        <f>IFERROR(K185*G185,"")</f>
        <v>17328</v>
      </c>
      <c r="M185" s="175"/>
      <c r="N185" s="142"/>
      <c r="O185" s="142"/>
      <c r="P185" s="69"/>
      <c r="Q185" s="67" t="s">
        <v>671</v>
      </c>
      <c r="R185" s="173">
        <f>L184</f>
        <v>17328</v>
      </c>
      <c r="S185" s="173">
        <f>L184</f>
        <v>17328</v>
      </c>
      <c r="T185" s="173">
        <f>L184</f>
        <v>17328</v>
      </c>
      <c r="U185" s="173">
        <f>L184</f>
        <v>17328</v>
      </c>
      <c r="V185" s="173">
        <f>L184</f>
        <v>17328</v>
      </c>
      <c r="W185" s="173">
        <f>L184</f>
        <v>17328</v>
      </c>
      <c r="X185" s="173">
        <f>L184</f>
        <v>17328</v>
      </c>
      <c r="Y185" s="173">
        <f>L184</f>
        <v>17328</v>
      </c>
      <c r="Z185" s="173">
        <f>L184</f>
        <v>17328</v>
      </c>
      <c r="AA185" s="173">
        <f>L184</f>
        <v>17328</v>
      </c>
      <c r="AB185" s="173">
        <f>L184</f>
        <v>17328</v>
      </c>
      <c r="AC185" s="173">
        <f>L184</f>
        <v>17328</v>
      </c>
    </row>
    <row r="186" spans="1:29">
      <c r="A186" s="67"/>
      <c r="B186" s="67"/>
      <c r="C186" s="69"/>
      <c r="D186" s="102" t="s">
        <v>672</v>
      </c>
      <c r="E186" s="67"/>
      <c r="F186" s="73"/>
      <c r="G186" s="172"/>
      <c r="H186" s="176"/>
      <c r="I186" s="176">
        <f>I187</f>
        <v>34272</v>
      </c>
      <c r="J186" s="176">
        <f>J187</f>
        <v>119</v>
      </c>
      <c r="K186" s="176">
        <f>K187</f>
        <v>38</v>
      </c>
      <c r="L186" s="176">
        <f>L187</f>
        <v>10944</v>
      </c>
      <c r="M186" s="177">
        <f>'参考值-平台主推SKU占比'!$F$72</f>
        <v>2.1008403361344498E-3</v>
      </c>
      <c r="N186" s="142"/>
      <c r="O186" s="142"/>
      <c r="P186" s="69"/>
      <c r="Q186" s="67" t="s">
        <v>673</v>
      </c>
      <c r="R186" s="173">
        <f>I186</f>
        <v>34272</v>
      </c>
      <c r="S186" s="173">
        <f>I186</f>
        <v>34272</v>
      </c>
      <c r="T186" s="173">
        <f>I186</f>
        <v>34272</v>
      </c>
      <c r="U186" s="173">
        <f>I186</f>
        <v>34272</v>
      </c>
      <c r="V186" s="173">
        <f>I186</f>
        <v>34272</v>
      </c>
      <c r="W186" s="173">
        <f>I186</f>
        <v>34272</v>
      </c>
      <c r="X186" s="173">
        <f>I186</f>
        <v>34272</v>
      </c>
      <c r="Y186" s="173">
        <f>I186</f>
        <v>34272</v>
      </c>
      <c r="Z186" s="173">
        <f>I186</f>
        <v>34272</v>
      </c>
      <c r="AA186" s="173">
        <f>I186</f>
        <v>34272</v>
      </c>
      <c r="AB186" s="173">
        <f>I186</f>
        <v>34272</v>
      </c>
      <c r="AC186" s="173">
        <f>I186</f>
        <v>34272</v>
      </c>
    </row>
    <row r="187" spans="1:29">
      <c r="A187" s="67"/>
      <c r="B187" s="67"/>
      <c r="C187" s="69"/>
      <c r="D187" s="69"/>
      <c r="E187" s="67" t="s">
        <v>520</v>
      </c>
      <c r="F187" s="73">
        <v>320</v>
      </c>
      <c r="G187" s="172">
        <f>'参考值-平台主推SKU占比'!$C$72</f>
        <v>288</v>
      </c>
      <c r="H187" s="91"/>
      <c r="I187" s="91">
        <f>'参考值-平台主推SKU占比'!$H$72</f>
        <v>34272</v>
      </c>
      <c r="J187" s="91">
        <f>IFERROR(I187/G187,"")</f>
        <v>119</v>
      </c>
      <c r="K187" s="91">
        <f>'假设-成本与任务量'!$I$6</f>
        <v>38</v>
      </c>
      <c r="L187" s="91">
        <f>IFERROR(K187*G187,"")</f>
        <v>10944</v>
      </c>
      <c r="M187" s="175"/>
      <c r="N187" s="142"/>
      <c r="O187" s="142"/>
      <c r="P187" s="69"/>
      <c r="Q187" s="67" t="s">
        <v>674</v>
      </c>
      <c r="R187" s="173">
        <f>L186</f>
        <v>10944</v>
      </c>
      <c r="S187" s="173">
        <f>L186</f>
        <v>10944</v>
      </c>
      <c r="T187" s="173">
        <f>L186</f>
        <v>10944</v>
      </c>
      <c r="U187" s="173">
        <f>L186</f>
        <v>10944</v>
      </c>
      <c r="V187" s="173">
        <f>L186</f>
        <v>10944</v>
      </c>
      <c r="W187" s="173">
        <f>L186</f>
        <v>10944</v>
      </c>
      <c r="X187" s="173">
        <f>L186</f>
        <v>10944</v>
      </c>
      <c r="Y187" s="173">
        <f>L186</f>
        <v>10944</v>
      </c>
      <c r="Z187" s="173">
        <f>L186</f>
        <v>10944</v>
      </c>
      <c r="AA187" s="173">
        <f>L186</f>
        <v>10944</v>
      </c>
      <c r="AB187" s="173">
        <f>L186</f>
        <v>10944</v>
      </c>
      <c r="AC187" s="173">
        <f>L186</f>
        <v>10944</v>
      </c>
    </row>
    <row r="188" spans="1:29">
      <c r="A188" s="67"/>
      <c r="B188" s="67"/>
      <c r="C188" s="69"/>
      <c r="D188" s="102" t="s">
        <v>675</v>
      </c>
      <c r="E188" s="67"/>
      <c r="F188" s="73"/>
      <c r="G188" s="172"/>
      <c r="H188" s="176"/>
      <c r="I188" s="176">
        <f>I189</f>
        <v>42840</v>
      </c>
      <c r="J188" s="176">
        <f>J189</f>
        <v>119</v>
      </c>
      <c r="K188" s="176">
        <f>K189</f>
        <v>38</v>
      </c>
      <c r="L188" s="176">
        <f>L189</f>
        <v>13680</v>
      </c>
      <c r="M188" s="177">
        <f>'参考值-平台主推SKU占比'!$F$73</f>
        <v>2.1008403361344498E-3</v>
      </c>
      <c r="N188" s="142"/>
      <c r="O188" s="142"/>
      <c r="P188" s="69"/>
      <c r="Q188" s="67" t="s">
        <v>676</v>
      </c>
      <c r="R188" s="173">
        <f>I188</f>
        <v>42840</v>
      </c>
      <c r="S188" s="173">
        <f>I188</f>
        <v>42840</v>
      </c>
      <c r="T188" s="173">
        <f>I188</f>
        <v>42840</v>
      </c>
      <c r="U188" s="173">
        <f>I188</f>
        <v>42840</v>
      </c>
      <c r="V188" s="173">
        <f>I188</f>
        <v>42840</v>
      </c>
      <c r="W188" s="173">
        <f>I188</f>
        <v>42840</v>
      </c>
      <c r="X188" s="173">
        <f>I188</f>
        <v>42840</v>
      </c>
      <c r="Y188" s="173">
        <f>I188</f>
        <v>42840</v>
      </c>
      <c r="Z188" s="173">
        <f>I188</f>
        <v>42840</v>
      </c>
      <c r="AA188" s="173">
        <f>I188</f>
        <v>42840</v>
      </c>
      <c r="AB188" s="173">
        <f>I188</f>
        <v>42840</v>
      </c>
      <c r="AC188" s="173">
        <f>I188</f>
        <v>42840</v>
      </c>
    </row>
    <row r="189" spans="1:29">
      <c r="A189" s="67"/>
      <c r="B189" s="67"/>
      <c r="C189" s="69"/>
      <c r="D189" s="69"/>
      <c r="E189" s="67" t="s">
        <v>520</v>
      </c>
      <c r="F189" s="73">
        <v>320</v>
      </c>
      <c r="G189" s="172">
        <f>'参考值-平台主推SKU占比'!$C$73</f>
        <v>360</v>
      </c>
      <c r="H189" s="91"/>
      <c r="I189" s="91">
        <f>'参考值-平台主推SKU占比'!$H$73</f>
        <v>42840</v>
      </c>
      <c r="J189" s="91">
        <f>IFERROR(I189/G189,"")</f>
        <v>119</v>
      </c>
      <c r="K189" s="91">
        <f>'假设-成本与任务量'!$I$6</f>
        <v>38</v>
      </c>
      <c r="L189" s="91">
        <f>IFERROR(K189*G189,"")</f>
        <v>13680</v>
      </c>
      <c r="M189" s="175"/>
      <c r="N189" s="142"/>
      <c r="O189" s="142"/>
      <c r="P189" s="69"/>
      <c r="Q189" s="67" t="s">
        <v>677</v>
      </c>
      <c r="R189" s="173">
        <f>L188</f>
        <v>13680</v>
      </c>
      <c r="S189" s="173">
        <f>L188</f>
        <v>13680</v>
      </c>
      <c r="T189" s="173">
        <f>L188</f>
        <v>13680</v>
      </c>
      <c r="U189" s="173">
        <f>L188</f>
        <v>13680</v>
      </c>
      <c r="V189" s="173">
        <f>L188</f>
        <v>13680</v>
      </c>
      <c r="W189" s="173">
        <f>L188</f>
        <v>13680</v>
      </c>
      <c r="X189" s="173">
        <f>L188</f>
        <v>13680</v>
      </c>
      <c r="Y189" s="173">
        <f>L188</f>
        <v>13680</v>
      </c>
      <c r="Z189" s="173">
        <f>L188</f>
        <v>13680</v>
      </c>
      <c r="AA189" s="173">
        <f>L188</f>
        <v>13680</v>
      </c>
      <c r="AB189" s="173">
        <f>L188</f>
        <v>13680</v>
      </c>
      <c r="AC189" s="173">
        <f>L188</f>
        <v>13680</v>
      </c>
    </row>
    <row r="190" spans="1:29">
      <c r="A190" s="67"/>
      <c r="B190" s="67"/>
      <c r="C190" s="69"/>
      <c r="D190" s="102" t="s">
        <v>678</v>
      </c>
      <c r="E190" s="67"/>
      <c r="F190" s="73"/>
      <c r="G190" s="172"/>
      <c r="H190" s="176"/>
      <c r="I190" s="176">
        <f>I191</f>
        <v>45342</v>
      </c>
      <c r="J190" s="176">
        <f>J191</f>
        <v>229</v>
      </c>
      <c r="K190" s="176">
        <f>K191</f>
        <v>105</v>
      </c>
      <c r="L190" s="176">
        <f>L191</f>
        <v>20790</v>
      </c>
      <c r="M190" s="177">
        <f>'参考值-平台主推SKU占比'!$F$74</f>
        <v>2.1008403361344498E-3</v>
      </c>
      <c r="N190" s="142"/>
      <c r="O190" s="142"/>
      <c r="P190" s="69"/>
      <c r="Q190" s="67" t="s">
        <v>679</v>
      </c>
      <c r="R190" s="173">
        <f>I190</f>
        <v>45342</v>
      </c>
      <c r="S190" s="173">
        <f>I190</f>
        <v>45342</v>
      </c>
      <c r="T190" s="173">
        <f>I190</f>
        <v>45342</v>
      </c>
      <c r="U190" s="173">
        <f>I190</f>
        <v>45342</v>
      </c>
      <c r="V190" s="173">
        <f>I190</f>
        <v>45342</v>
      </c>
      <c r="W190" s="173">
        <f>I190</f>
        <v>45342</v>
      </c>
      <c r="X190" s="173">
        <f>I190</f>
        <v>45342</v>
      </c>
      <c r="Y190" s="173">
        <f>I190</f>
        <v>45342</v>
      </c>
      <c r="Z190" s="173">
        <f>I190</f>
        <v>45342</v>
      </c>
      <c r="AA190" s="173">
        <f>I190</f>
        <v>45342</v>
      </c>
      <c r="AB190" s="173">
        <f>I190</f>
        <v>45342</v>
      </c>
      <c r="AC190" s="173">
        <f>I190</f>
        <v>45342</v>
      </c>
    </row>
    <row r="191" spans="1:29">
      <c r="A191" s="67"/>
      <c r="B191" s="67"/>
      <c r="C191" s="69"/>
      <c r="D191" s="69"/>
      <c r="E191" s="67" t="s">
        <v>527</v>
      </c>
      <c r="F191" s="73">
        <v>700</v>
      </c>
      <c r="G191" s="172">
        <f>'参考值-平台主推SKU占比'!$C$74</f>
        <v>198</v>
      </c>
      <c r="H191" s="91"/>
      <c r="I191" s="91">
        <f>'参考值-平台主推SKU占比'!$H$74</f>
        <v>45342</v>
      </c>
      <c r="J191" s="91">
        <f>IFERROR(I191/G191,"")</f>
        <v>229</v>
      </c>
      <c r="K191" s="91">
        <f>'假设-成本与任务量'!$I$4</f>
        <v>105</v>
      </c>
      <c r="L191" s="91">
        <f>IFERROR(K191*G191,"")</f>
        <v>20790</v>
      </c>
      <c r="M191" s="175"/>
      <c r="N191" s="142"/>
      <c r="O191" s="142"/>
      <c r="P191" s="69"/>
      <c r="Q191" s="67" t="s">
        <v>680</v>
      </c>
      <c r="R191" s="173">
        <f>L190</f>
        <v>20790</v>
      </c>
      <c r="S191" s="173">
        <f>L190</f>
        <v>20790</v>
      </c>
      <c r="T191" s="173">
        <f>L190</f>
        <v>20790</v>
      </c>
      <c r="U191" s="173">
        <f>L190</f>
        <v>20790</v>
      </c>
      <c r="V191" s="173">
        <f>L190</f>
        <v>20790</v>
      </c>
      <c r="W191" s="173">
        <f>L190</f>
        <v>20790</v>
      </c>
      <c r="X191" s="173">
        <f>L190</f>
        <v>20790</v>
      </c>
      <c r="Y191" s="173">
        <f>L190</f>
        <v>20790</v>
      </c>
      <c r="Z191" s="173">
        <f>L190</f>
        <v>20790</v>
      </c>
      <c r="AA191" s="173">
        <f>L190</f>
        <v>20790</v>
      </c>
      <c r="AB191" s="173">
        <f>L190</f>
        <v>20790</v>
      </c>
      <c r="AC191" s="173">
        <f>L190</f>
        <v>20790</v>
      </c>
    </row>
    <row r="192" spans="1:29">
      <c r="A192" s="67"/>
      <c r="B192" s="67"/>
      <c r="C192" s="69"/>
      <c r="D192" s="102" t="s">
        <v>681</v>
      </c>
      <c r="E192" s="67"/>
      <c r="F192" s="73"/>
      <c r="G192" s="172"/>
      <c r="H192" s="176"/>
      <c r="I192" s="176">
        <f>I193</f>
        <v>37128</v>
      </c>
      <c r="J192" s="176">
        <f>J193</f>
        <v>119</v>
      </c>
      <c r="K192" s="176">
        <f>K193</f>
        <v>38</v>
      </c>
      <c r="L192" s="176">
        <f>L193</f>
        <v>11856</v>
      </c>
      <c r="M192" s="177">
        <f>'参考值-平台主推SKU占比'!$F$75</f>
        <v>2.1008403361344498E-3</v>
      </c>
      <c r="N192" s="142"/>
      <c r="O192" s="142"/>
      <c r="P192" s="69"/>
      <c r="Q192" s="67" t="s">
        <v>682</v>
      </c>
      <c r="R192" s="173">
        <f>I192</f>
        <v>37128</v>
      </c>
      <c r="S192" s="173">
        <f>I192</f>
        <v>37128</v>
      </c>
      <c r="T192" s="173">
        <f>I192</f>
        <v>37128</v>
      </c>
      <c r="U192" s="173">
        <f>I192</f>
        <v>37128</v>
      </c>
      <c r="V192" s="173">
        <f>I192</f>
        <v>37128</v>
      </c>
      <c r="W192" s="173">
        <f>I192</f>
        <v>37128</v>
      </c>
      <c r="X192" s="173">
        <f>I192</f>
        <v>37128</v>
      </c>
      <c r="Y192" s="173">
        <f>I192</f>
        <v>37128</v>
      </c>
      <c r="Z192" s="173">
        <f>I192</f>
        <v>37128</v>
      </c>
      <c r="AA192" s="173">
        <f>I192</f>
        <v>37128</v>
      </c>
      <c r="AB192" s="173">
        <f>I192</f>
        <v>37128</v>
      </c>
      <c r="AC192" s="173">
        <f>I192</f>
        <v>37128</v>
      </c>
    </row>
    <row r="193" spans="1:29">
      <c r="A193" s="67"/>
      <c r="B193" s="67"/>
      <c r="C193" s="69"/>
      <c r="D193" s="69"/>
      <c r="E193" s="67" t="s">
        <v>520</v>
      </c>
      <c r="F193" s="73">
        <v>320</v>
      </c>
      <c r="G193" s="172">
        <f>'参考值-平台主推SKU占比'!$C$75</f>
        <v>312</v>
      </c>
      <c r="H193" s="91"/>
      <c r="I193" s="91">
        <f>'参考值-平台主推SKU占比'!$H$75</f>
        <v>37128</v>
      </c>
      <c r="J193" s="91">
        <f>IFERROR(I193/G193,"")</f>
        <v>119</v>
      </c>
      <c r="K193" s="91">
        <f>'假设-成本与任务量'!$I$6</f>
        <v>38</v>
      </c>
      <c r="L193" s="91">
        <f>IFERROR(K193*G193,"")</f>
        <v>11856</v>
      </c>
      <c r="M193" s="175"/>
      <c r="N193" s="142"/>
      <c r="O193" s="142"/>
      <c r="P193" s="69"/>
      <c r="Q193" s="67" t="s">
        <v>683</v>
      </c>
      <c r="R193" s="173">
        <f>L192</f>
        <v>11856</v>
      </c>
      <c r="S193" s="173">
        <f>L192</f>
        <v>11856</v>
      </c>
      <c r="T193" s="173">
        <f>L192</f>
        <v>11856</v>
      </c>
      <c r="U193" s="173">
        <f>L192</f>
        <v>11856</v>
      </c>
      <c r="V193" s="173">
        <f>L192</f>
        <v>11856</v>
      </c>
      <c r="W193" s="173">
        <f>L192</f>
        <v>11856</v>
      </c>
      <c r="X193" s="173">
        <f>L192</f>
        <v>11856</v>
      </c>
      <c r="Y193" s="173">
        <f>L192</f>
        <v>11856</v>
      </c>
      <c r="Z193" s="173">
        <f>L192</f>
        <v>11856</v>
      </c>
      <c r="AA193" s="173">
        <f>L192</f>
        <v>11856</v>
      </c>
      <c r="AB193" s="173">
        <f>L192</f>
        <v>11856</v>
      </c>
      <c r="AC193" s="173">
        <f>L192</f>
        <v>11856</v>
      </c>
    </row>
    <row r="194" spans="1:29">
      <c r="A194" s="67"/>
      <c r="B194" s="67"/>
      <c r="C194" s="69"/>
      <c r="D194" s="102" t="s">
        <v>684</v>
      </c>
      <c r="E194" s="67"/>
      <c r="F194" s="73"/>
      <c r="G194" s="172"/>
      <c r="H194" s="176"/>
      <c r="I194" s="176">
        <f>I195</f>
        <v>458</v>
      </c>
      <c r="J194" s="176">
        <f>J195</f>
        <v>229</v>
      </c>
      <c r="K194" s="176">
        <f>K195</f>
        <v>105</v>
      </c>
      <c r="L194" s="176">
        <f>L195</f>
        <v>210</v>
      </c>
      <c r="M194" s="177">
        <f>'参考值-平台主推SKU占比'!$F$76</f>
        <v>2.1008403361344498E-3</v>
      </c>
      <c r="N194" s="142"/>
      <c r="O194" s="142"/>
      <c r="P194" s="69"/>
      <c r="Q194" s="67" t="s">
        <v>685</v>
      </c>
      <c r="R194" s="173">
        <f>I194</f>
        <v>458</v>
      </c>
      <c r="S194" s="173">
        <f>I194</f>
        <v>458</v>
      </c>
      <c r="T194" s="173">
        <f>I194</f>
        <v>458</v>
      </c>
      <c r="U194" s="173">
        <f>I194</f>
        <v>458</v>
      </c>
      <c r="V194" s="173">
        <f>I194</f>
        <v>458</v>
      </c>
      <c r="W194" s="173">
        <f>I194</f>
        <v>458</v>
      </c>
      <c r="X194" s="173">
        <f>I194</f>
        <v>458</v>
      </c>
      <c r="Y194" s="173">
        <f>I194</f>
        <v>458</v>
      </c>
      <c r="Z194" s="173">
        <f>I194</f>
        <v>458</v>
      </c>
      <c r="AA194" s="173">
        <f>I194</f>
        <v>458</v>
      </c>
      <c r="AB194" s="173">
        <f>I194</f>
        <v>458</v>
      </c>
      <c r="AC194" s="173">
        <f>I194</f>
        <v>458</v>
      </c>
    </row>
    <row r="195" spans="1:29">
      <c r="A195" s="67"/>
      <c r="B195" s="67"/>
      <c r="C195" s="69"/>
      <c r="D195" s="69"/>
      <c r="E195" s="67" t="s">
        <v>527</v>
      </c>
      <c r="F195" s="73">
        <v>700</v>
      </c>
      <c r="G195" s="172">
        <f>'参考值-平台主推SKU占比'!$C$76</f>
        <v>2</v>
      </c>
      <c r="H195" s="91"/>
      <c r="I195" s="91">
        <f>'参考值-平台主推SKU占比'!$H$76</f>
        <v>458</v>
      </c>
      <c r="J195" s="91">
        <f>IFERROR(I195/G195,"")</f>
        <v>229</v>
      </c>
      <c r="K195" s="91">
        <f>'假设-成本与任务量'!$I$4</f>
        <v>105</v>
      </c>
      <c r="L195" s="91">
        <f>IFERROR(K195*G195,"")</f>
        <v>210</v>
      </c>
      <c r="M195" s="175"/>
      <c r="N195" s="142"/>
      <c r="O195" s="142"/>
      <c r="P195" s="69"/>
      <c r="Q195" s="67" t="s">
        <v>686</v>
      </c>
      <c r="R195" s="173">
        <f>L194</f>
        <v>210</v>
      </c>
      <c r="S195" s="173">
        <f>L194</f>
        <v>210</v>
      </c>
      <c r="T195" s="173">
        <f>L194</f>
        <v>210</v>
      </c>
      <c r="U195" s="173">
        <f>L194</f>
        <v>210</v>
      </c>
      <c r="V195" s="173">
        <f>L194</f>
        <v>210</v>
      </c>
      <c r="W195" s="173">
        <f>L194</f>
        <v>210</v>
      </c>
      <c r="X195" s="173">
        <f>L194</f>
        <v>210</v>
      </c>
      <c r="Y195" s="173">
        <f>L194</f>
        <v>210</v>
      </c>
      <c r="Z195" s="173">
        <f>L194</f>
        <v>210</v>
      </c>
      <c r="AA195" s="173">
        <f>L194</f>
        <v>210</v>
      </c>
      <c r="AB195" s="173">
        <f>L194</f>
        <v>210</v>
      </c>
      <c r="AC195" s="173">
        <f>L194</f>
        <v>210</v>
      </c>
    </row>
    <row r="196" spans="1:29">
      <c r="A196" s="67"/>
      <c r="B196" s="67"/>
      <c r="C196" s="69"/>
      <c r="D196" s="102" t="s">
        <v>687</v>
      </c>
      <c r="E196" s="67"/>
      <c r="F196" s="73"/>
      <c r="G196" s="172"/>
      <c r="H196" s="176"/>
      <c r="I196" s="176">
        <f>I197</f>
        <v>41412</v>
      </c>
      <c r="J196" s="176">
        <f>J197</f>
        <v>119</v>
      </c>
      <c r="K196" s="176">
        <f>K197</f>
        <v>38</v>
      </c>
      <c r="L196" s="176">
        <f>L197</f>
        <v>13224</v>
      </c>
      <c r="M196" s="177">
        <f>'参考值-平台主推SKU占比'!$F$77</f>
        <v>2.1008403361344498E-3</v>
      </c>
      <c r="N196" s="142"/>
      <c r="O196" s="142"/>
      <c r="P196" s="69"/>
      <c r="Q196" s="67" t="s">
        <v>688</v>
      </c>
      <c r="R196" s="173">
        <f>I196</f>
        <v>41412</v>
      </c>
      <c r="S196" s="173">
        <f>I196</f>
        <v>41412</v>
      </c>
      <c r="T196" s="173">
        <f>I196</f>
        <v>41412</v>
      </c>
      <c r="U196" s="173">
        <f>I196</f>
        <v>41412</v>
      </c>
      <c r="V196" s="173">
        <f>I196</f>
        <v>41412</v>
      </c>
      <c r="W196" s="173">
        <f>I196</f>
        <v>41412</v>
      </c>
      <c r="X196" s="173">
        <f>I196</f>
        <v>41412</v>
      </c>
      <c r="Y196" s="173">
        <f>I196</f>
        <v>41412</v>
      </c>
      <c r="Z196" s="173">
        <f>I196</f>
        <v>41412</v>
      </c>
      <c r="AA196" s="173">
        <f>I196</f>
        <v>41412</v>
      </c>
      <c r="AB196" s="173">
        <f>I196</f>
        <v>41412</v>
      </c>
      <c r="AC196" s="173">
        <f>I196</f>
        <v>41412</v>
      </c>
    </row>
    <row r="197" spans="1:29">
      <c r="A197" s="67"/>
      <c r="B197" s="67"/>
      <c r="C197" s="69"/>
      <c r="D197" s="69"/>
      <c r="E197" s="67" t="s">
        <v>520</v>
      </c>
      <c r="F197" s="73">
        <v>320</v>
      </c>
      <c r="G197" s="172">
        <f>'参考值-平台主推SKU占比'!$C$77</f>
        <v>348</v>
      </c>
      <c r="H197" s="91"/>
      <c r="I197" s="91">
        <f>'参考值-平台主推SKU占比'!$H$77</f>
        <v>41412</v>
      </c>
      <c r="J197" s="91">
        <f>IFERROR(I197/G197,"")</f>
        <v>119</v>
      </c>
      <c r="K197" s="91">
        <f>'假设-成本与任务量'!$I$6</f>
        <v>38</v>
      </c>
      <c r="L197" s="91">
        <f>IFERROR(K197*G197,"")</f>
        <v>13224</v>
      </c>
      <c r="M197" s="175"/>
      <c r="N197" s="142"/>
      <c r="O197" s="142"/>
      <c r="P197" s="69"/>
      <c r="Q197" s="67" t="s">
        <v>689</v>
      </c>
      <c r="R197" s="173">
        <f>L196</f>
        <v>13224</v>
      </c>
      <c r="S197" s="173">
        <f>L196</f>
        <v>13224</v>
      </c>
      <c r="T197" s="173">
        <f>L196</f>
        <v>13224</v>
      </c>
      <c r="U197" s="173">
        <f>L196</f>
        <v>13224</v>
      </c>
      <c r="V197" s="173">
        <f>L196</f>
        <v>13224</v>
      </c>
      <c r="W197" s="173">
        <f>L196</f>
        <v>13224</v>
      </c>
      <c r="X197" s="173">
        <f>L196</f>
        <v>13224</v>
      </c>
      <c r="Y197" s="173">
        <f>L196</f>
        <v>13224</v>
      </c>
      <c r="Z197" s="173">
        <f>L196</f>
        <v>13224</v>
      </c>
      <c r="AA197" s="173">
        <f>L196</f>
        <v>13224</v>
      </c>
      <c r="AB197" s="173">
        <f>L196</f>
        <v>13224</v>
      </c>
      <c r="AC197" s="173">
        <f>L196</f>
        <v>13224</v>
      </c>
    </row>
    <row r="198" spans="1:29">
      <c r="A198" s="67"/>
      <c r="B198" s="67"/>
      <c r="C198" s="69"/>
      <c r="D198" s="102" t="s">
        <v>690</v>
      </c>
      <c r="E198" s="67"/>
      <c r="F198" s="73"/>
      <c r="G198" s="172"/>
      <c r="H198" s="176"/>
      <c r="I198" s="176">
        <f>I199</f>
        <v>57708</v>
      </c>
      <c r="J198" s="176">
        <f>J199</f>
        <v>229</v>
      </c>
      <c r="K198" s="176">
        <f>K199</f>
        <v>105</v>
      </c>
      <c r="L198" s="176">
        <f>L199</f>
        <v>26460</v>
      </c>
      <c r="M198" s="177">
        <f>'参考值-平台主推SKU占比'!$F$78</f>
        <v>2.1008403361344498E-3</v>
      </c>
      <c r="N198" s="142"/>
      <c r="O198" s="142"/>
      <c r="P198" s="69"/>
      <c r="Q198" s="67" t="s">
        <v>691</v>
      </c>
      <c r="R198" s="173">
        <f>I198</f>
        <v>57708</v>
      </c>
      <c r="S198" s="173">
        <f>I198</f>
        <v>57708</v>
      </c>
      <c r="T198" s="173">
        <f>I198</f>
        <v>57708</v>
      </c>
      <c r="U198" s="173">
        <f>I198</f>
        <v>57708</v>
      </c>
      <c r="V198" s="173">
        <f>I198</f>
        <v>57708</v>
      </c>
      <c r="W198" s="173">
        <f>I198</f>
        <v>57708</v>
      </c>
      <c r="X198" s="173">
        <f>I198</f>
        <v>57708</v>
      </c>
      <c r="Y198" s="173">
        <f>I198</f>
        <v>57708</v>
      </c>
      <c r="Z198" s="173">
        <f>I198</f>
        <v>57708</v>
      </c>
      <c r="AA198" s="173">
        <f>I198</f>
        <v>57708</v>
      </c>
      <c r="AB198" s="173">
        <f>I198</f>
        <v>57708</v>
      </c>
      <c r="AC198" s="173">
        <f>I198</f>
        <v>57708</v>
      </c>
    </row>
    <row r="199" spans="1:29">
      <c r="A199" s="67"/>
      <c r="B199" s="67"/>
      <c r="C199" s="69"/>
      <c r="D199" s="69"/>
      <c r="E199" s="67" t="s">
        <v>527</v>
      </c>
      <c r="F199" s="73">
        <v>700</v>
      </c>
      <c r="G199" s="172">
        <f>'参考值-平台主推SKU占比'!$C$78</f>
        <v>252</v>
      </c>
      <c r="H199" s="91"/>
      <c r="I199" s="91">
        <f>'参考值-平台主推SKU占比'!$H$78</f>
        <v>57708</v>
      </c>
      <c r="J199" s="91">
        <f>IFERROR(I199/G199,"")</f>
        <v>229</v>
      </c>
      <c r="K199" s="91">
        <f>'假设-成本与任务量'!$I$4</f>
        <v>105</v>
      </c>
      <c r="L199" s="91">
        <f>IFERROR(K199*G199,"")</f>
        <v>26460</v>
      </c>
      <c r="M199" s="175"/>
      <c r="N199" s="142"/>
      <c r="O199" s="142"/>
      <c r="P199" s="69"/>
      <c r="Q199" s="67" t="s">
        <v>692</v>
      </c>
      <c r="R199" s="173">
        <f>L198</f>
        <v>26460</v>
      </c>
      <c r="S199" s="173">
        <f>L198</f>
        <v>26460</v>
      </c>
      <c r="T199" s="173">
        <f>L198</f>
        <v>26460</v>
      </c>
      <c r="U199" s="173">
        <f>L198</f>
        <v>26460</v>
      </c>
      <c r="V199" s="173">
        <f>L198</f>
        <v>26460</v>
      </c>
      <c r="W199" s="173">
        <f>L198</f>
        <v>26460</v>
      </c>
      <c r="X199" s="173">
        <f>L198</f>
        <v>26460</v>
      </c>
      <c r="Y199" s="173">
        <f>L198</f>
        <v>26460</v>
      </c>
      <c r="Z199" s="173">
        <f>L198</f>
        <v>26460</v>
      </c>
      <c r="AA199" s="173">
        <f>L198</f>
        <v>26460</v>
      </c>
      <c r="AB199" s="173">
        <f>L198</f>
        <v>26460</v>
      </c>
      <c r="AC199" s="173">
        <f>L198</f>
        <v>26460</v>
      </c>
    </row>
    <row r="200" spans="1:29">
      <c r="A200" s="67"/>
      <c r="B200" s="67"/>
      <c r="C200" s="69"/>
      <c r="D200" s="102" t="s">
        <v>693</v>
      </c>
      <c r="E200" s="67"/>
      <c r="F200" s="73"/>
      <c r="G200" s="172"/>
      <c r="H200" s="176"/>
      <c r="I200" s="176">
        <f>I201</f>
        <v>687</v>
      </c>
      <c r="J200" s="176">
        <f>J201</f>
        <v>229</v>
      </c>
      <c r="K200" s="176">
        <f>K201</f>
        <v>105</v>
      </c>
      <c r="L200" s="176">
        <f>L201</f>
        <v>315</v>
      </c>
      <c r="M200" s="177">
        <f>'参考值-平台主推SKU占比'!$F$79</f>
        <v>2.1008403361344498E-3</v>
      </c>
      <c r="N200" s="142"/>
      <c r="O200" s="142"/>
      <c r="P200" s="69"/>
      <c r="Q200" s="67" t="s">
        <v>694</v>
      </c>
      <c r="R200" s="173">
        <f>I200</f>
        <v>687</v>
      </c>
      <c r="S200" s="173">
        <f>I200</f>
        <v>687</v>
      </c>
      <c r="T200" s="173">
        <f>I200</f>
        <v>687</v>
      </c>
      <c r="U200" s="173">
        <f>I200</f>
        <v>687</v>
      </c>
      <c r="V200" s="173">
        <f>I200</f>
        <v>687</v>
      </c>
      <c r="W200" s="173">
        <f>I200</f>
        <v>687</v>
      </c>
      <c r="X200" s="173">
        <f>I200</f>
        <v>687</v>
      </c>
      <c r="Y200" s="173">
        <f>I200</f>
        <v>687</v>
      </c>
      <c r="Z200" s="173">
        <f>I200</f>
        <v>687</v>
      </c>
      <c r="AA200" s="173">
        <f>I200</f>
        <v>687</v>
      </c>
      <c r="AB200" s="173">
        <f>I200</f>
        <v>687</v>
      </c>
      <c r="AC200" s="173">
        <f>I200</f>
        <v>687</v>
      </c>
    </row>
    <row r="201" spans="1:29">
      <c r="A201" s="67"/>
      <c r="B201" s="67"/>
      <c r="C201" s="69"/>
      <c r="D201" s="69"/>
      <c r="E201" s="67" t="s">
        <v>527</v>
      </c>
      <c r="F201" s="73">
        <v>700</v>
      </c>
      <c r="G201" s="172">
        <f>'参考值-平台主推SKU占比'!$C$79</f>
        <v>3</v>
      </c>
      <c r="H201" s="91"/>
      <c r="I201" s="91">
        <f>'参考值-平台主推SKU占比'!$H$79</f>
        <v>687</v>
      </c>
      <c r="J201" s="91">
        <f>IFERROR(I201/G201,"")</f>
        <v>229</v>
      </c>
      <c r="K201" s="91">
        <f>'假设-成本与任务量'!$I$4</f>
        <v>105</v>
      </c>
      <c r="L201" s="91">
        <f>IFERROR(K201*G201,"")</f>
        <v>315</v>
      </c>
      <c r="M201" s="175"/>
      <c r="N201" s="142"/>
      <c r="O201" s="142"/>
      <c r="P201" s="69"/>
      <c r="Q201" s="67" t="s">
        <v>695</v>
      </c>
      <c r="R201" s="173">
        <f>L200</f>
        <v>315</v>
      </c>
      <c r="S201" s="173">
        <f>L200</f>
        <v>315</v>
      </c>
      <c r="T201" s="173">
        <f>L200</f>
        <v>315</v>
      </c>
      <c r="U201" s="173">
        <f>L200</f>
        <v>315</v>
      </c>
      <c r="V201" s="173">
        <f>L200</f>
        <v>315</v>
      </c>
      <c r="W201" s="173">
        <f>L200</f>
        <v>315</v>
      </c>
      <c r="X201" s="173">
        <f>L200</f>
        <v>315</v>
      </c>
      <c r="Y201" s="173">
        <f>L200</f>
        <v>315</v>
      </c>
      <c r="Z201" s="173">
        <f>L200</f>
        <v>315</v>
      </c>
      <c r="AA201" s="173">
        <f>L200</f>
        <v>315</v>
      </c>
      <c r="AB201" s="173">
        <f>L200</f>
        <v>315</v>
      </c>
      <c r="AC201" s="173">
        <f>L200</f>
        <v>315</v>
      </c>
    </row>
    <row r="202" spans="1:29">
      <c r="A202" s="67"/>
      <c r="B202" s="67"/>
      <c r="C202" s="69"/>
      <c r="D202" s="102" t="s">
        <v>696</v>
      </c>
      <c r="E202" s="67"/>
      <c r="F202" s="73"/>
      <c r="G202" s="172"/>
      <c r="H202" s="176"/>
      <c r="I202" s="176">
        <f>I203</f>
        <v>34350</v>
      </c>
      <c r="J202" s="176">
        <f>J203</f>
        <v>229</v>
      </c>
      <c r="K202" s="176">
        <f>K203</f>
        <v>105</v>
      </c>
      <c r="L202" s="176">
        <f>L203</f>
        <v>15750</v>
      </c>
      <c r="M202" s="177">
        <f>'参考值-平台主推SKU占比'!$F$80</f>
        <v>2.1008403361344498E-3</v>
      </c>
      <c r="N202" s="142"/>
      <c r="O202" s="142"/>
      <c r="P202" s="69"/>
      <c r="Q202" s="67" t="s">
        <v>697</v>
      </c>
      <c r="R202" s="173">
        <f>I202</f>
        <v>34350</v>
      </c>
      <c r="S202" s="173">
        <f>I202</f>
        <v>34350</v>
      </c>
      <c r="T202" s="173">
        <f>I202</f>
        <v>34350</v>
      </c>
      <c r="U202" s="173">
        <f>I202</f>
        <v>34350</v>
      </c>
      <c r="V202" s="173">
        <f>I202</f>
        <v>34350</v>
      </c>
      <c r="W202" s="173">
        <f>I202</f>
        <v>34350</v>
      </c>
      <c r="X202" s="173">
        <f>I202</f>
        <v>34350</v>
      </c>
      <c r="Y202" s="173">
        <f>I202</f>
        <v>34350</v>
      </c>
      <c r="Z202" s="173">
        <f>I202</f>
        <v>34350</v>
      </c>
      <c r="AA202" s="173">
        <f>I202</f>
        <v>34350</v>
      </c>
      <c r="AB202" s="173">
        <f>I202</f>
        <v>34350</v>
      </c>
      <c r="AC202" s="173">
        <f>I202</f>
        <v>34350</v>
      </c>
    </row>
    <row r="203" spans="1:29">
      <c r="A203" s="67"/>
      <c r="B203" s="67"/>
      <c r="C203" s="69"/>
      <c r="D203" s="69"/>
      <c r="E203" s="67" t="s">
        <v>527</v>
      </c>
      <c r="F203" s="73">
        <v>700</v>
      </c>
      <c r="G203" s="172">
        <f>'参考值-平台主推SKU占比'!$C$80</f>
        <v>150</v>
      </c>
      <c r="H203" s="91"/>
      <c r="I203" s="91">
        <f>'参考值-平台主推SKU占比'!$H$80</f>
        <v>34350</v>
      </c>
      <c r="J203" s="91">
        <f>IFERROR(I203/G203,"")</f>
        <v>229</v>
      </c>
      <c r="K203" s="91">
        <f>'假设-成本与任务量'!$I$4</f>
        <v>105</v>
      </c>
      <c r="L203" s="91">
        <f>IFERROR(K203*G203,"")</f>
        <v>15750</v>
      </c>
      <c r="M203" s="175"/>
      <c r="N203" s="142"/>
      <c r="O203" s="142"/>
      <c r="P203" s="69"/>
      <c r="Q203" s="67" t="s">
        <v>698</v>
      </c>
      <c r="R203" s="173">
        <f>L202</f>
        <v>15750</v>
      </c>
      <c r="S203" s="173">
        <f>L202</f>
        <v>15750</v>
      </c>
      <c r="T203" s="173">
        <f>L202</f>
        <v>15750</v>
      </c>
      <c r="U203" s="173">
        <f>L202</f>
        <v>15750</v>
      </c>
      <c r="V203" s="173">
        <f>L202</f>
        <v>15750</v>
      </c>
      <c r="W203" s="173">
        <f>L202</f>
        <v>15750</v>
      </c>
      <c r="X203" s="173">
        <f>L202</f>
        <v>15750</v>
      </c>
      <c r="Y203" s="173">
        <f>L202</f>
        <v>15750</v>
      </c>
      <c r="Z203" s="173">
        <f>L202</f>
        <v>15750</v>
      </c>
      <c r="AA203" s="173">
        <f>L202</f>
        <v>15750</v>
      </c>
      <c r="AB203" s="173">
        <f>L202</f>
        <v>15750</v>
      </c>
      <c r="AC203" s="173">
        <f>L202</f>
        <v>15750</v>
      </c>
    </row>
    <row r="204" spans="1:29">
      <c r="A204" s="67"/>
      <c r="B204" s="67"/>
      <c r="C204" s="69"/>
      <c r="D204" s="102" t="s">
        <v>699</v>
      </c>
      <c r="E204" s="67"/>
      <c r="F204" s="73"/>
      <c r="G204" s="172"/>
      <c r="H204" s="176"/>
      <c r="I204" s="176">
        <f>I205</f>
        <v>48552</v>
      </c>
      <c r="J204" s="176">
        <f>J205</f>
        <v>119</v>
      </c>
      <c r="K204" s="176">
        <f>K205</f>
        <v>38</v>
      </c>
      <c r="L204" s="176">
        <f>L205</f>
        <v>15504</v>
      </c>
      <c r="M204" s="177">
        <f>'参考值-平台主推SKU占比'!$F$81</f>
        <v>2.1008403361344498E-3</v>
      </c>
      <c r="N204" s="142"/>
      <c r="O204" s="142"/>
      <c r="P204" s="69"/>
      <c r="Q204" s="67" t="s">
        <v>700</v>
      </c>
      <c r="R204" s="173">
        <f>I204</f>
        <v>48552</v>
      </c>
      <c r="S204" s="173">
        <f>I204</f>
        <v>48552</v>
      </c>
      <c r="T204" s="173">
        <f>I204</f>
        <v>48552</v>
      </c>
      <c r="U204" s="173">
        <f>I204</f>
        <v>48552</v>
      </c>
      <c r="V204" s="173">
        <f>I204</f>
        <v>48552</v>
      </c>
      <c r="W204" s="173">
        <f>I204</f>
        <v>48552</v>
      </c>
      <c r="X204" s="173">
        <f>I204</f>
        <v>48552</v>
      </c>
      <c r="Y204" s="173">
        <f>I204</f>
        <v>48552</v>
      </c>
      <c r="Z204" s="173">
        <f>I204</f>
        <v>48552</v>
      </c>
      <c r="AA204" s="173">
        <f>I204</f>
        <v>48552</v>
      </c>
      <c r="AB204" s="173">
        <f>I204</f>
        <v>48552</v>
      </c>
      <c r="AC204" s="173">
        <f>I204</f>
        <v>48552</v>
      </c>
    </row>
    <row r="205" spans="1:29">
      <c r="A205" s="67"/>
      <c r="B205" s="67"/>
      <c r="C205" s="69"/>
      <c r="D205" s="69"/>
      <c r="E205" s="67" t="s">
        <v>520</v>
      </c>
      <c r="F205" s="73">
        <v>320</v>
      </c>
      <c r="G205" s="172">
        <f>'参考值-平台主推SKU占比'!$C$81</f>
        <v>408</v>
      </c>
      <c r="H205" s="91"/>
      <c r="I205" s="91">
        <f>'参考值-平台主推SKU占比'!$H$81</f>
        <v>48552</v>
      </c>
      <c r="J205" s="91">
        <f>IFERROR(I205/G205,"")</f>
        <v>119</v>
      </c>
      <c r="K205" s="91">
        <f>'假设-成本与任务量'!$I$6</f>
        <v>38</v>
      </c>
      <c r="L205" s="91">
        <f>IFERROR(K205*G205,"")</f>
        <v>15504</v>
      </c>
      <c r="M205" s="175"/>
      <c r="N205" s="142"/>
      <c r="O205" s="142"/>
      <c r="P205" s="69"/>
      <c r="Q205" s="67" t="s">
        <v>701</v>
      </c>
      <c r="R205" s="173">
        <f>L204</f>
        <v>15504</v>
      </c>
      <c r="S205" s="173">
        <f>L204</f>
        <v>15504</v>
      </c>
      <c r="T205" s="173">
        <f>L204</f>
        <v>15504</v>
      </c>
      <c r="U205" s="173">
        <f>L204</f>
        <v>15504</v>
      </c>
      <c r="V205" s="173">
        <f>L204</f>
        <v>15504</v>
      </c>
      <c r="W205" s="173">
        <f>L204</f>
        <v>15504</v>
      </c>
      <c r="X205" s="173">
        <f>L204</f>
        <v>15504</v>
      </c>
      <c r="Y205" s="173">
        <f>L204</f>
        <v>15504</v>
      </c>
      <c r="Z205" s="173">
        <f>L204</f>
        <v>15504</v>
      </c>
      <c r="AA205" s="173">
        <f>L204</f>
        <v>15504</v>
      </c>
      <c r="AB205" s="173">
        <f>L204</f>
        <v>15504</v>
      </c>
      <c r="AC205" s="173">
        <f>L204</f>
        <v>15504</v>
      </c>
    </row>
    <row r="206" spans="1:29">
      <c r="A206" s="67"/>
      <c r="B206" s="67"/>
      <c r="C206" s="69"/>
      <c r="D206" s="102" t="s">
        <v>702</v>
      </c>
      <c r="E206" s="67"/>
      <c r="F206" s="73"/>
      <c r="G206" s="172"/>
      <c r="H206" s="176"/>
      <c r="I206" s="176">
        <f>I207</f>
        <v>61436.4</v>
      </c>
      <c r="J206" s="176">
        <f>J207</f>
        <v>276.74054054054056</v>
      </c>
      <c r="K206" s="176">
        <f>K207</f>
        <v>105</v>
      </c>
      <c r="L206" s="176">
        <f>L207</f>
        <v>23310</v>
      </c>
      <c r="M206" s="177">
        <f>'参考值-平台主推SKU占比'!$F$82</f>
        <v>2.1008403361344498E-3</v>
      </c>
      <c r="N206" s="142"/>
      <c r="O206" s="142"/>
      <c r="P206" s="69"/>
      <c r="Q206" s="67" t="s">
        <v>703</v>
      </c>
      <c r="R206" s="173">
        <f>I206</f>
        <v>61436.4</v>
      </c>
      <c r="S206" s="173">
        <f>I206</f>
        <v>61436.4</v>
      </c>
      <c r="T206" s="173">
        <f>I206</f>
        <v>61436.4</v>
      </c>
      <c r="U206" s="173">
        <f>I206</f>
        <v>61436.4</v>
      </c>
      <c r="V206" s="173">
        <f>I206</f>
        <v>61436.4</v>
      </c>
      <c r="W206" s="173">
        <f>I206</f>
        <v>61436.4</v>
      </c>
      <c r="X206" s="173">
        <f>I206</f>
        <v>61436.4</v>
      </c>
      <c r="Y206" s="173">
        <f>I206</f>
        <v>61436.4</v>
      </c>
      <c r="Z206" s="173">
        <f>I206</f>
        <v>61436.4</v>
      </c>
      <c r="AA206" s="173">
        <f>I206</f>
        <v>61436.4</v>
      </c>
      <c r="AB206" s="173">
        <f>I206</f>
        <v>61436.4</v>
      </c>
      <c r="AC206" s="173">
        <f>I206</f>
        <v>61436.4</v>
      </c>
    </row>
    <row r="207" spans="1:29">
      <c r="A207" s="67"/>
      <c r="B207" s="67"/>
      <c r="C207" s="69"/>
      <c r="D207" s="69"/>
      <c r="E207" s="67" t="s">
        <v>527</v>
      </c>
      <c r="F207" s="73">
        <v>700</v>
      </c>
      <c r="G207" s="172">
        <f>'参考值-平台主推SKU占比'!$C$82</f>
        <v>222</v>
      </c>
      <c r="H207" s="91"/>
      <c r="I207" s="91">
        <f>'参考值-平台主推SKU占比'!$H$82</f>
        <v>61436.4</v>
      </c>
      <c r="J207" s="91">
        <f>IFERROR(I207/G207,"")</f>
        <v>276.74054054054056</v>
      </c>
      <c r="K207" s="91">
        <f>'假设-成本与任务量'!$I$4</f>
        <v>105</v>
      </c>
      <c r="L207" s="91">
        <f>IFERROR(K207*G207,"")</f>
        <v>23310</v>
      </c>
      <c r="M207" s="175"/>
      <c r="N207" s="142"/>
      <c r="O207" s="142"/>
      <c r="P207" s="69"/>
      <c r="Q207" s="67" t="s">
        <v>704</v>
      </c>
      <c r="R207" s="173">
        <f>L206</f>
        <v>23310</v>
      </c>
      <c r="S207" s="173">
        <f>L206</f>
        <v>23310</v>
      </c>
      <c r="T207" s="173">
        <f>L206</f>
        <v>23310</v>
      </c>
      <c r="U207" s="173">
        <f>L206</f>
        <v>23310</v>
      </c>
      <c r="V207" s="173">
        <f>L206</f>
        <v>23310</v>
      </c>
      <c r="W207" s="173">
        <f>L206</f>
        <v>23310</v>
      </c>
      <c r="X207" s="173">
        <f>L206</f>
        <v>23310</v>
      </c>
      <c r="Y207" s="173">
        <f>L206</f>
        <v>23310</v>
      </c>
      <c r="Z207" s="173">
        <f>L206</f>
        <v>23310</v>
      </c>
      <c r="AA207" s="173">
        <f>L206</f>
        <v>23310</v>
      </c>
      <c r="AB207" s="173">
        <f>L206</f>
        <v>23310</v>
      </c>
      <c r="AC207" s="173">
        <f>L206</f>
        <v>23310</v>
      </c>
    </row>
    <row r="208" spans="1:29">
      <c r="A208" s="67"/>
      <c r="B208" s="67"/>
      <c r="C208" s="69"/>
      <c r="D208" s="102" t="s">
        <v>705</v>
      </c>
      <c r="E208" s="67"/>
      <c r="F208" s="73"/>
      <c r="G208" s="172"/>
      <c r="H208" s="176"/>
      <c r="I208" s="176">
        <f>I209</f>
        <v>43968</v>
      </c>
      <c r="J208" s="176">
        <f>J209</f>
        <v>229</v>
      </c>
      <c r="K208" s="176">
        <f>K209</f>
        <v>105</v>
      </c>
      <c r="L208" s="176">
        <f>L209</f>
        <v>20160</v>
      </c>
      <c r="M208" s="177">
        <f>'参考值-平台主推SKU占比'!$F$83</f>
        <v>2.1008403361344498E-3</v>
      </c>
      <c r="N208" s="142"/>
      <c r="O208" s="142"/>
      <c r="P208" s="69"/>
      <c r="Q208" s="67" t="s">
        <v>706</v>
      </c>
      <c r="R208" s="173">
        <f>I208</f>
        <v>43968</v>
      </c>
      <c r="S208" s="173">
        <f>I208</f>
        <v>43968</v>
      </c>
      <c r="T208" s="173">
        <f>I208</f>
        <v>43968</v>
      </c>
      <c r="U208" s="173">
        <f>I208</f>
        <v>43968</v>
      </c>
      <c r="V208" s="173">
        <f>I208</f>
        <v>43968</v>
      </c>
      <c r="W208" s="173">
        <f>I208</f>
        <v>43968</v>
      </c>
      <c r="X208" s="173">
        <f>I208</f>
        <v>43968</v>
      </c>
      <c r="Y208" s="173">
        <f>I208</f>
        <v>43968</v>
      </c>
      <c r="Z208" s="173">
        <f>I208</f>
        <v>43968</v>
      </c>
      <c r="AA208" s="173">
        <f>I208</f>
        <v>43968</v>
      </c>
      <c r="AB208" s="173">
        <f>I208</f>
        <v>43968</v>
      </c>
      <c r="AC208" s="173">
        <f>I208</f>
        <v>43968</v>
      </c>
    </row>
    <row r="209" spans="1:29">
      <c r="A209" s="67"/>
      <c r="B209" s="67"/>
      <c r="C209" s="69"/>
      <c r="D209" s="69"/>
      <c r="E209" s="67" t="s">
        <v>527</v>
      </c>
      <c r="F209" s="73">
        <v>700</v>
      </c>
      <c r="G209" s="172">
        <f>'参考值-平台主推SKU占比'!$C$83</f>
        <v>192</v>
      </c>
      <c r="H209" s="91"/>
      <c r="I209" s="91">
        <f>'参考值-平台主推SKU占比'!$H$83</f>
        <v>43968</v>
      </c>
      <c r="J209" s="91">
        <f>IFERROR(I209/G209,"")</f>
        <v>229</v>
      </c>
      <c r="K209" s="91">
        <f>'假设-成本与任务量'!$I$4</f>
        <v>105</v>
      </c>
      <c r="L209" s="91">
        <f>IFERROR(K209*G209,"")</f>
        <v>20160</v>
      </c>
      <c r="M209" s="175"/>
      <c r="N209" s="142"/>
      <c r="O209" s="142"/>
      <c r="P209" s="69"/>
      <c r="Q209" s="67" t="s">
        <v>707</v>
      </c>
      <c r="R209" s="173">
        <f>L208</f>
        <v>20160</v>
      </c>
      <c r="S209" s="173">
        <f>L208</f>
        <v>20160</v>
      </c>
      <c r="T209" s="173">
        <f>L208</f>
        <v>20160</v>
      </c>
      <c r="U209" s="173">
        <f>L208</f>
        <v>20160</v>
      </c>
      <c r="V209" s="173">
        <f>L208</f>
        <v>20160</v>
      </c>
      <c r="W209" s="173">
        <f>L208</f>
        <v>20160</v>
      </c>
      <c r="X209" s="173">
        <f>L208</f>
        <v>20160</v>
      </c>
      <c r="Y209" s="173">
        <f>L208</f>
        <v>20160</v>
      </c>
      <c r="Z209" s="173">
        <f>L208</f>
        <v>20160</v>
      </c>
      <c r="AA209" s="173">
        <f>L208</f>
        <v>20160</v>
      </c>
      <c r="AB209" s="173">
        <f>L208</f>
        <v>20160</v>
      </c>
      <c r="AC209" s="173">
        <f>L208</f>
        <v>20160</v>
      </c>
    </row>
    <row r="210" spans="1:29">
      <c r="A210" s="67"/>
      <c r="B210" s="67"/>
      <c r="C210" s="69"/>
      <c r="D210" s="102" t="s">
        <v>708</v>
      </c>
      <c r="E210" s="67"/>
      <c r="F210" s="73"/>
      <c r="G210" s="172"/>
      <c r="H210" s="176"/>
      <c r="I210" s="176">
        <f>I211</f>
        <v>26106</v>
      </c>
      <c r="J210" s="176">
        <f>J211</f>
        <v>229</v>
      </c>
      <c r="K210" s="176">
        <f>K211</f>
        <v>105</v>
      </c>
      <c r="L210" s="176">
        <f>L211</f>
        <v>11970</v>
      </c>
      <c r="M210" s="177">
        <f>'参考值-平台主推SKU占比'!$F$84</f>
        <v>2.1008403361344498E-3</v>
      </c>
      <c r="N210" s="142"/>
      <c r="O210" s="142"/>
      <c r="P210" s="69"/>
      <c r="Q210" s="67" t="s">
        <v>709</v>
      </c>
      <c r="R210" s="173">
        <f>I210</f>
        <v>26106</v>
      </c>
      <c r="S210" s="173">
        <f>I210</f>
        <v>26106</v>
      </c>
      <c r="T210" s="173">
        <f>I210</f>
        <v>26106</v>
      </c>
      <c r="U210" s="173">
        <f>I210</f>
        <v>26106</v>
      </c>
      <c r="V210" s="173">
        <f>I210</f>
        <v>26106</v>
      </c>
      <c r="W210" s="173">
        <f>I210</f>
        <v>26106</v>
      </c>
      <c r="X210" s="173">
        <f>I210</f>
        <v>26106</v>
      </c>
      <c r="Y210" s="173">
        <f>I210</f>
        <v>26106</v>
      </c>
      <c r="Z210" s="173">
        <f>I210</f>
        <v>26106</v>
      </c>
      <c r="AA210" s="173">
        <f>I210</f>
        <v>26106</v>
      </c>
      <c r="AB210" s="173">
        <f>I210</f>
        <v>26106</v>
      </c>
      <c r="AC210" s="173">
        <f>I210</f>
        <v>26106</v>
      </c>
    </row>
    <row r="211" spans="1:29">
      <c r="A211" s="67"/>
      <c r="B211" s="67"/>
      <c r="C211" s="69"/>
      <c r="D211" s="69"/>
      <c r="E211" s="67" t="s">
        <v>527</v>
      </c>
      <c r="F211" s="73">
        <v>700</v>
      </c>
      <c r="G211" s="172">
        <f>'参考值-平台主推SKU占比'!$C$84</f>
        <v>114</v>
      </c>
      <c r="H211" s="91"/>
      <c r="I211" s="91">
        <f>'参考值-平台主推SKU占比'!$H$84</f>
        <v>26106</v>
      </c>
      <c r="J211" s="91">
        <f>IFERROR(I211/G211,"")</f>
        <v>229</v>
      </c>
      <c r="K211" s="91">
        <f>'假设-成本与任务量'!$I$4</f>
        <v>105</v>
      </c>
      <c r="L211" s="91">
        <f>IFERROR(K211*G211,"")</f>
        <v>11970</v>
      </c>
      <c r="M211" s="175"/>
      <c r="N211" s="142"/>
      <c r="O211" s="142"/>
      <c r="P211" s="69"/>
      <c r="Q211" s="67" t="s">
        <v>710</v>
      </c>
      <c r="R211" s="173">
        <f>L210</f>
        <v>11970</v>
      </c>
      <c r="S211" s="173">
        <f>L210</f>
        <v>11970</v>
      </c>
      <c r="T211" s="173">
        <f>L210</f>
        <v>11970</v>
      </c>
      <c r="U211" s="173">
        <f>L210</f>
        <v>11970</v>
      </c>
      <c r="V211" s="173">
        <f>L210</f>
        <v>11970</v>
      </c>
      <c r="W211" s="173">
        <f>L210</f>
        <v>11970</v>
      </c>
      <c r="X211" s="173">
        <f>L210</f>
        <v>11970</v>
      </c>
      <c r="Y211" s="173">
        <f>L210</f>
        <v>11970</v>
      </c>
      <c r="Z211" s="173">
        <f>L210</f>
        <v>11970</v>
      </c>
      <c r="AA211" s="173">
        <f>L210</f>
        <v>11970</v>
      </c>
      <c r="AB211" s="173">
        <f>L210</f>
        <v>11970</v>
      </c>
      <c r="AC211" s="173">
        <f>L210</f>
        <v>11970</v>
      </c>
    </row>
    <row r="212" spans="1:29">
      <c r="A212" s="67"/>
      <c r="B212" s="102"/>
      <c r="C212" s="69"/>
      <c r="D212" s="102" t="s">
        <v>711</v>
      </c>
      <c r="E212" s="67"/>
      <c r="F212" s="73"/>
      <c r="G212" s="172"/>
      <c r="H212" s="176"/>
      <c r="I212" s="176">
        <f>I213</f>
        <v>217260</v>
      </c>
      <c r="J212" s="176">
        <f>J213</f>
        <v>355</v>
      </c>
      <c r="K212" s="176">
        <f>K213</f>
        <v>105</v>
      </c>
      <c r="L212" s="176">
        <f>L213</f>
        <v>64260</v>
      </c>
      <c r="M212" s="177">
        <f>'参考值-平台主推SKU占比'!$F$85</f>
        <v>2.1008403361344498E-3</v>
      </c>
      <c r="N212" s="142"/>
      <c r="O212" s="142"/>
      <c r="P212" s="69"/>
      <c r="Q212" s="67" t="s">
        <v>712</v>
      </c>
      <c r="R212" s="173">
        <f>I212</f>
        <v>217260</v>
      </c>
      <c r="S212" s="173">
        <f>I212</f>
        <v>217260</v>
      </c>
      <c r="T212" s="173">
        <f>I212</f>
        <v>217260</v>
      </c>
      <c r="U212" s="173">
        <f>I212</f>
        <v>217260</v>
      </c>
      <c r="V212" s="173">
        <f>I212</f>
        <v>217260</v>
      </c>
      <c r="W212" s="173">
        <f>I212</f>
        <v>217260</v>
      </c>
      <c r="X212" s="173">
        <f>I212</f>
        <v>217260</v>
      </c>
      <c r="Y212" s="173">
        <f>I212</f>
        <v>217260</v>
      </c>
      <c r="Z212" s="173">
        <f>I212</f>
        <v>217260</v>
      </c>
      <c r="AA212" s="173">
        <f>I212</f>
        <v>217260</v>
      </c>
      <c r="AB212" s="173">
        <f>I212</f>
        <v>217260</v>
      </c>
      <c r="AC212" s="173">
        <f>I212</f>
        <v>217260</v>
      </c>
    </row>
    <row r="213" spans="1:29">
      <c r="A213" s="67"/>
      <c r="B213" s="67"/>
      <c r="C213" s="69"/>
      <c r="D213" s="69"/>
      <c r="E213" s="67" t="s">
        <v>527</v>
      </c>
      <c r="F213" s="73">
        <v>700</v>
      </c>
      <c r="G213" s="172">
        <f>'参考值-平台主推SKU占比'!$C$85</f>
        <v>612</v>
      </c>
      <c r="H213" s="91"/>
      <c r="I213" s="91">
        <f>'参考值-平台主推SKU占比'!$H$85</f>
        <v>217260</v>
      </c>
      <c r="J213" s="91">
        <f>IFERROR(I213/G213,"")</f>
        <v>355</v>
      </c>
      <c r="K213" s="91">
        <f>'假设-成本与任务量'!$I$4</f>
        <v>105</v>
      </c>
      <c r="L213" s="91">
        <f>IFERROR(K213*G213,"")</f>
        <v>64260</v>
      </c>
      <c r="M213" s="175"/>
      <c r="N213" s="142"/>
      <c r="O213" s="142"/>
      <c r="P213" s="69"/>
      <c r="Q213" s="67" t="s">
        <v>713</v>
      </c>
      <c r="R213" s="173">
        <f>L212</f>
        <v>64260</v>
      </c>
      <c r="S213" s="173">
        <f>L212</f>
        <v>64260</v>
      </c>
      <c r="T213" s="173">
        <f>L212</f>
        <v>64260</v>
      </c>
      <c r="U213" s="173">
        <f>L212</f>
        <v>64260</v>
      </c>
      <c r="V213" s="173">
        <f>L212</f>
        <v>64260</v>
      </c>
      <c r="W213" s="173">
        <f>L212</f>
        <v>64260</v>
      </c>
      <c r="X213" s="173">
        <f>L212</f>
        <v>64260</v>
      </c>
      <c r="Y213" s="173">
        <f>L212</f>
        <v>64260</v>
      </c>
      <c r="Z213" s="173">
        <f>L212</f>
        <v>64260</v>
      </c>
      <c r="AA213" s="173">
        <f>L212</f>
        <v>64260</v>
      </c>
      <c r="AB213" s="173">
        <f>L212</f>
        <v>64260</v>
      </c>
      <c r="AC213" s="173">
        <f>L212</f>
        <v>64260</v>
      </c>
    </row>
    <row r="214" spans="1:29">
      <c r="A214" s="67"/>
      <c r="B214" s="67"/>
      <c r="C214" s="69"/>
      <c r="D214" s="102" t="s">
        <v>714</v>
      </c>
      <c r="E214" s="67"/>
      <c r="F214" s="73"/>
      <c r="G214" s="172"/>
      <c r="H214" s="176"/>
      <c r="I214" s="176">
        <f>I215</f>
        <v>142111.20000000001</v>
      </c>
      <c r="J214" s="176">
        <f>J215</f>
        <v>408.36551724137934</v>
      </c>
      <c r="K214" s="176">
        <f>K215</f>
        <v>105</v>
      </c>
      <c r="L214" s="176">
        <f>L215</f>
        <v>36540</v>
      </c>
      <c r="M214" s="177">
        <f>'参考值-平台主推SKU占比'!$F$86</f>
        <v>2.1008403361344498E-3</v>
      </c>
      <c r="N214" s="142"/>
      <c r="O214" s="142"/>
      <c r="P214" s="69"/>
      <c r="Q214" s="67" t="s">
        <v>715</v>
      </c>
      <c r="R214" s="173">
        <f>I214</f>
        <v>142111.20000000001</v>
      </c>
      <c r="S214" s="173">
        <f>I214</f>
        <v>142111.20000000001</v>
      </c>
      <c r="T214" s="173">
        <f>I214</f>
        <v>142111.20000000001</v>
      </c>
      <c r="U214" s="173">
        <f>I214</f>
        <v>142111.20000000001</v>
      </c>
      <c r="V214" s="173">
        <f>I214</f>
        <v>142111.20000000001</v>
      </c>
      <c r="W214" s="173">
        <f>I214</f>
        <v>142111.20000000001</v>
      </c>
      <c r="X214" s="173">
        <f>I214</f>
        <v>142111.20000000001</v>
      </c>
      <c r="Y214" s="173">
        <f>I214</f>
        <v>142111.20000000001</v>
      </c>
      <c r="Z214" s="173">
        <f>I214</f>
        <v>142111.20000000001</v>
      </c>
      <c r="AA214" s="173">
        <f>I214</f>
        <v>142111.20000000001</v>
      </c>
      <c r="AB214" s="173">
        <f>I214</f>
        <v>142111.20000000001</v>
      </c>
      <c r="AC214" s="173">
        <f>I214</f>
        <v>142111.20000000001</v>
      </c>
    </row>
    <row r="215" spans="1:29">
      <c r="A215" s="67"/>
      <c r="B215" s="67"/>
      <c r="C215" s="69"/>
      <c r="D215" s="69"/>
      <c r="E215" s="67" t="s">
        <v>527</v>
      </c>
      <c r="F215" s="73">
        <v>700</v>
      </c>
      <c r="G215" s="172">
        <f>'参考值-平台主推SKU占比'!$C$86</f>
        <v>348</v>
      </c>
      <c r="H215" s="91"/>
      <c r="I215" s="91">
        <f>'参考值-平台主推SKU占比'!$H$86</f>
        <v>142111.20000000001</v>
      </c>
      <c r="J215" s="91">
        <f>IFERROR(I215/G215,"")</f>
        <v>408.36551724137934</v>
      </c>
      <c r="K215" s="91">
        <f>'假设-成本与任务量'!$I$4</f>
        <v>105</v>
      </c>
      <c r="L215" s="91">
        <f>IFERROR(K215*G215,"")</f>
        <v>36540</v>
      </c>
      <c r="M215" s="175"/>
      <c r="N215" s="142"/>
      <c r="O215" s="142"/>
      <c r="P215" s="69"/>
      <c r="Q215" s="67" t="s">
        <v>716</v>
      </c>
      <c r="R215" s="173">
        <f>L214</f>
        <v>36540</v>
      </c>
      <c r="S215" s="173">
        <f>L214</f>
        <v>36540</v>
      </c>
      <c r="T215" s="173">
        <f>L214</f>
        <v>36540</v>
      </c>
      <c r="U215" s="173">
        <f>L214</f>
        <v>36540</v>
      </c>
      <c r="V215" s="173">
        <f>L214</f>
        <v>36540</v>
      </c>
      <c r="W215" s="173">
        <f>L214</f>
        <v>36540</v>
      </c>
      <c r="X215" s="173">
        <f>L214</f>
        <v>36540</v>
      </c>
      <c r="Y215" s="173">
        <f>L214</f>
        <v>36540</v>
      </c>
      <c r="Z215" s="173">
        <f>L214</f>
        <v>36540</v>
      </c>
      <c r="AA215" s="173">
        <f>L214</f>
        <v>36540</v>
      </c>
      <c r="AB215" s="173">
        <f>L214</f>
        <v>36540</v>
      </c>
      <c r="AC215" s="173">
        <f>L214</f>
        <v>36540</v>
      </c>
    </row>
    <row r="216" spans="1:29">
      <c r="A216" s="67"/>
      <c r="B216" s="67"/>
      <c r="C216" s="69"/>
      <c r="D216" s="102" t="s">
        <v>717</v>
      </c>
      <c r="E216" s="67"/>
      <c r="F216" s="73"/>
      <c r="G216" s="172"/>
      <c r="H216" s="176"/>
      <c r="I216" s="176">
        <f>I217</f>
        <v>53586</v>
      </c>
      <c r="J216" s="176">
        <f>J217</f>
        <v>229</v>
      </c>
      <c r="K216" s="176">
        <f>K217</f>
        <v>105</v>
      </c>
      <c r="L216" s="176">
        <f>L217</f>
        <v>24570</v>
      </c>
      <c r="M216" s="177">
        <f>'参考值-平台主推SKU占比'!$F$87</f>
        <v>2.1008403361344498E-3</v>
      </c>
      <c r="N216" s="142"/>
      <c r="O216" s="142"/>
      <c r="P216" s="69"/>
      <c r="Q216" s="67" t="s">
        <v>718</v>
      </c>
      <c r="R216" s="173">
        <f>I216</f>
        <v>53586</v>
      </c>
      <c r="S216" s="173">
        <f>I216</f>
        <v>53586</v>
      </c>
      <c r="T216" s="173">
        <f>I216</f>
        <v>53586</v>
      </c>
      <c r="U216" s="173">
        <f>I216</f>
        <v>53586</v>
      </c>
      <c r="V216" s="173">
        <f>I216</f>
        <v>53586</v>
      </c>
      <c r="W216" s="173">
        <f>I216</f>
        <v>53586</v>
      </c>
      <c r="X216" s="173">
        <f>I216</f>
        <v>53586</v>
      </c>
      <c r="Y216" s="173">
        <f>I216</f>
        <v>53586</v>
      </c>
      <c r="Z216" s="173">
        <f>I216</f>
        <v>53586</v>
      </c>
      <c r="AA216" s="173">
        <f>I216</f>
        <v>53586</v>
      </c>
      <c r="AB216" s="173">
        <f>I216</f>
        <v>53586</v>
      </c>
      <c r="AC216" s="173">
        <f>I216</f>
        <v>53586</v>
      </c>
    </row>
    <row r="217" spans="1:29">
      <c r="A217" s="67"/>
      <c r="B217" s="67"/>
      <c r="C217" s="69"/>
      <c r="D217" s="69"/>
      <c r="E217" s="67" t="s">
        <v>527</v>
      </c>
      <c r="F217" s="73">
        <v>700</v>
      </c>
      <c r="G217" s="172">
        <f>'参考值-平台主推SKU占比'!$C$87</f>
        <v>234</v>
      </c>
      <c r="H217" s="91"/>
      <c r="I217" s="91">
        <f>'参考值-平台主推SKU占比'!$H$87</f>
        <v>53586</v>
      </c>
      <c r="J217" s="91">
        <f>IFERROR(I217/G217,"")</f>
        <v>229</v>
      </c>
      <c r="K217" s="91">
        <f>'假设-成本与任务量'!$I$4</f>
        <v>105</v>
      </c>
      <c r="L217" s="91">
        <f>IFERROR(K217*G217,"")</f>
        <v>24570</v>
      </c>
      <c r="M217" s="175"/>
      <c r="N217" s="142"/>
      <c r="O217" s="142"/>
      <c r="P217" s="69"/>
      <c r="Q217" s="67" t="s">
        <v>719</v>
      </c>
      <c r="R217" s="173">
        <f>L216</f>
        <v>24570</v>
      </c>
      <c r="S217" s="173">
        <f>L216</f>
        <v>24570</v>
      </c>
      <c r="T217" s="173">
        <f>L216</f>
        <v>24570</v>
      </c>
      <c r="U217" s="173">
        <f>L216</f>
        <v>24570</v>
      </c>
      <c r="V217" s="173">
        <f>L216</f>
        <v>24570</v>
      </c>
      <c r="W217" s="173">
        <f>L216</f>
        <v>24570</v>
      </c>
      <c r="X217" s="173">
        <f>L216</f>
        <v>24570</v>
      </c>
      <c r="Y217" s="173">
        <f>L216</f>
        <v>24570</v>
      </c>
      <c r="Z217" s="173">
        <f>L216</f>
        <v>24570</v>
      </c>
      <c r="AA217" s="173">
        <f>L216</f>
        <v>24570</v>
      </c>
      <c r="AB217" s="173">
        <f>L216</f>
        <v>24570</v>
      </c>
      <c r="AC217" s="173">
        <f>L216</f>
        <v>24570</v>
      </c>
    </row>
    <row r="218" spans="1:29">
      <c r="A218" s="67"/>
      <c r="B218" s="67"/>
      <c r="C218" s="69"/>
      <c r="D218" s="102" t="s">
        <v>720</v>
      </c>
      <c r="E218" s="67"/>
      <c r="F218" s="73"/>
      <c r="G218" s="172"/>
      <c r="H218" s="176"/>
      <c r="I218" s="176">
        <f>I219</f>
        <v>89340</v>
      </c>
      <c r="J218" s="176">
        <f>J219</f>
        <v>391.84210526315792</v>
      </c>
      <c r="K218" s="176">
        <f>K219</f>
        <v>105</v>
      </c>
      <c r="L218" s="176">
        <f>L219</f>
        <v>23940</v>
      </c>
      <c r="M218" s="177">
        <f>'参考值-平台主推SKU占比'!$F$88</f>
        <v>2.1008403361344498E-3</v>
      </c>
      <c r="N218" s="142"/>
      <c r="O218" s="142"/>
      <c r="P218" s="69"/>
      <c r="Q218" s="67" t="s">
        <v>721</v>
      </c>
      <c r="R218" s="173">
        <f>I218</f>
        <v>89340</v>
      </c>
      <c r="S218" s="173">
        <f>I218</f>
        <v>89340</v>
      </c>
      <c r="T218" s="173">
        <f>I218</f>
        <v>89340</v>
      </c>
      <c r="U218" s="173">
        <f>I218</f>
        <v>89340</v>
      </c>
      <c r="V218" s="173">
        <f>I218</f>
        <v>89340</v>
      </c>
      <c r="W218" s="173">
        <f>I218</f>
        <v>89340</v>
      </c>
      <c r="X218" s="173">
        <f>I218</f>
        <v>89340</v>
      </c>
      <c r="Y218" s="173">
        <f>I218</f>
        <v>89340</v>
      </c>
      <c r="Z218" s="173">
        <f>I218</f>
        <v>89340</v>
      </c>
      <c r="AA218" s="173">
        <f>I218</f>
        <v>89340</v>
      </c>
      <c r="AB218" s="173">
        <f>I218</f>
        <v>89340</v>
      </c>
      <c r="AC218" s="173">
        <f>I218</f>
        <v>89340</v>
      </c>
    </row>
    <row r="219" spans="1:29">
      <c r="A219" s="67"/>
      <c r="B219" s="67"/>
      <c r="C219" s="69"/>
      <c r="D219" s="69"/>
      <c r="E219" s="67" t="s">
        <v>527</v>
      </c>
      <c r="F219" s="73">
        <v>700</v>
      </c>
      <c r="G219" s="172">
        <f>'参考值-平台主推SKU占比'!$C$88</f>
        <v>228</v>
      </c>
      <c r="H219" s="91"/>
      <c r="I219" s="91">
        <f>'参考值-平台主推SKU占比'!$H$88</f>
        <v>89340</v>
      </c>
      <c r="J219" s="91">
        <f>IFERROR(I219/G219,"")</f>
        <v>391.84210526315792</v>
      </c>
      <c r="K219" s="91">
        <f>'假设-成本与任务量'!$I$4</f>
        <v>105</v>
      </c>
      <c r="L219" s="91">
        <f>IFERROR(K219*G219,"")</f>
        <v>23940</v>
      </c>
      <c r="M219" s="175"/>
      <c r="N219" s="142"/>
      <c r="O219" s="142"/>
      <c r="P219" s="69"/>
      <c r="Q219" s="67" t="s">
        <v>722</v>
      </c>
      <c r="R219" s="173">
        <f>L218</f>
        <v>23940</v>
      </c>
      <c r="S219" s="173">
        <f>L218</f>
        <v>23940</v>
      </c>
      <c r="T219" s="173">
        <f>L218</f>
        <v>23940</v>
      </c>
      <c r="U219" s="173">
        <f>L218</f>
        <v>23940</v>
      </c>
      <c r="V219" s="173">
        <f>L218</f>
        <v>23940</v>
      </c>
      <c r="W219" s="173">
        <f>L218</f>
        <v>23940</v>
      </c>
      <c r="X219" s="173">
        <f>L218</f>
        <v>23940</v>
      </c>
      <c r="Y219" s="173">
        <f>L218</f>
        <v>23940</v>
      </c>
      <c r="Z219" s="173">
        <f>L218</f>
        <v>23940</v>
      </c>
      <c r="AA219" s="173">
        <f>L218</f>
        <v>23940</v>
      </c>
      <c r="AB219" s="173">
        <f>L218</f>
        <v>23940</v>
      </c>
      <c r="AC219" s="173">
        <f>L218</f>
        <v>23940</v>
      </c>
    </row>
    <row r="220" spans="1:29">
      <c r="A220" s="67"/>
      <c r="B220" s="67"/>
      <c r="C220" s="69"/>
      <c r="D220" s="102" t="s">
        <v>723</v>
      </c>
      <c r="E220" s="67"/>
      <c r="F220" s="73"/>
      <c r="G220" s="172"/>
      <c r="H220" s="176"/>
      <c r="I220" s="176">
        <f>I221</f>
        <v>151756</v>
      </c>
      <c r="J220" s="176">
        <f>J221</f>
        <v>1764.6046511627908</v>
      </c>
      <c r="K220" s="176">
        <f>K221</f>
        <v>38</v>
      </c>
      <c r="L220" s="176">
        <f>L221</f>
        <v>3268</v>
      </c>
      <c r="M220" s="177">
        <f>'参考值-平台主推SKU占比'!$F$89</f>
        <v>2.1008403361344498E-3</v>
      </c>
      <c r="N220" s="142"/>
      <c r="O220" s="142"/>
      <c r="P220" s="69"/>
      <c r="Q220" s="67" t="s">
        <v>724</v>
      </c>
      <c r="R220" s="173">
        <f>I220</f>
        <v>151756</v>
      </c>
      <c r="S220" s="173">
        <f>I220</f>
        <v>151756</v>
      </c>
      <c r="T220" s="173">
        <f>I220</f>
        <v>151756</v>
      </c>
      <c r="U220" s="173">
        <f>I220</f>
        <v>151756</v>
      </c>
      <c r="V220" s="173">
        <f>I220</f>
        <v>151756</v>
      </c>
      <c r="W220" s="173">
        <f>I220</f>
        <v>151756</v>
      </c>
      <c r="X220" s="173">
        <f>I220</f>
        <v>151756</v>
      </c>
      <c r="Y220" s="173">
        <f>I220</f>
        <v>151756</v>
      </c>
      <c r="Z220" s="173">
        <f>I220</f>
        <v>151756</v>
      </c>
      <c r="AA220" s="173">
        <f>I220</f>
        <v>151756</v>
      </c>
      <c r="AB220" s="173">
        <f>I220</f>
        <v>151756</v>
      </c>
      <c r="AC220" s="173">
        <f>I220</f>
        <v>151756</v>
      </c>
    </row>
    <row r="221" spans="1:29">
      <c r="A221" s="67"/>
      <c r="B221" s="67"/>
      <c r="C221" s="69"/>
      <c r="D221" s="69"/>
      <c r="E221" s="67" t="s">
        <v>520</v>
      </c>
      <c r="F221" s="73">
        <v>320</v>
      </c>
      <c r="G221" s="172">
        <f>'参考值-平台主推SKU占比'!$C$89</f>
        <v>86</v>
      </c>
      <c r="H221" s="91"/>
      <c r="I221" s="91">
        <f>'参考值-平台主推SKU占比'!$H$89</f>
        <v>151756</v>
      </c>
      <c r="J221" s="91">
        <f>IFERROR(I221/G221,"")</f>
        <v>1764.6046511627908</v>
      </c>
      <c r="K221" s="91">
        <f>'假设-成本与任务量'!$I$6</f>
        <v>38</v>
      </c>
      <c r="L221" s="91">
        <f>IFERROR(K221*G221,"")</f>
        <v>3268</v>
      </c>
      <c r="M221" s="175">
        <f>M223+M225+M227+M229+M231+M233+M235+M237+M239+M241+M243+M245</f>
        <v>0.99999999999999967</v>
      </c>
      <c r="N221" s="142" t="s">
        <v>293</v>
      </c>
      <c r="O221" s="142"/>
      <c r="P221" s="69"/>
      <c r="Q221" s="67" t="s">
        <v>725</v>
      </c>
      <c r="R221" s="173">
        <f>L220</f>
        <v>3268</v>
      </c>
      <c r="S221" s="173">
        <f>L220</f>
        <v>3268</v>
      </c>
      <c r="T221" s="173">
        <f>L220</f>
        <v>3268</v>
      </c>
      <c r="U221" s="173">
        <f>L220</f>
        <v>3268</v>
      </c>
      <c r="V221" s="173">
        <f>L220</f>
        <v>3268</v>
      </c>
      <c r="W221" s="173">
        <f>L220</f>
        <v>3268</v>
      </c>
      <c r="X221" s="173">
        <f>L220</f>
        <v>3268</v>
      </c>
      <c r="Y221" s="173">
        <f>L220</f>
        <v>3268</v>
      </c>
      <c r="Z221" s="173">
        <f>L220</f>
        <v>3268</v>
      </c>
      <c r="AA221" s="173">
        <f>L220</f>
        <v>3268</v>
      </c>
      <c r="AB221" s="173">
        <f>L220</f>
        <v>3268</v>
      </c>
      <c r="AC221" s="173">
        <f>L220</f>
        <v>3268</v>
      </c>
    </row>
    <row r="222" spans="1:29">
      <c r="A222" s="67"/>
      <c r="B222" s="67"/>
      <c r="C222" s="102" t="s">
        <v>517</v>
      </c>
      <c r="D222" s="69"/>
      <c r="E222" s="69"/>
      <c r="F222" s="73"/>
      <c r="G222" s="172"/>
      <c r="H222" s="173"/>
      <c r="I222" s="173"/>
      <c r="J222" s="173"/>
      <c r="K222" s="173"/>
      <c r="L222" s="173"/>
      <c r="M222" s="175"/>
      <c r="N222" s="142"/>
      <c r="O222" s="142"/>
      <c r="P222" s="69"/>
      <c r="Q222" s="69"/>
      <c r="R222" s="165"/>
      <c r="S222" s="165"/>
      <c r="T222" s="165"/>
      <c r="U222" s="165"/>
      <c r="V222" s="165"/>
      <c r="W222" s="165"/>
      <c r="X222" s="165"/>
      <c r="Y222" s="165"/>
      <c r="Z222" s="165"/>
      <c r="AA222" s="165"/>
      <c r="AB222" s="165"/>
      <c r="AC222" s="165"/>
    </row>
    <row r="223" spans="1:29">
      <c r="A223" s="67"/>
      <c r="B223" s="67"/>
      <c r="C223" s="69"/>
      <c r="D223" s="102" t="s">
        <v>518</v>
      </c>
      <c r="E223" s="67"/>
      <c r="F223" s="73"/>
      <c r="G223" s="172"/>
      <c r="H223" s="176"/>
      <c r="I223" s="176">
        <f>I224</f>
        <v>276.39999999999998</v>
      </c>
      <c r="J223" s="176">
        <f>J224</f>
        <v>276.39999999999998</v>
      </c>
      <c r="K223" s="176">
        <f>K224</f>
        <v>105</v>
      </c>
      <c r="L223" s="176">
        <f>L224</f>
        <v>105</v>
      </c>
      <c r="M223" s="177">
        <f>'参考值-平台主推SKU占比'!$F$90</f>
        <v>0.44628099173553698</v>
      </c>
      <c r="N223" s="142"/>
      <c r="O223" s="142"/>
      <c r="P223" s="69"/>
      <c r="Q223" s="67" t="s">
        <v>519</v>
      </c>
      <c r="R223" s="173">
        <f>I223</f>
        <v>276.39999999999998</v>
      </c>
      <c r="S223" s="173">
        <f>I223</f>
        <v>276.39999999999998</v>
      </c>
      <c r="T223" s="173">
        <f>I223</f>
        <v>276.39999999999998</v>
      </c>
      <c r="U223" s="173">
        <f>I223</f>
        <v>276.39999999999998</v>
      </c>
      <c r="V223" s="173">
        <f>I223</f>
        <v>276.39999999999998</v>
      </c>
      <c r="W223" s="173">
        <f>I223</f>
        <v>276.39999999999998</v>
      </c>
      <c r="X223" s="173">
        <f>I223</f>
        <v>276.39999999999998</v>
      </c>
      <c r="Y223" s="173">
        <f>I223</f>
        <v>276.39999999999998</v>
      </c>
      <c r="Z223" s="173">
        <f>I223</f>
        <v>276.39999999999998</v>
      </c>
      <c r="AA223" s="173">
        <f>I223</f>
        <v>276.39999999999998</v>
      </c>
      <c r="AB223" s="173">
        <f>I223</f>
        <v>276.39999999999998</v>
      </c>
      <c r="AC223" s="173">
        <f>I223</f>
        <v>276.39999999999998</v>
      </c>
    </row>
    <row r="224" spans="1:29">
      <c r="A224" s="67"/>
      <c r="B224" s="67"/>
      <c r="C224" s="69"/>
      <c r="D224" s="69"/>
      <c r="E224" s="67" t="s">
        <v>527</v>
      </c>
      <c r="F224" s="73">
        <v>700</v>
      </c>
      <c r="G224" s="172">
        <f>'参考值-平台主推SKU占比'!$C$90</f>
        <v>1</v>
      </c>
      <c r="H224" s="91"/>
      <c r="I224" s="91">
        <f>'参考值-平台主推SKU占比'!$H$90</f>
        <v>276.39999999999998</v>
      </c>
      <c r="J224" s="91">
        <f>IFERROR(I224/G224,"")</f>
        <v>276.39999999999998</v>
      </c>
      <c r="K224" s="91">
        <f>'假设-成本与任务量'!$I$4</f>
        <v>105</v>
      </c>
      <c r="L224" s="91">
        <f>IFERROR(K224*G224,"")</f>
        <v>105</v>
      </c>
      <c r="M224" s="175"/>
      <c r="N224" s="142"/>
      <c r="O224" s="142"/>
      <c r="P224" s="69"/>
      <c r="Q224" s="67" t="s">
        <v>521</v>
      </c>
      <c r="R224" s="173">
        <f>L223</f>
        <v>105</v>
      </c>
      <c r="S224" s="173">
        <f>L223</f>
        <v>105</v>
      </c>
      <c r="T224" s="173">
        <f>L223</f>
        <v>105</v>
      </c>
      <c r="U224" s="173">
        <f>L223</f>
        <v>105</v>
      </c>
      <c r="V224" s="173">
        <f>L223</f>
        <v>105</v>
      </c>
      <c r="W224" s="173">
        <f>L223</f>
        <v>105</v>
      </c>
      <c r="X224" s="173">
        <f>L223</f>
        <v>105</v>
      </c>
      <c r="Y224" s="173">
        <f>L223</f>
        <v>105</v>
      </c>
      <c r="Z224" s="173">
        <f>L223</f>
        <v>105</v>
      </c>
      <c r="AA224" s="173">
        <f>L223</f>
        <v>105</v>
      </c>
      <c r="AB224" s="173">
        <f>L223</f>
        <v>105</v>
      </c>
      <c r="AC224" s="173">
        <f>L223</f>
        <v>105</v>
      </c>
    </row>
    <row r="225" spans="1:29">
      <c r="A225" s="67"/>
      <c r="B225" s="67"/>
      <c r="C225" s="69"/>
      <c r="D225" s="102" t="s">
        <v>522</v>
      </c>
      <c r="E225" s="67"/>
      <c r="F225" s="73"/>
      <c r="G225" s="172"/>
      <c r="H225" s="176"/>
      <c r="I225" s="176">
        <f>I226</f>
        <v>593.23</v>
      </c>
      <c r="J225" s="176">
        <f>J226</f>
        <v>296.61500000000001</v>
      </c>
      <c r="K225" s="176">
        <f>K226</f>
        <v>105</v>
      </c>
      <c r="L225" s="176">
        <f>L226</f>
        <v>210</v>
      </c>
      <c r="M225" s="177">
        <f>'参考值-平台主推SKU占比'!$F$91</f>
        <v>0.26446280991735499</v>
      </c>
      <c r="N225" s="142"/>
      <c r="O225" s="142"/>
      <c r="P225" s="69"/>
      <c r="Q225" s="67" t="s">
        <v>523</v>
      </c>
      <c r="R225" s="173">
        <f>I225</f>
        <v>593.23</v>
      </c>
      <c r="S225" s="173">
        <f>I225</f>
        <v>593.23</v>
      </c>
      <c r="T225" s="173">
        <f>I225</f>
        <v>593.23</v>
      </c>
      <c r="U225" s="173">
        <f>I225</f>
        <v>593.23</v>
      </c>
      <c r="V225" s="173">
        <f>I225</f>
        <v>593.23</v>
      </c>
      <c r="W225" s="173">
        <f>I225</f>
        <v>593.23</v>
      </c>
      <c r="X225" s="173">
        <f>I225</f>
        <v>593.23</v>
      </c>
      <c r="Y225" s="173">
        <f>I225</f>
        <v>593.23</v>
      </c>
      <c r="Z225" s="173">
        <f>I225</f>
        <v>593.23</v>
      </c>
      <c r="AA225" s="173">
        <f>I225</f>
        <v>593.23</v>
      </c>
      <c r="AB225" s="173">
        <f>I225</f>
        <v>593.23</v>
      </c>
      <c r="AC225" s="173">
        <f>I225</f>
        <v>593.23</v>
      </c>
    </row>
    <row r="226" spans="1:29">
      <c r="A226" s="67"/>
      <c r="B226" s="67"/>
      <c r="C226" s="69"/>
      <c r="D226" s="69"/>
      <c r="E226" s="67" t="s">
        <v>527</v>
      </c>
      <c r="F226" s="73">
        <v>700</v>
      </c>
      <c r="G226" s="172">
        <f>'参考值-平台主推SKU占比'!$C$91</f>
        <v>2</v>
      </c>
      <c r="H226" s="91"/>
      <c r="I226" s="91">
        <f>'参考值-平台主推SKU占比'!$H$91</f>
        <v>593.23</v>
      </c>
      <c r="J226" s="91">
        <f>IFERROR(I226/G226,"")</f>
        <v>296.61500000000001</v>
      </c>
      <c r="K226" s="91">
        <f>'假设-成本与任务量'!$I$4</f>
        <v>105</v>
      </c>
      <c r="L226" s="91">
        <f>IFERROR(K226*G226,"")</f>
        <v>210</v>
      </c>
      <c r="M226" s="175"/>
      <c r="N226" s="142"/>
      <c r="O226" s="142"/>
      <c r="P226" s="69"/>
      <c r="Q226" s="67" t="s">
        <v>524</v>
      </c>
      <c r="R226" s="173">
        <f>L225</f>
        <v>210</v>
      </c>
      <c r="S226" s="173">
        <f>L225</f>
        <v>210</v>
      </c>
      <c r="T226" s="173">
        <f>L225</f>
        <v>210</v>
      </c>
      <c r="U226" s="173">
        <f>L225</f>
        <v>210</v>
      </c>
      <c r="V226" s="173">
        <f>L225</f>
        <v>210</v>
      </c>
      <c r="W226" s="173">
        <f>L225</f>
        <v>210</v>
      </c>
      <c r="X226" s="173">
        <f>L225</f>
        <v>210</v>
      </c>
      <c r="Y226" s="173">
        <f>L225</f>
        <v>210</v>
      </c>
      <c r="Z226" s="173">
        <f>L225</f>
        <v>210</v>
      </c>
      <c r="AA226" s="173">
        <f>L225</f>
        <v>210</v>
      </c>
      <c r="AB226" s="173">
        <f>L225</f>
        <v>210</v>
      </c>
      <c r="AC226" s="173">
        <f>L225</f>
        <v>210</v>
      </c>
    </row>
    <row r="227" spans="1:29">
      <c r="A227" s="67"/>
      <c r="B227" s="67"/>
      <c r="C227" s="69"/>
      <c r="D227" s="102" t="s">
        <v>525</v>
      </c>
      <c r="E227" s="67"/>
      <c r="F227" s="73"/>
      <c r="G227" s="172"/>
      <c r="H227" s="176"/>
      <c r="I227" s="176">
        <f>I228</f>
        <v>133</v>
      </c>
      <c r="J227" s="176">
        <f>J228</f>
        <v>133</v>
      </c>
      <c r="K227" s="176">
        <f>K228</f>
        <v>38</v>
      </c>
      <c r="L227" s="176">
        <f>L228</f>
        <v>38</v>
      </c>
      <c r="M227" s="177">
        <f>'参考值-平台主推SKU占比'!$F$92</f>
        <v>0.107438016528926</v>
      </c>
      <c r="N227" s="142"/>
      <c r="O227" s="142"/>
      <c r="P227" s="69"/>
      <c r="Q227" s="67" t="s">
        <v>526</v>
      </c>
      <c r="R227" s="173">
        <f>I227</f>
        <v>133</v>
      </c>
      <c r="S227" s="173">
        <f>I227</f>
        <v>133</v>
      </c>
      <c r="T227" s="173">
        <f>I227</f>
        <v>133</v>
      </c>
      <c r="U227" s="173">
        <f>I227</f>
        <v>133</v>
      </c>
      <c r="V227" s="173">
        <f>I227</f>
        <v>133</v>
      </c>
      <c r="W227" s="173">
        <f>I227</f>
        <v>133</v>
      </c>
      <c r="X227" s="173">
        <f>I227</f>
        <v>133</v>
      </c>
      <c r="Y227" s="173">
        <f>I227</f>
        <v>133</v>
      </c>
      <c r="Z227" s="173">
        <f>I227</f>
        <v>133</v>
      </c>
      <c r="AA227" s="173">
        <f>I227</f>
        <v>133</v>
      </c>
      <c r="AB227" s="173">
        <f>I227</f>
        <v>133</v>
      </c>
      <c r="AC227" s="173">
        <f>I227</f>
        <v>133</v>
      </c>
    </row>
    <row r="228" spans="1:29">
      <c r="A228" s="67"/>
      <c r="B228" s="67"/>
      <c r="C228" s="69"/>
      <c r="D228" s="69"/>
      <c r="E228" s="67" t="s">
        <v>520</v>
      </c>
      <c r="F228" s="73">
        <v>320</v>
      </c>
      <c r="G228" s="172">
        <f>'参考值-平台主推SKU占比'!$C$92</f>
        <v>1</v>
      </c>
      <c r="H228" s="91"/>
      <c r="I228" s="91">
        <f>'参考值-平台主推SKU占比'!$H$92</f>
        <v>133</v>
      </c>
      <c r="J228" s="91">
        <f>IFERROR(I228/G228,"")</f>
        <v>133</v>
      </c>
      <c r="K228" s="91">
        <f>'假设-成本与任务量'!$I$6</f>
        <v>38</v>
      </c>
      <c r="L228" s="91">
        <f>IFERROR(K228*G228,"")</f>
        <v>38</v>
      </c>
      <c r="M228" s="175"/>
      <c r="N228" s="142"/>
      <c r="O228" s="142"/>
      <c r="P228" s="69"/>
      <c r="Q228" s="67" t="s">
        <v>528</v>
      </c>
      <c r="R228" s="173">
        <f>L227</f>
        <v>38</v>
      </c>
      <c r="S228" s="173">
        <f>L227</f>
        <v>38</v>
      </c>
      <c r="T228" s="173">
        <f>L227</f>
        <v>38</v>
      </c>
      <c r="U228" s="173">
        <f>L227</f>
        <v>38</v>
      </c>
      <c r="V228" s="173">
        <f>L227</f>
        <v>38</v>
      </c>
      <c r="W228" s="173">
        <f>L227</f>
        <v>38</v>
      </c>
      <c r="X228" s="173">
        <f>L227</f>
        <v>38</v>
      </c>
      <c r="Y228" s="173">
        <f>L227</f>
        <v>38</v>
      </c>
      <c r="Z228" s="173">
        <f>L227</f>
        <v>38</v>
      </c>
      <c r="AA228" s="173">
        <f>L227</f>
        <v>38</v>
      </c>
      <c r="AB228" s="173">
        <f>L227</f>
        <v>38</v>
      </c>
      <c r="AC228" s="173">
        <f>L227</f>
        <v>38</v>
      </c>
    </row>
    <row r="229" spans="1:29">
      <c r="A229" s="67"/>
      <c r="B229" s="67"/>
      <c r="C229" s="69"/>
      <c r="D229" s="102" t="s">
        <v>529</v>
      </c>
      <c r="E229" s="67"/>
      <c r="F229" s="73"/>
      <c r="G229" s="172"/>
      <c r="H229" s="176"/>
      <c r="I229" s="176">
        <f>I230</f>
        <v>1042.74</v>
      </c>
      <c r="J229" s="176">
        <f>J230</f>
        <v>260.685</v>
      </c>
      <c r="K229" s="176">
        <f>K230</f>
        <v>105</v>
      </c>
      <c r="L229" s="176">
        <f>L230</f>
        <v>420</v>
      </c>
      <c r="M229" s="177">
        <f>'参考值-平台主推SKU占比'!$F$93</f>
        <v>3.3057851239669402E-2</v>
      </c>
      <c r="N229" s="142"/>
      <c r="O229" s="142"/>
      <c r="P229" s="69"/>
      <c r="Q229" s="67" t="s">
        <v>530</v>
      </c>
      <c r="R229" s="173">
        <f>I229</f>
        <v>1042.74</v>
      </c>
      <c r="S229" s="173">
        <f>I229</f>
        <v>1042.74</v>
      </c>
      <c r="T229" s="173">
        <f>I229</f>
        <v>1042.74</v>
      </c>
      <c r="U229" s="173">
        <f>I229</f>
        <v>1042.74</v>
      </c>
      <c r="V229" s="173">
        <f>I229</f>
        <v>1042.74</v>
      </c>
      <c r="W229" s="173">
        <f>I229</f>
        <v>1042.74</v>
      </c>
      <c r="X229" s="173">
        <f>I229</f>
        <v>1042.74</v>
      </c>
      <c r="Y229" s="173">
        <f>I229</f>
        <v>1042.74</v>
      </c>
      <c r="Z229" s="173">
        <f>I229</f>
        <v>1042.74</v>
      </c>
      <c r="AA229" s="173">
        <f>I229</f>
        <v>1042.74</v>
      </c>
      <c r="AB229" s="173">
        <f>I229</f>
        <v>1042.74</v>
      </c>
      <c r="AC229" s="173">
        <f>I229</f>
        <v>1042.74</v>
      </c>
    </row>
    <row r="230" spans="1:29">
      <c r="A230" s="67"/>
      <c r="B230" s="67"/>
      <c r="C230" s="69"/>
      <c r="D230" s="69"/>
      <c r="E230" s="67" t="s">
        <v>527</v>
      </c>
      <c r="F230" s="73">
        <v>700</v>
      </c>
      <c r="G230" s="172">
        <f>'参考值-平台主推SKU占比'!$C$93</f>
        <v>4</v>
      </c>
      <c r="H230" s="91"/>
      <c r="I230" s="91">
        <f>'参考值-平台主推SKU占比'!$H$93</f>
        <v>1042.74</v>
      </c>
      <c r="J230" s="91">
        <f>IFERROR(I230/G230,"")</f>
        <v>260.685</v>
      </c>
      <c r="K230" s="91">
        <f>'假设-成本与任务量'!$I$4</f>
        <v>105</v>
      </c>
      <c r="L230" s="91">
        <f>IFERROR(K230*G230,"")</f>
        <v>420</v>
      </c>
      <c r="M230" s="175"/>
      <c r="N230" s="142"/>
      <c r="O230" s="142"/>
      <c r="P230" s="69"/>
      <c r="Q230" s="67" t="s">
        <v>531</v>
      </c>
      <c r="R230" s="173">
        <f>L229</f>
        <v>420</v>
      </c>
      <c r="S230" s="173">
        <f>L229</f>
        <v>420</v>
      </c>
      <c r="T230" s="173">
        <f>L229</f>
        <v>420</v>
      </c>
      <c r="U230" s="173">
        <f>L229</f>
        <v>420</v>
      </c>
      <c r="V230" s="173">
        <f>L229</f>
        <v>420</v>
      </c>
      <c r="W230" s="173">
        <f>L229</f>
        <v>420</v>
      </c>
      <c r="X230" s="173">
        <f>L229</f>
        <v>420</v>
      </c>
      <c r="Y230" s="173">
        <f>L229</f>
        <v>420</v>
      </c>
      <c r="Z230" s="173">
        <f>L229</f>
        <v>420</v>
      </c>
      <c r="AA230" s="173">
        <f>L229</f>
        <v>420</v>
      </c>
      <c r="AB230" s="173">
        <f>L229</f>
        <v>420</v>
      </c>
      <c r="AC230" s="173">
        <f>L229</f>
        <v>420</v>
      </c>
    </row>
    <row r="231" spans="1:29">
      <c r="A231" s="67"/>
      <c r="B231" s="67"/>
      <c r="C231" s="69"/>
      <c r="D231" s="102" t="s">
        <v>532</v>
      </c>
      <c r="E231" s="67"/>
      <c r="F231" s="73"/>
      <c r="G231" s="172"/>
      <c r="H231" s="176"/>
      <c r="I231" s="176">
        <f>I232</f>
        <v>259</v>
      </c>
      <c r="J231" s="176">
        <f>J232</f>
        <v>129.5</v>
      </c>
      <c r="K231" s="176">
        <f>K232</f>
        <v>38</v>
      </c>
      <c r="L231" s="176">
        <f>L232</f>
        <v>76</v>
      </c>
      <c r="M231" s="177">
        <f>'参考值-平台主推SKU占比'!$F$94</f>
        <v>3.3057851239669402E-2</v>
      </c>
      <c r="N231" s="142"/>
      <c r="O231" s="142"/>
      <c r="P231" s="69"/>
      <c r="Q231" s="67" t="s">
        <v>533</v>
      </c>
      <c r="R231" s="173">
        <f>I231</f>
        <v>259</v>
      </c>
      <c r="S231" s="173">
        <f>I231</f>
        <v>259</v>
      </c>
      <c r="T231" s="173">
        <f>I231</f>
        <v>259</v>
      </c>
      <c r="U231" s="173">
        <f>I231</f>
        <v>259</v>
      </c>
      <c r="V231" s="173">
        <f>I231</f>
        <v>259</v>
      </c>
      <c r="W231" s="173">
        <f>I231</f>
        <v>259</v>
      </c>
      <c r="X231" s="173">
        <f>I231</f>
        <v>259</v>
      </c>
      <c r="Y231" s="173">
        <f>I231</f>
        <v>259</v>
      </c>
      <c r="Z231" s="173">
        <f>I231</f>
        <v>259</v>
      </c>
      <c r="AA231" s="173">
        <f>I231</f>
        <v>259</v>
      </c>
      <c r="AB231" s="173">
        <f>I231</f>
        <v>259</v>
      </c>
      <c r="AC231" s="173">
        <f>I231</f>
        <v>259</v>
      </c>
    </row>
    <row r="232" spans="1:29">
      <c r="A232" s="67"/>
      <c r="B232" s="67"/>
      <c r="C232" s="69"/>
      <c r="D232" s="69"/>
      <c r="E232" s="67" t="s">
        <v>520</v>
      </c>
      <c r="F232" s="73">
        <v>320</v>
      </c>
      <c r="G232" s="172">
        <f>'参考值-平台主推SKU占比'!$C$94</f>
        <v>2</v>
      </c>
      <c r="H232" s="91"/>
      <c r="I232" s="91">
        <f>'参考值-平台主推SKU占比'!$H$94</f>
        <v>259</v>
      </c>
      <c r="J232" s="91">
        <f>IFERROR(I232/G232,"")</f>
        <v>129.5</v>
      </c>
      <c r="K232" s="91">
        <f>'假设-成本与任务量'!$I$6</f>
        <v>38</v>
      </c>
      <c r="L232" s="91">
        <f>IFERROR(K232*G232,"")</f>
        <v>76</v>
      </c>
      <c r="M232" s="175"/>
      <c r="N232" s="142"/>
      <c r="O232" s="142"/>
      <c r="P232" s="69"/>
      <c r="Q232" s="67" t="s">
        <v>534</v>
      </c>
      <c r="R232" s="173">
        <f>L231</f>
        <v>76</v>
      </c>
      <c r="S232" s="173">
        <f>L231</f>
        <v>76</v>
      </c>
      <c r="T232" s="173">
        <f>L231</f>
        <v>76</v>
      </c>
      <c r="U232" s="173">
        <f>L231</f>
        <v>76</v>
      </c>
      <c r="V232" s="173">
        <f>L231</f>
        <v>76</v>
      </c>
      <c r="W232" s="173">
        <f>L231</f>
        <v>76</v>
      </c>
      <c r="X232" s="173">
        <f>L231</f>
        <v>76</v>
      </c>
      <c r="Y232" s="173">
        <f>L231</f>
        <v>76</v>
      </c>
      <c r="Z232" s="173">
        <f>L231</f>
        <v>76</v>
      </c>
      <c r="AA232" s="173">
        <f>L231</f>
        <v>76</v>
      </c>
      <c r="AB232" s="173">
        <f>L231</f>
        <v>76</v>
      </c>
      <c r="AC232" s="173">
        <f>L231</f>
        <v>76</v>
      </c>
    </row>
    <row r="233" spans="1:29">
      <c r="A233" s="67"/>
      <c r="B233" s="102"/>
      <c r="C233" s="69"/>
      <c r="D233" s="102" t="s">
        <v>535</v>
      </c>
      <c r="E233" s="67"/>
      <c r="F233" s="73"/>
      <c r="G233" s="172"/>
      <c r="H233" s="176"/>
      <c r="I233" s="176">
        <f>I234</f>
        <v>372.26</v>
      </c>
      <c r="J233" s="176">
        <f>J234</f>
        <v>124.08666666666666</v>
      </c>
      <c r="K233" s="176">
        <f>K234</f>
        <v>38</v>
      </c>
      <c r="L233" s="176">
        <f>L234</f>
        <v>114</v>
      </c>
      <c r="M233" s="177">
        <f>'参考值-平台主推SKU占比'!$F$95</f>
        <v>2.4793388429752101E-2</v>
      </c>
      <c r="N233" s="142"/>
      <c r="O233" s="142"/>
      <c r="P233" s="69"/>
      <c r="Q233" s="67" t="s">
        <v>536</v>
      </c>
      <c r="R233" s="173">
        <f>I233</f>
        <v>372.26</v>
      </c>
      <c r="S233" s="173">
        <f>I233</f>
        <v>372.26</v>
      </c>
      <c r="T233" s="173">
        <f>I233</f>
        <v>372.26</v>
      </c>
      <c r="U233" s="173">
        <f>I233</f>
        <v>372.26</v>
      </c>
      <c r="V233" s="173">
        <f>I233</f>
        <v>372.26</v>
      </c>
      <c r="W233" s="173">
        <f>I233</f>
        <v>372.26</v>
      </c>
      <c r="X233" s="173">
        <f>I233</f>
        <v>372.26</v>
      </c>
      <c r="Y233" s="173">
        <f>I233</f>
        <v>372.26</v>
      </c>
      <c r="Z233" s="173">
        <f>I233</f>
        <v>372.26</v>
      </c>
      <c r="AA233" s="173">
        <f>I233</f>
        <v>372.26</v>
      </c>
      <c r="AB233" s="173">
        <f>I233</f>
        <v>372.26</v>
      </c>
      <c r="AC233" s="173">
        <f>I233</f>
        <v>372.26</v>
      </c>
    </row>
    <row r="234" spans="1:29">
      <c r="A234" s="67"/>
      <c r="B234" s="102"/>
      <c r="C234" s="69"/>
      <c r="D234" s="69"/>
      <c r="E234" s="67" t="s">
        <v>520</v>
      </c>
      <c r="F234" s="73">
        <v>320</v>
      </c>
      <c r="G234" s="172">
        <f>'参考值-平台主推SKU占比'!$C$95</f>
        <v>3</v>
      </c>
      <c r="H234" s="91"/>
      <c r="I234" s="91">
        <f>'参考值-平台主推SKU占比'!$H$95</f>
        <v>372.26</v>
      </c>
      <c r="J234" s="91">
        <f>IFERROR(I234/G234,"")</f>
        <v>124.08666666666666</v>
      </c>
      <c r="K234" s="91">
        <f>'假设-成本与任务量'!$I$6</f>
        <v>38</v>
      </c>
      <c r="L234" s="91">
        <f>IFERROR(K234*G234,"")</f>
        <v>114</v>
      </c>
      <c r="M234" s="175"/>
      <c r="N234" s="142"/>
      <c r="O234" s="142"/>
      <c r="P234" s="69"/>
      <c r="Q234" s="67" t="s">
        <v>537</v>
      </c>
      <c r="R234" s="173">
        <f>L233</f>
        <v>114</v>
      </c>
      <c r="S234" s="173">
        <f>L233</f>
        <v>114</v>
      </c>
      <c r="T234" s="173">
        <f>L233</f>
        <v>114</v>
      </c>
      <c r="U234" s="173">
        <f>L233</f>
        <v>114</v>
      </c>
      <c r="V234" s="173">
        <f>L233</f>
        <v>114</v>
      </c>
      <c r="W234" s="173">
        <f>L233</f>
        <v>114</v>
      </c>
      <c r="X234" s="173">
        <f>L233</f>
        <v>114</v>
      </c>
      <c r="Y234" s="173">
        <f>L233</f>
        <v>114</v>
      </c>
      <c r="Z234" s="173">
        <f>L233</f>
        <v>114</v>
      </c>
      <c r="AA234" s="173">
        <f>L233</f>
        <v>114</v>
      </c>
      <c r="AB234" s="173">
        <f>L233</f>
        <v>114</v>
      </c>
      <c r="AC234" s="173">
        <f>L233</f>
        <v>114</v>
      </c>
    </row>
    <row r="235" spans="1:29">
      <c r="A235" s="67"/>
      <c r="B235" s="67"/>
      <c r="C235" s="69"/>
      <c r="D235" s="102" t="s">
        <v>538</v>
      </c>
      <c r="E235" s="67"/>
      <c r="F235" s="73"/>
      <c r="G235" s="172"/>
      <c r="H235" s="176"/>
      <c r="I235" s="176">
        <f>I236</f>
        <v>479.8</v>
      </c>
      <c r="J235" s="176">
        <f>J236</f>
        <v>119.95</v>
      </c>
      <c r="K235" s="176">
        <f>K236</f>
        <v>38</v>
      </c>
      <c r="L235" s="176">
        <f>L236</f>
        <v>152</v>
      </c>
      <c r="M235" s="177">
        <f>'参考值-平台主推SKU占比'!$F$96</f>
        <v>2.4793388429752101E-2</v>
      </c>
      <c r="N235" s="142"/>
      <c r="O235" s="142"/>
      <c r="P235" s="69"/>
      <c r="Q235" s="67" t="s">
        <v>539</v>
      </c>
      <c r="R235" s="173">
        <f>I235</f>
        <v>479.8</v>
      </c>
      <c r="S235" s="173">
        <f>I235</f>
        <v>479.8</v>
      </c>
      <c r="T235" s="173">
        <f>I235</f>
        <v>479.8</v>
      </c>
      <c r="U235" s="173">
        <f>I235</f>
        <v>479.8</v>
      </c>
      <c r="V235" s="173">
        <f>I235</f>
        <v>479.8</v>
      </c>
      <c r="W235" s="173">
        <f>I235</f>
        <v>479.8</v>
      </c>
      <c r="X235" s="173">
        <f>I235</f>
        <v>479.8</v>
      </c>
      <c r="Y235" s="173">
        <f>I235</f>
        <v>479.8</v>
      </c>
      <c r="Z235" s="173">
        <f>I235</f>
        <v>479.8</v>
      </c>
      <c r="AA235" s="173">
        <f>I235</f>
        <v>479.8</v>
      </c>
      <c r="AB235" s="173">
        <f>I235</f>
        <v>479.8</v>
      </c>
      <c r="AC235" s="173">
        <f>I235</f>
        <v>479.8</v>
      </c>
    </row>
    <row r="236" spans="1:29">
      <c r="A236" s="67"/>
      <c r="B236" s="102"/>
      <c r="C236" s="69"/>
      <c r="D236" s="69"/>
      <c r="E236" s="67" t="s">
        <v>520</v>
      </c>
      <c r="F236" s="73">
        <v>320</v>
      </c>
      <c r="G236" s="172">
        <f>'参考值-平台主推SKU占比'!$C$96</f>
        <v>4</v>
      </c>
      <c r="H236" s="91"/>
      <c r="I236" s="91">
        <f>'参考值-平台主推SKU占比'!$H$96</f>
        <v>479.8</v>
      </c>
      <c r="J236" s="91">
        <f>IFERROR(I236/G236,"")</f>
        <v>119.95</v>
      </c>
      <c r="K236" s="91">
        <f>'假设-成本与任务量'!$I$6</f>
        <v>38</v>
      </c>
      <c r="L236" s="91">
        <f>IFERROR(K236*G236,"")</f>
        <v>152</v>
      </c>
      <c r="M236" s="175"/>
      <c r="N236" s="142"/>
      <c r="O236" s="142"/>
      <c r="P236" s="69"/>
      <c r="Q236" s="67" t="s">
        <v>540</v>
      </c>
      <c r="R236" s="173">
        <f>L235</f>
        <v>152</v>
      </c>
      <c r="S236" s="173">
        <f>L235</f>
        <v>152</v>
      </c>
      <c r="T236" s="173">
        <f>L235</f>
        <v>152</v>
      </c>
      <c r="U236" s="173">
        <f>L235</f>
        <v>152</v>
      </c>
      <c r="V236" s="173">
        <f>L235</f>
        <v>152</v>
      </c>
      <c r="W236" s="173">
        <f>L235</f>
        <v>152</v>
      </c>
      <c r="X236" s="173">
        <f>L235</f>
        <v>152</v>
      </c>
      <c r="Y236" s="173">
        <f>L235</f>
        <v>152</v>
      </c>
      <c r="Z236" s="173">
        <f>L235</f>
        <v>152</v>
      </c>
      <c r="AA236" s="173">
        <f>L235</f>
        <v>152</v>
      </c>
      <c r="AB236" s="173">
        <f>L235</f>
        <v>152</v>
      </c>
      <c r="AC236" s="173">
        <f>L235</f>
        <v>152</v>
      </c>
    </row>
    <row r="237" spans="1:29">
      <c r="A237" s="67"/>
      <c r="B237" s="67"/>
      <c r="C237" s="69"/>
      <c r="D237" s="102" t="s">
        <v>541</v>
      </c>
      <c r="E237" s="67"/>
      <c r="F237" s="73"/>
      <c r="G237" s="172"/>
      <c r="H237" s="176"/>
      <c r="I237" s="176">
        <f>I238</f>
        <v>1535.28</v>
      </c>
      <c r="J237" s="176">
        <f>J238</f>
        <v>255.88</v>
      </c>
      <c r="K237" s="176">
        <f>K238</f>
        <v>105</v>
      </c>
      <c r="L237" s="176">
        <f>L238</f>
        <v>630</v>
      </c>
      <c r="M237" s="177">
        <f>'参考值-平台主推SKU占比'!$F$97</f>
        <v>1.6528925619834701E-2</v>
      </c>
      <c r="N237" s="142"/>
      <c r="O237" s="142"/>
      <c r="P237" s="69"/>
      <c r="Q237" s="67" t="s">
        <v>542</v>
      </c>
      <c r="R237" s="173">
        <f>I237</f>
        <v>1535.28</v>
      </c>
      <c r="S237" s="173">
        <f>I237</f>
        <v>1535.28</v>
      </c>
      <c r="T237" s="173">
        <f>I237</f>
        <v>1535.28</v>
      </c>
      <c r="U237" s="173">
        <f>I237</f>
        <v>1535.28</v>
      </c>
      <c r="V237" s="173">
        <f>I237</f>
        <v>1535.28</v>
      </c>
      <c r="W237" s="173">
        <f>I237</f>
        <v>1535.28</v>
      </c>
      <c r="X237" s="173">
        <f>I237</f>
        <v>1535.28</v>
      </c>
      <c r="Y237" s="173">
        <f>I237</f>
        <v>1535.28</v>
      </c>
      <c r="Z237" s="173">
        <f>I237</f>
        <v>1535.28</v>
      </c>
      <c r="AA237" s="173">
        <f>I237</f>
        <v>1535.28</v>
      </c>
      <c r="AB237" s="173">
        <f>I237</f>
        <v>1535.28</v>
      </c>
      <c r="AC237" s="173">
        <f>I237</f>
        <v>1535.28</v>
      </c>
    </row>
    <row r="238" spans="1:29">
      <c r="A238" s="67"/>
      <c r="B238" s="102"/>
      <c r="C238" s="69"/>
      <c r="D238" s="69"/>
      <c r="E238" s="67" t="s">
        <v>527</v>
      </c>
      <c r="F238" s="73">
        <v>700</v>
      </c>
      <c r="G238" s="172">
        <f>'参考值-平台主推SKU占比'!$C$97</f>
        <v>6</v>
      </c>
      <c r="H238" s="91"/>
      <c r="I238" s="91">
        <f>'参考值-平台主推SKU占比'!$H$97</f>
        <v>1535.28</v>
      </c>
      <c r="J238" s="91">
        <f>IFERROR(I238/G238,"")</f>
        <v>255.88</v>
      </c>
      <c r="K238" s="91">
        <f>'假设-成本与任务量'!$I$4</f>
        <v>105</v>
      </c>
      <c r="L238" s="91">
        <f>IFERROR(K238*G238,"")</f>
        <v>630</v>
      </c>
      <c r="M238" s="175"/>
      <c r="N238" s="142"/>
      <c r="O238" s="142"/>
      <c r="P238" s="69"/>
      <c r="Q238" s="67" t="s">
        <v>543</v>
      </c>
      <c r="R238" s="173">
        <f>L237</f>
        <v>630</v>
      </c>
      <c r="S238" s="173">
        <f>L237</f>
        <v>630</v>
      </c>
      <c r="T238" s="173">
        <f>L237</f>
        <v>630</v>
      </c>
      <c r="U238" s="173">
        <f>L237</f>
        <v>630</v>
      </c>
      <c r="V238" s="173">
        <f>L237</f>
        <v>630</v>
      </c>
      <c r="W238" s="173">
        <f>L237</f>
        <v>630</v>
      </c>
      <c r="X238" s="173">
        <f>L237</f>
        <v>630</v>
      </c>
      <c r="Y238" s="173">
        <f>L237</f>
        <v>630</v>
      </c>
      <c r="Z238" s="173">
        <f>L237</f>
        <v>630</v>
      </c>
      <c r="AA238" s="173">
        <f>L237</f>
        <v>630</v>
      </c>
      <c r="AB238" s="173">
        <f>L237</f>
        <v>630</v>
      </c>
      <c r="AC238" s="173">
        <f>L237</f>
        <v>630</v>
      </c>
    </row>
    <row r="239" spans="1:29">
      <c r="A239" s="67"/>
      <c r="B239" s="67"/>
      <c r="C239" s="69"/>
      <c r="D239" s="102" t="s">
        <v>544</v>
      </c>
      <c r="E239" s="67"/>
      <c r="F239" s="73"/>
      <c r="G239" s="172"/>
      <c r="H239" s="176"/>
      <c r="I239" s="176">
        <f>I240</f>
        <v>735.8</v>
      </c>
      <c r="J239" s="176">
        <f>J240</f>
        <v>245.26666666666665</v>
      </c>
      <c r="K239" s="176">
        <f>K240</f>
        <v>105</v>
      </c>
      <c r="L239" s="176">
        <f>L240</f>
        <v>315</v>
      </c>
      <c r="M239" s="177">
        <f>'参考值-平台主推SKU占比'!$F$98</f>
        <v>1.6528925619834701E-2</v>
      </c>
      <c r="N239" s="142"/>
      <c r="O239" s="142"/>
      <c r="P239" s="69"/>
      <c r="Q239" s="67" t="s">
        <v>545</v>
      </c>
      <c r="R239" s="173">
        <f>I239</f>
        <v>735.8</v>
      </c>
      <c r="S239" s="173">
        <f>I239</f>
        <v>735.8</v>
      </c>
      <c r="T239" s="173">
        <f>I239</f>
        <v>735.8</v>
      </c>
      <c r="U239" s="173">
        <f>I239</f>
        <v>735.8</v>
      </c>
      <c r="V239" s="173">
        <f>I239</f>
        <v>735.8</v>
      </c>
      <c r="W239" s="173">
        <f>I239</f>
        <v>735.8</v>
      </c>
      <c r="X239" s="173">
        <f>I239</f>
        <v>735.8</v>
      </c>
      <c r="Y239" s="173">
        <f>I239</f>
        <v>735.8</v>
      </c>
      <c r="Z239" s="173">
        <f>I239</f>
        <v>735.8</v>
      </c>
      <c r="AA239" s="173">
        <f>I239</f>
        <v>735.8</v>
      </c>
      <c r="AB239" s="173">
        <f>I239</f>
        <v>735.8</v>
      </c>
      <c r="AC239" s="173">
        <f>I239</f>
        <v>735.8</v>
      </c>
    </row>
    <row r="240" spans="1:29">
      <c r="A240" s="67"/>
      <c r="B240" s="102"/>
      <c r="C240" s="69"/>
      <c r="D240" s="69"/>
      <c r="E240" s="67" t="s">
        <v>527</v>
      </c>
      <c r="F240" s="73">
        <v>700</v>
      </c>
      <c r="G240" s="172">
        <f>'参考值-平台主推SKU占比'!$C$98</f>
        <v>3</v>
      </c>
      <c r="H240" s="91"/>
      <c r="I240" s="91">
        <f>'参考值-平台主推SKU占比'!$H$98</f>
        <v>735.8</v>
      </c>
      <c r="J240" s="91">
        <f>IFERROR(I240/G240,"")</f>
        <v>245.26666666666665</v>
      </c>
      <c r="K240" s="91">
        <f>'假设-成本与任务量'!$I$4</f>
        <v>105</v>
      </c>
      <c r="L240" s="91">
        <f>IFERROR(K240*G240,"")</f>
        <v>315</v>
      </c>
      <c r="M240" s="175"/>
      <c r="N240" s="142"/>
      <c r="O240" s="142"/>
      <c r="P240" s="69"/>
      <c r="Q240" s="67" t="s">
        <v>546</v>
      </c>
      <c r="R240" s="173">
        <f>L239</f>
        <v>315</v>
      </c>
      <c r="S240" s="173">
        <f>L239</f>
        <v>315</v>
      </c>
      <c r="T240" s="173">
        <f>L239</f>
        <v>315</v>
      </c>
      <c r="U240" s="173">
        <f>L239</f>
        <v>315</v>
      </c>
      <c r="V240" s="173">
        <f>L239</f>
        <v>315</v>
      </c>
      <c r="W240" s="173">
        <f>L239</f>
        <v>315</v>
      </c>
      <c r="X240" s="173">
        <f>L239</f>
        <v>315</v>
      </c>
      <c r="Y240" s="173">
        <f>L239</f>
        <v>315</v>
      </c>
      <c r="Z240" s="173">
        <f>L239</f>
        <v>315</v>
      </c>
      <c r="AA240" s="173">
        <f>L239</f>
        <v>315</v>
      </c>
      <c r="AB240" s="173">
        <f>L239</f>
        <v>315</v>
      </c>
      <c r="AC240" s="173">
        <f>L239</f>
        <v>315</v>
      </c>
    </row>
    <row r="241" spans="1:29">
      <c r="A241" s="67"/>
      <c r="B241" s="67"/>
      <c r="C241" s="69"/>
      <c r="D241" s="102" t="s">
        <v>547</v>
      </c>
      <c r="E241" s="67"/>
      <c r="F241" s="73"/>
      <c r="G241" s="172"/>
      <c r="H241" s="176"/>
      <c r="I241" s="176">
        <f>I242</f>
        <v>634.1</v>
      </c>
      <c r="J241" s="176">
        <f>J242</f>
        <v>70.455555555555563</v>
      </c>
      <c r="K241" s="176">
        <f>K242</f>
        <v>38</v>
      </c>
      <c r="L241" s="176">
        <f>L242</f>
        <v>342</v>
      </c>
      <c r="M241" s="177">
        <f>'参考值-平台主推SKU占比'!$F$99</f>
        <v>1.6528925619834701E-2</v>
      </c>
      <c r="N241" s="142"/>
      <c r="O241" s="142"/>
      <c r="P241" s="69"/>
      <c r="Q241" s="67" t="s">
        <v>548</v>
      </c>
      <c r="R241" s="173">
        <f>I241</f>
        <v>634.1</v>
      </c>
      <c r="S241" s="173">
        <f>I241</f>
        <v>634.1</v>
      </c>
      <c r="T241" s="173">
        <f>I241</f>
        <v>634.1</v>
      </c>
      <c r="U241" s="173">
        <f>I241</f>
        <v>634.1</v>
      </c>
      <c r="V241" s="173">
        <f>I241</f>
        <v>634.1</v>
      </c>
      <c r="W241" s="173">
        <f>I241</f>
        <v>634.1</v>
      </c>
      <c r="X241" s="173">
        <f>I241</f>
        <v>634.1</v>
      </c>
      <c r="Y241" s="173">
        <f>I241</f>
        <v>634.1</v>
      </c>
      <c r="Z241" s="173">
        <f>I241</f>
        <v>634.1</v>
      </c>
      <c r="AA241" s="173">
        <f>I241</f>
        <v>634.1</v>
      </c>
      <c r="AB241" s="173">
        <f>I241</f>
        <v>634.1</v>
      </c>
      <c r="AC241" s="173">
        <f>I241</f>
        <v>634.1</v>
      </c>
    </row>
    <row r="242" spans="1:29">
      <c r="A242" s="67"/>
      <c r="B242" s="102"/>
      <c r="C242" s="69"/>
      <c r="D242" s="69"/>
      <c r="E242" s="67" t="s">
        <v>520</v>
      </c>
      <c r="F242" s="73">
        <v>320</v>
      </c>
      <c r="G242" s="172">
        <f>'参考值-平台主推SKU占比'!$C$99</f>
        <v>9</v>
      </c>
      <c r="H242" s="91"/>
      <c r="I242" s="91">
        <f>'参考值-平台主推SKU占比'!$H$99</f>
        <v>634.1</v>
      </c>
      <c r="J242" s="91">
        <f>IFERROR(I242/G242,"")</f>
        <v>70.455555555555563</v>
      </c>
      <c r="K242" s="91">
        <f>'假设-成本与任务量'!$I$6</f>
        <v>38</v>
      </c>
      <c r="L242" s="91">
        <f>IFERROR(K242*G242,"")</f>
        <v>342</v>
      </c>
      <c r="M242" s="175"/>
      <c r="N242" s="142"/>
      <c r="O242" s="142"/>
      <c r="P242" s="69"/>
      <c r="Q242" s="67" t="s">
        <v>549</v>
      </c>
      <c r="R242" s="173">
        <f>L241</f>
        <v>342</v>
      </c>
      <c r="S242" s="173">
        <f>L241</f>
        <v>342</v>
      </c>
      <c r="T242" s="173">
        <f>L241</f>
        <v>342</v>
      </c>
      <c r="U242" s="173">
        <f>L241</f>
        <v>342</v>
      </c>
      <c r="V242" s="173">
        <f>L241</f>
        <v>342</v>
      </c>
      <c r="W242" s="173">
        <f>L241</f>
        <v>342</v>
      </c>
      <c r="X242" s="173">
        <f>L241</f>
        <v>342</v>
      </c>
      <c r="Y242" s="173">
        <f>L241</f>
        <v>342</v>
      </c>
      <c r="Z242" s="173">
        <f>L241</f>
        <v>342</v>
      </c>
      <c r="AA242" s="173">
        <f>L241</f>
        <v>342</v>
      </c>
      <c r="AB242" s="173">
        <f>L241</f>
        <v>342</v>
      </c>
      <c r="AC242" s="173">
        <f>L241</f>
        <v>342</v>
      </c>
    </row>
    <row r="243" spans="1:29">
      <c r="A243" s="67"/>
      <c r="B243" s="67"/>
      <c r="C243" s="69"/>
      <c r="D243" s="102" t="s">
        <v>550</v>
      </c>
      <c r="E243" s="67"/>
      <c r="F243" s="73"/>
      <c r="G243" s="172"/>
      <c r="H243" s="176"/>
      <c r="I243" s="176">
        <f>I244</f>
        <v>1207.8399999999999</v>
      </c>
      <c r="J243" s="176">
        <f>J244</f>
        <v>109.80363636363636</v>
      </c>
      <c r="K243" s="176">
        <f>K244</f>
        <v>38</v>
      </c>
      <c r="L243" s="176">
        <f>L244</f>
        <v>418</v>
      </c>
      <c r="M243" s="177">
        <f>'参考值-平台主推SKU占比'!$F$100</f>
        <v>8.2644628099173608E-3</v>
      </c>
      <c r="N243" s="142"/>
      <c r="O243" s="142"/>
      <c r="P243" s="69"/>
      <c r="Q243" s="67" t="s">
        <v>551</v>
      </c>
      <c r="R243" s="173">
        <f>I243</f>
        <v>1207.8399999999999</v>
      </c>
      <c r="S243" s="173">
        <f>I243</f>
        <v>1207.8399999999999</v>
      </c>
      <c r="T243" s="173">
        <f>I243</f>
        <v>1207.8399999999999</v>
      </c>
      <c r="U243" s="173">
        <f>I243</f>
        <v>1207.8399999999999</v>
      </c>
      <c r="V243" s="173">
        <f>I243</f>
        <v>1207.8399999999999</v>
      </c>
      <c r="W243" s="173">
        <f>I243</f>
        <v>1207.8399999999999</v>
      </c>
      <c r="X243" s="173">
        <f>I243</f>
        <v>1207.8399999999999</v>
      </c>
      <c r="Y243" s="173">
        <f>I243</f>
        <v>1207.8399999999999</v>
      </c>
      <c r="Z243" s="173">
        <f>I243</f>
        <v>1207.8399999999999</v>
      </c>
      <c r="AA243" s="173">
        <f>I243</f>
        <v>1207.8399999999999</v>
      </c>
      <c r="AB243" s="173">
        <f>I243</f>
        <v>1207.8399999999999</v>
      </c>
      <c r="AC243" s="173">
        <f>I243</f>
        <v>1207.8399999999999</v>
      </c>
    </row>
    <row r="244" spans="1:29">
      <c r="A244" s="67"/>
      <c r="B244" s="67"/>
      <c r="C244" s="69"/>
      <c r="D244" s="69"/>
      <c r="E244" s="67" t="s">
        <v>520</v>
      </c>
      <c r="F244" s="73">
        <v>320</v>
      </c>
      <c r="G244" s="172">
        <f>'参考值-平台主推SKU占比'!$C$100</f>
        <v>11</v>
      </c>
      <c r="H244" s="91"/>
      <c r="I244" s="91">
        <f>'参考值-平台主推SKU占比'!$H$100</f>
        <v>1207.8399999999999</v>
      </c>
      <c r="J244" s="91">
        <f>IFERROR(I244/G244,"")</f>
        <v>109.80363636363636</v>
      </c>
      <c r="K244" s="91">
        <f>'假设-成本与任务量'!$I$6</f>
        <v>38</v>
      </c>
      <c r="L244" s="91">
        <f>IFERROR(K244*G244,"")</f>
        <v>418</v>
      </c>
      <c r="M244" s="175"/>
      <c r="N244" s="142"/>
      <c r="O244" s="142"/>
      <c r="P244" s="69"/>
      <c r="Q244" s="67" t="s">
        <v>552</v>
      </c>
      <c r="R244" s="173">
        <f>L243</f>
        <v>418</v>
      </c>
      <c r="S244" s="173">
        <f>L243</f>
        <v>418</v>
      </c>
      <c r="T244" s="173">
        <f>L243</f>
        <v>418</v>
      </c>
      <c r="U244" s="173">
        <f>L243</f>
        <v>418</v>
      </c>
      <c r="V244" s="173">
        <f>L243</f>
        <v>418</v>
      </c>
      <c r="W244" s="173">
        <f>L243</f>
        <v>418</v>
      </c>
      <c r="X244" s="173">
        <f>L243</f>
        <v>418</v>
      </c>
      <c r="Y244" s="173">
        <f>L243</f>
        <v>418</v>
      </c>
      <c r="Z244" s="173">
        <f>L243</f>
        <v>418</v>
      </c>
      <c r="AA244" s="173">
        <f>L243</f>
        <v>418</v>
      </c>
      <c r="AB244" s="173">
        <f>L243</f>
        <v>418</v>
      </c>
      <c r="AC244" s="173">
        <f>L243</f>
        <v>418</v>
      </c>
    </row>
    <row r="245" spans="1:29">
      <c r="A245" s="67"/>
      <c r="B245" s="67"/>
      <c r="C245" s="69"/>
      <c r="D245" s="102" t="s">
        <v>553</v>
      </c>
      <c r="E245" s="67"/>
      <c r="F245" s="73"/>
      <c r="G245" s="172"/>
      <c r="H245" s="176"/>
      <c r="I245" s="176">
        <f>I246</f>
        <v>1318.53</v>
      </c>
      <c r="J245" s="176">
        <f>J246</f>
        <v>131.85300000000001</v>
      </c>
      <c r="K245" s="176">
        <f>K246</f>
        <v>38</v>
      </c>
      <c r="L245" s="176">
        <f>L246</f>
        <v>380</v>
      </c>
      <c r="M245" s="177">
        <f>'参考值-平台主推SKU占比'!$F$101</f>
        <v>8.2644628099173608E-3</v>
      </c>
      <c r="N245" s="142"/>
      <c r="O245" s="142"/>
      <c r="P245" s="69"/>
      <c r="Q245" s="67" t="s">
        <v>554</v>
      </c>
      <c r="R245" s="173">
        <f>I245</f>
        <v>1318.53</v>
      </c>
      <c r="S245" s="173">
        <f>I245</f>
        <v>1318.53</v>
      </c>
      <c r="T245" s="173">
        <f>I245</f>
        <v>1318.53</v>
      </c>
      <c r="U245" s="173">
        <f>I245</f>
        <v>1318.53</v>
      </c>
      <c r="V245" s="173">
        <f>I245</f>
        <v>1318.53</v>
      </c>
      <c r="W245" s="173">
        <f>I245</f>
        <v>1318.53</v>
      </c>
      <c r="X245" s="173">
        <f>I245</f>
        <v>1318.53</v>
      </c>
      <c r="Y245" s="173">
        <f>I245</f>
        <v>1318.53</v>
      </c>
      <c r="Z245" s="173">
        <f>I245</f>
        <v>1318.53</v>
      </c>
      <c r="AA245" s="173">
        <f>I245</f>
        <v>1318.53</v>
      </c>
      <c r="AB245" s="173">
        <f>I245</f>
        <v>1318.53</v>
      </c>
      <c r="AC245" s="173">
        <f>I245</f>
        <v>1318.53</v>
      </c>
    </row>
    <row r="246" spans="1:29">
      <c r="A246" s="67"/>
      <c r="B246" s="67"/>
      <c r="C246" s="69"/>
      <c r="D246" s="69"/>
      <c r="E246" s="67" t="s">
        <v>520</v>
      </c>
      <c r="F246" s="73">
        <v>320</v>
      </c>
      <c r="G246" s="172">
        <f>'参考值-平台主推SKU占比'!$C$101</f>
        <v>10</v>
      </c>
      <c r="H246" s="91"/>
      <c r="I246" s="91">
        <f>'参考值-平台主推SKU占比'!$H$101</f>
        <v>1318.53</v>
      </c>
      <c r="J246" s="91">
        <f>IFERROR(I246/G246,"")</f>
        <v>131.85300000000001</v>
      </c>
      <c r="K246" s="91">
        <f>'假设-成本与任务量'!$I$6</f>
        <v>38</v>
      </c>
      <c r="L246" s="91">
        <f>IFERROR(K246*G246,"")</f>
        <v>380</v>
      </c>
      <c r="M246" s="175">
        <f>M248</f>
        <v>1</v>
      </c>
      <c r="N246" s="142" t="s">
        <v>293</v>
      </c>
      <c r="O246" s="142"/>
      <c r="P246" s="69"/>
      <c r="Q246" s="67" t="s">
        <v>555</v>
      </c>
      <c r="R246" s="173">
        <f>L245</f>
        <v>380</v>
      </c>
      <c r="S246" s="173">
        <f>L245</f>
        <v>380</v>
      </c>
      <c r="T246" s="173">
        <f>L245</f>
        <v>380</v>
      </c>
      <c r="U246" s="173">
        <f>L245</f>
        <v>380</v>
      </c>
      <c r="V246" s="173">
        <f>L245</f>
        <v>380</v>
      </c>
      <c r="W246" s="173">
        <f>L245</f>
        <v>380</v>
      </c>
      <c r="X246" s="173">
        <f>L245</f>
        <v>380</v>
      </c>
      <c r="Y246" s="173">
        <f>L245</f>
        <v>380</v>
      </c>
      <c r="Z246" s="173">
        <f>L245</f>
        <v>380</v>
      </c>
      <c r="AA246" s="173">
        <f>L245</f>
        <v>380</v>
      </c>
      <c r="AB246" s="173">
        <f>L245</f>
        <v>380</v>
      </c>
      <c r="AC246" s="173">
        <f>L245</f>
        <v>380</v>
      </c>
    </row>
    <row r="247" spans="1:29">
      <c r="A247" s="67"/>
      <c r="B247" s="67"/>
      <c r="C247" s="102" t="s">
        <v>281</v>
      </c>
      <c r="D247" s="69"/>
      <c r="E247" s="69"/>
      <c r="F247" s="73"/>
      <c r="G247" s="172"/>
      <c r="H247" s="173"/>
      <c r="I247" s="173"/>
      <c r="J247" s="173"/>
      <c r="K247" s="173"/>
      <c r="L247" s="173"/>
      <c r="M247" s="175"/>
      <c r="N247" s="142"/>
      <c r="O247" s="142"/>
      <c r="P247" s="69"/>
      <c r="Q247" s="69"/>
      <c r="R247" s="165"/>
      <c r="S247" s="165"/>
      <c r="T247" s="165"/>
      <c r="U247" s="165"/>
      <c r="V247" s="165"/>
      <c r="W247" s="165"/>
      <c r="X247" s="165"/>
      <c r="Y247" s="165"/>
      <c r="Z247" s="165"/>
      <c r="AA247" s="165"/>
      <c r="AB247" s="165"/>
      <c r="AC247" s="165"/>
    </row>
    <row r="248" spans="1:29">
      <c r="A248" s="67"/>
      <c r="B248" s="67"/>
      <c r="C248" s="69"/>
      <c r="D248" s="102" t="s">
        <v>518</v>
      </c>
      <c r="E248" s="67"/>
      <c r="F248" s="73"/>
      <c r="G248" s="172"/>
      <c r="H248" s="176"/>
      <c r="I248" s="176">
        <f>I249</f>
        <v>128</v>
      </c>
      <c r="J248" s="176">
        <f>J249</f>
        <v>128</v>
      </c>
      <c r="K248" s="176">
        <f>K249</f>
        <v>38</v>
      </c>
      <c r="L248" s="176">
        <f>L249</f>
        <v>38</v>
      </c>
      <c r="M248" s="177">
        <f>'参考值-平台主推SKU占比'!$F$121</f>
        <v>1</v>
      </c>
      <c r="N248" s="142"/>
      <c r="O248" s="142"/>
      <c r="P248" s="69"/>
      <c r="Q248" s="67" t="s">
        <v>519</v>
      </c>
      <c r="R248" s="173">
        <f>I248</f>
        <v>128</v>
      </c>
      <c r="S248" s="173">
        <f>I248</f>
        <v>128</v>
      </c>
      <c r="T248" s="173">
        <f>I248</f>
        <v>128</v>
      </c>
      <c r="U248" s="173">
        <f>I248</f>
        <v>128</v>
      </c>
      <c r="V248" s="173">
        <f>I248</f>
        <v>128</v>
      </c>
      <c r="W248" s="173">
        <f>I248</f>
        <v>128</v>
      </c>
      <c r="X248" s="173">
        <f>I248</f>
        <v>128</v>
      </c>
      <c r="Y248" s="173">
        <f>I248</f>
        <v>128</v>
      </c>
      <c r="Z248" s="173">
        <f>I248</f>
        <v>128</v>
      </c>
      <c r="AA248" s="173">
        <f>I248</f>
        <v>128</v>
      </c>
      <c r="AB248" s="173">
        <f>I248</f>
        <v>128</v>
      </c>
      <c r="AC248" s="173">
        <f>I248</f>
        <v>128</v>
      </c>
    </row>
    <row r="249" spans="1:29">
      <c r="A249" s="67"/>
      <c r="B249" s="67"/>
      <c r="C249" s="69"/>
      <c r="D249" s="69"/>
      <c r="E249" s="67" t="s">
        <v>520</v>
      </c>
      <c r="F249" s="73">
        <v>320</v>
      </c>
      <c r="G249" s="172">
        <f>'参考值-平台主推SKU占比'!$C$121</f>
        <v>1</v>
      </c>
      <c r="H249" s="91"/>
      <c r="I249" s="91">
        <f>'参考值-平台主推SKU占比'!$H$121</f>
        <v>128</v>
      </c>
      <c r="J249" s="91">
        <f>IFERROR(I249/G249,"")</f>
        <v>128</v>
      </c>
      <c r="K249" s="91">
        <f>'假设-成本与任务量'!$I$6</f>
        <v>38</v>
      </c>
      <c r="L249" s="91">
        <f>IFERROR(K249*G249,"")</f>
        <v>38</v>
      </c>
      <c r="M249" s="175"/>
      <c r="N249" s="142"/>
      <c r="O249" s="142"/>
      <c r="P249" s="69"/>
      <c r="Q249" s="67" t="s">
        <v>521</v>
      </c>
      <c r="R249" s="173">
        <f>L248</f>
        <v>38</v>
      </c>
      <c r="S249" s="173">
        <f>L248</f>
        <v>38</v>
      </c>
      <c r="T249" s="173">
        <f>L248</f>
        <v>38</v>
      </c>
      <c r="U249" s="173">
        <f>L248</f>
        <v>38</v>
      </c>
      <c r="V249" s="173">
        <f>L248</f>
        <v>38</v>
      </c>
      <c r="W249" s="173">
        <f>L248</f>
        <v>38</v>
      </c>
      <c r="X249" s="173">
        <f>L248</f>
        <v>38</v>
      </c>
      <c r="Y249" s="173">
        <f>L248</f>
        <v>38</v>
      </c>
      <c r="Z249" s="173">
        <f>L248</f>
        <v>38</v>
      </c>
      <c r="AA249" s="173">
        <f>L248</f>
        <v>38</v>
      </c>
      <c r="AB249" s="173">
        <f>L248</f>
        <v>38</v>
      </c>
      <c r="AC249" s="173">
        <f>L248</f>
        <v>38</v>
      </c>
    </row>
    <row r="250" spans="1:29">
      <c r="E250" s="1"/>
      <c r="F250" s="4"/>
      <c r="G250" s="21"/>
      <c r="H250" s="24"/>
      <c r="I250" s="24"/>
      <c r="J250" s="24"/>
      <c r="K250" s="24"/>
      <c r="L250" s="24"/>
      <c r="M250" s="25"/>
      <c r="N250" s="23"/>
      <c r="O250" s="23"/>
      <c r="Q250" s="1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</row>
    <row r="251" spans="1:29">
      <c r="E251" s="1"/>
      <c r="F251" s="4"/>
      <c r="G251" s="21"/>
      <c r="H251" s="26"/>
      <c r="I251" s="26"/>
      <c r="J251" s="26"/>
      <c r="K251" s="26"/>
      <c r="L251" s="26"/>
      <c r="M251" s="27"/>
      <c r="N251" s="23"/>
      <c r="O251" s="23"/>
      <c r="Q251" s="1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</row>
    <row r="252" spans="1:29">
      <c r="E252" s="1"/>
      <c r="F252" s="4"/>
      <c r="G252" s="21"/>
      <c r="H252" s="26"/>
      <c r="I252" s="26"/>
      <c r="J252" s="26"/>
      <c r="K252" s="26"/>
      <c r="L252" s="26"/>
      <c r="M252" s="27"/>
      <c r="N252" s="23"/>
      <c r="O252" s="23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</row>
    <row r="253" spans="1:29">
      <c r="E253" s="1"/>
      <c r="F253" s="4"/>
      <c r="G253" s="21"/>
      <c r="H253" s="26"/>
      <c r="I253" s="26"/>
      <c r="J253" s="26"/>
      <c r="K253" s="26"/>
      <c r="L253" s="26"/>
      <c r="M253" s="27"/>
      <c r="N253" s="23"/>
      <c r="O253" s="23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</row>
    <row r="254" spans="1:29">
      <c r="E254" s="1"/>
      <c r="F254" s="4"/>
      <c r="G254" s="21"/>
      <c r="H254" s="24"/>
      <c r="I254" s="24"/>
      <c r="J254" s="24"/>
      <c r="K254" s="24"/>
      <c r="L254" s="24"/>
      <c r="M254" s="25"/>
      <c r="N254" s="23"/>
      <c r="O254" s="23"/>
      <c r="Q254" s="1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</row>
    <row r="255" spans="1:29">
      <c r="E255" s="1"/>
      <c r="F255" s="4"/>
      <c r="G255" s="21"/>
      <c r="H255" s="26"/>
      <c r="I255" s="26"/>
      <c r="J255" s="26"/>
      <c r="K255" s="26"/>
      <c r="L255" s="26"/>
      <c r="M255" s="27"/>
      <c r="N255" s="23"/>
      <c r="O255" s="23"/>
      <c r="Q255" s="1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</row>
    <row r="256" spans="1:29">
      <c r="E256" s="1"/>
      <c r="F256" s="4"/>
      <c r="G256" s="21"/>
      <c r="H256" s="26"/>
      <c r="I256" s="26"/>
      <c r="J256" s="26"/>
      <c r="K256" s="26"/>
      <c r="L256" s="26"/>
      <c r="M256" s="27"/>
      <c r="N256" s="23"/>
      <c r="O256" s="23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</row>
    <row r="257" spans="5:29">
      <c r="E257" s="1"/>
      <c r="F257" s="4"/>
      <c r="G257" s="21"/>
      <c r="H257" s="26"/>
      <c r="I257" s="26"/>
      <c r="J257" s="26"/>
      <c r="K257" s="26"/>
      <c r="L257" s="26"/>
      <c r="M257" s="27"/>
      <c r="N257" s="23"/>
      <c r="O257" s="23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</row>
    <row r="258" spans="5:29">
      <c r="E258" s="1"/>
      <c r="F258" s="4"/>
      <c r="G258" s="21"/>
      <c r="H258" s="24"/>
      <c r="I258" s="24"/>
      <c r="J258" s="24"/>
      <c r="K258" s="24"/>
      <c r="L258" s="24"/>
      <c r="M258" s="25"/>
      <c r="N258" s="23"/>
      <c r="O258" s="23"/>
      <c r="Q258" s="1"/>
      <c r="R258" s="22"/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</row>
    <row r="259" spans="5:29">
      <c r="E259" s="1"/>
      <c r="F259" s="4"/>
      <c r="G259" s="21"/>
      <c r="H259" s="26"/>
      <c r="I259" s="26"/>
      <c r="J259" s="26"/>
      <c r="K259" s="26"/>
      <c r="L259" s="26"/>
      <c r="M259" s="27"/>
      <c r="N259" s="23"/>
      <c r="O259" s="23"/>
      <c r="Q259" s="1"/>
      <c r="R259" s="22"/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</row>
    <row r="260" spans="5:29">
      <c r="E260" s="1"/>
      <c r="F260" s="4"/>
      <c r="G260" s="21"/>
      <c r="H260" s="26"/>
      <c r="I260" s="26"/>
      <c r="J260" s="26"/>
      <c r="K260" s="26"/>
      <c r="L260" s="26"/>
      <c r="M260" s="27"/>
      <c r="N260" s="23"/>
      <c r="O260" s="23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</row>
    <row r="261" spans="5:29">
      <c r="E261" s="1"/>
      <c r="F261" s="4"/>
      <c r="G261" s="21"/>
      <c r="H261" s="26"/>
      <c r="I261" s="26"/>
      <c r="J261" s="26"/>
      <c r="K261" s="26"/>
      <c r="L261" s="26"/>
      <c r="M261" s="27"/>
      <c r="N261" s="23"/>
      <c r="O261" s="23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</row>
    <row r="262" spans="5:29">
      <c r="E262" s="1"/>
      <c r="F262" s="4"/>
      <c r="G262" s="21"/>
      <c r="H262" s="26"/>
      <c r="I262" s="26"/>
      <c r="J262" s="26"/>
      <c r="K262" s="26"/>
      <c r="L262" s="26"/>
      <c r="M262" s="27"/>
      <c r="N262" s="23"/>
      <c r="O262" s="23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</row>
    <row r="263" spans="5:29">
      <c r="E263" s="1"/>
      <c r="F263" s="4"/>
      <c r="G263" s="21"/>
      <c r="H263" s="24"/>
      <c r="I263" s="24"/>
      <c r="J263" s="24"/>
      <c r="K263" s="24"/>
      <c r="L263" s="24"/>
      <c r="M263" s="25"/>
      <c r="N263" s="23"/>
      <c r="O263" s="23"/>
      <c r="Q263" s="1"/>
      <c r="R263" s="22"/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</row>
    <row r="264" spans="5:29">
      <c r="E264" s="1"/>
      <c r="F264" s="4"/>
      <c r="G264" s="21"/>
      <c r="H264" s="26"/>
      <c r="I264" s="26"/>
      <c r="J264" s="26"/>
      <c r="K264" s="26"/>
      <c r="L264" s="26"/>
      <c r="M264" s="27"/>
      <c r="N264" s="23"/>
      <c r="O264" s="23"/>
      <c r="Q264" s="1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</row>
    <row r="265" spans="5:29">
      <c r="E265" s="1"/>
      <c r="F265" s="4"/>
      <c r="G265" s="21"/>
      <c r="H265" s="26"/>
      <c r="I265" s="26"/>
      <c r="J265" s="26"/>
      <c r="K265" s="26"/>
      <c r="L265" s="26"/>
      <c r="M265" s="27"/>
      <c r="N265" s="23"/>
      <c r="O265" s="23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</row>
    <row r="266" spans="5:29">
      <c r="E266" s="1"/>
      <c r="F266" s="4"/>
      <c r="G266" s="21"/>
      <c r="H266" s="26"/>
      <c r="I266" s="26"/>
      <c r="J266" s="26"/>
      <c r="K266" s="26"/>
      <c r="L266" s="26"/>
      <c r="M266" s="27"/>
      <c r="N266" s="23"/>
      <c r="O266" s="23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</row>
    <row r="267" spans="5:29">
      <c r="E267" s="1"/>
      <c r="F267" s="4"/>
      <c r="G267" s="21"/>
      <c r="H267" s="26"/>
      <c r="I267" s="26"/>
      <c r="J267" s="26"/>
      <c r="K267" s="26"/>
      <c r="L267" s="26"/>
      <c r="M267" s="27"/>
      <c r="N267" s="23"/>
      <c r="O267" s="23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</row>
    <row r="268" spans="5:29">
      <c r="E268" s="1"/>
      <c r="F268" s="4"/>
      <c r="G268" s="21"/>
      <c r="H268" s="24"/>
      <c r="I268" s="24"/>
      <c r="J268" s="24"/>
      <c r="K268" s="24"/>
      <c r="L268" s="24"/>
      <c r="M268" s="25"/>
      <c r="N268" s="23"/>
      <c r="O268" s="23"/>
      <c r="Q268" s="1"/>
      <c r="R268" s="22"/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</row>
    <row r="269" spans="5:29">
      <c r="E269" s="1"/>
      <c r="F269" s="4"/>
      <c r="G269" s="21"/>
      <c r="H269" s="26"/>
      <c r="I269" s="26"/>
      <c r="J269" s="26"/>
      <c r="K269" s="26"/>
      <c r="L269" s="26"/>
      <c r="M269" s="27"/>
      <c r="N269" s="23"/>
      <c r="O269" s="23"/>
      <c r="Q269" s="1"/>
      <c r="R269" s="22"/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</row>
    <row r="270" spans="5:29">
      <c r="E270" s="1"/>
      <c r="F270" s="4"/>
      <c r="G270" s="21"/>
      <c r="H270" s="26"/>
      <c r="I270" s="26"/>
      <c r="J270" s="26"/>
      <c r="K270" s="26"/>
      <c r="L270" s="26"/>
      <c r="M270" s="27"/>
      <c r="N270" s="23"/>
      <c r="O270" s="23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</row>
    <row r="271" spans="5:29">
      <c r="E271" s="1"/>
      <c r="F271" s="4"/>
      <c r="G271" s="21"/>
      <c r="H271" s="26"/>
      <c r="I271" s="26"/>
      <c r="J271" s="26"/>
      <c r="K271" s="26"/>
      <c r="L271" s="26"/>
      <c r="M271" s="27"/>
      <c r="N271" s="23"/>
      <c r="O271" s="23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</row>
    <row r="272" spans="5:29">
      <c r="E272" s="1"/>
      <c r="F272" s="4"/>
      <c r="G272" s="21"/>
      <c r="H272" s="24"/>
      <c r="I272" s="24"/>
      <c r="J272" s="24"/>
      <c r="K272" s="24"/>
      <c r="L272" s="24"/>
      <c r="M272" s="25"/>
      <c r="N272" s="23"/>
      <c r="O272" s="23"/>
      <c r="Q272" s="1"/>
      <c r="R272" s="22"/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</row>
    <row r="273" spans="5:29">
      <c r="E273" s="1"/>
      <c r="F273" s="4"/>
      <c r="G273" s="21"/>
      <c r="H273" s="26"/>
      <c r="I273" s="26"/>
      <c r="J273" s="26"/>
      <c r="K273" s="26"/>
      <c r="L273" s="26"/>
      <c r="M273" s="27"/>
      <c r="N273" s="23"/>
      <c r="O273" s="23"/>
      <c r="Q273" s="1"/>
      <c r="R273" s="22"/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</row>
    <row r="274" spans="5:29">
      <c r="E274" s="1"/>
      <c r="F274" s="4"/>
      <c r="G274" s="21"/>
      <c r="H274" s="26"/>
      <c r="I274" s="26"/>
      <c r="J274" s="26"/>
      <c r="K274" s="26"/>
      <c r="L274" s="26"/>
      <c r="M274" s="27"/>
      <c r="N274" s="23"/>
      <c r="O274" s="23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</row>
    <row r="275" spans="5:29">
      <c r="E275" s="1"/>
      <c r="F275" s="4"/>
      <c r="G275" s="21"/>
      <c r="H275" s="26"/>
      <c r="I275" s="26"/>
      <c r="J275" s="26"/>
      <c r="K275" s="26"/>
      <c r="L275" s="26"/>
      <c r="M275" s="27"/>
      <c r="N275" s="23"/>
      <c r="O275" s="23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</row>
    <row r="276" spans="5:29">
      <c r="E276" s="1"/>
      <c r="F276" s="4"/>
      <c r="G276" s="21"/>
      <c r="H276" s="26"/>
      <c r="I276" s="26"/>
      <c r="J276" s="26"/>
      <c r="K276" s="26"/>
      <c r="L276" s="26"/>
      <c r="M276" s="27"/>
      <c r="N276" s="23"/>
      <c r="O276" s="23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</row>
    <row r="277" spans="5:29">
      <c r="E277" s="1"/>
      <c r="F277" s="4"/>
      <c r="G277" s="21"/>
      <c r="H277" s="24"/>
      <c r="I277" s="24"/>
      <c r="J277" s="24"/>
      <c r="K277" s="24"/>
      <c r="L277" s="24"/>
      <c r="M277" s="25"/>
      <c r="N277" s="23"/>
      <c r="O277" s="23"/>
      <c r="Q277" s="1"/>
      <c r="R277" s="22"/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</row>
    <row r="278" spans="5:29">
      <c r="E278" s="1"/>
      <c r="F278" s="4"/>
      <c r="G278" s="21"/>
      <c r="H278" s="26"/>
      <c r="I278" s="26"/>
      <c r="J278" s="26"/>
      <c r="K278" s="26"/>
      <c r="L278" s="26"/>
      <c r="M278" s="27"/>
      <c r="N278" s="23"/>
      <c r="O278" s="23"/>
      <c r="Q278" s="1"/>
      <c r="R278" s="22"/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</row>
    <row r="279" spans="5:29">
      <c r="E279" s="1"/>
      <c r="F279" s="4"/>
      <c r="G279" s="21"/>
      <c r="H279" s="26"/>
      <c r="I279" s="26"/>
      <c r="J279" s="26"/>
      <c r="K279" s="26"/>
      <c r="L279" s="26"/>
      <c r="M279" s="27"/>
      <c r="N279" s="23"/>
      <c r="O279" s="23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</row>
    <row r="280" spans="5:29">
      <c r="E280" s="1"/>
      <c r="F280" s="4"/>
      <c r="G280" s="21"/>
      <c r="H280" s="26"/>
      <c r="I280" s="26"/>
      <c r="J280" s="26"/>
      <c r="K280" s="26"/>
      <c r="L280" s="26"/>
      <c r="M280" s="27"/>
      <c r="N280" s="23"/>
      <c r="O280" s="23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</row>
    <row r="281" spans="5:29">
      <c r="E281" s="1"/>
      <c r="F281" s="4"/>
      <c r="G281" s="21"/>
      <c r="H281" s="26"/>
      <c r="I281" s="26"/>
      <c r="J281" s="26"/>
      <c r="K281" s="26"/>
      <c r="L281" s="26"/>
      <c r="M281" s="27"/>
      <c r="N281" s="23"/>
      <c r="O281" s="23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</row>
    <row r="282" spans="5:29">
      <c r="E282" s="1"/>
      <c r="F282" s="4"/>
      <c r="G282" s="21"/>
      <c r="H282" s="24"/>
      <c r="I282" s="24"/>
      <c r="J282" s="24"/>
      <c r="K282" s="24"/>
      <c r="L282" s="24"/>
      <c r="M282" s="25"/>
      <c r="N282" s="23"/>
      <c r="O282" s="23"/>
      <c r="Q282" s="1"/>
      <c r="R282" s="22"/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</row>
    <row r="283" spans="5:29">
      <c r="E283" s="1"/>
      <c r="F283" s="4"/>
      <c r="G283" s="21"/>
      <c r="H283" s="26"/>
      <c r="I283" s="26"/>
      <c r="J283" s="26"/>
      <c r="K283" s="26"/>
      <c r="L283" s="26"/>
      <c r="M283" s="27"/>
      <c r="N283" s="23"/>
      <c r="O283" s="23"/>
      <c r="Q283" s="1"/>
      <c r="R283" s="22"/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</row>
    <row r="284" spans="5:29">
      <c r="E284" s="1"/>
      <c r="F284" s="4"/>
      <c r="G284" s="21"/>
      <c r="H284" s="26"/>
      <c r="I284" s="26"/>
      <c r="J284" s="26"/>
      <c r="K284" s="26"/>
      <c r="L284" s="26"/>
      <c r="M284" s="27"/>
      <c r="N284" s="23"/>
      <c r="O284" s="23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</row>
    <row r="285" spans="5:29">
      <c r="E285" s="1"/>
      <c r="F285" s="4"/>
      <c r="G285" s="21"/>
      <c r="H285" s="26"/>
      <c r="I285" s="26"/>
      <c r="J285" s="26"/>
      <c r="K285" s="26"/>
      <c r="L285" s="26"/>
      <c r="M285" s="27"/>
      <c r="N285" s="23"/>
      <c r="O285" s="23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</row>
    <row r="286" spans="5:29">
      <c r="E286" s="1"/>
      <c r="F286" s="4"/>
      <c r="G286" s="21"/>
      <c r="H286" s="26"/>
      <c r="I286" s="26"/>
      <c r="J286" s="26"/>
      <c r="K286" s="26"/>
      <c r="L286" s="26"/>
      <c r="M286" s="27"/>
      <c r="N286" s="23"/>
      <c r="O286" s="23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</row>
    <row r="287" spans="5:29">
      <c r="E287" s="1"/>
      <c r="F287" s="4"/>
      <c r="G287" s="21"/>
      <c r="H287" s="24"/>
      <c r="I287" s="24"/>
      <c r="J287" s="24"/>
      <c r="K287" s="24"/>
      <c r="L287" s="24"/>
      <c r="M287" s="25"/>
      <c r="N287" s="23"/>
      <c r="O287" s="23"/>
      <c r="Q287" s="1"/>
      <c r="R287" s="22"/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</row>
    <row r="288" spans="5:29">
      <c r="E288" s="1"/>
      <c r="F288" s="4"/>
      <c r="G288" s="21"/>
      <c r="H288" s="26"/>
      <c r="I288" s="26"/>
      <c r="J288" s="26"/>
      <c r="K288" s="26"/>
      <c r="L288" s="26"/>
      <c r="M288" s="27"/>
      <c r="N288" s="23"/>
      <c r="O288" s="23"/>
      <c r="Q288" s="1"/>
      <c r="R288" s="22"/>
      <c r="S288" s="22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</row>
    <row r="289" spans="5:29">
      <c r="E289" s="1"/>
      <c r="F289" s="4"/>
      <c r="G289" s="21"/>
      <c r="H289" s="26"/>
      <c r="I289" s="26"/>
      <c r="J289" s="26"/>
      <c r="K289" s="26"/>
      <c r="L289" s="26"/>
      <c r="M289" s="27"/>
      <c r="N289" s="23"/>
      <c r="O289" s="23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</row>
    <row r="290" spans="5:29">
      <c r="E290" s="1"/>
      <c r="F290" s="4"/>
      <c r="G290" s="21"/>
      <c r="H290" s="24"/>
      <c r="I290" s="24"/>
      <c r="J290" s="24"/>
      <c r="K290" s="24"/>
      <c r="L290" s="24"/>
      <c r="M290" s="25"/>
      <c r="N290" s="23"/>
      <c r="O290" s="23"/>
      <c r="Q290" s="1"/>
      <c r="R290" s="22"/>
      <c r="S290" s="22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</row>
    <row r="291" spans="5:29">
      <c r="E291" s="1"/>
      <c r="F291" s="4"/>
      <c r="G291" s="21"/>
      <c r="H291" s="26"/>
      <c r="I291" s="26"/>
      <c r="J291" s="26"/>
      <c r="K291" s="26"/>
      <c r="L291" s="26"/>
      <c r="M291" s="27"/>
      <c r="N291" s="23"/>
      <c r="O291" s="23"/>
      <c r="Q291" s="1"/>
      <c r="R291" s="22"/>
      <c r="S291" s="22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</row>
    <row r="292" spans="5:29">
      <c r="E292" s="1"/>
      <c r="F292" s="4"/>
      <c r="G292" s="21"/>
      <c r="H292" s="26"/>
      <c r="I292" s="26"/>
      <c r="J292" s="26"/>
      <c r="K292" s="26"/>
      <c r="L292" s="26"/>
      <c r="M292" s="27"/>
      <c r="N292" s="23"/>
      <c r="O292" s="23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</row>
    <row r="293" spans="5:29">
      <c r="E293" s="1"/>
      <c r="F293" s="4"/>
      <c r="G293" s="21"/>
      <c r="H293" s="26"/>
      <c r="I293" s="26"/>
      <c r="J293" s="26"/>
      <c r="K293" s="26"/>
      <c r="L293" s="26"/>
      <c r="M293" s="27"/>
      <c r="N293" s="23"/>
      <c r="O293" s="23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</row>
    <row r="294" spans="5:29">
      <c r="E294" s="1"/>
      <c r="F294" s="4"/>
      <c r="G294" s="21"/>
      <c r="H294" s="26"/>
      <c r="I294" s="26"/>
      <c r="J294" s="26"/>
      <c r="K294" s="26"/>
      <c r="L294" s="26"/>
      <c r="M294" s="27"/>
      <c r="N294" s="23"/>
      <c r="O294" s="23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</row>
    <row r="295" spans="5:29">
      <c r="E295" s="1"/>
      <c r="F295" s="4"/>
      <c r="G295" s="21"/>
      <c r="H295" s="24"/>
      <c r="I295" s="24"/>
      <c r="J295" s="24"/>
      <c r="K295" s="24"/>
      <c r="L295" s="24"/>
      <c r="M295" s="25"/>
      <c r="N295" s="23"/>
      <c r="O295" s="23"/>
      <c r="Q295" s="1"/>
      <c r="R295" s="22"/>
      <c r="S295" s="22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</row>
    <row r="296" spans="5:29">
      <c r="E296" s="1"/>
      <c r="F296" s="4"/>
      <c r="G296" s="21"/>
      <c r="H296" s="26"/>
      <c r="I296" s="26"/>
      <c r="J296" s="26"/>
      <c r="K296" s="26"/>
      <c r="L296" s="26"/>
      <c r="M296" s="27"/>
      <c r="N296" s="23"/>
      <c r="O296" s="23"/>
      <c r="Q296" s="1"/>
      <c r="R296" s="22"/>
      <c r="S296" s="22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</row>
    <row r="297" spans="5:29">
      <c r="E297" s="1"/>
      <c r="F297" s="4"/>
      <c r="G297" s="21"/>
      <c r="H297" s="26"/>
      <c r="I297" s="26"/>
      <c r="J297" s="26"/>
      <c r="K297" s="26"/>
      <c r="L297" s="26"/>
      <c r="M297" s="27"/>
      <c r="N297" s="23"/>
      <c r="O297" s="23"/>
      <c r="R297" s="22"/>
      <c r="S297" s="22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</row>
    <row r="298" spans="5:29">
      <c r="E298" s="1"/>
      <c r="F298" s="4"/>
      <c r="G298" s="21"/>
      <c r="H298" s="26"/>
      <c r="I298" s="26"/>
      <c r="J298" s="26"/>
      <c r="K298" s="26"/>
      <c r="L298" s="26"/>
      <c r="M298" s="27"/>
      <c r="N298" s="23"/>
      <c r="O298" s="23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</row>
    <row r="299" spans="5:29">
      <c r="E299" s="1"/>
      <c r="F299" s="4"/>
      <c r="G299" s="21"/>
      <c r="H299" s="26"/>
      <c r="I299" s="26"/>
      <c r="J299" s="26"/>
      <c r="K299" s="26"/>
      <c r="L299" s="26"/>
      <c r="M299" s="27"/>
      <c r="N299" s="23"/>
      <c r="O299" s="23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</row>
    <row r="300" spans="5:29">
      <c r="E300" s="1"/>
      <c r="F300" s="4"/>
      <c r="G300" s="21"/>
      <c r="H300" s="24"/>
      <c r="I300" s="24"/>
      <c r="J300" s="24"/>
      <c r="K300" s="24"/>
      <c r="L300" s="24"/>
      <c r="M300" s="25"/>
      <c r="N300" s="23"/>
      <c r="O300" s="23"/>
      <c r="Q300" s="1"/>
      <c r="R300" s="22"/>
      <c r="S300" s="22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</row>
    <row r="301" spans="5:29">
      <c r="E301" s="1"/>
      <c r="F301" s="4"/>
      <c r="G301" s="21"/>
      <c r="H301" s="26"/>
      <c r="I301" s="26"/>
      <c r="J301" s="26"/>
      <c r="K301" s="26"/>
      <c r="L301" s="26"/>
      <c r="M301" s="27"/>
      <c r="N301" s="23"/>
      <c r="O301" s="23"/>
      <c r="Q301" s="1"/>
      <c r="R301" s="22"/>
      <c r="S301" s="22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</row>
    <row r="302" spans="5:29">
      <c r="E302" s="1"/>
      <c r="F302" s="4"/>
      <c r="G302" s="21"/>
      <c r="H302" s="26"/>
      <c r="I302" s="26"/>
      <c r="J302" s="26"/>
      <c r="K302" s="26"/>
      <c r="L302" s="26"/>
      <c r="M302" s="27"/>
      <c r="N302" s="23"/>
      <c r="O302" s="23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</row>
    <row r="303" spans="5:29">
      <c r="E303" s="1"/>
      <c r="F303" s="4"/>
      <c r="G303" s="21"/>
      <c r="H303" s="26"/>
      <c r="I303" s="26"/>
      <c r="J303" s="26"/>
      <c r="K303" s="26"/>
      <c r="L303" s="26"/>
      <c r="M303" s="27"/>
      <c r="N303" s="23"/>
      <c r="O303" s="23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</row>
    <row r="304" spans="5:29">
      <c r="E304" s="1"/>
      <c r="F304" s="4"/>
      <c r="G304" s="21"/>
      <c r="H304" s="26"/>
      <c r="I304" s="26"/>
      <c r="J304" s="26"/>
      <c r="K304" s="26"/>
      <c r="L304" s="26"/>
      <c r="M304" s="27"/>
      <c r="N304" s="23"/>
      <c r="O304" s="23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</row>
    <row r="305" spans="5:29">
      <c r="E305" s="1"/>
      <c r="F305" s="4"/>
      <c r="G305" s="21"/>
      <c r="H305" s="24"/>
      <c r="I305" s="24"/>
      <c r="J305" s="24"/>
      <c r="K305" s="24"/>
      <c r="L305" s="24"/>
      <c r="M305" s="25"/>
      <c r="N305" s="23"/>
      <c r="O305" s="23"/>
      <c r="Q305" s="1"/>
      <c r="R305" s="22"/>
      <c r="S305" s="22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</row>
    <row r="306" spans="5:29">
      <c r="E306" s="1"/>
      <c r="F306" s="4"/>
      <c r="G306" s="21"/>
      <c r="H306" s="26"/>
      <c r="I306" s="26"/>
      <c r="J306" s="26"/>
      <c r="K306" s="26"/>
      <c r="L306" s="26"/>
      <c r="M306" s="27"/>
      <c r="N306" s="23"/>
      <c r="O306" s="23"/>
      <c r="Q306" s="1"/>
      <c r="R306" s="22"/>
      <c r="S306" s="22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</row>
    <row r="307" spans="5:29">
      <c r="E307" s="1"/>
      <c r="F307" s="4"/>
      <c r="G307" s="21"/>
      <c r="H307" s="26"/>
      <c r="I307" s="26"/>
      <c r="J307" s="26"/>
      <c r="K307" s="26"/>
      <c r="L307" s="26"/>
      <c r="M307" s="27"/>
      <c r="N307" s="23"/>
      <c r="O307" s="23"/>
      <c r="R307" s="22"/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</row>
    <row r="308" spans="5:29">
      <c r="E308" s="1"/>
      <c r="F308" s="4"/>
      <c r="G308" s="21"/>
      <c r="H308" s="26"/>
      <c r="I308" s="26"/>
      <c r="J308" s="26"/>
      <c r="K308" s="26"/>
      <c r="L308" s="26"/>
      <c r="M308" s="27"/>
      <c r="N308" s="23"/>
      <c r="O308" s="23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</row>
    <row r="309" spans="5:29">
      <c r="E309" s="1"/>
      <c r="F309" s="4"/>
      <c r="G309" s="21"/>
      <c r="H309" s="26"/>
      <c r="I309" s="26"/>
      <c r="J309" s="26"/>
      <c r="K309" s="26"/>
      <c r="L309" s="26"/>
      <c r="M309" s="27"/>
      <c r="N309" s="23"/>
      <c r="O309" s="23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</row>
    <row r="310" spans="5:29">
      <c r="E310" s="1"/>
      <c r="F310" s="4"/>
      <c r="G310" s="21"/>
      <c r="H310" s="24"/>
      <c r="I310" s="24"/>
      <c r="J310" s="24"/>
      <c r="K310" s="24"/>
      <c r="L310" s="24"/>
      <c r="M310" s="25"/>
      <c r="N310" s="23"/>
      <c r="O310" s="23"/>
      <c r="Q310" s="1"/>
      <c r="R310" s="22"/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</row>
    <row r="311" spans="5:29">
      <c r="E311" s="1"/>
      <c r="F311" s="4"/>
      <c r="G311" s="21"/>
      <c r="H311" s="26"/>
      <c r="I311" s="26"/>
      <c r="J311" s="26"/>
      <c r="K311" s="26"/>
      <c r="L311" s="26"/>
      <c r="M311" s="27"/>
      <c r="N311" s="23"/>
      <c r="O311" s="23"/>
      <c r="Q311" s="1"/>
      <c r="R311" s="22"/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</row>
    <row r="312" spans="5:29">
      <c r="E312" s="1"/>
      <c r="F312" s="4"/>
      <c r="G312" s="21"/>
      <c r="H312" s="26"/>
      <c r="I312" s="26"/>
      <c r="J312" s="26"/>
      <c r="K312" s="26"/>
      <c r="L312" s="26"/>
      <c r="M312" s="27"/>
      <c r="N312" s="23"/>
      <c r="O312" s="23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</row>
    <row r="313" spans="5:29">
      <c r="E313" s="1"/>
      <c r="F313" s="4"/>
      <c r="G313" s="21"/>
      <c r="H313" s="26"/>
      <c r="I313" s="26"/>
      <c r="J313" s="26"/>
      <c r="K313" s="26"/>
      <c r="L313" s="26"/>
      <c r="M313" s="27"/>
      <c r="N313" s="23"/>
      <c r="O313" s="23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</row>
    <row r="314" spans="5:29">
      <c r="E314" s="1"/>
      <c r="F314" s="4"/>
      <c r="G314" s="21"/>
      <c r="H314" s="26"/>
      <c r="I314" s="26"/>
      <c r="J314" s="26"/>
      <c r="K314" s="26"/>
      <c r="L314" s="26"/>
      <c r="M314" s="27"/>
      <c r="N314" s="23"/>
      <c r="O314" s="23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</row>
    <row r="315" spans="5:29">
      <c r="E315" s="1"/>
      <c r="F315" s="1"/>
      <c r="G315" s="18"/>
      <c r="H315" s="19"/>
      <c r="I315" s="19"/>
      <c r="J315" s="19"/>
      <c r="K315" s="19"/>
      <c r="L315" s="19"/>
      <c r="M315" s="20"/>
      <c r="O315" s="1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</row>
    <row r="316" spans="5:29">
      <c r="E316" s="1"/>
      <c r="F316" s="1"/>
      <c r="G316" s="1"/>
      <c r="I316" s="1"/>
      <c r="J316" s="1"/>
      <c r="L316" s="1"/>
      <c r="O316" s="1"/>
    </row>
    <row r="317" spans="5:29">
      <c r="E317" s="1"/>
      <c r="F317" s="1"/>
      <c r="G317" s="1"/>
      <c r="I317" s="1"/>
      <c r="J317" s="1"/>
      <c r="L317" s="1"/>
      <c r="O317" s="1"/>
    </row>
    <row r="318" spans="5:29">
      <c r="E318" s="1"/>
      <c r="F318" s="1"/>
      <c r="G318" s="1"/>
      <c r="I318" s="1"/>
      <c r="J318" s="1"/>
      <c r="L318" s="1"/>
      <c r="O318" s="1"/>
    </row>
    <row r="319" spans="5:29">
      <c r="E319" s="1"/>
      <c r="F319" s="1"/>
      <c r="G319" s="1"/>
      <c r="I319" s="1"/>
      <c r="J319" s="1"/>
      <c r="L319" s="1"/>
      <c r="O319" s="1"/>
    </row>
    <row r="320" spans="5:29">
      <c r="E320" s="1"/>
      <c r="F320" s="1"/>
      <c r="G320" s="1"/>
      <c r="I320" s="1"/>
      <c r="J320" s="1"/>
      <c r="L320" s="1"/>
      <c r="O320" s="1"/>
    </row>
    <row r="321" spans="5:15">
      <c r="E321" s="1"/>
      <c r="F321" s="1"/>
      <c r="G321" s="1"/>
      <c r="I321" s="1"/>
      <c r="J321" s="1"/>
      <c r="L321" s="1"/>
      <c r="O321" s="1"/>
    </row>
    <row r="322" spans="5:15">
      <c r="E322" s="1"/>
      <c r="F322" s="1"/>
      <c r="G322" s="1"/>
      <c r="I322" s="1"/>
      <c r="J322" s="1"/>
      <c r="L322" s="1"/>
      <c r="O322" s="1"/>
    </row>
    <row r="323" spans="5:15">
      <c r="E323" s="1"/>
      <c r="F323" s="1"/>
      <c r="G323" s="1"/>
      <c r="I323" s="1"/>
      <c r="J323" s="1"/>
      <c r="L323" s="1"/>
      <c r="O323" s="1"/>
    </row>
    <row r="324" spans="5:15">
      <c r="E324" s="1"/>
      <c r="F324" s="1"/>
      <c r="G324" s="1"/>
      <c r="I324" s="1"/>
      <c r="J324" s="1"/>
      <c r="L324" s="1"/>
      <c r="O324" s="1"/>
    </row>
    <row r="325" spans="5:15">
      <c r="E325" s="1"/>
      <c r="F325" s="1"/>
      <c r="G325" s="1"/>
      <c r="I325" s="1"/>
      <c r="J325" s="1"/>
      <c r="L325" s="1"/>
      <c r="O325" s="1"/>
    </row>
    <row r="326" spans="5:15">
      <c r="E326" s="1"/>
      <c r="F326" s="1"/>
      <c r="G326" s="1"/>
      <c r="I326" s="1"/>
      <c r="J326" s="1"/>
      <c r="L326" s="1"/>
      <c r="O326" s="1"/>
    </row>
    <row r="327" spans="5:15">
      <c r="E327" s="1"/>
      <c r="F327" s="1"/>
      <c r="G327" s="1"/>
      <c r="I327" s="1"/>
      <c r="J327" s="1"/>
      <c r="L327" s="1"/>
      <c r="O327" s="1"/>
    </row>
    <row r="328" spans="5:15">
      <c r="E328" s="1"/>
      <c r="F328" s="1"/>
      <c r="G328" s="1"/>
      <c r="I328" s="1"/>
      <c r="J328" s="1"/>
      <c r="L328" s="1"/>
      <c r="O328" s="1"/>
    </row>
    <row r="329" spans="5:15">
      <c r="E329" s="1"/>
      <c r="F329" s="1"/>
      <c r="G329" s="1"/>
      <c r="I329" s="1"/>
      <c r="J329" s="1"/>
      <c r="L329" s="1"/>
      <c r="O329" s="1"/>
    </row>
    <row r="330" spans="5:15">
      <c r="E330" s="1"/>
      <c r="F330" s="1"/>
      <c r="G330" s="1"/>
      <c r="I330" s="1"/>
      <c r="J330" s="1"/>
      <c r="L330" s="1"/>
      <c r="O330" s="1"/>
    </row>
    <row r="331" spans="5:15">
      <c r="E331" s="1"/>
      <c r="F331" s="1"/>
      <c r="G331" s="1"/>
      <c r="I331" s="1"/>
      <c r="J331" s="1"/>
      <c r="L331" s="1"/>
      <c r="O331" s="1"/>
    </row>
    <row r="332" spans="5:15">
      <c r="E332" s="1"/>
      <c r="F332" s="1"/>
      <c r="G332" s="1"/>
      <c r="I332" s="1"/>
      <c r="J332" s="1"/>
      <c r="L332" s="1"/>
      <c r="O332" s="1"/>
    </row>
    <row r="333" spans="5:15">
      <c r="E333" s="1"/>
      <c r="F333" s="1"/>
      <c r="G333" s="1"/>
      <c r="I333" s="1"/>
      <c r="J333" s="1"/>
      <c r="L333" s="1"/>
      <c r="O333" s="1"/>
    </row>
    <row r="334" spans="5:15">
      <c r="E334" s="1"/>
      <c r="F334" s="1"/>
      <c r="G334" s="1"/>
      <c r="I334" s="1"/>
      <c r="J334" s="1"/>
      <c r="L334" s="1"/>
      <c r="O334" s="1"/>
    </row>
    <row r="335" spans="5:15">
      <c r="E335" s="1"/>
      <c r="F335" s="1"/>
      <c r="G335" s="1"/>
      <c r="I335" s="1"/>
      <c r="J335" s="1"/>
      <c r="L335" s="1"/>
      <c r="O335" s="1"/>
    </row>
    <row r="336" spans="5:15">
      <c r="E336" s="1"/>
      <c r="F336" s="1"/>
      <c r="G336" s="1"/>
      <c r="I336" s="1"/>
      <c r="J336" s="1"/>
      <c r="L336" s="1"/>
      <c r="O336" s="1"/>
    </row>
    <row r="337" spans="5:15">
      <c r="E337" s="1"/>
      <c r="F337" s="1"/>
      <c r="G337" s="1"/>
      <c r="I337" s="1"/>
      <c r="J337" s="1"/>
      <c r="L337" s="1"/>
      <c r="O337" s="1"/>
    </row>
    <row r="338" spans="5:15">
      <c r="E338" s="1"/>
      <c r="F338" s="1"/>
      <c r="G338" s="1"/>
      <c r="I338" s="1"/>
      <c r="J338" s="1"/>
      <c r="L338" s="1"/>
      <c r="O338" s="1"/>
    </row>
    <row r="339" spans="5:15">
      <c r="E339" s="1"/>
      <c r="F339" s="1"/>
      <c r="G339" s="1"/>
      <c r="I339" s="1"/>
      <c r="J339" s="1"/>
      <c r="L339" s="1"/>
      <c r="O339" s="1"/>
    </row>
    <row r="340" spans="5:15">
      <c r="E340" s="1"/>
      <c r="F340" s="1"/>
      <c r="G340" s="1"/>
      <c r="I340" s="1"/>
      <c r="J340" s="1"/>
      <c r="L340" s="1"/>
      <c r="O340" s="1"/>
    </row>
    <row r="341" spans="5:15">
      <c r="E341" s="1"/>
      <c r="F341" s="1"/>
      <c r="G341" s="1"/>
      <c r="I341" s="1"/>
      <c r="J341" s="1"/>
      <c r="L341" s="1"/>
      <c r="O341" s="1"/>
    </row>
    <row r="342" spans="5:15">
      <c r="E342" s="1"/>
      <c r="F342" s="1"/>
      <c r="G342" s="1"/>
      <c r="I342" s="1"/>
      <c r="J342" s="1"/>
      <c r="L342" s="1"/>
      <c r="O342" s="1"/>
    </row>
    <row r="343" spans="5:15">
      <c r="E343" s="1"/>
      <c r="F343" s="1"/>
      <c r="G343" s="1"/>
      <c r="I343" s="1"/>
      <c r="J343" s="1"/>
      <c r="L343" s="1"/>
      <c r="O343" s="1"/>
    </row>
    <row r="344" spans="5:15">
      <c r="E344" s="1"/>
      <c r="F344" s="1"/>
      <c r="G344" s="1"/>
      <c r="I344" s="1"/>
      <c r="J344" s="1"/>
      <c r="L344" s="1"/>
      <c r="O344" s="1"/>
    </row>
    <row r="345" spans="5:15">
      <c r="E345" s="1"/>
      <c r="F345" s="1"/>
      <c r="G345" s="1"/>
      <c r="I345" s="1"/>
      <c r="J345" s="1"/>
      <c r="L345" s="1"/>
      <c r="O345" s="1"/>
    </row>
    <row r="346" spans="5:15">
      <c r="E346" s="1"/>
      <c r="F346" s="1"/>
      <c r="G346" s="1"/>
      <c r="I346" s="1"/>
      <c r="J346" s="1"/>
      <c r="L346" s="1"/>
      <c r="O346" s="1"/>
    </row>
    <row r="347" spans="5:15">
      <c r="E347" s="1"/>
      <c r="F347" s="1"/>
      <c r="G347" s="1"/>
      <c r="I347" s="1"/>
      <c r="J347" s="1"/>
      <c r="L347" s="1"/>
      <c r="O347" s="1"/>
    </row>
    <row r="348" spans="5:15">
      <c r="E348" s="1"/>
      <c r="F348" s="1"/>
      <c r="G348" s="1"/>
      <c r="I348" s="1"/>
      <c r="J348" s="1"/>
      <c r="L348" s="1"/>
      <c r="O348" s="1"/>
    </row>
    <row r="349" spans="5:15">
      <c r="E349" s="1"/>
      <c r="F349" s="1"/>
      <c r="G349" s="1"/>
      <c r="I349" s="1"/>
      <c r="J349" s="1"/>
      <c r="L349" s="1"/>
      <c r="O349" s="1"/>
    </row>
    <row r="350" spans="5:15">
      <c r="E350" s="1"/>
      <c r="F350" s="1"/>
      <c r="G350" s="1"/>
      <c r="I350" s="1"/>
      <c r="J350" s="1"/>
      <c r="L350" s="1"/>
      <c r="O350" s="1"/>
    </row>
    <row r="351" spans="5:15">
      <c r="E351" s="1"/>
      <c r="F351" s="1"/>
      <c r="G351" s="1"/>
      <c r="I351" s="1"/>
      <c r="J351" s="1"/>
      <c r="L351" s="1"/>
      <c r="O351" s="1"/>
    </row>
    <row r="352" spans="5:15">
      <c r="E352" s="1"/>
      <c r="F352" s="1"/>
      <c r="G352" s="1"/>
      <c r="I352" s="1"/>
      <c r="J352" s="1"/>
      <c r="L352" s="1"/>
      <c r="O352" s="1"/>
    </row>
    <row r="353" spans="5:15">
      <c r="E353" s="1"/>
      <c r="F353" s="1"/>
      <c r="G353" s="1"/>
      <c r="I353" s="1"/>
      <c r="J353" s="1"/>
      <c r="L353" s="1"/>
      <c r="O353" s="1"/>
    </row>
    <row r="354" spans="5:15">
      <c r="E354" s="1"/>
      <c r="F354" s="1"/>
      <c r="G354" s="1"/>
      <c r="I354" s="1"/>
      <c r="J354" s="1"/>
      <c r="L354" s="1"/>
      <c r="O354" s="1"/>
    </row>
    <row r="355" spans="5:15">
      <c r="E355" s="1"/>
      <c r="F355" s="1"/>
      <c r="G355" s="1"/>
      <c r="I355" s="1"/>
      <c r="J355" s="1"/>
      <c r="L355" s="1"/>
      <c r="O355" s="1"/>
    </row>
    <row r="356" spans="5:15">
      <c r="E356" s="1"/>
      <c r="F356" s="1"/>
      <c r="G356" s="1"/>
      <c r="I356" s="1"/>
      <c r="J356" s="1"/>
      <c r="L356" s="1"/>
      <c r="O356" s="1"/>
    </row>
    <row r="357" spans="5:15">
      <c r="E357" s="1"/>
      <c r="F357" s="1"/>
      <c r="G357" s="1"/>
      <c r="I357" s="1"/>
      <c r="J357" s="1"/>
      <c r="L357" s="1"/>
      <c r="O357" s="1"/>
    </row>
    <row r="358" spans="5:15">
      <c r="E358" s="1"/>
      <c r="F358" s="1"/>
      <c r="G358" s="1"/>
      <c r="I358" s="1"/>
      <c r="J358" s="1"/>
      <c r="L358" s="1"/>
      <c r="O358" s="1"/>
    </row>
    <row r="359" spans="5:15">
      <c r="E359" s="1"/>
      <c r="F359" s="1"/>
      <c r="G359" s="1"/>
      <c r="I359" s="1"/>
      <c r="J359" s="1"/>
      <c r="L359" s="1"/>
      <c r="O359" s="1"/>
    </row>
    <row r="360" spans="5:15">
      <c r="E360" s="1"/>
      <c r="F360" s="1"/>
      <c r="G360" s="1"/>
      <c r="I360" s="1"/>
      <c r="J360" s="1"/>
      <c r="L360" s="1"/>
      <c r="O360" s="1"/>
    </row>
    <row r="361" spans="5:15">
      <c r="E361" s="1"/>
      <c r="F361" s="1"/>
      <c r="G361" s="1"/>
      <c r="I361" s="1"/>
      <c r="J361" s="1"/>
      <c r="L361" s="1"/>
      <c r="O361" s="1"/>
    </row>
    <row r="362" spans="5:15">
      <c r="E362" s="1"/>
      <c r="F362" s="1"/>
      <c r="G362" s="1"/>
      <c r="I362" s="1"/>
      <c r="J362" s="1"/>
      <c r="L362" s="1"/>
      <c r="O362" s="1"/>
    </row>
    <row r="363" spans="5:15">
      <c r="E363" s="1"/>
      <c r="F363" s="1"/>
      <c r="G363" s="1"/>
      <c r="I363" s="1"/>
      <c r="J363" s="1"/>
      <c r="L363" s="1"/>
      <c r="O363" s="1"/>
    </row>
    <row r="364" spans="5:15">
      <c r="E364" s="1"/>
      <c r="F364" s="1"/>
      <c r="G364" s="1"/>
      <c r="I364" s="1"/>
      <c r="J364" s="1"/>
      <c r="L364" s="1"/>
      <c r="O364" s="1"/>
    </row>
    <row r="365" spans="5:15">
      <c r="E365" s="1"/>
      <c r="F365" s="1"/>
      <c r="G365" s="1"/>
      <c r="I365" s="1"/>
      <c r="J365" s="1"/>
      <c r="L365" s="1"/>
      <c r="O365" s="1"/>
    </row>
    <row r="366" spans="5:15">
      <c r="E366" s="1"/>
      <c r="F366" s="1"/>
      <c r="G366" s="1"/>
      <c r="I366" s="1"/>
      <c r="J366" s="1"/>
      <c r="L366" s="1"/>
      <c r="O366" s="1"/>
    </row>
    <row r="367" spans="5:15">
      <c r="E367" s="1"/>
      <c r="F367" s="1"/>
      <c r="G367" s="1"/>
      <c r="I367" s="1"/>
      <c r="J367" s="1"/>
      <c r="L367" s="1"/>
      <c r="O367" s="1"/>
    </row>
    <row r="368" spans="5:15">
      <c r="E368" s="1"/>
      <c r="F368" s="1"/>
      <c r="G368" s="1"/>
      <c r="I368" s="1"/>
      <c r="J368" s="1"/>
      <c r="L368" s="1"/>
      <c r="O368" s="1"/>
    </row>
    <row r="369" spans="5:15">
      <c r="E369" s="1"/>
      <c r="F369" s="1"/>
      <c r="G369" s="1"/>
      <c r="I369" s="1"/>
      <c r="J369" s="1"/>
      <c r="L369" s="1"/>
      <c r="O369" s="1"/>
    </row>
    <row r="370" spans="5:15">
      <c r="E370" s="1"/>
      <c r="F370" s="1"/>
      <c r="G370" s="1"/>
      <c r="I370" s="1"/>
      <c r="J370" s="1"/>
      <c r="L370" s="1"/>
      <c r="O370" s="1"/>
    </row>
    <row r="371" spans="5:15">
      <c r="E371" s="1"/>
      <c r="F371" s="1"/>
      <c r="G371" s="1"/>
      <c r="I371" s="1"/>
      <c r="J371" s="1"/>
      <c r="L371" s="1"/>
      <c r="O371" s="1"/>
    </row>
    <row r="372" spans="5:15">
      <c r="E372" s="1"/>
      <c r="F372" s="1"/>
      <c r="G372" s="1"/>
      <c r="I372" s="1"/>
      <c r="J372" s="1"/>
      <c r="L372" s="1"/>
      <c r="O372" s="1"/>
    </row>
    <row r="373" spans="5:15">
      <c r="E373" s="1"/>
      <c r="F373" s="1"/>
      <c r="G373" s="1"/>
      <c r="I373" s="1"/>
      <c r="J373" s="1"/>
      <c r="L373" s="1"/>
      <c r="O373" s="1"/>
    </row>
    <row r="374" spans="5:15">
      <c r="E374" s="1"/>
      <c r="F374" s="1"/>
      <c r="G374" s="1"/>
      <c r="I374" s="1"/>
      <c r="J374" s="1"/>
      <c r="L374" s="1"/>
      <c r="O374" s="1"/>
    </row>
    <row r="375" spans="5:15">
      <c r="E375" s="1"/>
      <c r="F375" s="1"/>
      <c r="G375" s="1"/>
      <c r="I375" s="1"/>
      <c r="J375" s="1"/>
      <c r="L375" s="1"/>
      <c r="O375" s="1"/>
    </row>
    <row r="376" spans="5:15">
      <c r="E376" s="1"/>
      <c r="F376" s="1"/>
      <c r="G376" s="1"/>
      <c r="I376" s="1"/>
      <c r="J376" s="1"/>
      <c r="L376" s="1"/>
      <c r="O376" s="1"/>
    </row>
    <row r="377" spans="5:15">
      <c r="E377" s="1"/>
      <c r="F377" s="1"/>
      <c r="G377" s="1"/>
      <c r="I377" s="1"/>
      <c r="J377" s="1"/>
      <c r="L377" s="1"/>
      <c r="O377" s="1"/>
    </row>
    <row r="378" spans="5:15">
      <c r="E378" s="1"/>
      <c r="F378" s="1"/>
      <c r="G378" s="1"/>
      <c r="I378" s="1"/>
      <c r="J378" s="1"/>
      <c r="L378" s="1"/>
      <c r="O378" s="1"/>
    </row>
    <row r="379" spans="5:15">
      <c r="E379" s="1"/>
      <c r="F379" s="1"/>
      <c r="G379" s="1"/>
      <c r="I379" s="1"/>
      <c r="J379" s="1"/>
      <c r="L379" s="1"/>
      <c r="O379" s="1"/>
    </row>
    <row r="380" spans="5:15">
      <c r="E380" s="1"/>
      <c r="F380" s="1"/>
      <c r="G380" s="1"/>
      <c r="I380" s="1"/>
      <c r="J380" s="1"/>
      <c r="L380" s="1"/>
      <c r="O380" s="1"/>
    </row>
    <row r="381" spans="5:15">
      <c r="E381" s="1"/>
      <c r="F381" s="1"/>
      <c r="G381" s="1"/>
      <c r="I381" s="1"/>
      <c r="J381" s="1"/>
      <c r="L381" s="1"/>
      <c r="O381" s="1"/>
    </row>
    <row r="382" spans="5:15">
      <c r="E382" s="1"/>
      <c r="F382" s="1"/>
      <c r="G382" s="1"/>
      <c r="I382" s="1"/>
      <c r="J382" s="1"/>
      <c r="L382" s="1"/>
      <c r="O382" s="1"/>
    </row>
    <row r="383" spans="5:15">
      <c r="E383" s="1"/>
      <c r="F383" s="1"/>
      <c r="G383" s="1"/>
      <c r="I383" s="1"/>
      <c r="J383" s="1"/>
      <c r="L383" s="1"/>
      <c r="O383" s="1"/>
    </row>
    <row r="384" spans="5:15">
      <c r="E384" s="1"/>
      <c r="F384" s="1"/>
      <c r="G384" s="1"/>
      <c r="I384" s="1"/>
      <c r="J384" s="1"/>
      <c r="L384" s="1"/>
      <c r="O384" s="1"/>
    </row>
    <row r="385" spans="5:15">
      <c r="E385" s="1"/>
      <c r="F385" s="1"/>
      <c r="G385" s="1"/>
      <c r="I385" s="1"/>
      <c r="J385" s="1"/>
      <c r="L385" s="1"/>
      <c r="O385" s="1"/>
    </row>
    <row r="386" spans="5:15">
      <c r="E386" s="1"/>
      <c r="F386" s="1"/>
      <c r="G386" s="1"/>
      <c r="I386" s="1"/>
      <c r="J386" s="1"/>
      <c r="L386" s="1"/>
      <c r="O386" s="1"/>
    </row>
    <row r="387" spans="5:15">
      <c r="E387" s="1"/>
      <c r="F387" s="1"/>
      <c r="G387" s="1"/>
      <c r="I387" s="1"/>
      <c r="J387" s="1"/>
      <c r="L387" s="1"/>
      <c r="O387" s="1"/>
    </row>
    <row r="388" spans="5:15">
      <c r="E388" s="1"/>
      <c r="F388" s="1"/>
      <c r="G388" s="1"/>
      <c r="I388" s="1"/>
      <c r="J388" s="1"/>
      <c r="L388" s="1"/>
      <c r="O388" s="1"/>
    </row>
    <row r="389" spans="5:15">
      <c r="E389" s="1"/>
      <c r="F389" s="1"/>
      <c r="G389" s="1"/>
      <c r="I389" s="1"/>
      <c r="J389" s="1"/>
      <c r="L389" s="1"/>
      <c r="O389" s="1"/>
    </row>
    <row r="390" spans="5:15">
      <c r="E390" s="1"/>
      <c r="F390" s="1"/>
      <c r="G390" s="1"/>
      <c r="I390" s="1"/>
      <c r="J390" s="1"/>
      <c r="L390" s="1"/>
      <c r="O390" s="1"/>
    </row>
    <row r="391" spans="5:15">
      <c r="E391" s="1"/>
      <c r="F391" s="1"/>
      <c r="G391" s="1"/>
      <c r="I391" s="1"/>
      <c r="J391" s="1"/>
      <c r="L391" s="1"/>
      <c r="O391" s="1"/>
    </row>
    <row r="392" spans="5:15">
      <c r="E392" s="1"/>
      <c r="F392" s="1"/>
      <c r="G392" s="1"/>
      <c r="I392" s="1"/>
      <c r="J392" s="1"/>
      <c r="L392" s="1"/>
      <c r="O392" s="1"/>
    </row>
    <row r="393" spans="5:15">
      <c r="E393" s="1"/>
      <c r="F393" s="1"/>
      <c r="G393" s="1"/>
      <c r="I393" s="1"/>
      <c r="J393" s="1"/>
      <c r="L393" s="1"/>
      <c r="O393" s="1"/>
    </row>
    <row r="394" spans="5:15">
      <c r="E394" s="1"/>
      <c r="F394" s="1"/>
      <c r="G394" s="1"/>
      <c r="I394" s="1"/>
      <c r="J394" s="1"/>
      <c r="L394" s="1"/>
      <c r="O394" s="1"/>
    </row>
    <row r="395" spans="5:15">
      <c r="E395" s="1"/>
      <c r="F395" s="1"/>
      <c r="G395" s="1"/>
      <c r="I395" s="1"/>
      <c r="J395" s="1"/>
      <c r="L395" s="1"/>
      <c r="O395" s="1"/>
    </row>
    <row r="396" spans="5:15">
      <c r="E396" s="1"/>
      <c r="F396" s="1"/>
      <c r="G396" s="1"/>
      <c r="I396" s="1"/>
      <c r="J396" s="1"/>
      <c r="L396" s="1"/>
      <c r="O396" s="1"/>
    </row>
    <row r="397" spans="5:15">
      <c r="E397" s="1"/>
      <c r="F397" s="1"/>
      <c r="G397" s="1"/>
      <c r="I397" s="1"/>
      <c r="J397" s="1"/>
      <c r="L397" s="1"/>
      <c r="O397" s="1"/>
    </row>
    <row r="398" spans="5:15">
      <c r="E398" s="1"/>
      <c r="F398" s="1"/>
      <c r="G398" s="1"/>
      <c r="I398" s="1"/>
      <c r="J398" s="1"/>
      <c r="L398" s="1"/>
      <c r="O398" s="1"/>
    </row>
    <row r="399" spans="5:15">
      <c r="E399" s="1"/>
      <c r="F399" s="1"/>
      <c r="G399" s="1"/>
      <c r="I399" s="1"/>
      <c r="J399" s="1"/>
      <c r="L399" s="1"/>
      <c r="O399" s="1"/>
    </row>
    <row r="400" spans="5:15">
      <c r="E400" s="1"/>
      <c r="F400" s="1"/>
      <c r="G400" s="1"/>
      <c r="I400" s="1"/>
      <c r="J400" s="1"/>
      <c r="L400" s="1"/>
      <c r="O400" s="1"/>
    </row>
    <row r="401" spans="5:15">
      <c r="E401" s="1"/>
      <c r="F401" s="1"/>
      <c r="G401" s="1"/>
      <c r="I401" s="1"/>
      <c r="J401" s="1"/>
      <c r="L401" s="1"/>
      <c r="O401" s="1"/>
    </row>
    <row r="402" spans="5:15">
      <c r="E402" s="1"/>
      <c r="F402" s="1"/>
      <c r="G402" s="1"/>
      <c r="I402" s="1"/>
      <c r="J402" s="1"/>
      <c r="L402" s="1"/>
      <c r="O402" s="1"/>
    </row>
    <row r="403" spans="5:15">
      <c r="E403" s="1"/>
      <c r="F403" s="1"/>
      <c r="G403" s="1"/>
      <c r="I403" s="1"/>
      <c r="J403" s="1"/>
      <c r="L403" s="1"/>
      <c r="O403" s="1"/>
    </row>
    <row r="404" spans="5:15">
      <c r="E404" s="1"/>
      <c r="F404" s="1"/>
      <c r="G404" s="1"/>
      <c r="I404" s="1"/>
      <c r="J404" s="1"/>
      <c r="L404" s="1"/>
      <c r="O404" s="1"/>
    </row>
    <row r="405" spans="5:15">
      <c r="E405" s="1"/>
      <c r="F405" s="1"/>
      <c r="G405" s="1"/>
      <c r="I405" s="1"/>
      <c r="J405" s="1"/>
      <c r="L405" s="1"/>
      <c r="O405" s="1"/>
    </row>
    <row r="406" spans="5:15">
      <c r="E406" s="1"/>
      <c r="F406" s="1"/>
      <c r="G406" s="1"/>
      <c r="I406" s="1"/>
      <c r="J406" s="1"/>
      <c r="L406" s="1"/>
      <c r="O406" s="1"/>
    </row>
    <row r="407" spans="5:15">
      <c r="E407" s="1"/>
      <c r="F407" s="1"/>
      <c r="G407" s="1"/>
      <c r="I407" s="1"/>
      <c r="J407" s="1"/>
      <c r="L407" s="1"/>
      <c r="O407" s="1"/>
    </row>
    <row r="408" spans="5:15">
      <c r="E408" s="1"/>
      <c r="F408" s="1"/>
      <c r="G408" s="1"/>
      <c r="I408" s="1"/>
      <c r="J408" s="1"/>
      <c r="L408" s="1"/>
      <c r="O408" s="1"/>
    </row>
    <row r="409" spans="5:15">
      <c r="E409" s="1"/>
      <c r="F409" s="1"/>
      <c r="G409" s="1"/>
      <c r="I409" s="1"/>
      <c r="J409" s="1"/>
      <c r="L409" s="1"/>
      <c r="O409" s="1"/>
    </row>
    <row r="410" spans="5:15">
      <c r="E410" s="1"/>
      <c r="F410" s="1"/>
      <c r="G410" s="1"/>
      <c r="I410" s="1"/>
      <c r="J410" s="1"/>
      <c r="L410" s="1"/>
      <c r="O410" s="1"/>
    </row>
    <row r="411" spans="5:15">
      <c r="E411" s="1"/>
      <c r="F411" s="1"/>
      <c r="G411" s="1"/>
      <c r="I411" s="1"/>
      <c r="J411" s="1"/>
      <c r="L411" s="1"/>
      <c r="O411" s="1"/>
    </row>
    <row r="412" spans="5:15">
      <c r="E412" s="1"/>
      <c r="F412" s="1"/>
      <c r="G412" s="1"/>
      <c r="I412" s="1"/>
      <c r="J412" s="1"/>
      <c r="L412" s="1"/>
      <c r="O412" s="1"/>
    </row>
    <row r="413" spans="5:15">
      <c r="E413" s="1"/>
      <c r="F413" s="1"/>
      <c r="G413" s="1"/>
      <c r="I413" s="1"/>
      <c r="J413" s="1"/>
      <c r="L413" s="1"/>
      <c r="O413" s="1"/>
    </row>
    <row r="414" spans="5:15">
      <c r="E414" s="1"/>
      <c r="F414" s="1"/>
      <c r="G414" s="1"/>
      <c r="I414" s="1"/>
      <c r="J414" s="1"/>
      <c r="L414" s="1"/>
      <c r="O414" s="1"/>
    </row>
    <row r="415" spans="5:15">
      <c r="E415" s="1"/>
      <c r="F415" s="1"/>
      <c r="G415" s="1"/>
      <c r="I415" s="1"/>
      <c r="J415" s="1"/>
      <c r="L415" s="1"/>
      <c r="O415" s="1"/>
    </row>
    <row r="416" spans="5:15">
      <c r="E416" s="1"/>
      <c r="F416" s="1"/>
      <c r="G416" s="1"/>
      <c r="I416" s="1"/>
      <c r="J416" s="1"/>
      <c r="L416" s="1"/>
      <c r="O416" s="1"/>
    </row>
    <row r="417" spans="5:15">
      <c r="E417" s="1"/>
      <c r="F417" s="1"/>
      <c r="G417" s="1"/>
      <c r="I417" s="1"/>
      <c r="J417" s="1"/>
      <c r="L417" s="1"/>
      <c r="O417" s="1"/>
    </row>
    <row r="418" spans="5:15">
      <c r="E418" s="1"/>
      <c r="F418" s="1"/>
      <c r="G418" s="1"/>
      <c r="I418" s="1"/>
      <c r="J418" s="1"/>
      <c r="L418" s="1"/>
      <c r="O418" s="1"/>
    </row>
    <row r="419" spans="5:15">
      <c r="E419" s="1"/>
      <c r="F419" s="1"/>
      <c r="G419" s="1"/>
      <c r="I419" s="1"/>
      <c r="J419" s="1"/>
      <c r="L419" s="1"/>
      <c r="O419" s="1"/>
    </row>
    <row r="420" spans="5:15">
      <c r="E420" s="1"/>
      <c r="F420" s="1"/>
      <c r="G420" s="1"/>
      <c r="I420" s="1"/>
      <c r="J420" s="1"/>
      <c r="L420" s="1"/>
      <c r="O420" s="1"/>
    </row>
    <row r="421" spans="5:15">
      <c r="E421" s="1"/>
      <c r="F421" s="1"/>
      <c r="G421" s="1"/>
      <c r="I421" s="1"/>
      <c r="J421" s="1"/>
      <c r="L421" s="1"/>
      <c r="O421" s="1"/>
    </row>
    <row r="422" spans="5:15">
      <c r="E422" s="1"/>
      <c r="F422" s="1"/>
      <c r="G422" s="1"/>
      <c r="I422" s="1"/>
      <c r="J422" s="1"/>
      <c r="L422" s="1"/>
      <c r="O422" s="1"/>
    </row>
    <row r="423" spans="5:15">
      <c r="E423" s="1"/>
      <c r="F423" s="1"/>
      <c r="G423" s="1"/>
      <c r="I423" s="1"/>
      <c r="J423" s="1"/>
      <c r="L423" s="1"/>
      <c r="O423" s="1"/>
    </row>
    <row r="424" spans="5:15">
      <c r="E424" s="1"/>
      <c r="F424" s="1"/>
      <c r="G424" s="1"/>
      <c r="I424" s="1"/>
      <c r="J424" s="1"/>
      <c r="L424" s="1"/>
      <c r="O424" s="1"/>
    </row>
    <row r="425" spans="5:15">
      <c r="E425" s="1"/>
      <c r="F425" s="1"/>
      <c r="G425" s="1"/>
      <c r="I425" s="1"/>
      <c r="J425" s="1"/>
      <c r="L425" s="1"/>
      <c r="O425" s="1"/>
    </row>
    <row r="426" spans="5:15">
      <c r="E426" s="1"/>
      <c r="F426" s="1"/>
      <c r="G426" s="1"/>
      <c r="I426" s="1"/>
      <c r="J426" s="1"/>
      <c r="L426" s="1"/>
      <c r="O426" s="1"/>
    </row>
    <row r="427" spans="5:15">
      <c r="E427" s="1"/>
      <c r="F427" s="1"/>
      <c r="G427" s="1"/>
      <c r="I427" s="1"/>
      <c r="J427" s="1"/>
      <c r="L427" s="1"/>
      <c r="O427" s="1"/>
    </row>
    <row r="428" spans="5:15">
      <c r="E428" s="1"/>
      <c r="F428" s="1"/>
      <c r="G428" s="1"/>
      <c r="I428" s="1"/>
      <c r="J428" s="1"/>
      <c r="L428" s="1"/>
      <c r="O428" s="1"/>
    </row>
    <row r="429" spans="5:15">
      <c r="E429" s="1"/>
      <c r="F429" s="1"/>
      <c r="G429" s="1"/>
      <c r="I429" s="1"/>
      <c r="J429" s="1"/>
      <c r="L429" s="1"/>
      <c r="O429" s="1"/>
    </row>
    <row r="430" spans="5:15">
      <c r="E430" s="1"/>
      <c r="F430" s="1"/>
      <c r="G430" s="1"/>
      <c r="I430" s="1"/>
      <c r="J430" s="1"/>
      <c r="L430" s="1"/>
      <c r="O430" s="1"/>
    </row>
    <row r="431" spans="5:15">
      <c r="E431" s="1"/>
      <c r="F431" s="1"/>
      <c r="G431" s="1"/>
      <c r="I431" s="1"/>
      <c r="J431" s="1"/>
      <c r="L431" s="1"/>
      <c r="O431" s="1"/>
    </row>
    <row r="432" spans="5:15">
      <c r="E432" s="1"/>
      <c r="F432" s="1"/>
      <c r="G432" s="1"/>
      <c r="I432" s="1"/>
      <c r="J432" s="1"/>
      <c r="L432" s="1"/>
      <c r="O432" s="1"/>
    </row>
    <row r="433" spans="5:15">
      <c r="E433" s="1"/>
      <c r="F433" s="1"/>
      <c r="G433" s="1"/>
      <c r="I433" s="1"/>
      <c r="J433" s="1"/>
      <c r="L433" s="1"/>
      <c r="O433" s="1"/>
    </row>
    <row r="434" spans="5:15">
      <c r="E434" s="1"/>
      <c r="F434" s="1"/>
      <c r="G434" s="1"/>
      <c r="I434" s="1"/>
      <c r="J434" s="1"/>
      <c r="L434" s="1"/>
      <c r="O434" s="1"/>
    </row>
    <row r="435" spans="5:15">
      <c r="E435" s="1"/>
      <c r="F435" s="1"/>
      <c r="G435" s="1"/>
      <c r="I435" s="1"/>
      <c r="J435" s="1"/>
      <c r="L435" s="1"/>
      <c r="O435" s="1"/>
    </row>
    <row r="436" spans="5:15">
      <c r="E436" s="1"/>
      <c r="F436" s="1"/>
      <c r="G436" s="1"/>
      <c r="I436" s="1"/>
      <c r="J436" s="1"/>
      <c r="L436" s="1"/>
      <c r="O436" s="1"/>
    </row>
    <row r="437" spans="5:15">
      <c r="E437" s="1"/>
      <c r="F437" s="1"/>
      <c r="G437" s="1"/>
      <c r="I437" s="1"/>
      <c r="J437" s="1"/>
      <c r="L437" s="1"/>
      <c r="O437" s="1"/>
    </row>
    <row r="438" spans="5:15">
      <c r="E438" s="1"/>
      <c r="F438" s="1"/>
      <c r="G438" s="1"/>
      <c r="I438" s="1"/>
      <c r="J438" s="1"/>
      <c r="L438" s="1"/>
      <c r="O438" s="1"/>
    </row>
    <row r="439" spans="5:15">
      <c r="E439" s="1"/>
      <c r="F439" s="1"/>
      <c r="G439" s="1"/>
      <c r="I439" s="1"/>
      <c r="J439" s="1"/>
      <c r="L439" s="1"/>
      <c r="O439" s="1"/>
    </row>
    <row r="440" spans="5:15">
      <c r="E440" s="1"/>
      <c r="F440" s="1"/>
      <c r="G440" s="1"/>
      <c r="I440" s="1"/>
      <c r="J440" s="1"/>
      <c r="L440" s="1"/>
      <c r="O440" s="1"/>
    </row>
    <row r="441" spans="5:15">
      <c r="E441" s="1"/>
      <c r="F441" s="1"/>
      <c r="G441" s="1"/>
      <c r="I441" s="1"/>
      <c r="J441" s="1"/>
      <c r="L441" s="1"/>
      <c r="O441" s="1"/>
    </row>
    <row r="442" spans="5:15">
      <c r="E442" s="1"/>
      <c r="F442" s="1"/>
      <c r="G442" s="1"/>
      <c r="I442" s="1"/>
      <c r="J442" s="1"/>
      <c r="L442" s="1"/>
      <c r="O442" s="1"/>
    </row>
    <row r="443" spans="5:15">
      <c r="E443" s="1"/>
      <c r="F443" s="1"/>
      <c r="G443" s="1"/>
      <c r="I443" s="1"/>
      <c r="J443" s="1"/>
      <c r="L443" s="1"/>
      <c r="O443" s="1"/>
    </row>
    <row r="444" spans="5:15">
      <c r="E444" s="1"/>
      <c r="F444" s="1"/>
      <c r="G444" s="1"/>
      <c r="I444" s="1"/>
      <c r="J444" s="1"/>
      <c r="L444" s="1"/>
      <c r="O444" s="1"/>
    </row>
    <row r="445" spans="5:15">
      <c r="E445" s="1"/>
      <c r="F445" s="1"/>
      <c r="G445" s="1"/>
      <c r="I445" s="1"/>
      <c r="J445" s="1"/>
      <c r="L445" s="1"/>
      <c r="O445" s="1"/>
    </row>
    <row r="446" spans="5:15">
      <c r="E446" s="1"/>
      <c r="F446" s="1"/>
      <c r="G446" s="1"/>
      <c r="I446" s="1"/>
      <c r="J446" s="1"/>
      <c r="L446" s="1"/>
      <c r="O446" s="1"/>
    </row>
    <row r="447" spans="5:15">
      <c r="E447" s="1"/>
      <c r="F447" s="1"/>
      <c r="G447" s="1"/>
      <c r="I447" s="1"/>
      <c r="J447" s="1"/>
      <c r="L447" s="1"/>
      <c r="O447" s="1"/>
    </row>
    <row r="448" spans="5:15">
      <c r="E448" s="1"/>
      <c r="F448" s="1"/>
      <c r="G448" s="1"/>
      <c r="I448" s="1"/>
      <c r="J448" s="1"/>
      <c r="L448" s="1"/>
      <c r="O448" s="1"/>
    </row>
    <row r="449" spans="5:15">
      <c r="E449" s="1"/>
      <c r="F449" s="1"/>
      <c r="G449" s="1"/>
      <c r="I449" s="1"/>
      <c r="J449" s="1"/>
      <c r="L449" s="1"/>
      <c r="O449" s="1"/>
    </row>
    <row r="450" spans="5:15">
      <c r="E450" s="1"/>
      <c r="F450" s="1"/>
      <c r="G450" s="1"/>
      <c r="I450" s="1"/>
      <c r="J450" s="1"/>
      <c r="L450" s="1"/>
      <c r="O450" s="1"/>
    </row>
    <row r="451" spans="5:15">
      <c r="E451" s="1"/>
      <c r="F451" s="1"/>
      <c r="G451" s="1"/>
      <c r="I451" s="1"/>
      <c r="J451" s="1"/>
      <c r="L451" s="1"/>
      <c r="O451" s="1"/>
    </row>
    <row r="452" spans="5:15">
      <c r="E452" s="1"/>
      <c r="F452" s="1"/>
      <c r="G452" s="1"/>
      <c r="I452" s="1"/>
      <c r="J452" s="1"/>
      <c r="L452" s="1"/>
      <c r="O452" s="1"/>
    </row>
    <row r="453" spans="5:15">
      <c r="E453" s="1"/>
      <c r="F453" s="1"/>
      <c r="G453" s="1"/>
      <c r="I453" s="1"/>
      <c r="J453" s="1"/>
      <c r="L453" s="1"/>
      <c r="O453" s="1"/>
    </row>
    <row r="454" spans="5:15">
      <c r="E454" s="1"/>
      <c r="F454" s="1"/>
      <c r="G454" s="1"/>
      <c r="I454" s="1"/>
      <c r="J454" s="1"/>
      <c r="L454" s="1"/>
      <c r="O454" s="1"/>
    </row>
    <row r="455" spans="5:15">
      <c r="E455" s="1"/>
      <c r="F455" s="1"/>
      <c r="G455" s="1"/>
      <c r="I455" s="1"/>
      <c r="J455" s="1"/>
      <c r="L455" s="1"/>
      <c r="O455" s="1"/>
    </row>
    <row r="456" spans="5:15">
      <c r="E456" s="1"/>
      <c r="F456" s="1"/>
      <c r="G456" s="1"/>
      <c r="I456" s="1"/>
      <c r="J456" s="1"/>
      <c r="L456" s="1"/>
      <c r="O456" s="1"/>
    </row>
    <row r="457" spans="5:15">
      <c r="E457" s="1"/>
      <c r="F457" s="1"/>
      <c r="G457" s="1"/>
      <c r="I457" s="1"/>
      <c r="J457" s="1"/>
      <c r="L457" s="1"/>
      <c r="O457" s="1"/>
    </row>
    <row r="458" spans="5:15">
      <c r="E458" s="1"/>
      <c r="F458" s="1"/>
      <c r="G458" s="1"/>
      <c r="I458" s="1"/>
      <c r="J458" s="1"/>
      <c r="L458" s="1"/>
      <c r="O458" s="1"/>
    </row>
    <row r="459" spans="5:15">
      <c r="E459" s="1"/>
      <c r="F459" s="1"/>
      <c r="G459" s="1"/>
      <c r="I459" s="1"/>
      <c r="J459" s="1"/>
      <c r="L459" s="1"/>
      <c r="O459" s="1"/>
    </row>
    <row r="460" spans="5:15">
      <c r="E460" s="1"/>
      <c r="F460" s="1"/>
      <c r="G460" s="1"/>
      <c r="I460" s="1"/>
      <c r="J460" s="1"/>
      <c r="L460" s="1"/>
      <c r="O460" s="1"/>
    </row>
    <row r="461" spans="5:15">
      <c r="E461" s="1"/>
      <c r="F461" s="1"/>
      <c r="G461" s="1"/>
      <c r="I461" s="1"/>
      <c r="J461" s="1"/>
      <c r="L461" s="1"/>
      <c r="O461" s="1"/>
    </row>
    <row r="462" spans="5:15">
      <c r="E462" s="1"/>
      <c r="F462" s="1"/>
      <c r="G462" s="1"/>
      <c r="I462" s="1"/>
      <c r="J462" s="1"/>
      <c r="L462" s="1"/>
      <c r="O462" s="1"/>
    </row>
    <row r="463" spans="5:15">
      <c r="E463" s="1"/>
      <c r="F463" s="1"/>
      <c r="G463" s="1"/>
      <c r="I463" s="1"/>
      <c r="J463" s="1"/>
      <c r="L463" s="1"/>
      <c r="O463" s="1"/>
    </row>
    <row r="464" spans="5:15">
      <c r="E464" s="1"/>
      <c r="F464" s="1"/>
      <c r="G464" s="1"/>
      <c r="I464" s="1"/>
      <c r="J464" s="1"/>
      <c r="L464" s="1"/>
      <c r="O464" s="1"/>
    </row>
    <row r="465" spans="5:15">
      <c r="E465" s="1"/>
      <c r="F465" s="1"/>
      <c r="G465" s="1"/>
      <c r="I465" s="1"/>
      <c r="J465" s="1"/>
      <c r="L465" s="1"/>
      <c r="O465" s="1"/>
    </row>
    <row r="466" spans="5:15">
      <c r="E466" s="1"/>
      <c r="F466" s="1"/>
      <c r="G466" s="1"/>
      <c r="I466" s="1"/>
      <c r="J466" s="1"/>
      <c r="L466" s="1"/>
      <c r="O466" s="1"/>
    </row>
    <row r="467" spans="5:15">
      <c r="E467" s="1"/>
      <c r="F467" s="1"/>
      <c r="G467" s="1"/>
      <c r="I467" s="1"/>
      <c r="J467" s="1"/>
      <c r="L467" s="1"/>
      <c r="O467" s="1"/>
    </row>
    <row r="468" spans="5:15">
      <c r="E468" s="1"/>
      <c r="F468" s="1"/>
      <c r="G468" s="1"/>
      <c r="I468" s="1"/>
      <c r="J468" s="1"/>
      <c r="L468" s="1"/>
      <c r="O468" s="1"/>
    </row>
    <row r="469" spans="5:15">
      <c r="E469" s="1"/>
      <c r="F469" s="1"/>
      <c r="G469" s="1"/>
      <c r="I469" s="1"/>
      <c r="J469" s="1"/>
      <c r="L469" s="1"/>
      <c r="O469" s="1"/>
    </row>
    <row r="470" spans="5:15">
      <c r="E470" s="1"/>
      <c r="F470" s="1"/>
      <c r="G470" s="1"/>
      <c r="I470" s="1"/>
      <c r="J470" s="1"/>
      <c r="L470" s="1"/>
      <c r="O470" s="1"/>
    </row>
    <row r="471" spans="5:15">
      <c r="E471" s="1"/>
      <c r="F471" s="1"/>
      <c r="G471" s="1"/>
      <c r="I471" s="1"/>
      <c r="J471" s="1"/>
      <c r="L471" s="1"/>
      <c r="O471" s="1"/>
    </row>
    <row r="472" spans="5:15">
      <c r="E472" s="1"/>
      <c r="F472" s="1"/>
      <c r="G472" s="1"/>
      <c r="I472" s="1"/>
      <c r="J472" s="1"/>
      <c r="L472" s="1"/>
      <c r="O472" s="1"/>
    </row>
    <row r="473" spans="5:15">
      <c r="E473" s="1"/>
      <c r="F473" s="1"/>
      <c r="G473" s="1"/>
      <c r="I473" s="1"/>
      <c r="J473" s="1"/>
      <c r="L473" s="1"/>
      <c r="O473" s="1"/>
    </row>
    <row r="474" spans="5:15">
      <c r="E474" s="1"/>
      <c r="F474" s="1"/>
      <c r="G474" s="1"/>
      <c r="I474" s="1"/>
      <c r="J474" s="1"/>
      <c r="L474" s="1"/>
      <c r="O474" s="1"/>
    </row>
    <row r="475" spans="5:15">
      <c r="E475" s="1"/>
      <c r="F475" s="1"/>
      <c r="G475" s="1"/>
      <c r="I475" s="1"/>
      <c r="J475" s="1"/>
      <c r="L475" s="1"/>
      <c r="O475" s="1"/>
    </row>
    <row r="476" spans="5:15">
      <c r="E476" s="1"/>
      <c r="F476" s="1"/>
      <c r="G476" s="1"/>
      <c r="I476" s="1"/>
      <c r="J476" s="1"/>
      <c r="L476" s="1"/>
      <c r="O476" s="1"/>
    </row>
    <row r="477" spans="5:15">
      <c r="E477" s="1"/>
      <c r="F477" s="1"/>
      <c r="G477" s="1"/>
      <c r="I477" s="1"/>
      <c r="J477" s="1"/>
      <c r="L477" s="1"/>
      <c r="O477" s="1"/>
    </row>
    <row r="478" spans="5:15">
      <c r="E478" s="1"/>
      <c r="F478" s="1"/>
      <c r="G478" s="1"/>
      <c r="I478" s="1"/>
      <c r="J478" s="1"/>
      <c r="L478" s="1"/>
      <c r="O478" s="1"/>
    </row>
    <row r="479" spans="5:15">
      <c r="E479" s="1"/>
      <c r="F479" s="1"/>
      <c r="G479" s="1"/>
      <c r="I479" s="1"/>
      <c r="J479" s="1"/>
      <c r="L479" s="1"/>
      <c r="O479" s="1"/>
    </row>
    <row r="480" spans="5:15">
      <c r="E480" s="1"/>
      <c r="F480" s="1"/>
      <c r="G480" s="1"/>
      <c r="I480" s="1"/>
      <c r="J480" s="1"/>
      <c r="L480" s="1"/>
      <c r="O480" s="1"/>
    </row>
    <row r="481" spans="5:15">
      <c r="E481" s="1"/>
      <c r="F481" s="1"/>
      <c r="G481" s="1"/>
      <c r="I481" s="1"/>
      <c r="J481" s="1"/>
      <c r="L481" s="1"/>
      <c r="O481" s="1"/>
    </row>
    <row r="482" spans="5:15">
      <c r="E482" s="1"/>
      <c r="F482" s="1"/>
      <c r="G482" s="1"/>
      <c r="I482" s="1"/>
      <c r="J482" s="1"/>
      <c r="L482" s="1"/>
      <c r="O482" s="1"/>
    </row>
    <row r="483" spans="5:15">
      <c r="E483" s="1"/>
      <c r="F483" s="1"/>
      <c r="G483" s="1"/>
      <c r="I483" s="1"/>
      <c r="J483" s="1"/>
      <c r="L483" s="1"/>
      <c r="O483" s="1"/>
    </row>
    <row r="484" spans="5:15">
      <c r="E484" s="1"/>
      <c r="F484" s="1"/>
      <c r="G484" s="1"/>
      <c r="I484" s="1"/>
      <c r="J484" s="1"/>
      <c r="L484" s="1"/>
      <c r="O484" s="1"/>
    </row>
    <row r="485" spans="5:15">
      <c r="E485" s="1"/>
      <c r="F485" s="1"/>
      <c r="G485" s="1"/>
      <c r="I485" s="1"/>
      <c r="J485" s="1"/>
      <c r="L485" s="1"/>
      <c r="O485" s="1"/>
    </row>
    <row r="486" spans="5:15">
      <c r="E486" s="1"/>
      <c r="F486" s="1"/>
      <c r="G486" s="1"/>
      <c r="I486" s="1"/>
      <c r="J486" s="1"/>
      <c r="L486" s="1"/>
      <c r="O486" s="1"/>
    </row>
    <row r="487" spans="5:15">
      <c r="E487" s="1"/>
      <c r="F487" s="1"/>
      <c r="G487" s="1"/>
      <c r="I487" s="1"/>
      <c r="J487" s="1"/>
      <c r="L487" s="1"/>
      <c r="O487" s="1"/>
    </row>
    <row r="488" spans="5:15">
      <c r="E488" s="1"/>
      <c r="F488" s="1"/>
      <c r="G488" s="1"/>
      <c r="I488" s="1"/>
      <c r="J488" s="1"/>
      <c r="L488" s="1"/>
      <c r="O488" s="1"/>
    </row>
    <row r="489" spans="5:15">
      <c r="E489" s="1"/>
      <c r="F489" s="1"/>
      <c r="G489" s="1"/>
      <c r="I489" s="1"/>
      <c r="J489" s="1"/>
      <c r="L489" s="1"/>
      <c r="O489" s="1"/>
    </row>
    <row r="490" spans="5:15">
      <c r="E490" s="1"/>
      <c r="F490" s="1"/>
      <c r="G490" s="1"/>
      <c r="I490" s="1"/>
      <c r="J490" s="1"/>
      <c r="L490" s="1"/>
      <c r="O490" s="1"/>
    </row>
    <row r="491" spans="5:15">
      <c r="E491" s="1"/>
      <c r="F491" s="1"/>
      <c r="G491" s="1"/>
      <c r="I491" s="1"/>
      <c r="J491" s="1"/>
      <c r="L491" s="1"/>
      <c r="O491" s="1"/>
    </row>
    <row r="492" spans="5:15">
      <c r="E492" s="1"/>
      <c r="F492" s="1"/>
      <c r="G492" s="1"/>
      <c r="I492" s="1"/>
      <c r="J492" s="1"/>
      <c r="L492" s="1"/>
      <c r="O492" s="1"/>
    </row>
    <row r="493" spans="5:15">
      <c r="E493" s="1"/>
      <c r="F493" s="1"/>
      <c r="G493" s="1"/>
      <c r="I493" s="1"/>
      <c r="J493" s="1"/>
      <c r="L493" s="1"/>
      <c r="O493" s="1"/>
    </row>
    <row r="494" spans="5:15">
      <c r="E494" s="1"/>
      <c r="F494" s="1"/>
      <c r="G494" s="1"/>
      <c r="I494" s="1"/>
      <c r="J494" s="1"/>
      <c r="L494" s="1"/>
      <c r="O494" s="1"/>
    </row>
    <row r="495" spans="5:15">
      <c r="E495" s="1"/>
      <c r="F495" s="1"/>
      <c r="G495" s="1"/>
      <c r="I495" s="1"/>
      <c r="J495" s="1"/>
      <c r="L495" s="1"/>
      <c r="O495" s="1"/>
    </row>
    <row r="496" spans="5:15">
      <c r="E496" s="1"/>
      <c r="F496" s="1"/>
      <c r="G496" s="1"/>
      <c r="I496" s="1"/>
      <c r="J496" s="1"/>
      <c r="L496" s="1"/>
      <c r="O496" s="1"/>
    </row>
    <row r="497" spans="5:15">
      <c r="E497" s="1"/>
      <c r="F497" s="1"/>
      <c r="G497" s="1"/>
      <c r="I497" s="1"/>
      <c r="J497" s="1"/>
      <c r="L497" s="1"/>
      <c r="O497" s="1"/>
    </row>
    <row r="498" spans="5:15">
      <c r="E498" s="1"/>
      <c r="F498" s="1"/>
      <c r="G498" s="1"/>
      <c r="I498" s="1"/>
      <c r="J498" s="1"/>
      <c r="L498" s="1"/>
      <c r="O498" s="1"/>
    </row>
    <row r="499" spans="5:15">
      <c r="E499" s="1"/>
      <c r="F499" s="1"/>
      <c r="G499" s="1"/>
      <c r="I499" s="1"/>
      <c r="J499" s="1"/>
      <c r="L499" s="1"/>
      <c r="O499" s="1"/>
    </row>
    <row r="500" spans="5:15">
      <c r="E500" s="1"/>
      <c r="F500" s="1"/>
      <c r="G500" s="1"/>
      <c r="I500" s="1"/>
      <c r="J500" s="1"/>
      <c r="L500" s="1"/>
      <c r="O500" s="1"/>
    </row>
    <row r="501" spans="5:15">
      <c r="E501" s="1"/>
      <c r="F501" s="1"/>
      <c r="G501" s="1"/>
      <c r="I501" s="1"/>
      <c r="J501" s="1"/>
      <c r="L501" s="1"/>
      <c r="O501" s="1"/>
    </row>
    <row r="502" spans="5:15">
      <c r="E502" s="1"/>
      <c r="F502" s="1"/>
      <c r="G502" s="1"/>
      <c r="I502" s="1"/>
      <c r="J502" s="1"/>
      <c r="L502" s="1"/>
      <c r="O502" s="1"/>
    </row>
    <row r="503" spans="5:15">
      <c r="E503" s="1"/>
      <c r="F503" s="1"/>
      <c r="G503" s="1"/>
      <c r="I503" s="1"/>
      <c r="J503" s="1"/>
      <c r="L503" s="1"/>
      <c r="O503" s="1"/>
    </row>
    <row r="504" spans="5:15">
      <c r="E504" s="1"/>
      <c r="F504" s="1"/>
      <c r="G504" s="1"/>
      <c r="I504" s="1"/>
      <c r="J504" s="1"/>
      <c r="L504" s="1"/>
      <c r="O504" s="1"/>
    </row>
    <row r="505" spans="5:15">
      <c r="E505" s="1"/>
      <c r="F505" s="1"/>
      <c r="G505" s="1"/>
      <c r="I505" s="1"/>
      <c r="J505" s="1"/>
      <c r="L505" s="1"/>
      <c r="O505" s="1"/>
    </row>
    <row r="506" spans="5:15">
      <c r="E506" s="1"/>
      <c r="F506" s="1"/>
      <c r="G506" s="1"/>
      <c r="I506" s="1"/>
      <c r="J506" s="1"/>
      <c r="L506" s="1"/>
      <c r="O506" s="1"/>
    </row>
    <row r="507" spans="5:15">
      <c r="E507" s="1"/>
      <c r="F507" s="1"/>
      <c r="G507" s="1"/>
      <c r="I507" s="1"/>
      <c r="J507" s="1"/>
      <c r="L507" s="1"/>
      <c r="O507" s="1"/>
    </row>
    <row r="508" spans="5:15">
      <c r="E508" s="1"/>
      <c r="F508" s="1"/>
      <c r="G508" s="1"/>
      <c r="I508" s="1"/>
      <c r="J508" s="1"/>
      <c r="L508" s="1"/>
      <c r="O508" s="1"/>
    </row>
    <row r="509" spans="5:15">
      <c r="E509" s="1"/>
      <c r="F509" s="1"/>
      <c r="G509" s="1"/>
      <c r="I509" s="1"/>
      <c r="J509" s="1"/>
      <c r="L509" s="1"/>
      <c r="O509" s="1"/>
    </row>
    <row r="510" spans="5:15">
      <c r="E510" s="1"/>
      <c r="F510" s="1"/>
      <c r="G510" s="1"/>
      <c r="I510" s="1"/>
      <c r="J510" s="1"/>
      <c r="L510" s="1"/>
      <c r="O510" s="1"/>
    </row>
    <row r="511" spans="5:15">
      <c r="E511" s="1"/>
      <c r="F511" s="1"/>
      <c r="G511" s="1"/>
      <c r="I511" s="1"/>
      <c r="J511" s="1"/>
      <c r="L511" s="1"/>
      <c r="O511" s="1"/>
    </row>
    <row r="512" spans="5:15">
      <c r="E512" s="1"/>
      <c r="F512" s="1"/>
      <c r="G512" s="1"/>
      <c r="I512" s="1"/>
      <c r="J512" s="1"/>
      <c r="L512" s="1"/>
      <c r="O512" s="1"/>
    </row>
    <row r="513" spans="5:15">
      <c r="E513" s="1"/>
      <c r="F513" s="1"/>
      <c r="G513" s="1"/>
      <c r="I513" s="1"/>
      <c r="J513" s="1"/>
      <c r="L513" s="1"/>
      <c r="O513" s="1"/>
    </row>
    <row r="514" spans="5:15">
      <c r="E514" s="1"/>
      <c r="F514" s="1"/>
      <c r="G514" s="1"/>
      <c r="I514" s="1"/>
      <c r="J514" s="1"/>
      <c r="L514" s="1"/>
      <c r="O514" s="1"/>
    </row>
    <row r="515" spans="5:15">
      <c r="E515" s="1"/>
      <c r="F515" s="1"/>
      <c r="G515" s="1"/>
      <c r="I515" s="1"/>
      <c r="J515" s="1"/>
      <c r="L515" s="1"/>
      <c r="O515" s="1"/>
    </row>
    <row r="516" spans="5:15">
      <c r="E516" s="1"/>
      <c r="F516" s="1"/>
      <c r="G516" s="1"/>
      <c r="I516" s="1"/>
      <c r="J516" s="1"/>
      <c r="L516" s="1"/>
      <c r="O516" s="1"/>
    </row>
    <row r="517" spans="5:15">
      <c r="E517" s="1"/>
      <c r="F517" s="1"/>
      <c r="G517" s="1"/>
      <c r="I517" s="1"/>
      <c r="J517" s="1"/>
      <c r="L517" s="1"/>
      <c r="O517" s="1"/>
    </row>
    <row r="518" spans="5:15">
      <c r="E518" s="1"/>
      <c r="F518" s="1"/>
      <c r="G518" s="1"/>
      <c r="I518" s="1"/>
      <c r="J518" s="1"/>
      <c r="L518" s="1"/>
      <c r="O518" s="1"/>
    </row>
    <row r="519" spans="5:15">
      <c r="E519" s="1"/>
      <c r="F519" s="1"/>
      <c r="G519" s="1"/>
      <c r="I519" s="1"/>
      <c r="J519" s="1"/>
      <c r="L519" s="1"/>
      <c r="O519" s="1"/>
    </row>
    <row r="520" spans="5:15">
      <c r="E520" s="1"/>
      <c r="F520" s="1"/>
      <c r="G520" s="1"/>
      <c r="I520" s="1"/>
      <c r="J520" s="1"/>
      <c r="L520" s="1"/>
      <c r="O520" s="1"/>
    </row>
    <row r="521" spans="5:15">
      <c r="E521" s="1"/>
      <c r="F521" s="1"/>
      <c r="G521" s="1"/>
      <c r="I521" s="1"/>
      <c r="J521" s="1"/>
      <c r="L521" s="1"/>
      <c r="O521" s="1"/>
    </row>
    <row r="522" spans="5:15">
      <c r="E522" s="1"/>
      <c r="F522" s="1"/>
      <c r="G522" s="1"/>
      <c r="I522" s="1"/>
      <c r="J522" s="1"/>
      <c r="L522" s="1"/>
      <c r="O522" s="1"/>
    </row>
    <row r="523" spans="5:15">
      <c r="E523" s="1"/>
      <c r="F523" s="1"/>
      <c r="G523" s="1"/>
      <c r="I523" s="1"/>
      <c r="J523" s="1"/>
      <c r="L523" s="1"/>
      <c r="O523" s="1"/>
    </row>
    <row r="524" spans="5:15">
      <c r="E524" s="1"/>
      <c r="F524" s="1"/>
      <c r="G524" s="1"/>
      <c r="I524" s="1"/>
      <c r="J524" s="1"/>
      <c r="L524" s="1"/>
      <c r="O524" s="1"/>
    </row>
    <row r="525" spans="5:15">
      <c r="E525" s="1"/>
      <c r="F525" s="1"/>
      <c r="G525" s="1"/>
      <c r="I525" s="1"/>
      <c r="J525" s="1"/>
      <c r="L525" s="1"/>
      <c r="O525" s="1"/>
    </row>
    <row r="526" spans="5:15">
      <c r="E526" s="1"/>
      <c r="F526" s="1"/>
      <c r="G526" s="1"/>
      <c r="I526" s="1"/>
      <c r="J526" s="1"/>
      <c r="L526" s="1"/>
      <c r="O526" s="1"/>
    </row>
    <row r="527" spans="5:15">
      <c r="E527" s="1"/>
      <c r="F527" s="1"/>
      <c r="G527" s="1"/>
      <c r="I527" s="1"/>
      <c r="J527" s="1"/>
      <c r="L527" s="1"/>
      <c r="O527" s="1"/>
    </row>
    <row r="528" spans="5:15">
      <c r="E528" s="1"/>
      <c r="F528" s="1"/>
      <c r="G528" s="1"/>
      <c r="I528" s="1"/>
      <c r="J528" s="1"/>
      <c r="L528" s="1"/>
      <c r="O528" s="1"/>
    </row>
    <row r="529" spans="5:15">
      <c r="E529" s="1"/>
      <c r="F529" s="1"/>
      <c r="G529" s="1"/>
      <c r="I529" s="1"/>
      <c r="J529" s="1"/>
      <c r="L529" s="1"/>
      <c r="O529" s="1"/>
    </row>
    <row r="530" spans="5:15">
      <c r="E530" s="1"/>
      <c r="F530" s="1"/>
      <c r="G530" s="1"/>
      <c r="I530" s="1"/>
      <c r="J530" s="1"/>
      <c r="L530" s="1"/>
      <c r="O530" s="1"/>
    </row>
    <row r="531" spans="5:15">
      <c r="E531" s="1"/>
      <c r="F531" s="1"/>
      <c r="G531" s="1"/>
      <c r="I531" s="1"/>
      <c r="J531" s="1"/>
      <c r="L531" s="1"/>
      <c r="O531" s="1"/>
    </row>
    <row r="532" spans="5:15">
      <c r="E532" s="1"/>
      <c r="F532" s="1"/>
      <c r="G532" s="1"/>
      <c r="I532" s="1"/>
      <c r="J532" s="1"/>
      <c r="L532" s="1"/>
      <c r="O532" s="1"/>
    </row>
    <row r="533" spans="5:15">
      <c r="E533" s="1"/>
      <c r="F533" s="1"/>
      <c r="G533" s="1"/>
      <c r="I533" s="1"/>
      <c r="J533" s="1"/>
      <c r="L533" s="1"/>
      <c r="O533" s="1"/>
    </row>
    <row r="534" spans="5:15">
      <c r="E534" s="1"/>
      <c r="F534" s="1"/>
      <c r="G534" s="1"/>
      <c r="I534" s="1"/>
      <c r="J534" s="1"/>
      <c r="L534" s="1"/>
      <c r="O534" s="1"/>
    </row>
    <row r="535" spans="5:15">
      <c r="E535" s="1"/>
      <c r="F535" s="1"/>
      <c r="G535" s="1"/>
      <c r="I535" s="1"/>
      <c r="J535" s="1"/>
      <c r="L535" s="1"/>
      <c r="O535" s="1"/>
    </row>
    <row r="536" spans="5:15">
      <c r="E536" s="1"/>
      <c r="F536" s="1"/>
      <c r="G536" s="1"/>
      <c r="I536" s="1"/>
      <c r="J536" s="1"/>
      <c r="L536" s="1"/>
      <c r="O536" s="1"/>
    </row>
    <row r="537" spans="5:15">
      <c r="E537" s="1"/>
      <c r="F537" s="1"/>
      <c r="G537" s="1"/>
      <c r="I537" s="1"/>
      <c r="J537" s="1"/>
      <c r="L537" s="1"/>
      <c r="O537" s="1"/>
    </row>
    <row r="538" spans="5:15">
      <c r="E538" s="1"/>
      <c r="F538" s="1"/>
      <c r="G538" s="1"/>
      <c r="I538" s="1"/>
      <c r="J538" s="1"/>
      <c r="L538" s="1"/>
      <c r="O538" s="1"/>
    </row>
    <row r="539" spans="5:15">
      <c r="E539" s="1"/>
      <c r="F539" s="1"/>
      <c r="G539" s="1"/>
      <c r="I539" s="1"/>
      <c r="J539" s="1"/>
      <c r="L539" s="1"/>
      <c r="O539" s="1"/>
    </row>
    <row r="540" spans="5:15">
      <c r="E540" s="1"/>
      <c r="F540" s="1"/>
      <c r="G540" s="1"/>
      <c r="I540" s="1"/>
      <c r="J540" s="1"/>
      <c r="L540" s="1"/>
      <c r="O540" s="1"/>
    </row>
    <row r="541" spans="5:15">
      <c r="E541" s="1"/>
      <c r="F541" s="1"/>
      <c r="G541" s="1"/>
      <c r="I541" s="1"/>
      <c r="J541" s="1"/>
      <c r="L541" s="1"/>
      <c r="O541" s="1"/>
    </row>
    <row r="542" spans="5:15">
      <c r="E542" s="1"/>
      <c r="F542" s="1"/>
      <c r="G542" s="1"/>
      <c r="I542" s="1"/>
      <c r="J542" s="1"/>
      <c r="L542" s="1"/>
      <c r="O542" s="1"/>
    </row>
    <row r="543" spans="5:15">
      <c r="E543" s="1"/>
      <c r="F543" s="1"/>
      <c r="G543" s="1"/>
      <c r="I543" s="1"/>
      <c r="J543" s="1"/>
      <c r="L543" s="1"/>
      <c r="O543" s="1"/>
    </row>
    <row r="544" spans="5:15">
      <c r="E544" s="1"/>
      <c r="F544" s="1"/>
      <c r="G544" s="1"/>
      <c r="I544" s="1"/>
      <c r="J544" s="1"/>
      <c r="L544" s="1"/>
      <c r="O544" s="1"/>
    </row>
    <row r="545" spans="5:15">
      <c r="E545" s="1"/>
      <c r="F545" s="1"/>
      <c r="G545" s="1"/>
      <c r="I545" s="1"/>
      <c r="J545" s="1"/>
      <c r="L545" s="1"/>
      <c r="O545" s="1"/>
    </row>
    <row r="546" spans="5:15">
      <c r="E546" s="1"/>
      <c r="F546" s="1"/>
      <c r="G546" s="1"/>
      <c r="I546" s="1"/>
      <c r="J546" s="1"/>
      <c r="L546" s="1"/>
      <c r="O546" s="1"/>
    </row>
    <row r="547" spans="5:15">
      <c r="E547" s="1"/>
      <c r="F547" s="1"/>
      <c r="G547" s="1"/>
      <c r="I547" s="1"/>
      <c r="J547" s="1"/>
      <c r="L547" s="1"/>
      <c r="O547" s="1"/>
    </row>
    <row r="548" spans="5:15">
      <c r="E548" s="1"/>
      <c r="F548" s="1"/>
      <c r="G548" s="1"/>
      <c r="I548" s="1"/>
      <c r="J548" s="1"/>
      <c r="L548" s="1"/>
      <c r="O548" s="1"/>
    </row>
    <row r="549" spans="5:15">
      <c r="E549" s="1"/>
      <c r="F549" s="1"/>
      <c r="G549" s="1"/>
      <c r="I549" s="1"/>
      <c r="J549" s="1"/>
      <c r="L549" s="1"/>
      <c r="O549" s="1"/>
    </row>
    <row r="550" spans="5:15">
      <c r="E550" s="1"/>
      <c r="F550" s="1"/>
      <c r="G550" s="1"/>
      <c r="I550" s="1"/>
      <c r="J550" s="1"/>
      <c r="L550" s="1"/>
      <c r="O550" s="1"/>
    </row>
    <row r="551" spans="5:15">
      <c r="E551" s="1"/>
      <c r="F551" s="1"/>
      <c r="G551" s="1"/>
      <c r="I551" s="1"/>
      <c r="J551" s="1"/>
      <c r="L551" s="1"/>
      <c r="O551" s="1"/>
    </row>
    <row r="552" spans="5:15">
      <c r="E552" s="1"/>
      <c r="F552" s="1"/>
      <c r="G552" s="1"/>
      <c r="I552" s="1"/>
      <c r="J552" s="1"/>
      <c r="L552" s="1"/>
      <c r="O552" s="1"/>
    </row>
    <row r="553" spans="5:15">
      <c r="E553" s="1"/>
      <c r="F553" s="1"/>
      <c r="G553" s="1"/>
      <c r="I553" s="1"/>
      <c r="J553" s="1"/>
      <c r="L553" s="1"/>
      <c r="O553" s="1"/>
    </row>
    <row r="554" spans="5:15">
      <c r="E554" s="1"/>
      <c r="F554" s="1"/>
      <c r="G554" s="1"/>
      <c r="I554" s="1"/>
      <c r="J554" s="1"/>
      <c r="L554" s="1"/>
      <c r="O554" s="1"/>
    </row>
    <row r="555" spans="5:15">
      <c r="E555" s="1"/>
      <c r="F555" s="1"/>
      <c r="G555" s="1"/>
      <c r="I555" s="1"/>
      <c r="J555" s="1"/>
      <c r="L555" s="1"/>
      <c r="O555" s="1"/>
    </row>
    <row r="556" spans="5:15">
      <c r="E556" s="1"/>
      <c r="F556" s="1"/>
      <c r="G556" s="1"/>
      <c r="I556" s="1"/>
      <c r="J556" s="1"/>
      <c r="L556" s="1"/>
      <c r="O556" s="1"/>
    </row>
    <row r="557" spans="5:15">
      <c r="E557" s="1"/>
      <c r="F557" s="1"/>
      <c r="G557" s="1"/>
      <c r="I557" s="1"/>
      <c r="J557" s="1"/>
      <c r="L557" s="1"/>
      <c r="O557" s="1"/>
    </row>
    <row r="558" spans="5:15">
      <c r="E558" s="1"/>
      <c r="F558" s="1"/>
      <c r="G558" s="1"/>
      <c r="I558" s="1"/>
      <c r="J558" s="1"/>
      <c r="L558" s="1"/>
      <c r="O558" s="1"/>
    </row>
    <row r="559" spans="5:15">
      <c r="E559" s="1"/>
      <c r="F559" s="1"/>
      <c r="G559" s="1"/>
      <c r="I559" s="1"/>
      <c r="J559" s="1"/>
      <c r="L559" s="1"/>
      <c r="O559" s="1"/>
    </row>
    <row r="560" spans="5:15">
      <c r="E560" s="1"/>
      <c r="F560" s="1"/>
      <c r="G560" s="1"/>
      <c r="I560" s="1"/>
      <c r="J560" s="1"/>
      <c r="L560" s="1"/>
      <c r="O560" s="1"/>
    </row>
    <row r="561" spans="5:15">
      <c r="E561" s="1"/>
      <c r="F561" s="1"/>
      <c r="G561" s="1"/>
      <c r="I561" s="1"/>
      <c r="J561" s="1"/>
      <c r="L561" s="1"/>
      <c r="O561" s="1"/>
    </row>
    <row r="562" spans="5:15">
      <c r="E562" s="1"/>
      <c r="F562" s="1"/>
      <c r="G562" s="1"/>
      <c r="I562" s="1"/>
      <c r="J562" s="1"/>
      <c r="L562" s="1"/>
      <c r="O562" s="1"/>
    </row>
    <row r="563" spans="5:15">
      <c r="E563" s="1"/>
      <c r="F563" s="1"/>
      <c r="G563" s="1"/>
      <c r="I563" s="1"/>
      <c r="J563" s="1"/>
      <c r="L563" s="1"/>
      <c r="O563" s="1"/>
    </row>
    <row r="564" spans="5:15">
      <c r="E564" s="1"/>
      <c r="F564" s="1"/>
      <c r="G564" s="1"/>
      <c r="I564" s="1"/>
      <c r="J564" s="1"/>
      <c r="L564" s="1"/>
      <c r="O564" s="1"/>
    </row>
    <row r="565" spans="5:15">
      <c r="E565" s="1"/>
      <c r="F565" s="1"/>
      <c r="G565" s="1"/>
      <c r="I565" s="1"/>
      <c r="J565" s="1"/>
      <c r="L565" s="1"/>
      <c r="O565" s="1"/>
    </row>
    <row r="566" spans="5:15">
      <c r="E566" s="1"/>
      <c r="F566" s="1"/>
      <c r="G566" s="1"/>
      <c r="I566" s="1"/>
      <c r="J566" s="1"/>
      <c r="L566" s="1"/>
      <c r="O566" s="1"/>
    </row>
    <row r="567" spans="5:15">
      <c r="E567" s="1"/>
      <c r="F567" s="1"/>
      <c r="G567" s="1"/>
      <c r="I567" s="1"/>
      <c r="J567" s="1"/>
      <c r="L567" s="1"/>
      <c r="O567" s="1"/>
    </row>
    <row r="568" spans="5:15">
      <c r="E568" s="1"/>
      <c r="F568" s="1"/>
      <c r="G568" s="1"/>
      <c r="I568" s="1"/>
      <c r="J568" s="1"/>
      <c r="L568" s="1"/>
      <c r="O568" s="1"/>
    </row>
    <row r="569" spans="5:15">
      <c r="E569" s="1"/>
      <c r="F569" s="1"/>
      <c r="G569" s="1"/>
      <c r="I569" s="1"/>
      <c r="J569" s="1"/>
      <c r="L569" s="1"/>
      <c r="O569" s="1"/>
    </row>
    <row r="570" spans="5:15">
      <c r="E570" s="1"/>
      <c r="F570" s="1"/>
      <c r="G570" s="1"/>
      <c r="I570" s="1"/>
      <c r="J570" s="1"/>
      <c r="L570" s="1"/>
      <c r="O570" s="1"/>
    </row>
    <row r="571" spans="5:15">
      <c r="E571" s="1"/>
      <c r="F571" s="1"/>
      <c r="G571" s="1"/>
      <c r="I571" s="1"/>
      <c r="J571" s="1"/>
      <c r="L571" s="1"/>
      <c r="O571" s="1"/>
    </row>
    <row r="572" spans="5:15">
      <c r="E572" s="1"/>
      <c r="F572" s="1"/>
      <c r="G572" s="1"/>
      <c r="I572" s="1"/>
      <c r="J572" s="1"/>
      <c r="L572" s="1"/>
      <c r="O572" s="1"/>
    </row>
    <row r="573" spans="5:15">
      <c r="E573" s="1"/>
      <c r="F573" s="1"/>
      <c r="G573" s="1"/>
      <c r="I573" s="1"/>
      <c r="J573" s="1"/>
      <c r="L573" s="1"/>
      <c r="O573" s="1"/>
    </row>
    <row r="574" spans="5:15">
      <c r="E574" s="1"/>
      <c r="F574" s="1"/>
      <c r="G574" s="1"/>
      <c r="I574" s="1"/>
      <c r="J574" s="1"/>
      <c r="L574" s="1"/>
      <c r="O574" s="1"/>
    </row>
    <row r="575" spans="5:15">
      <c r="E575" s="1"/>
      <c r="F575" s="1"/>
      <c r="G575" s="1"/>
      <c r="I575" s="1"/>
      <c r="J575" s="1"/>
      <c r="L575" s="1"/>
      <c r="O575" s="1"/>
    </row>
    <row r="576" spans="5:15">
      <c r="E576" s="1"/>
      <c r="F576" s="1"/>
      <c r="G576" s="1"/>
      <c r="I576" s="1"/>
      <c r="J576" s="1"/>
      <c r="L576" s="1"/>
      <c r="O576" s="1"/>
    </row>
    <row r="577" spans="5:15">
      <c r="E577" s="1"/>
      <c r="F577" s="1"/>
      <c r="G577" s="1"/>
      <c r="I577" s="1"/>
      <c r="J577" s="1"/>
      <c r="L577" s="1"/>
      <c r="O577" s="1"/>
    </row>
    <row r="578" spans="5:15">
      <c r="E578" s="1"/>
      <c r="F578" s="1"/>
      <c r="G578" s="1"/>
      <c r="I578" s="1"/>
      <c r="J578" s="1"/>
      <c r="L578" s="1"/>
      <c r="O578" s="1"/>
    </row>
    <row r="579" spans="5:15">
      <c r="E579" s="1"/>
      <c r="F579" s="1"/>
      <c r="G579" s="1"/>
      <c r="I579" s="1"/>
      <c r="J579" s="1"/>
      <c r="L579" s="1"/>
      <c r="O579" s="1"/>
    </row>
    <row r="580" spans="5:15">
      <c r="E580" s="1"/>
      <c r="F580" s="1"/>
      <c r="G580" s="1"/>
      <c r="I580" s="1"/>
      <c r="J580" s="1"/>
      <c r="L580" s="1"/>
      <c r="O580" s="1"/>
    </row>
    <row r="581" spans="5:15">
      <c r="E581" s="1"/>
      <c r="F581" s="1"/>
      <c r="G581" s="1"/>
      <c r="I581" s="1"/>
      <c r="J581" s="1"/>
      <c r="L581" s="1"/>
      <c r="O581" s="1"/>
    </row>
    <row r="582" spans="5:15">
      <c r="E582" s="1"/>
      <c r="F582" s="1"/>
      <c r="G582" s="1"/>
      <c r="I582" s="1"/>
      <c r="J582" s="1"/>
      <c r="L582" s="1"/>
      <c r="O582" s="1"/>
    </row>
    <row r="583" spans="5:15">
      <c r="E583" s="1"/>
      <c r="F583" s="1"/>
      <c r="G583" s="1"/>
      <c r="I583" s="1"/>
      <c r="J583" s="1"/>
      <c r="L583" s="1"/>
      <c r="O583" s="1"/>
    </row>
    <row r="584" spans="5:15">
      <c r="E584" s="1"/>
      <c r="F584" s="1"/>
      <c r="G584" s="1"/>
      <c r="I584" s="1"/>
      <c r="J584" s="1"/>
      <c r="L584" s="1"/>
      <c r="O584" s="1"/>
    </row>
    <row r="585" spans="5:15">
      <c r="E585" s="1"/>
      <c r="F585" s="1"/>
      <c r="G585" s="1"/>
      <c r="I585" s="1"/>
      <c r="J585" s="1"/>
      <c r="L585" s="1"/>
      <c r="O585" s="1"/>
    </row>
    <row r="586" spans="5:15">
      <c r="E586" s="1"/>
      <c r="F586" s="1"/>
      <c r="G586" s="1"/>
      <c r="I586" s="1"/>
      <c r="J586" s="1"/>
      <c r="L586" s="1"/>
      <c r="O586" s="1"/>
    </row>
    <row r="587" spans="5:15">
      <c r="E587" s="1"/>
      <c r="F587" s="1"/>
      <c r="G587" s="1"/>
      <c r="I587" s="1"/>
      <c r="J587" s="1"/>
      <c r="L587" s="1"/>
      <c r="O587" s="1"/>
    </row>
    <row r="588" spans="5:15">
      <c r="E588" s="1"/>
      <c r="F588" s="1"/>
      <c r="G588" s="1"/>
      <c r="I588" s="1"/>
      <c r="J588" s="1"/>
      <c r="L588" s="1"/>
      <c r="O588" s="1"/>
    </row>
    <row r="589" spans="5:15">
      <c r="E589" s="1"/>
      <c r="F589" s="1"/>
      <c r="G589" s="1"/>
      <c r="I589" s="1"/>
      <c r="J589" s="1"/>
      <c r="L589" s="1"/>
      <c r="O589" s="1"/>
    </row>
    <row r="590" spans="5:15">
      <c r="E590" s="1"/>
      <c r="F590" s="1"/>
      <c r="G590" s="1"/>
      <c r="I590" s="1"/>
      <c r="J590" s="1"/>
      <c r="L590" s="1"/>
      <c r="O590" s="1"/>
    </row>
    <row r="591" spans="5:15">
      <c r="E591" s="1"/>
      <c r="F591" s="1"/>
      <c r="G591" s="1"/>
      <c r="I591" s="1"/>
      <c r="J591" s="1"/>
      <c r="L591" s="1"/>
      <c r="O591" s="1"/>
    </row>
    <row r="592" spans="5:15">
      <c r="E592" s="1"/>
      <c r="F592" s="1"/>
      <c r="G592" s="1"/>
      <c r="I592" s="1"/>
      <c r="J592" s="1"/>
      <c r="L592" s="1"/>
      <c r="O592" s="1"/>
    </row>
    <row r="593" spans="5:15">
      <c r="E593" s="1"/>
      <c r="F593" s="1"/>
      <c r="G593" s="1"/>
      <c r="I593" s="1"/>
      <c r="J593" s="1"/>
      <c r="L593" s="1"/>
      <c r="O593" s="1"/>
    </row>
    <row r="594" spans="5:15">
      <c r="E594" s="1"/>
      <c r="F594" s="1"/>
      <c r="G594" s="1"/>
      <c r="I594" s="1"/>
      <c r="J594" s="1"/>
      <c r="L594" s="1"/>
      <c r="O594" s="1"/>
    </row>
    <row r="595" spans="5:15">
      <c r="E595" s="1"/>
      <c r="F595" s="1"/>
      <c r="G595" s="1"/>
      <c r="I595" s="1"/>
      <c r="J595" s="1"/>
      <c r="L595" s="1"/>
      <c r="O595" s="1"/>
    </row>
    <row r="596" spans="5:15">
      <c r="E596" s="1"/>
      <c r="F596" s="1"/>
      <c r="G596" s="1"/>
      <c r="I596" s="1"/>
      <c r="J596" s="1"/>
      <c r="L596" s="1"/>
      <c r="O596" s="1"/>
    </row>
    <row r="597" spans="5:15">
      <c r="E597" s="1"/>
      <c r="F597" s="1"/>
      <c r="G597" s="1"/>
      <c r="I597" s="1"/>
      <c r="J597" s="1"/>
      <c r="L597" s="1"/>
      <c r="O597" s="1"/>
    </row>
    <row r="598" spans="5:15">
      <c r="E598" s="1"/>
      <c r="F598" s="1"/>
      <c r="G598" s="1"/>
      <c r="I598" s="1"/>
      <c r="J598" s="1"/>
      <c r="L598" s="1"/>
      <c r="O598" s="1"/>
    </row>
    <row r="599" spans="5:15">
      <c r="E599" s="1"/>
      <c r="F599" s="1"/>
      <c r="G599" s="1"/>
      <c r="I599" s="1"/>
      <c r="J599" s="1"/>
      <c r="L599" s="1"/>
      <c r="O599" s="1"/>
    </row>
    <row r="600" spans="5:15">
      <c r="E600" s="1"/>
      <c r="F600" s="1"/>
      <c r="G600" s="1"/>
      <c r="I600" s="1"/>
      <c r="J600" s="1"/>
      <c r="L600" s="1"/>
      <c r="O600" s="1"/>
    </row>
    <row r="601" spans="5:15">
      <c r="E601" s="1"/>
      <c r="F601" s="1"/>
      <c r="G601" s="1"/>
      <c r="I601" s="1"/>
      <c r="J601" s="1"/>
      <c r="L601" s="1"/>
      <c r="O601" s="1"/>
    </row>
    <row r="602" spans="5:15">
      <c r="E602" s="1"/>
      <c r="F602" s="1"/>
      <c r="G602" s="1"/>
      <c r="I602" s="1"/>
      <c r="J602" s="1"/>
      <c r="L602" s="1"/>
      <c r="O602" s="1"/>
    </row>
    <row r="603" spans="5:15">
      <c r="E603" s="1"/>
      <c r="F603" s="1"/>
      <c r="G603" s="1"/>
      <c r="I603" s="1"/>
      <c r="J603" s="1"/>
      <c r="L603" s="1"/>
      <c r="O603" s="1"/>
    </row>
    <row r="604" spans="5:15">
      <c r="E604" s="1"/>
      <c r="F604" s="1"/>
      <c r="G604" s="1"/>
      <c r="I604" s="1"/>
      <c r="J604" s="1"/>
      <c r="L604" s="1"/>
      <c r="O604" s="1"/>
    </row>
    <row r="605" spans="5:15">
      <c r="E605" s="1"/>
      <c r="F605" s="1"/>
      <c r="G605" s="1"/>
      <c r="I605" s="1"/>
      <c r="J605" s="1"/>
      <c r="L605" s="1"/>
      <c r="O605" s="1"/>
    </row>
    <row r="606" spans="5:15">
      <c r="E606" s="1"/>
      <c r="F606" s="1"/>
      <c r="G606" s="1"/>
      <c r="I606" s="1"/>
      <c r="J606" s="1"/>
      <c r="L606" s="1"/>
      <c r="O606" s="1"/>
    </row>
    <row r="607" spans="5:15">
      <c r="E607" s="1"/>
      <c r="F607" s="1"/>
      <c r="G607" s="1"/>
      <c r="I607" s="1"/>
      <c r="J607" s="1"/>
      <c r="L607" s="1"/>
      <c r="O607" s="1"/>
    </row>
    <row r="608" spans="5:15">
      <c r="E608" s="1"/>
      <c r="F608" s="1"/>
      <c r="G608" s="1"/>
      <c r="I608" s="1"/>
      <c r="J608" s="1"/>
      <c r="L608" s="1"/>
      <c r="O608" s="1"/>
    </row>
    <row r="609" spans="5:15">
      <c r="E609" s="1"/>
      <c r="F609" s="1"/>
      <c r="G609" s="1"/>
      <c r="I609" s="1"/>
      <c r="J609" s="1"/>
      <c r="L609" s="1"/>
      <c r="O609" s="1"/>
    </row>
    <row r="610" spans="5:15">
      <c r="E610" s="1"/>
      <c r="F610" s="1"/>
      <c r="G610" s="1"/>
      <c r="I610" s="1"/>
      <c r="J610" s="1"/>
      <c r="L610" s="1"/>
      <c r="O610" s="1"/>
    </row>
    <row r="611" spans="5:15">
      <c r="E611" s="1"/>
      <c r="F611" s="1"/>
      <c r="G611" s="1"/>
      <c r="I611" s="1"/>
      <c r="J611" s="1"/>
      <c r="L611" s="1"/>
      <c r="O611" s="1"/>
    </row>
    <row r="612" spans="5:15">
      <c r="E612" s="1"/>
      <c r="F612" s="1"/>
      <c r="G612" s="1"/>
      <c r="I612" s="1"/>
      <c r="J612" s="1"/>
      <c r="L612" s="1"/>
      <c r="O612" s="1"/>
    </row>
    <row r="613" spans="5:15">
      <c r="E613" s="1"/>
      <c r="F613" s="1"/>
      <c r="G613" s="1"/>
      <c r="I613" s="1"/>
      <c r="J613" s="1"/>
      <c r="L613" s="1"/>
      <c r="O613" s="1"/>
    </row>
    <row r="614" spans="5:15">
      <c r="E614" s="1"/>
      <c r="F614" s="1"/>
      <c r="G614" s="1"/>
      <c r="I614" s="1"/>
      <c r="J614" s="1"/>
      <c r="L614" s="1"/>
      <c r="O614" s="1"/>
    </row>
    <row r="615" spans="5:15">
      <c r="E615" s="1"/>
      <c r="F615" s="1"/>
      <c r="G615" s="1"/>
      <c r="I615" s="1"/>
      <c r="J615" s="1"/>
      <c r="L615" s="1"/>
      <c r="O615" s="1"/>
    </row>
    <row r="616" spans="5:15">
      <c r="E616" s="1"/>
      <c r="F616" s="1"/>
      <c r="G616" s="1"/>
      <c r="I616" s="1"/>
      <c r="J616" s="1"/>
      <c r="L616" s="1"/>
      <c r="O616" s="1"/>
    </row>
    <row r="617" spans="5:15">
      <c r="E617" s="1"/>
      <c r="F617" s="1"/>
      <c r="G617" s="1"/>
      <c r="I617" s="1"/>
      <c r="J617" s="1"/>
      <c r="L617" s="1"/>
      <c r="O617" s="1"/>
    </row>
    <row r="618" spans="5:15">
      <c r="E618" s="1"/>
      <c r="F618" s="1"/>
      <c r="G618" s="1"/>
      <c r="I618" s="1"/>
      <c r="J618" s="1"/>
      <c r="L618" s="1"/>
      <c r="O618" s="1"/>
    </row>
    <row r="619" spans="5:15">
      <c r="E619" s="1"/>
      <c r="F619" s="1"/>
      <c r="G619" s="1"/>
      <c r="I619" s="1"/>
      <c r="J619" s="1"/>
      <c r="L619" s="1"/>
      <c r="O619" s="1"/>
    </row>
    <row r="620" spans="5:15">
      <c r="E620" s="1"/>
      <c r="F620" s="1"/>
      <c r="G620" s="1"/>
      <c r="I620" s="1"/>
      <c r="J620" s="1"/>
      <c r="L620" s="1"/>
      <c r="O620" s="1"/>
    </row>
    <row r="621" spans="5:15">
      <c r="E621" s="1"/>
      <c r="F621" s="1"/>
      <c r="G621" s="1"/>
      <c r="I621" s="1"/>
      <c r="J621" s="1"/>
      <c r="L621" s="1"/>
      <c r="O621" s="1"/>
    </row>
    <row r="622" spans="5:15">
      <c r="E622" s="1"/>
      <c r="F622" s="1"/>
      <c r="G622" s="1"/>
      <c r="I622" s="1"/>
      <c r="J622" s="1"/>
      <c r="L622" s="1"/>
      <c r="O622" s="1"/>
    </row>
    <row r="623" spans="5:15">
      <c r="E623" s="1"/>
      <c r="F623" s="1"/>
      <c r="G623" s="1"/>
      <c r="I623" s="1"/>
      <c r="J623" s="1"/>
      <c r="L623" s="1"/>
      <c r="O623" s="1"/>
    </row>
    <row r="624" spans="5:15">
      <c r="E624" s="1"/>
      <c r="F624" s="1"/>
      <c r="G624" s="1"/>
      <c r="I624" s="1"/>
      <c r="J624" s="1"/>
      <c r="L624" s="1"/>
      <c r="O624" s="1"/>
    </row>
    <row r="625" spans="5:15">
      <c r="E625" s="1"/>
      <c r="F625" s="1"/>
      <c r="G625" s="1"/>
      <c r="I625" s="1"/>
      <c r="J625" s="1"/>
      <c r="L625" s="1"/>
      <c r="O625" s="1"/>
    </row>
    <row r="626" spans="5:15">
      <c r="E626" s="1"/>
      <c r="F626" s="1"/>
      <c r="G626" s="1"/>
      <c r="I626" s="1"/>
      <c r="J626" s="1"/>
      <c r="L626" s="1"/>
      <c r="O626" s="1"/>
    </row>
    <row r="627" spans="5:15">
      <c r="E627" s="1"/>
      <c r="F627" s="1"/>
      <c r="G627" s="1"/>
      <c r="I627" s="1"/>
      <c r="J627" s="1"/>
      <c r="L627" s="1"/>
      <c r="O627" s="1"/>
    </row>
    <row r="628" spans="5:15">
      <c r="E628" s="1"/>
      <c r="F628" s="1"/>
      <c r="G628" s="1"/>
      <c r="I628" s="1"/>
      <c r="J628" s="1"/>
      <c r="L628" s="1"/>
      <c r="O628" s="1"/>
    </row>
    <row r="629" spans="5:15">
      <c r="E629" s="1"/>
      <c r="F629" s="1"/>
      <c r="G629" s="1"/>
      <c r="I629" s="1"/>
      <c r="J629" s="1"/>
      <c r="L629" s="1"/>
      <c r="O629" s="1"/>
    </row>
    <row r="630" spans="5:15">
      <c r="E630" s="1"/>
      <c r="F630" s="1"/>
      <c r="G630" s="1"/>
      <c r="I630" s="1"/>
      <c r="J630" s="1"/>
      <c r="L630" s="1"/>
      <c r="O630" s="1"/>
    </row>
    <row r="631" spans="5:15">
      <c r="E631" s="1"/>
      <c r="F631" s="1"/>
      <c r="G631" s="1"/>
      <c r="I631" s="1"/>
      <c r="J631" s="1"/>
      <c r="L631" s="1"/>
      <c r="O631" s="1"/>
    </row>
    <row r="632" spans="5:15">
      <c r="E632" s="1"/>
      <c r="F632" s="1"/>
      <c r="G632" s="1"/>
      <c r="I632" s="1"/>
      <c r="J632" s="1"/>
      <c r="L632" s="1"/>
      <c r="O632" s="1"/>
    </row>
    <row r="633" spans="5:15">
      <c r="E633" s="1"/>
      <c r="F633" s="1"/>
      <c r="G633" s="1"/>
      <c r="I633" s="1"/>
      <c r="J633" s="1"/>
      <c r="L633" s="1"/>
      <c r="O633" s="1"/>
    </row>
    <row r="634" spans="5:15">
      <c r="E634" s="1"/>
      <c r="F634" s="1"/>
      <c r="G634" s="1"/>
      <c r="I634" s="1"/>
      <c r="J634" s="1"/>
      <c r="L634" s="1"/>
      <c r="O634" s="1"/>
    </row>
    <row r="635" spans="5:15">
      <c r="E635" s="1"/>
      <c r="F635" s="1"/>
      <c r="G635" s="1"/>
      <c r="I635" s="1"/>
      <c r="J635" s="1"/>
      <c r="L635" s="1"/>
      <c r="O635" s="1"/>
    </row>
    <row r="636" spans="5:15">
      <c r="E636" s="1"/>
      <c r="F636" s="1"/>
      <c r="G636" s="1"/>
      <c r="I636" s="1"/>
      <c r="J636" s="1"/>
      <c r="L636" s="1"/>
      <c r="O636" s="1"/>
    </row>
    <row r="637" spans="5:15">
      <c r="E637" s="1"/>
      <c r="F637" s="1"/>
      <c r="G637" s="1"/>
      <c r="I637" s="1"/>
      <c r="J637" s="1"/>
      <c r="L637" s="1"/>
      <c r="O637" s="1"/>
    </row>
    <row r="638" spans="5:15">
      <c r="E638" s="1"/>
      <c r="F638" s="1"/>
      <c r="G638" s="1"/>
      <c r="I638" s="1"/>
      <c r="J638" s="1"/>
      <c r="L638" s="1"/>
      <c r="O638" s="1"/>
    </row>
    <row r="639" spans="5:15">
      <c r="E639" s="1"/>
      <c r="F639" s="1"/>
      <c r="G639" s="1"/>
      <c r="I639" s="1"/>
      <c r="J639" s="1"/>
      <c r="L639" s="1"/>
      <c r="O639" s="1"/>
    </row>
    <row r="640" spans="5:15">
      <c r="E640" s="1"/>
      <c r="F640" s="1"/>
      <c r="G640" s="1"/>
      <c r="I640" s="1"/>
      <c r="J640" s="1"/>
      <c r="L640" s="1"/>
      <c r="O640" s="1"/>
    </row>
    <row r="641" spans="5:15">
      <c r="E641" s="1"/>
      <c r="F641" s="1"/>
      <c r="G641" s="1"/>
      <c r="I641" s="1"/>
      <c r="J641" s="1"/>
      <c r="L641" s="1"/>
      <c r="O641" s="1"/>
    </row>
    <row r="642" spans="5:15">
      <c r="E642" s="1"/>
      <c r="F642" s="1"/>
      <c r="G642" s="1"/>
      <c r="I642" s="1"/>
      <c r="J642" s="1"/>
      <c r="L642" s="1"/>
      <c r="O642" s="1"/>
    </row>
    <row r="643" spans="5:15">
      <c r="E643" s="1"/>
      <c r="F643" s="1"/>
      <c r="G643" s="1"/>
      <c r="I643" s="1"/>
      <c r="J643" s="1"/>
      <c r="L643" s="1"/>
      <c r="O643" s="1"/>
    </row>
    <row r="644" spans="5:15">
      <c r="E644" s="1"/>
      <c r="F644" s="1"/>
      <c r="G644" s="1"/>
      <c r="I644" s="1"/>
      <c r="J644" s="1"/>
      <c r="L644" s="1"/>
      <c r="O644" s="1"/>
    </row>
    <row r="645" spans="5:15">
      <c r="E645" s="1"/>
      <c r="F645" s="1"/>
      <c r="G645" s="1"/>
      <c r="I645" s="1"/>
      <c r="J645" s="1"/>
      <c r="L645" s="1"/>
      <c r="O645" s="1"/>
    </row>
    <row r="646" spans="5:15">
      <c r="E646" s="1"/>
      <c r="F646" s="1"/>
      <c r="G646" s="1"/>
      <c r="I646" s="1"/>
      <c r="J646" s="1"/>
      <c r="L646" s="1"/>
      <c r="O646" s="1"/>
    </row>
    <row r="647" spans="5:15">
      <c r="E647" s="1"/>
      <c r="F647" s="1"/>
      <c r="G647" s="1"/>
      <c r="I647" s="1"/>
      <c r="J647" s="1"/>
      <c r="L647" s="1"/>
      <c r="O647" s="1"/>
    </row>
    <row r="648" spans="5:15">
      <c r="E648" s="1"/>
      <c r="F648" s="1"/>
      <c r="G648" s="1"/>
      <c r="I648" s="1"/>
      <c r="J648" s="1"/>
      <c r="L648" s="1"/>
      <c r="O648" s="1"/>
    </row>
    <row r="649" spans="5:15">
      <c r="E649" s="1"/>
      <c r="F649" s="1"/>
      <c r="G649" s="1"/>
      <c r="I649" s="1"/>
      <c r="J649" s="1"/>
      <c r="L649" s="1"/>
      <c r="O649" s="1"/>
    </row>
    <row r="650" spans="5:15">
      <c r="E650" s="1"/>
      <c r="F650" s="1"/>
      <c r="G650" s="1"/>
      <c r="I650" s="1"/>
      <c r="J650" s="1"/>
      <c r="L650" s="1"/>
      <c r="O650" s="1"/>
    </row>
    <row r="651" spans="5:15">
      <c r="E651" s="1"/>
      <c r="F651" s="1"/>
      <c r="G651" s="1"/>
      <c r="I651" s="1"/>
      <c r="J651" s="1"/>
      <c r="L651" s="1"/>
      <c r="O651" s="1"/>
    </row>
    <row r="652" spans="5:15">
      <c r="E652" s="1"/>
      <c r="F652" s="1"/>
      <c r="G652" s="1"/>
      <c r="I652" s="1"/>
      <c r="J652" s="1"/>
      <c r="L652" s="1"/>
      <c r="O652" s="1"/>
    </row>
    <row r="653" spans="5:15">
      <c r="E653" s="1"/>
      <c r="F653" s="1"/>
      <c r="G653" s="1"/>
      <c r="I653" s="1"/>
      <c r="J653" s="1"/>
      <c r="L653" s="1"/>
      <c r="O653" s="1"/>
    </row>
    <row r="654" spans="5:15">
      <c r="E654" s="1"/>
      <c r="F654" s="1"/>
      <c r="G654" s="1"/>
      <c r="I654" s="1"/>
      <c r="J654" s="1"/>
      <c r="L654" s="1"/>
      <c r="O654" s="1"/>
    </row>
    <row r="655" spans="5:15">
      <c r="E655" s="1"/>
      <c r="F655" s="1"/>
      <c r="G655" s="1"/>
      <c r="I655" s="1"/>
      <c r="J655" s="1"/>
      <c r="L655" s="1"/>
      <c r="O655" s="1"/>
    </row>
    <row r="656" spans="5:15">
      <c r="E656" s="1"/>
      <c r="F656" s="1"/>
      <c r="G656" s="1"/>
      <c r="I656" s="1"/>
      <c r="J656" s="1"/>
      <c r="L656" s="1"/>
      <c r="O656" s="1"/>
    </row>
    <row r="657" spans="5:15">
      <c r="E657" s="1"/>
      <c r="F657" s="1"/>
      <c r="G657" s="1"/>
      <c r="I657" s="1"/>
      <c r="J657" s="1"/>
      <c r="L657" s="1"/>
      <c r="O657" s="1"/>
    </row>
    <row r="658" spans="5:15">
      <c r="E658" s="1"/>
      <c r="F658" s="1"/>
      <c r="G658" s="1"/>
      <c r="I658" s="1"/>
      <c r="J658" s="1"/>
      <c r="L658" s="1"/>
      <c r="O658" s="1"/>
    </row>
    <row r="659" spans="5:15">
      <c r="E659" s="1"/>
      <c r="F659" s="1"/>
      <c r="G659" s="1"/>
      <c r="I659" s="1"/>
      <c r="J659" s="1"/>
      <c r="L659" s="1"/>
      <c r="O659" s="1"/>
    </row>
    <row r="660" spans="5:15">
      <c r="E660" s="1"/>
      <c r="F660" s="1"/>
      <c r="G660" s="1"/>
      <c r="I660" s="1"/>
      <c r="J660" s="1"/>
      <c r="L660" s="1"/>
      <c r="O660" s="1"/>
    </row>
    <row r="661" spans="5:15">
      <c r="E661" s="1"/>
      <c r="F661" s="1"/>
      <c r="G661" s="1"/>
      <c r="I661" s="1"/>
      <c r="J661" s="1"/>
      <c r="L661" s="1"/>
      <c r="O661" s="1"/>
    </row>
    <row r="662" spans="5:15">
      <c r="E662" s="1"/>
      <c r="F662" s="1"/>
      <c r="G662" s="1"/>
      <c r="I662" s="1"/>
      <c r="J662" s="1"/>
      <c r="L662" s="1"/>
      <c r="O662" s="1"/>
    </row>
    <row r="663" spans="5:15">
      <c r="E663" s="1"/>
      <c r="F663" s="1"/>
      <c r="G663" s="1"/>
      <c r="I663" s="1"/>
      <c r="J663" s="1"/>
      <c r="L663" s="1"/>
      <c r="O663" s="1"/>
    </row>
    <row r="664" spans="5:15">
      <c r="E664" s="1"/>
      <c r="F664" s="1"/>
      <c r="G664" s="1"/>
      <c r="I664" s="1"/>
      <c r="J664" s="1"/>
      <c r="L664" s="1"/>
      <c r="O664" s="1"/>
    </row>
    <row r="665" spans="5:15">
      <c r="E665" s="1"/>
      <c r="F665" s="1"/>
      <c r="G665" s="1"/>
      <c r="I665" s="1"/>
      <c r="J665" s="1"/>
      <c r="L665" s="1"/>
      <c r="O665" s="1"/>
    </row>
    <row r="666" spans="5:15">
      <c r="E666" s="1"/>
      <c r="F666" s="1"/>
      <c r="G666" s="1"/>
      <c r="I666" s="1"/>
      <c r="J666" s="1"/>
      <c r="L666" s="1"/>
      <c r="O666" s="1"/>
    </row>
    <row r="667" spans="5:15">
      <c r="E667" s="1"/>
      <c r="F667" s="1"/>
      <c r="G667" s="1"/>
      <c r="I667" s="1"/>
      <c r="J667" s="1"/>
      <c r="L667" s="1"/>
      <c r="O667" s="1"/>
    </row>
    <row r="668" spans="5:15">
      <c r="E668" s="1"/>
      <c r="F668" s="1"/>
      <c r="G668" s="1"/>
      <c r="I668" s="1"/>
      <c r="J668" s="1"/>
      <c r="L668" s="1"/>
      <c r="O668" s="1"/>
    </row>
    <row r="669" spans="5:15">
      <c r="E669" s="1"/>
      <c r="F669" s="1"/>
      <c r="G669" s="1"/>
      <c r="I669" s="1"/>
      <c r="J669" s="1"/>
      <c r="L669" s="1"/>
      <c r="O669" s="1"/>
    </row>
    <row r="670" spans="5:15">
      <c r="E670" s="1"/>
      <c r="F670" s="1"/>
      <c r="G670" s="1"/>
      <c r="I670" s="1"/>
      <c r="J670" s="1"/>
      <c r="L670" s="1"/>
      <c r="O670" s="1"/>
    </row>
    <row r="671" spans="5:15">
      <c r="E671" s="1"/>
      <c r="F671" s="1"/>
      <c r="G671" s="1"/>
      <c r="I671" s="1"/>
      <c r="J671" s="1"/>
      <c r="L671" s="1"/>
      <c r="O671" s="1"/>
    </row>
    <row r="672" spans="5:15">
      <c r="E672" s="1"/>
      <c r="F672" s="1"/>
      <c r="G672" s="1"/>
      <c r="I672" s="1"/>
      <c r="J672" s="1"/>
      <c r="L672" s="1"/>
      <c r="O672" s="1"/>
    </row>
    <row r="673" spans="5:15">
      <c r="E673" s="1"/>
      <c r="F673" s="1"/>
      <c r="G673" s="1"/>
      <c r="I673" s="1"/>
      <c r="J673" s="1"/>
      <c r="L673" s="1"/>
      <c r="O673" s="1"/>
    </row>
    <row r="674" spans="5:15">
      <c r="E674" s="1"/>
      <c r="F674" s="1"/>
      <c r="G674" s="1"/>
      <c r="I674" s="1"/>
      <c r="J674" s="1"/>
      <c r="L674" s="1"/>
      <c r="O674" s="1"/>
    </row>
    <row r="675" spans="5:15">
      <c r="E675" s="1"/>
      <c r="F675" s="1"/>
      <c r="G675" s="1"/>
      <c r="I675" s="1"/>
      <c r="J675" s="1"/>
      <c r="L675" s="1"/>
      <c r="O675" s="1"/>
    </row>
    <row r="676" spans="5:15">
      <c r="E676" s="1"/>
      <c r="F676" s="1"/>
      <c r="G676" s="1"/>
      <c r="I676" s="1"/>
      <c r="J676" s="1"/>
      <c r="L676" s="1"/>
      <c r="O676" s="1"/>
    </row>
    <row r="677" spans="5:15">
      <c r="E677" s="1"/>
      <c r="F677" s="1"/>
      <c r="G677" s="1"/>
      <c r="I677" s="1"/>
      <c r="J677" s="1"/>
      <c r="L677" s="1"/>
      <c r="O677" s="1"/>
    </row>
    <row r="678" spans="5:15">
      <c r="E678" s="1"/>
      <c r="F678" s="1"/>
      <c r="G678" s="1"/>
      <c r="I678" s="1"/>
      <c r="J678" s="1"/>
      <c r="L678" s="1"/>
      <c r="O678" s="1"/>
    </row>
    <row r="679" spans="5:15">
      <c r="E679" s="1"/>
      <c r="F679" s="1"/>
      <c r="G679" s="1"/>
      <c r="I679" s="1"/>
      <c r="J679" s="1"/>
      <c r="L679" s="1"/>
      <c r="O679" s="1"/>
    </row>
    <row r="680" spans="5:15">
      <c r="E680" s="1"/>
      <c r="F680" s="1"/>
      <c r="G680" s="1"/>
      <c r="I680" s="1"/>
      <c r="J680" s="1"/>
      <c r="L680" s="1"/>
      <c r="O680" s="1"/>
    </row>
    <row r="681" spans="5:15">
      <c r="E681" s="1"/>
      <c r="F681" s="1"/>
      <c r="G681" s="1"/>
      <c r="I681" s="1"/>
      <c r="J681" s="1"/>
      <c r="L681" s="1"/>
      <c r="O681" s="1"/>
    </row>
    <row r="682" spans="5:15">
      <c r="E682" s="1"/>
      <c r="F682" s="1"/>
      <c r="G682" s="1"/>
      <c r="I682" s="1"/>
      <c r="J682" s="1"/>
      <c r="L682" s="1"/>
      <c r="O682" s="1"/>
    </row>
    <row r="683" spans="5:15">
      <c r="E683" s="1"/>
      <c r="F683" s="1"/>
      <c r="G683" s="1"/>
      <c r="I683" s="1"/>
      <c r="J683" s="1"/>
      <c r="L683" s="1"/>
      <c r="O683" s="1"/>
    </row>
    <row r="684" spans="5:15">
      <c r="E684" s="1"/>
      <c r="F684" s="1"/>
      <c r="G684" s="1"/>
      <c r="I684" s="1"/>
      <c r="J684" s="1"/>
      <c r="L684" s="1"/>
      <c r="O684" s="1"/>
    </row>
    <row r="685" spans="5:15">
      <c r="E685" s="1"/>
      <c r="F685" s="1"/>
      <c r="G685" s="1"/>
      <c r="I685" s="1"/>
      <c r="J685" s="1"/>
      <c r="L685" s="1"/>
      <c r="O685" s="1"/>
    </row>
    <row r="686" spans="5:15">
      <c r="E686" s="1"/>
      <c r="F686" s="1"/>
      <c r="G686" s="1"/>
      <c r="I686" s="1"/>
      <c r="J686" s="1"/>
      <c r="L686" s="1"/>
      <c r="O686" s="1"/>
    </row>
    <row r="687" spans="5:15">
      <c r="E687" s="1"/>
      <c r="F687" s="1"/>
      <c r="G687" s="1"/>
      <c r="I687" s="1"/>
      <c r="J687" s="1"/>
      <c r="L687" s="1"/>
      <c r="O687" s="1"/>
    </row>
    <row r="688" spans="5:15">
      <c r="E688" s="1"/>
      <c r="F688" s="1"/>
      <c r="G688" s="1"/>
      <c r="I688" s="1"/>
      <c r="J688" s="1"/>
      <c r="L688" s="1"/>
      <c r="O688" s="1"/>
    </row>
    <row r="689" spans="5:15">
      <c r="E689" s="1"/>
      <c r="F689" s="1"/>
      <c r="G689" s="1"/>
      <c r="I689" s="1"/>
      <c r="J689" s="1"/>
      <c r="L689" s="1"/>
      <c r="O689" s="1"/>
    </row>
    <row r="690" spans="5:15">
      <c r="E690" s="1"/>
      <c r="F690" s="1"/>
      <c r="G690" s="1"/>
      <c r="I690" s="1"/>
      <c r="J690" s="1"/>
      <c r="L690" s="1"/>
      <c r="O690" s="1"/>
    </row>
    <row r="691" spans="5:15">
      <c r="E691" s="1"/>
      <c r="F691" s="1"/>
      <c r="G691" s="1"/>
      <c r="I691" s="1"/>
      <c r="J691" s="1"/>
      <c r="L691" s="1"/>
      <c r="O691" s="1"/>
    </row>
    <row r="692" spans="5:15">
      <c r="E692" s="1"/>
      <c r="F692" s="1"/>
      <c r="G692" s="1"/>
      <c r="I692" s="1"/>
      <c r="J692" s="1"/>
      <c r="L692" s="1"/>
      <c r="O692" s="1"/>
    </row>
    <row r="693" spans="5:15">
      <c r="E693" s="1"/>
      <c r="F693" s="1"/>
      <c r="G693" s="1"/>
      <c r="I693" s="1"/>
      <c r="J693" s="1"/>
      <c r="L693" s="1"/>
      <c r="O693" s="1"/>
    </row>
    <row r="694" spans="5:15">
      <c r="E694" s="1"/>
      <c r="F694" s="1"/>
      <c r="G694" s="1"/>
      <c r="I694" s="1"/>
      <c r="J694" s="1"/>
      <c r="L694" s="1"/>
      <c r="O694" s="1"/>
    </row>
    <row r="695" spans="5:15">
      <c r="E695" s="1"/>
      <c r="F695" s="1"/>
      <c r="G695" s="1"/>
      <c r="I695" s="1"/>
      <c r="J695" s="1"/>
      <c r="L695" s="1"/>
      <c r="O695" s="1"/>
    </row>
    <row r="696" spans="5:15">
      <c r="E696" s="1"/>
      <c r="F696" s="1"/>
      <c r="G696" s="1"/>
      <c r="I696" s="1"/>
      <c r="J696" s="1"/>
      <c r="L696" s="1"/>
      <c r="O696" s="1"/>
    </row>
    <row r="697" spans="5:15">
      <c r="E697" s="1"/>
      <c r="F697" s="1"/>
      <c r="G697" s="1"/>
      <c r="I697" s="1"/>
      <c r="J697" s="1"/>
      <c r="L697" s="1"/>
      <c r="O697" s="1"/>
    </row>
    <row r="698" spans="5:15">
      <c r="E698" s="1"/>
      <c r="F698" s="1"/>
      <c r="G698" s="1"/>
      <c r="I698" s="1"/>
      <c r="J698" s="1"/>
      <c r="L698" s="1"/>
      <c r="O698" s="1"/>
    </row>
    <row r="699" spans="5:15">
      <c r="E699" s="1"/>
      <c r="F699" s="1"/>
      <c r="G699" s="1"/>
      <c r="I699" s="1"/>
      <c r="J699" s="1"/>
      <c r="L699" s="1"/>
      <c r="O699" s="1"/>
    </row>
    <row r="700" spans="5:15">
      <c r="E700" s="1"/>
      <c r="F700" s="1"/>
      <c r="G700" s="1"/>
      <c r="I700" s="1"/>
      <c r="J700" s="1"/>
      <c r="L700" s="1"/>
      <c r="O700" s="1"/>
    </row>
    <row r="701" spans="5:15">
      <c r="E701" s="1"/>
      <c r="F701" s="1"/>
      <c r="G701" s="1"/>
      <c r="I701" s="1"/>
      <c r="J701" s="1"/>
      <c r="L701" s="1"/>
      <c r="O701" s="1"/>
    </row>
    <row r="702" spans="5:15">
      <c r="E702" s="1"/>
      <c r="F702" s="1"/>
      <c r="G702" s="1"/>
      <c r="I702" s="1"/>
      <c r="J702" s="1"/>
      <c r="L702" s="1"/>
      <c r="O702" s="1"/>
    </row>
    <row r="703" spans="5:15">
      <c r="E703" s="1"/>
      <c r="F703" s="1"/>
      <c r="G703" s="1"/>
      <c r="I703" s="1"/>
      <c r="J703" s="1"/>
      <c r="L703" s="1"/>
      <c r="O703" s="1"/>
    </row>
    <row r="704" spans="5:15">
      <c r="E704" s="1"/>
      <c r="F704" s="1"/>
      <c r="G704" s="1"/>
      <c r="I704" s="1"/>
      <c r="J704" s="1"/>
      <c r="L704" s="1"/>
      <c r="O704" s="1"/>
    </row>
    <row r="705" spans="5:15">
      <c r="E705" s="1"/>
      <c r="F705" s="1"/>
      <c r="G705" s="1"/>
      <c r="I705" s="1"/>
      <c r="J705" s="1"/>
      <c r="L705" s="1"/>
      <c r="O705" s="1"/>
    </row>
    <row r="706" spans="5:15">
      <c r="E706" s="1"/>
      <c r="F706" s="1"/>
      <c r="G706" s="1"/>
      <c r="I706" s="1"/>
      <c r="J706" s="1"/>
      <c r="L706" s="1"/>
      <c r="O706" s="1"/>
    </row>
    <row r="707" spans="5:15">
      <c r="E707" s="1"/>
      <c r="F707" s="1"/>
      <c r="G707" s="1"/>
      <c r="I707" s="1"/>
      <c r="J707" s="1"/>
      <c r="L707" s="1"/>
      <c r="O707" s="1"/>
    </row>
    <row r="708" spans="5:15">
      <c r="E708" s="1"/>
      <c r="F708" s="1"/>
      <c r="G708" s="1"/>
      <c r="I708" s="1"/>
      <c r="J708" s="1"/>
      <c r="L708" s="1"/>
      <c r="O708" s="1"/>
    </row>
    <row r="709" spans="5:15">
      <c r="E709" s="1"/>
      <c r="F709" s="1"/>
      <c r="G709" s="1"/>
      <c r="I709" s="1"/>
      <c r="J709" s="1"/>
      <c r="L709" s="1"/>
      <c r="O709" s="1"/>
    </row>
    <row r="710" spans="5:15">
      <c r="E710" s="1"/>
      <c r="F710" s="1"/>
      <c r="G710" s="1"/>
      <c r="I710" s="1"/>
      <c r="J710" s="1"/>
      <c r="L710" s="1"/>
      <c r="O710" s="1"/>
    </row>
    <row r="711" spans="5:15">
      <c r="E711" s="1"/>
      <c r="F711" s="1"/>
      <c r="G711" s="1"/>
      <c r="I711" s="1"/>
      <c r="J711" s="1"/>
      <c r="L711" s="1"/>
      <c r="O711" s="1"/>
    </row>
    <row r="712" spans="5:15">
      <c r="E712" s="1"/>
      <c r="F712" s="1"/>
      <c r="G712" s="1"/>
      <c r="I712" s="1"/>
      <c r="J712" s="1"/>
      <c r="L712" s="1"/>
      <c r="O712" s="1"/>
    </row>
    <row r="713" spans="5:15">
      <c r="E713" s="1"/>
      <c r="F713" s="1"/>
      <c r="G713" s="1"/>
      <c r="I713" s="1"/>
      <c r="J713" s="1"/>
      <c r="L713" s="1"/>
      <c r="O713" s="1"/>
    </row>
    <row r="714" spans="5:15">
      <c r="E714" s="1"/>
      <c r="F714" s="1"/>
      <c r="G714" s="1"/>
      <c r="I714" s="1"/>
      <c r="J714" s="1"/>
      <c r="L714" s="1"/>
      <c r="O714" s="1"/>
    </row>
    <row r="715" spans="5:15">
      <c r="E715" s="1"/>
      <c r="F715" s="1"/>
      <c r="G715" s="1"/>
      <c r="I715" s="1"/>
      <c r="J715" s="1"/>
      <c r="L715" s="1"/>
      <c r="O715" s="1"/>
    </row>
    <row r="716" spans="5:15">
      <c r="E716" s="1"/>
      <c r="F716" s="1"/>
      <c r="G716" s="1"/>
      <c r="I716" s="1"/>
      <c r="J716" s="1"/>
      <c r="L716" s="1"/>
      <c r="O716" s="1"/>
    </row>
    <row r="717" spans="5:15">
      <c r="E717" s="1"/>
      <c r="F717" s="1"/>
      <c r="G717" s="1"/>
      <c r="I717" s="1"/>
      <c r="J717" s="1"/>
      <c r="L717" s="1"/>
      <c r="O717" s="1"/>
    </row>
    <row r="718" spans="5:15">
      <c r="E718" s="1"/>
      <c r="F718" s="1"/>
      <c r="G718" s="1"/>
      <c r="I718" s="1"/>
      <c r="J718" s="1"/>
      <c r="L718" s="1"/>
      <c r="O718" s="1"/>
    </row>
    <row r="719" spans="5:15">
      <c r="E719" s="1"/>
      <c r="F719" s="1"/>
      <c r="G719" s="1"/>
      <c r="I719" s="1"/>
      <c r="J719" s="1"/>
      <c r="L719" s="1"/>
      <c r="O719" s="1"/>
    </row>
    <row r="720" spans="5:15">
      <c r="E720" s="1"/>
      <c r="F720" s="1"/>
      <c r="G720" s="1"/>
      <c r="I720" s="1"/>
      <c r="J720" s="1"/>
      <c r="L720" s="1"/>
      <c r="O720" s="1"/>
    </row>
    <row r="721" spans="5:15">
      <c r="E721" s="1"/>
      <c r="F721" s="1"/>
      <c r="G721" s="1"/>
      <c r="I721" s="1"/>
      <c r="J721" s="1"/>
      <c r="L721" s="1"/>
      <c r="O721" s="1"/>
    </row>
    <row r="722" spans="5:15">
      <c r="E722" s="1"/>
      <c r="F722" s="1"/>
      <c r="G722" s="1"/>
      <c r="I722" s="1"/>
      <c r="J722" s="1"/>
      <c r="L722" s="1"/>
      <c r="O722" s="1"/>
    </row>
    <row r="723" spans="5:15">
      <c r="E723" s="1"/>
      <c r="F723" s="1"/>
      <c r="G723" s="1"/>
      <c r="I723" s="1"/>
      <c r="J723" s="1"/>
      <c r="L723" s="1"/>
      <c r="O723" s="1"/>
    </row>
    <row r="724" spans="5:15">
      <c r="E724" s="1"/>
      <c r="F724" s="1"/>
      <c r="G724" s="1"/>
      <c r="I724" s="1"/>
      <c r="J724" s="1"/>
      <c r="L724" s="1"/>
      <c r="O724" s="1"/>
    </row>
    <row r="725" spans="5:15">
      <c r="E725" s="1"/>
      <c r="F725" s="1"/>
      <c r="G725" s="1"/>
      <c r="I725" s="1"/>
      <c r="J725" s="1"/>
      <c r="L725" s="1"/>
      <c r="O725" s="1"/>
    </row>
    <row r="726" spans="5:15">
      <c r="E726" s="1"/>
      <c r="F726" s="1"/>
      <c r="G726" s="1"/>
      <c r="I726" s="1"/>
      <c r="J726" s="1"/>
      <c r="L726" s="1"/>
      <c r="O726" s="1"/>
    </row>
    <row r="727" spans="5:15">
      <c r="E727" s="1"/>
      <c r="F727" s="1"/>
      <c r="G727" s="1"/>
      <c r="I727" s="1"/>
      <c r="J727" s="1"/>
      <c r="L727" s="1"/>
      <c r="O727" s="1"/>
    </row>
    <row r="728" spans="5:15">
      <c r="E728" s="1"/>
      <c r="F728" s="1"/>
      <c r="G728" s="1"/>
      <c r="I728" s="1"/>
      <c r="J728" s="1"/>
      <c r="L728" s="1"/>
      <c r="O728" s="1"/>
    </row>
    <row r="729" spans="5:15">
      <c r="E729" s="1"/>
      <c r="F729" s="1"/>
      <c r="G729" s="1"/>
      <c r="I729" s="1"/>
      <c r="J729" s="1"/>
      <c r="L729" s="1"/>
      <c r="O729" s="1"/>
    </row>
    <row r="730" spans="5:15">
      <c r="E730" s="1"/>
      <c r="F730" s="1"/>
      <c r="G730" s="1"/>
      <c r="I730" s="1"/>
      <c r="J730" s="1"/>
      <c r="L730" s="1"/>
      <c r="O730" s="1"/>
    </row>
    <row r="731" spans="5:15">
      <c r="E731" s="1"/>
      <c r="F731" s="1"/>
      <c r="G731" s="1"/>
      <c r="I731" s="1"/>
      <c r="J731" s="1"/>
      <c r="L731" s="1"/>
      <c r="O731" s="1"/>
    </row>
    <row r="732" spans="5:15">
      <c r="E732" s="1"/>
      <c r="F732" s="1"/>
      <c r="G732" s="1"/>
      <c r="I732" s="1"/>
      <c r="J732" s="1"/>
      <c r="L732" s="1"/>
      <c r="O732" s="1"/>
    </row>
    <row r="733" spans="5:15">
      <c r="E733" s="1"/>
      <c r="F733" s="1"/>
      <c r="G733" s="1"/>
      <c r="I733" s="1"/>
      <c r="J733" s="1"/>
      <c r="L733" s="1"/>
      <c r="O733" s="1"/>
    </row>
    <row r="734" spans="5:15">
      <c r="E734" s="1"/>
      <c r="F734" s="1"/>
      <c r="G734" s="1"/>
      <c r="I734" s="1"/>
      <c r="J734" s="1"/>
      <c r="L734" s="1"/>
      <c r="O734" s="1"/>
    </row>
    <row r="735" spans="5:15">
      <c r="E735" s="1"/>
      <c r="F735" s="1"/>
      <c r="G735" s="1"/>
      <c r="I735" s="1"/>
      <c r="J735" s="1"/>
      <c r="L735" s="1"/>
      <c r="O735" s="1"/>
    </row>
    <row r="736" spans="5:15">
      <c r="E736" s="1"/>
      <c r="F736" s="1"/>
      <c r="G736" s="1"/>
      <c r="I736" s="1"/>
      <c r="J736" s="1"/>
      <c r="L736" s="1"/>
      <c r="O736" s="1"/>
    </row>
    <row r="737" spans="5:15">
      <c r="E737" s="1"/>
      <c r="F737" s="1"/>
      <c r="G737" s="1"/>
      <c r="I737" s="1"/>
      <c r="J737" s="1"/>
      <c r="L737" s="1"/>
      <c r="O737" s="1"/>
    </row>
    <row r="738" spans="5:15">
      <c r="E738" s="1"/>
      <c r="F738" s="1"/>
      <c r="G738" s="1"/>
      <c r="I738" s="1"/>
      <c r="J738" s="1"/>
      <c r="L738" s="1"/>
      <c r="O738" s="1"/>
    </row>
    <row r="739" spans="5:15">
      <c r="E739" s="1"/>
      <c r="F739" s="1"/>
      <c r="G739" s="1"/>
      <c r="I739" s="1"/>
      <c r="J739" s="1"/>
      <c r="L739" s="1"/>
      <c r="O739" s="1"/>
    </row>
    <row r="740" spans="5:15">
      <c r="E740" s="1"/>
      <c r="F740" s="1"/>
      <c r="G740" s="1"/>
      <c r="I740" s="1"/>
      <c r="J740" s="1"/>
      <c r="L740" s="1"/>
      <c r="O740" s="1"/>
    </row>
    <row r="741" spans="5:15">
      <c r="E741" s="1"/>
      <c r="F741" s="1"/>
      <c r="G741" s="1"/>
      <c r="I741" s="1"/>
      <c r="J741" s="1"/>
      <c r="L741" s="1"/>
      <c r="O741" s="1"/>
    </row>
    <row r="742" spans="5:15">
      <c r="E742" s="1"/>
      <c r="F742" s="1"/>
      <c r="G742" s="1"/>
      <c r="I742" s="1"/>
      <c r="J742" s="1"/>
      <c r="L742" s="1"/>
      <c r="O742" s="1"/>
    </row>
    <row r="743" spans="5:15">
      <c r="E743" s="1"/>
      <c r="F743" s="1"/>
      <c r="G743" s="1"/>
      <c r="I743" s="1"/>
      <c r="J743" s="1"/>
      <c r="L743" s="1"/>
      <c r="O743" s="1"/>
    </row>
    <row r="744" spans="5:15">
      <c r="E744" s="1"/>
      <c r="F744" s="1"/>
      <c r="G744" s="1"/>
      <c r="I744" s="1"/>
      <c r="J744" s="1"/>
      <c r="L744" s="1"/>
      <c r="O744" s="1"/>
    </row>
    <row r="745" spans="5:15">
      <c r="E745" s="1"/>
      <c r="F745" s="1"/>
      <c r="G745" s="1"/>
      <c r="I745" s="1"/>
      <c r="J745" s="1"/>
      <c r="L745" s="1"/>
      <c r="O745" s="1"/>
    </row>
    <row r="746" spans="5:15">
      <c r="E746" s="1"/>
      <c r="F746" s="1"/>
      <c r="G746" s="1"/>
      <c r="I746" s="1"/>
      <c r="J746" s="1"/>
      <c r="L746" s="1"/>
      <c r="O746" s="1"/>
    </row>
    <row r="747" spans="5:15">
      <c r="E747" s="1"/>
      <c r="F747" s="1"/>
      <c r="G747" s="1"/>
      <c r="I747" s="1"/>
      <c r="J747" s="1"/>
      <c r="L747" s="1"/>
      <c r="O747" s="1"/>
    </row>
    <row r="748" spans="5:15">
      <c r="E748" s="1"/>
      <c r="F748" s="1"/>
      <c r="G748" s="1"/>
      <c r="I748" s="1"/>
      <c r="J748" s="1"/>
      <c r="L748" s="1"/>
      <c r="O748" s="1"/>
    </row>
    <row r="749" spans="5:15">
      <c r="E749" s="1"/>
      <c r="F749" s="1"/>
      <c r="G749" s="1"/>
      <c r="I749" s="1"/>
      <c r="J749" s="1"/>
      <c r="L749" s="1"/>
      <c r="O749" s="1"/>
    </row>
    <row r="750" spans="5:15">
      <c r="E750" s="1"/>
      <c r="F750" s="1"/>
      <c r="G750" s="1"/>
      <c r="I750" s="1"/>
      <c r="J750" s="1"/>
      <c r="L750" s="1"/>
      <c r="O750" s="1"/>
    </row>
    <row r="751" spans="5:15">
      <c r="E751" s="1"/>
      <c r="F751" s="1"/>
      <c r="G751" s="1"/>
      <c r="I751" s="1"/>
      <c r="J751" s="1"/>
      <c r="L751" s="1"/>
      <c r="O751" s="1"/>
    </row>
    <row r="752" spans="5:15">
      <c r="E752" s="1"/>
      <c r="F752" s="1"/>
      <c r="G752" s="1"/>
      <c r="I752" s="1"/>
      <c r="J752" s="1"/>
      <c r="L752" s="1"/>
      <c r="O752" s="1"/>
    </row>
    <row r="753" spans="5:15">
      <c r="E753" s="1"/>
      <c r="F753" s="1"/>
      <c r="G753" s="1"/>
      <c r="I753" s="1"/>
      <c r="J753" s="1"/>
      <c r="L753" s="1"/>
      <c r="O753" s="1"/>
    </row>
    <row r="754" spans="5:15">
      <c r="E754" s="1"/>
      <c r="F754" s="1"/>
      <c r="G754" s="1"/>
      <c r="I754" s="1"/>
      <c r="J754" s="1"/>
      <c r="L754" s="1"/>
      <c r="O754" s="1"/>
    </row>
    <row r="755" spans="5:15">
      <c r="E755" s="1"/>
      <c r="F755" s="1"/>
      <c r="G755" s="1"/>
      <c r="I755" s="1"/>
      <c r="J755" s="1"/>
      <c r="L755" s="1"/>
      <c r="O755" s="1"/>
    </row>
    <row r="756" spans="5:15">
      <c r="E756" s="1"/>
      <c r="F756" s="1"/>
      <c r="G756" s="1"/>
      <c r="I756" s="1"/>
      <c r="J756" s="1"/>
      <c r="L756" s="1"/>
      <c r="O756" s="1"/>
    </row>
    <row r="757" spans="5:15">
      <c r="E757" s="1"/>
      <c r="F757" s="1"/>
      <c r="G757" s="1"/>
      <c r="I757" s="1"/>
      <c r="J757" s="1"/>
      <c r="L757" s="1"/>
      <c r="O757" s="1"/>
    </row>
    <row r="758" spans="5:15">
      <c r="E758" s="1"/>
      <c r="F758" s="1"/>
      <c r="G758" s="1"/>
      <c r="I758" s="1"/>
      <c r="J758" s="1"/>
      <c r="L758" s="1"/>
      <c r="O758" s="1"/>
    </row>
    <row r="759" spans="5:15">
      <c r="E759" s="1"/>
      <c r="F759" s="1"/>
      <c r="G759" s="1"/>
      <c r="I759" s="1"/>
      <c r="J759" s="1"/>
      <c r="L759" s="1"/>
      <c r="O759" s="1"/>
    </row>
    <row r="760" spans="5:15">
      <c r="E760" s="1"/>
      <c r="F760" s="1"/>
      <c r="G760" s="1"/>
      <c r="I760" s="1"/>
      <c r="J760" s="1"/>
      <c r="L760" s="1"/>
      <c r="O760" s="1"/>
    </row>
    <row r="761" spans="5:15">
      <c r="E761" s="1"/>
      <c r="F761" s="1"/>
      <c r="G761" s="1"/>
      <c r="I761" s="1"/>
      <c r="J761" s="1"/>
      <c r="L761" s="1"/>
      <c r="O761" s="1"/>
    </row>
    <row r="762" spans="5:15">
      <c r="E762" s="1"/>
      <c r="F762" s="1"/>
      <c r="G762" s="1"/>
      <c r="I762" s="1"/>
      <c r="J762" s="1"/>
      <c r="L762" s="1"/>
      <c r="O762" s="1"/>
    </row>
    <row r="763" spans="5:15">
      <c r="E763" s="1"/>
      <c r="F763" s="1"/>
      <c r="G763" s="1"/>
      <c r="I763" s="1"/>
      <c r="J763" s="1"/>
      <c r="L763" s="1"/>
      <c r="O763" s="1"/>
    </row>
    <row r="764" spans="5:15">
      <c r="E764" s="1"/>
      <c r="F764" s="1"/>
      <c r="G764" s="1"/>
      <c r="I764" s="1"/>
      <c r="J764" s="1"/>
      <c r="L764" s="1"/>
      <c r="O764" s="1"/>
    </row>
    <row r="765" spans="5:15">
      <c r="E765" s="1"/>
      <c r="F765" s="1"/>
      <c r="G765" s="1"/>
      <c r="I765" s="1"/>
      <c r="J765" s="1"/>
      <c r="L765" s="1"/>
      <c r="O765" s="1"/>
    </row>
    <row r="766" spans="5:15">
      <c r="E766" s="1"/>
      <c r="F766" s="1"/>
      <c r="G766" s="1"/>
      <c r="I766" s="1"/>
      <c r="J766" s="1"/>
      <c r="L766" s="1"/>
      <c r="O766" s="1"/>
    </row>
    <row r="767" spans="5:15">
      <c r="E767" s="1"/>
      <c r="F767" s="1"/>
      <c r="G767" s="1"/>
      <c r="I767" s="1"/>
      <c r="J767" s="1"/>
      <c r="L767" s="1"/>
      <c r="O767" s="1"/>
    </row>
    <row r="768" spans="5:15">
      <c r="E768" s="1"/>
      <c r="F768" s="1"/>
      <c r="G768" s="1"/>
      <c r="I768" s="1"/>
      <c r="J768" s="1"/>
      <c r="L768" s="1"/>
      <c r="O768" s="1"/>
    </row>
    <row r="769" spans="5:15">
      <c r="E769" s="1"/>
      <c r="F769" s="1"/>
      <c r="G769" s="1"/>
      <c r="I769" s="1"/>
      <c r="J769" s="1"/>
      <c r="L769" s="1"/>
      <c r="O769" s="1"/>
    </row>
    <row r="770" spans="5:15">
      <c r="E770" s="1"/>
      <c r="F770" s="1"/>
      <c r="G770" s="1"/>
      <c r="I770" s="1"/>
      <c r="J770" s="1"/>
      <c r="L770" s="1"/>
      <c r="O770" s="1"/>
    </row>
    <row r="771" spans="5:15">
      <c r="E771" s="1"/>
      <c r="F771" s="1"/>
      <c r="G771" s="1"/>
      <c r="I771" s="1"/>
      <c r="J771" s="1"/>
      <c r="L771" s="1"/>
      <c r="O771" s="1"/>
    </row>
    <row r="772" spans="5:15">
      <c r="E772" s="1"/>
      <c r="F772" s="1"/>
      <c r="G772" s="1"/>
      <c r="I772" s="1"/>
      <c r="J772" s="1"/>
      <c r="L772" s="1"/>
      <c r="O772" s="1"/>
    </row>
    <row r="773" spans="5:15">
      <c r="E773" s="1"/>
      <c r="F773" s="1"/>
      <c r="G773" s="1"/>
      <c r="I773" s="1"/>
      <c r="J773" s="1"/>
      <c r="L773" s="1"/>
      <c r="O773" s="1"/>
    </row>
    <row r="774" spans="5:15">
      <c r="E774" s="1"/>
      <c r="F774" s="1"/>
      <c r="G774" s="1"/>
      <c r="I774" s="1"/>
      <c r="J774" s="1"/>
      <c r="L774" s="1"/>
      <c r="O774" s="1"/>
    </row>
    <row r="775" spans="5:15">
      <c r="E775" s="1"/>
      <c r="F775" s="1"/>
      <c r="G775" s="1"/>
      <c r="I775" s="1"/>
      <c r="J775" s="1"/>
      <c r="L775" s="1"/>
      <c r="O775" s="1"/>
    </row>
    <row r="776" spans="5:15">
      <c r="E776" s="1"/>
      <c r="F776" s="1"/>
      <c r="G776" s="1"/>
      <c r="I776" s="1"/>
      <c r="J776" s="1"/>
      <c r="L776" s="1"/>
      <c r="O776" s="1"/>
    </row>
    <row r="777" spans="5:15">
      <c r="E777" s="1"/>
      <c r="F777" s="1"/>
      <c r="G777" s="1"/>
      <c r="I777" s="1"/>
      <c r="J777" s="1"/>
      <c r="L777" s="1"/>
      <c r="O777" s="1"/>
    </row>
    <row r="778" spans="5:15">
      <c r="E778" s="1"/>
      <c r="F778" s="1"/>
      <c r="G778" s="1"/>
      <c r="I778" s="1"/>
      <c r="J778" s="1"/>
      <c r="L778" s="1"/>
      <c r="O778" s="1"/>
    </row>
    <row r="779" spans="5:15">
      <c r="E779" s="1"/>
      <c r="F779" s="1"/>
      <c r="G779" s="1"/>
      <c r="I779" s="1"/>
      <c r="J779" s="1"/>
      <c r="L779" s="1"/>
      <c r="O779" s="1"/>
    </row>
    <row r="780" spans="5:15">
      <c r="E780" s="1"/>
      <c r="F780" s="1"/>
      <c r="G780" s="1"/>
      <c r="I780" s="1"/>
      <c r="J780" s="1"/>
      <c r="L780" s="1"/>
      <c r="O780" s="1"/>
    </row>
    <row r="781" spans="5:15">
      <c r="E781" s="1"/>
      <c r="F781" s="1"/>
      <c r="G781" s="1"/>
      <c r="I781" s="1"/>
      <c r="J781" s="1"/>
      <c r="L781" s="1"/>
      <c r="O781" s="1"/>
    </row>
    <row r="782" spans="5:15">
      <c r="E782" s="1"/>
      <c r="F782" s="1"/>
      <c r="G782" s="1"/>
      <c r="I782" s="1"/>
      <c r="J782" s="1"/>
      <c r="L782" s="1"/>
      <c r="O782" s="1"/>
    </row>
    <row r="783" spans="5:15">
      <c r="E783" s="1"/>
      <c r="F783" s="1"/>
      <c r="G783" s="1"/>
      <c r="I783" s="1"/>
      <c r="J783" s="1"/>
      <c r="L783" s="1"/>
      <c r="O783" s="1"/>
    </row>
    <row r="784" spans="5:15">
      <c r="E784" s="1"/>
      <c r="F784" s="1"/>
      <c r="G784" s="1"/>
      <c r="I784" s="1"/>
      <c r="J784" s="1"/>
      <c r="L784" s="1"/>
      <c r="O784" s="1"/>
    </row>
    <row r="785" spans="5:15">
      <c r="E785" s="1"/>
      <c r="F785" s="1"/>
      <c r="G785" s="1"/>
      <c r="I785" s="1"/>
      <c r="J785" s="1"/>
      <c r="L785" s="1"/>
      <c r="O785" s="1"/>
    </row>
    <row r="786" spans="5:15">
      <c r="E786" s="1"/>
      <c r="F786" s="1"/>
      <c r="G786" s="1"/>
      <c r="I786" s="1"/>
      <c r="J786" s="1"/>
      <c r="L786" s="1"/>
      <c r="O786" s="1"/>
    </row>
    <row r="787" spans="5:15">
      <c r="E787" s="1"/>
      <c r="F787" s="1"/>
      <c r="G787" s="1"/>
      <c r="I787" s="1"/>
      <c r="J787" s="1"/>
      <c r="L787" s="1"/>
      <c r="O787" s="1"/>
    </row>
    <row r="788" spans="5:15">
      <c r="E788" s="1"/>
      <c r="F788" s="1"/>
      <c r="G788" s="1"/>
      <c r="I788" s="1"/>
      <c r="J788" s="1"/>
      <c r="L788" s="1"/>
      <c r="O788" s="1"/>
    </row>
    <row r="789" spans="5:15">
      <c r="E789" s="1"/>
      <c r="F789" s="1"/>
      <c r="G789" s="1"/>
      <c r="I789" s="1"/>
      <c r="J789" s="1"/>
      <c r="L789" s="1"/>
      <c r="O789" s="1"/>
    </row>
    <row r="790" spans="5:15">
      <c r="E790" s="1"/>
      <c r="F790" s="1"/>
      <c r="G790" s="1"/>
      <c r="I790" s="1"/>
      <c r="J790" s="1"/>
      <c r="L790" s="1"/>
      <c r="O790" s="1"/>
    </row>
    <row r="791" spans="5:15">
      <c r="E791" s="1"/>
      <c r="F791" s="1"/>
      <c r="G791" s="1"/>
      <c r="I791" s="1"/>
      <c r="J791" s="1"/>
      <c r="L791" s="1"/>
      <c r="O791" s="1"/>
    </row>
    <row r="792" spans="5:15">
      <c r="E792" s="1"/>
      <c r="F792" s="1"/>
      <c r="G792" s="1"/>
      <c r="I792" s="1"/>
      <c r="J792" s="1"/>
      <c r="L792" s="1"/>
      <c r="O792" s="1"/>
    </row>
    <row r="793" spans="5:15">
      <c r="E793" s="1"/>
      <c r="F793" s="1"/>
      <c r="G793" s="1"/>
      <c r="I793" s="1"/>
      <c r="J793" s="1"/>
      <c r="L793" s="1"/>
      <c r="O793" s="1"/>
    </row>
    <row r="794" spans="5:15">
      <c r="E794" s="1"/>
      <c r="F794" s="1"/>
      <c r="G794" s="1"/>
      <c r="I794" s="1"/>
      <c r="J794" s="1"/>
      <c r="L794" s="1"/>
      <c r="O794" s="1"/>
    </row>
    <row r="795" spans="5:15">
      <c r="E795" s="1"/>
      <c r="F795" s="1"/>
      <c r="G795" s="1"/>
      <c r="I795" s="1"/>
      <c r="J795" s="1"/>
      <c r="L795" s="1"/>
      <c r="O795" s="1"/>
    </row>
    <row r="796" spans="5:15">
      <c r="E796" s="1"/>
      <c r="F796" s="1"/>
      <c r="G796" s="1"/>
      <c r="I796" s="1"/>
      <c r="J796" s="1"/>
      <c r="L796" s="1"/>
      <c r="O796" s="1"/>
    </row>
    <row r="797" spans="5:15">
      <c r="E797" s="1"/>
      <c r="F797" s="1"/>
      <c r="G797" s="1"/>
      <c r="I797" s="1"/>
      <c r="J797" s="1"/>
      <c r="L797" s="1"/>
      <c r="O797" s="1"/>
    </row>
    <row r="798" spans="5:15">
      <c r="E798" s="1"/>
      <c r="F798" s="1"/>
      <c r="G798" s="1"/>
      <c r="I798" s="1"/>
      <c r="J798" s="1"/>
      <c r="L798" s="1"/>
      <c r="O798" s="1"/>
    </row>
    <row r="799" spans="5:15">
      <c r="E799" s="1"/>
      <c r="F799" s="1"/>
      <c r="G799" s="1"/>
      <c r="I799" s="1"/>
      <c r="J799" s="1"/>
      <c r="L799" s="1"/>
      <c r="O799" s="1"/>
    </row>
    <row r="800" spans="5:15">
      <c r="E800" s="1"/>
      <c r="F800" s="1"/>
      <c r="G800" s="1"/>
      <c r="I800" s="1"/>
      <c r="J800" s="1"/>
      <c r="L800" s="1"/>
      <c r="O800" s="1"/>
    </row>
    <row r="801" spans="5:15">
      <c r="E801" s="1"/>
      <c r="F801" s="1"/>
      <c r="G801" s="1"/>
      <c r="I801" s="1"/>
      <c r="J801" s="1"/>
      <c r="L801" s="1"/>
      <c r="O801" s="1"/>
    </row>
    <row r="802" spans="5:15">
      <c r="E802" s="1"/>
      <c r="F802" s="1"/>
      <c r="G802" s="1"/>
      <c r="I802" s="1"/>
      <c r="J802" s="1"/>
      <c r="L802" s="1"/>
      <c r="O802" s="1"/>
    </row>
    <row r="803" spans="5:15">
      <c r="E803" s="1"/>
      <c r="F803" s="1"/>
      <c r="G803" s="1"/>
      <c r="I803" s="1"/>
      <c r="J803" s="1"/>
      <c r="L803" s="1"/>
      <c r="O803" s="1"/>
    </row>
    <row r="804" spans="5:15">
      <c r="E804" s="1"/>
      <c r="F804" s="1"/>
      <c r="G804" s="1"/>
      <c r="I804" s="1"/>
      <c r="J804" s="1"/>
      <c r="L804" s="1"/>
      <c r="O804" s="1"/>
    </row>
    <row r="805" spans="5:15">
      <c r="E805" s="1"/>
      <c r="F805" s="1"/>
      <c r="G805" s="1"/>
      <c r="I805" s="1"/>
      <c r="J805" s="1"/>
      <c r="L805" s="1"/>
      <c r="O805" s="1"/>
    </row>
    <row r="806" spans="5:15">
      <c r="E806" s="1"/>
      <c r="F806" s="1"/>
      <c r="G806" s="1"/>
      <c r="I806" s="1"/>
      <c r="J806" s="1"/>
      <c r="L806" s="1"/>
      <c r="O806" s="1"/>
    </row>
    <row r="807" spans="5:15">
      <c r="E807" s="1"/>
      <c r="F807" s="1"/>
      <c r="G807" s="1"/>
      <c r="I807" s="1"/>
      <c r="J807" s="1"/>
      <c r="L807" s="1"/>
      <c r="O807" s="1"/>
    </row>
    <row r="808" spans="5:15">
      <c r="E808" s="1"/>
      <c r="F808" s="1"/>
      <c r="G808" s="1"/>
      <c r="I808" s="1"/>
      <c r="J808" s="1"/>
      <c r="L808" s="1"/>
      <c r="O808" s="1"/>
    </row>
    <row r="809" spans="5:15">
      <c r="E809" s="1"/>
      <c r="F809" s="1"/>
      <c r="G809" s="1"/>
      <c r="I809" s="1"/>
      <c r="J809" s="1"/>
      <c r="L809" s="1"/>
      <c r="O809" s="1"/>
    </row>
    <row r="810" spans="5:15">
      <c r="E810" s="1"/>
      <c r="F810" s="1"/>
      <c r="G810" s="1"/>
      <c r="I810" s="1"/>
      <c r="J810" s="1"/>
      <c r="L810" s="1"/>
      <c r="O810" s="1"/>
    </row>
    <row r="811" spans="5:15">
      <c r="E811" s="1"/>
      <c r="F811" s="1"/>
      <c r="G811" s="1"/>
      <c r="I811" s="1"/>
      <c r="J811" s="1"/>
      <c r="L811" s="1"/>
      <c r="O811" s="1"/>
    </row>
    <row r="812" spans="5:15">
      <c r="E812" s="1"/>
      <c r="F812" s="1"/>
      <c r="G812" s="1"/>
      <c r="I812" s="1"/>
      <c r="J812" s="1"/>
      <c r="L812" s="1"/>
      <c r="O812" s="1"/>
    </row>
    <row r="813" spans="5:15">
      <c r="E813" s="1"/>
      <c r="F813" s="1"/>
      <c r="G813" s="1"/>
      <c r="I813" s="1"/>
      <c r="J813" s="1"/>
      <c r="L813" s="1"/>
      <c r="O813" s="1"/>
    </row>
    <row r="814" spans="5:15">
      <c r="E814" s="1"/>
      <c r="F814" s="1"/>
      <c r="G814" s="1"/>
      <c r="I814" s="1"/>
      <c r="J814" s="1"/>
      <c r="L814" s="1"/>
      <c r="O814" s="1"/>
    </row>
    <row r="815" spans="5:15">
      <c r="E815" s="1"/>
      <c r="F815" s="1"/>
      <c r="G815" s="1"/>
      <c r="I815" s="1"/>
      <c r="J815" s="1"/>
      <c r="L815" s="1"/>
      <c r="O815" s="1"/>
    </row>
    <row r="816" spans="5:15">
      <c r="E816" s="1"/>
      <c r="F816" s="1"/>
      <c r="G816" s="1"/>
      <c r="I816" s="1"/>
      <c r="J816" s="1"/>
      <c r="L816" s="1"/>
      <c r="O816" s="1"/>
    </row>
    <row r="817" spans="5:15">
      <c r="E817" s="1"/>
      <c r="F817" s="1"/>
      <c r="G817" s="1"/>
      <c r="I817" s="1"/>
      <c r="J817" s="1"/>
      <c r="L817" s="1"/>
      <c r="O817" s="1"/>
    </row>
    <row r="818" spans="5:15">
      <c r="E818" s="1"/>
      <c r="F818" s="1"/>
      <c r="G818" s="1"/>
      <c r="I818" s="1"/>
      <c r="J818" s="1"/>
      <c r="L818" s="1"/>
      <c r="O818" s="1"/>
    </row>
    <row r="819" spans="5:15">
      <c r="E819" s="1"/>
      <c r="F819" s="1"/>
      <c r="G819" s="1"/>
      <c r="I819" s="1"/>
      <c r="J819" s="1"/>
      <c r="L819" s="1"/>
      <c r="O819" s="1"/>
    </row>
    <row r="820" spans="5:15">
      <c r="E820" s="1"/>
      <c r="F820" s="1"/>
      <c r="G820" s="1"/>
      <c r="I820" s="1"/>
      <c r="J820" s="1"/>
      <c r="L820" s="1"/>
      <c r="O820" s="1"/>
    </row>
    <row r="821" spans="5:15">
      <c r="E821" s="1"/>
      <c r="F821" s="1"/>
      <c r="G821" s="1"/>
      <c r="I821" s="1"/>
      <c r="J821" s="1"/>
      <c r="L821" s="1"/>
      <c r="O821" s="1"/>
    </row>
    <row r="822" spans="5:15">
      <c r="E822" s="1"/>
      <c r="F822" s="1"/>
      <c r="G822" s="1"/>
      <c r="I822" s="1"/>
      <c r="J822" s="1"/>
      <c r="L822" s="1"/>
      <c r="O822" s="1"/>
    </row>
    <row r="823" spans="5:15">
      <c r="E823" s="1"/>
      <c r="F823" s="1"/>
      <c r="G823" s="1"/>
      <c r="I823" s="1"/>
      <c r="J823" s="1"/>
      <c r="L823" s="1"/>
      <c r="O823" s="1"/>
    </row>
    <row r="824" spans="5:15">
      <c r="E824" s="1"/>
      <c r="F824" s="1"/>
      <c r="G824" s="1"/>
      <c r="I824" s="1"/>
      <c r="J824" s="1"/>
      <c r="L824" s="1"/>
      <c r="O824" s="1"/>
    </row>
    <row r="825" spans="5:15">
      <c r="E825" s="1"/>
      <c r="F825" s="1"/>
      <c r="G825" s="1"/>
      <c r="I825" s="1"/>
      <c r="J825" s="1"/>
      <c r="L825" s="1"/>
      <c r="O825" s="1"/>
    </row>
    <row r="826" spans="5:15">
      <c r="E826" s="1"/>
      <c r="F826" s="1"/>
      <c r="G826" s="1"/>
      <c r="I826" s="1"/>
      <c r="J826" s="1"/>
      <c r="L826" s="1"/>
      <c r="O826" s="1"/>
    </row>
    <row r="827" spans="5:15">
      <c r="E827" s="1"/>
      <c r="F827" s="1"/>
      <c r="G827" s="1"/>
      <c r="I827" s="1"/>
      <c r="J827" s="1"/>
      <c r="L827" s="1"/>
      <c r="O827" s="1"/>
    </row>
    <row r="828" spans="5:15">
      <c r="E828" s="1"/>
      <c r="F828" s="1"/>
      <c r="G828" s="1"/>
      <c r="I828" s="1"/>
      <c r="J828" s="1"/>
      <c r="L828" s="1"/>
      <c r="O828" s="1"/>
    </row>
    <row r="829" spans="5:15">
      <c r="E829" s="1"/>
      <c r="F829" s="1"/>
      <c r="G829" s="1"/>
      <c r="I829" s="1"/>
      <c r="J829" s="1"/>
      <c r="L829" s="1"/>
      <c r="O829" s="1"/>
    </row>
    <row r="830" spans="5:15">
      <c r="E830" s="1"/>
      <c r="F830" s="1"/>
      <c r="G830" s="1"/>
      <c r="I830" s="1"/>
      <c r="J830" s="1"/>
      <c r="L830" s="1"/>
      <c r="O830" s="1"/>
    </row>
    <row r="831" spans="5:15">
      <c r="E831" s="1"/>
      <c r="F831" s="1"/>
      <c r="G831" s="1"/>
      <c r="I831" s="1"/>
      <c r="J831" s="1"/>
      <c r="L831" s="1"/>
      <c r="O831" s="1"/>
    </row>
    <row r="832" spans="5:15">
      <c r="E832" s="1"/>
      <c r="F832" s="1"/>
      <c r="G832" s="1"/>
      <c r="I832" s="1"/>
      <c r="J832" s="1"/>
      <c r="L832" s="1"/>
      <c r="O832" s="1"/>
    </row>
    <row r="833" spans="5:15">
      <c r="E833" s="1"/>
      <c r="F833" s="1"/>
      <c r="G833" s="1"/>
      <c r="I833" s="1"/>
      <c r="J833" s="1"/>
      <c r="L833" s="1"/>
      <c r="O833" s="1"/>
    </row>
    <row r="834" spans="5:15">
      <c r="E834" s="1"/>
      <c r="F834" s="1"/>
      <c r="G834" s="1"/>
      <c r="I834" s="1"/>
      <c r="J834" s="1"/>
      <c r="L834" s="1"/>
      <c r="O834" s="1"/>
    </row>
    <row r="835" spans="5:15">
      <c r="E835" s="1"/>
      <c r="F835" s="1"/>
      <c r="G835" s="1"/>
      <c r="I835" s="1"/>
      <c r="J835" s="1"/>
      <c r="L835" s="1"/>
      <c r="O835" s="1"/>
    </row>
    <row r="836" spans="5:15">
      <c r="E836" s="1"/>
      <c r="F836" s="1"/>
      <c r="G836" s="1"/>
      <c r="I836" s="1"/>
      <c r="J836" s="1"/>
      <c r="L836" s="1"/>
      <c r="O836" s="1"/>
    </row>
    <row r="837" spans="5:15">
      <c r="E837" s="1"/>
      <c r="F837" s="1"/>
      <c r="G837" s="1"/>
      <c r="I837" s="1"/>
      <c r="J837" s="1"/>
      <c r="L837" s="1"/>
      <c r="O837" s="1"/>
    </row>
    <row r="838" spans="5:15">
      <c r="E838" s="1"/>
      <c r="F838" s="1"/>
      <c r="G838" s="1"/>
      <c r="I838" s="1"/>
      <c r="J838" s="1"/>
      <c r="L838" s="1"/>
      <c r="O838" s="1"/>
    </row>
    <row r="839" spans="5:15">
      <c r="E839" s="1"/>
      <c r="F839" s="1"/>
      <c r="G839" s="1"/>
      <c r="I839" s="1"/>
      <c r="J839" s="1"/>
      <c r="L839" s="1"/>
      <c r="O839" s="1"/>
    </row>
    <row r="840" spans="5:15">
      <c r="E840" s="1"/>
      <c r="F840" s="1"/>
      <c r="G840" s="1"/>
      <c r="I840" s="1"/>
      <c r="J840" s="1"/>
      <c r="L840" s="1"/>
      <c r="O840" s="1"/>
    </row>
    <row r="841" spans="5:15">
      <c r="E841" s="1"/>
      <c r="F841" s="1"/>
      <c r="G841" s="1"/>
      <c r="I841" s="1"/>
      <c r="J841" s="1"/>
      <c r="L841" s="1"/>
      <c r="O841" s="1"/>
    </row>
    <row r="842" spans="5:15">
      <c r="E842" s="1"/>
      <c r="F842" s="1"/>
      <c r="G842" s="1"/>
      <c r="I842" s="1"/>
      <c r="J842" s="1"/>
      <c r="L842" s="1"/>
      <c r="O842" s="1"/>
    </row>
    <row r="843" spans="5:15">
      <c r="E843" s="1"/>
      <c r="F843" s="1"/>
      <c r="G843" s="1"/>
      <c r="I843" s="1"/>
      <c r="J843" s="1"/>
      <c r="L843" s="1"/>
      <c r="O843" s="1"/>
    </row>
    <row r="844" spans="5:15">
      <c r="E844" s="1"/>
      <c r="F844" s="1"/>
      <c r="G844" s="1"/>
      <c r="I844" s="1"/>
      <c r="J844" s="1"/>
      <c r="L844" s="1"/>
      <c r="O844" s="1"/>
    </row>
    <row r="845" spans="5:15">
      <c r="E845" s="1"/>
      <c r="F845" s="1"/>
      <c r="G845" s="1"/>
      <c r="I845" s="1"/>
      <c r="J845" s="1"/>
      <c r="L845" s="1"/>
      <c r="O845" s="1"/>
    </row>
    <row r="846" spans="5:15">
      <c r="E846" s="1"/>
      <c r="F846" s="1"/>
      <c r="G846" s="1"/>
      <c r="I846" s="1"/>
      <c r="J846" s="1"/>
      <c r="L846" s="1"/>
      <c r="O846" s="1"/>
    </row>
    <row r="847" spans="5:15">
      <c r="E847" s="1"/>
      <c r="F847" s="1"/>
      <c r="G847" s="1"/>
      <c r="I847" s="1"/>
      <c r="J847" s="1"/>
      <c r="L847" s="1"/>
      <c r="O847" s="1"/>
    </row>
    <row r="848" spans="5:15">
      <c r="E848" s="1"/>
      <c r="F848" s="1"/>
      <c r="G848" s="1"/>
      <c r="I848" s="1"/>
      <c r="J848" s="1"/>
      <c r="L848" s="1"/>
      <c r="O848" s="1"/>
    </row>
    <row r="849" spans="5:15">
      <c r="E849" s="1"/>
      <c r="F849" s="1"/>
      <c r="G849" s="1"/>
      <c r="I849" s="1"/>
      <c r="J849" s="1"/>
      <c r="L849" s="1"/>
      <c r="O849" s="1"/>
    </row>
    <row r="850" spans="5:15">
      <c r="E850" s="1"/>
      <c r="F850" s="1"/>
      <c r="G850" s="1"/>
      <c r="I850" s="1"/>
      <c r="J850" s="1"/>
      <c r="L850" s="1"/>
      <c r="O850" s="1"/>
    </row>
    <row r="851" spans="5:15">
      <c r="E851" s="1"/>
      <c r="F851" s="1"/>
      <c r="G851" s="1"/>
      <c r="I851" s="1"/>
      <c r="J851" s="1"/>
      <c r="L851" s="1"/>
      <c r="O851" s="1"/>
    </row>
    <row r="852" spans="5:15">
      <c r="E852" s="1"/>
      <c r="F852" s="1"/>
      <c r="G852" s="1"/>
      <c r="I852" s="1"/>
      <c r="J852" s="1"/>
      <c r="L852" s="1"/>
      <c r="O852" s="1"/>
    </row>
    <row r="853" spans="5:15">
      <c r="E853" s="1"/>
      <c r="F853" s="1"/>
      <c r="G853" s="1"/>
      <c r="I853" s="1"/>
      <c r="J853" s="1"/>
      <c r="L853" s="1"/>
      <c r="O853" s="1"/>
    </row>
    <row r="854" spans="5:15">
      <c r="E854" s="1"/>
      <c r="F854" s="1"/>
      <c r="G854" s="1"/>
      <c r="I854" s="1"/>
      <c r="J854" s="1"/>
      <c r="L854" s="1"/>
      <c r="O854" s="1"/>
    </row>
    <row r="855" spans="5:15">
      <c r="E855" s="1"/>
      <c r="F855" s="1"/>
      <c r="G855" s="1"/>
      <c r="I855" s="1"/>
      <c r="J855" s="1"/>
      <c r="L855" s="1"/>
      <c r="O855" s="1"/>
    </row>
    <row r="856" spans="5:15">
      <c r="E856" s="1"/>
      <c r="F856" s="1"/>
      <c r="G856" s="1"/>
      <c r="I856" s="1"/>
      <c r="J856" s="1"/>
      <c r="L856" s="1"/>
      <c r="O856" s="1"/>
    </row>
    <row r="857" spans="5:15">
      <c r="E857" s="1"/>
      <c r="F857" s="1"/>
      <c r="G857" s="1"/>
      <c r="I857" s="1"/>
      <c r="J857" s="1"/>
      <c r="L857" s="1"/>
      <c r="O857" s="1"/>
    </row>
    <row r="858" spans="5:15">
      <c r="E858" s="1"/>
      <c r="F858" s="1"/>
      <c r="G858" s="1"/>
      <c r="I858" s="1"/>
      <c r="J858" s="1"/>
      <c r="L858" s="1"/>
      <c r="O858" s="1"/>
    </row>
    <row r="859" spans="5:15">
      <c r="E859" s="1"/>
      <c r="F859" s="1"/>
      <c r="G859" s="1"/>
      <c r="I859" s="1"/>
      <c r="J859" s="1"/>
      <c r="L859" s="1"/>
      <c r="O859" s="1"/>
    </row>
    <row r="860" spans="5:15">
      <c r="E860" s="1"/>
      <c r="F860" s="1"/>
      <c r="G860" s="1"/>
      <c r="I860" s="1"/>
      <c r="J860" s="1"/>
      <c r="L860" s="1"/>
      <c r="O860" s="1"/>
    </row>
    <row r="861" spans="5:15">
      <c r="E861" s="1"/>
      <c r="F861" s="1"/>
      <c r="G861" s="1"/>
      <c r="I861" s="1"/>
      <c r="J861" s="1"/>
      <c r="L861" s="1"/>
      <c r="O861" s="1"/>
    </row>
    <row r="862" spans="5:15">
      <c r="E862" s="1"/>
      <c r="F862" s="1"/>
      <c r="G862" s="1"/>
      <c r="I862" s="1"/>
      <c r="J862" s="1"/>
      <c r="L862" s="1"/>
      <c r="O862" s="1"/>
    </row>
    <row r="863" spans="5:15">
      <c r="E863" s="1"/>
      <c r="F863" s="1"/>
      <c r="G863" s="1"/>
      <c r="I863" s="1"/>
      <c r="J863" s="1"/>
      <c r="L863" s="1"/>
      <c r="O863" s="1"/>
    </row>
    <row r="864" spans="5:15">
      <c r="E864" s="1"/>
      <c r="F864" s="1"/>
      <c r="G864" s="1"/>
      <c r="I864" s="1"/>
      <c r="J864" s="1"/>
      <c r="L864" s="1"/>
      <c r="O864" s="1"/>
    </row>
    <row r="865" spans="5:15">
      <c r="E865" s="1"/>
      <c r="F865" s="1"/>
      <c r="G865" s="1"/>
      <c r="I865" s="1"/>
      <c r="J865" s="1"/>
      <c r="L865" s="1"/>
      <c r="O865" s="1"/>
    </row>
    <row r="866" spans="5:15">
      <c r="E866" s="1"/>
      <c r="F866" s="1"/>
      <c r="G866" s="1"/>
      <c r="I866" s="1"/>
      <c r="J866" s="1"/>
      <c r="L866" s="1"/>
      <c r="O866" s="1"/>
    </row>
    <row r="867" spans="5:15">
      <c r="E867" s="1"/>
      <c r="F867" s="1"/>
      <c r="G867" s="1"/>
      <c r="I867" s="1"/>
      <c r="J867" s="1"/>
      <c r="L867" s="1"/>
      <c r="O867" s="1"/>
    </row>
    <row r="868" spans="5:15">
      <c r="E868" s="1"/>
      <c r="F868" s="1"/>
      <c r="G868" s="1"/>
      <c r="I868" s="1"/>
      <c r="J868" s="1"/>
      <c r="L868" s="1"/>
      <c r="O868" s="1"/>
    </row>
    <row r="869" spans="5:15">
      <c r="E869" s="1"/>
      <c r="F869" s="1"/>
      <c r="G869" s="1"/>
      <c r="I869" s="1"/>
      <c r="J869" s="1"/>
      <c r="L869" s="1"/>
      <c r="O869" s="1"/>
    </row>
    <row r="870" spans="5:15">
      <c r="E870" s="1"/>
      <c r="F870" s="1"/>
      <c r="G870" s="1"/>
      <c r="I870" s="1"/>
      <c r="J870" s="1"/>
      <c r="L870" s="1"/>
      <c r="O870" s="1"/>
    </row>
    <row r="871" spans="5:15">
      <c r="E871" s="1"/>
      <c r="F871" s="1"/>
      <c r="G871" s="1"/>
      <c r="I871" s="1"/>
      <c r="J871" s="1"/>
      <c r="L871" s="1"/>
      <c r="O871" s="1"/>
    </row>
    <row r="872" spans="5:15">
      <c r="E872" s="1"/>
      <c r="F872" s="1"/>
      <c r="G872" s="1"/>
      <c r="I872" s="1"/>
      <c r="J872" s="1"/>
      <c r="L872" s="1"/>
      <c r="O872" s="1"/>
    </row>
    <row r="873" spans="5:15">
      <c r="E873" s="1"/>
      <c r="F873" s="1"/>
      <c r="G873" s="1"/>
      <c r="I873" s="1"/>
      <c r="J873" s="1"/>
      <c r="L873" s="1"/>
      <c r="O873" s="1"/>
    </row>
    <row r="874" spans="5:15">
      <c r="E874" s="1"/>
      <c r="F874" s="1"/>
      <c r="G874" s="1"/>
      <c r="I874" s="1"/>
      <c r="J874" s="1"/>
      <c r="L874" s="1"/>
      <c r="O874" s="1"/>
    </row>
    <row r="875" spans="5:15">
      <c r="E875" s="1"/>
      <c r="F875" s="1"/>
      <c r="G875" s="1"/>
      <c r="I875" s="1"/>
      <c r="J875" s="1"/>
      <c r="L875" s="1"/>
      <c r="O875" s="1"/>
    </row>
    <row r="876" spans="5:15">
      <c r="E876" s="1"/>
      <c r="F876" s="1"/>
      <c r="G876" s="1"/>
      <c r="I876" s="1"/>
      <c r="J876" s="1"/>
      <c r="L876" s="1"/>
      <c r="O876" s="1"/>
    </row>
    <row r="877" spans="5:15">
      <c r="E877" s="1"/>
      <c r="F877" s="1"/>
      <c r="G877" s="1"/>
      <c r="I877" s="1"/>
      <c r="J877" s="1"/>
      <c r="L877" s="1"/>
      <c r="O877" s="1"/>
    </row>
    <row r="878" spans="5:15">
      <c r="E878" s="1"/>
      <c r="F878" s="1"/>
      <c r="G878" s="1"/>
      <c r="I878" s="1"/>
      <c r="J878" s="1"/>
      <c r="L878" s="1"/>
      <c r="O878" s="1"/>
    </row>
    <row r="879" spans="5:15">
      <c r="E879" s="1"/>
      <c r="F879" s="1"/>
      <c r="G879" s="1"/>
      <c r="I879" s="1"/>
      <c r="J879" s="1"/>
      <c r="L879" s="1"/>
      <c r="O879" s="1"/>
    </row>
    <row r="880" spans="5:15">
      <c r="E880" s="1"/>
      <c r="F880" s="1"/>
      <c r="G880" s="1"/>
      <c r="I880" s="1"/>
      <c r="J880" s="1"/>
      <c r="L880" s="1"/>
      <c r="O880" s="1"/>
    </row>
    <row r="881" spans="5:15">
      <c r="E881" s="1"/>
      <c r="F881" s="1"/>
      <c r="G881" s="1"/>
      <c r="I881" s="1"/>
      <c r="J881" s="1"/>
      <c r="L881" s="1"/>
      <c r="O881" s="1"/>
    </row>
    <row r="882" spans="5:15">
      <c r="E882" s="1"/>
      <c r="F882" s="1"/>
      <c r="G882" s="1"/>
      <c r="I882" s="1"/>
      <c r="J882" s="1"/>
      <c r="L882" s="1"/>
      <c r="O882" s="1"/>
    </row>
    <row r="883" spans="5:15">
      <c r="E883" s="1"/>
      <c r="F883" s="1"/>
      <c r="G883" s="1"/>
      <c r="I883" s="1"/>
      <c r="J883" s="1"/>
      <c r="L883" s="1"/>
      <c r="O883" s="1"/>
    </row>
    <row r="884" spans="5:15">
      <c r="E884" s="1"/>
      <c r="F884" s="1"/>
      <c r="G884" s="1"/>
      <c r="I884" s="1"/>
      <c r="J884" s="1"/>
      <c r="L884" s="1"/>
      <c r="O884" s="1"/>
    </row>
    <row r="885" spans="5:15">
      <c r="E885" s="1"/>
      <c r="F885" s="1"/>
      <c r="G885" s="1"/>
      <c r="I885" s="1"/>
      <c r="J885" s="1"/>
      <c r="L885" s="1"/>
      <c r="O885" s="1"/>
    </row>
    <row r="886" spans="5:15">
      <c r="E886" s="1"/>
      <c r="F886" s="1"/>
      <c r="G886" s="1"/>
      <c r="I886" s="1"/>
      <c r="J886" s="1"/>
      <c r="L886" s="1"/>
      <c r="O886" s="1"/>
    </row>
    <row r="887" spans="5:15">
      <c r="E887" s="1"/>
      <c r="F887" s="1"/>
      <c r="G887" s="1"/>
      <c r="I887" s="1"/>
      <c r="J887" s="1"/>
      <c r="L887" s="1"/>
      <c r="O887" s="1"/>
    </row>
    <row r="888" spans="5:15">
      <c r="E888" s="1"/>
      <c r="F888" s="1"/>
      <c r="G888" s="1"/>
      <c r="I888" s="1"/>
      <c r="J888" s="1"/>
      <c r="L888" s="1"/>
      <c r="O888" s="1"/>
    </row>
    <row r="889" spans="5:15">
      <c r="E889" s="1"/>
      <c r="F889" s="1"/>
      <c r="G889" s="1"/>
      <c r="I889" s="1"/>
      <c r="J889" s="1"/>
      <c r="L889" s="1"/>
      <c r="O889" s="1"/>
    </row>
    <row r="890" spans="5:15">
      <c r="E890" s="1"/>
      <c r="F890" s="1"/>
      <c r="G890" s="1"/>
      <c r="I890" s="1"/>
      <c r="J890" s="1"/>
      <c r="L890" s="1"/>
      <c r="O890" s="1"/>
    </row>
    <row r="891" spans="5:15">
      <c r="E891" s="1"/>
      <c r="F891" s="1"/>
      <c r="G891" s="1"/>
      <c r="I891" s="1"/>
      <c r="J891" s="1"/>
      <c r="L891" s="1"/>
      <c r="O891" s="1"/>
    </row>
    <row r="892" spans="5:15">
      <c r="E892" s="1"/>
      <c r="F892" s="1"/>
      <c r="G892" s="1"/>
      <c r="I892" s="1"/>
      <c r="J892" s="1"/>
      <c r="L892" s="1"/>
      <c r="O892" s="1"/>
    </row>
    <row r="893" spans="5:15">
      <c r="E893" s="1"/>
      <c r="F893" s="1"/>
      <c r="G893" s="1"/>
      <c r="I893" s="1"/>
      <c r="J893" s="1"/>
      <c r="L893" s="1"/>
      <c r="O893" s="1"/>
    </row>
    <row r="894" spans="5:15">
      <c r="E894" s="1"/>
      <c r="F894" s="1"/>
      <c r="G894" s="1"/>
      <c r="I894" s="1"/>
      <c r="J894" s="1"/>
      <c r="L894" s="1"/>
      <c r="O894" s="1"/>
    </row>
    <row r="895" spans="5:15">
      <c r="E895" s="1"/>
      <c r="F895" s="1"/>
      <c r="G895" s="1"/>
      <c r="I895" s="1"/>
      <c r="J895" s="1"/>
      <c r="L895" s="1"/>
      <c r="O895" s="1"/>
    </row>
    <row r="896" spans="5:15">
      <c r="E896" s="1"/>
      <c r="F896" s="1"/>
      <c r="G896" s="1"/>
      <c r="I896" s="1"/>
      <c r="J896" s="1"/>
      <c r="L896" s="1"/>
      <c r="O896" s="1"/>
    </row>
    <row r="897" spans="5:15">
      <c r="E897" s="1"/>
      <c r="F897" s="1"/>
      <c r="G897" s="1"/>
      <c r="I897" s="1"/>
      <c r="J897" s="1"/>
      <c r="L897" s="1"/>
      <c r="O897" s="1"/>
    </row>
    <row r="898" spans="5:15">
      <c r="E898" s="1"/>
      <c r="F898" s="1"/>
      <c r="G898" s="1"/>
      <c r="I898" s="1"/>
      <c r="J898" s="1"/>
      <c r="L898" s="1"/>
      <c r="O898" s="1"/>
    </row>
    <row r="899" spans="5:15">
      <c r="E899" s="1"/>
      <c r="F899" s="1"/>
      <c r="G899" s="1"/>
      <c r="I899" s="1"/>
      <c r="J899" s="1"/>
      <c r="L899" s="1"/>
      <c r="O899" s="1"/>
    </row>
    <row r="900" spans="5:15">
      <c r="E900" s="1"/>
      <c r="F900" s="1"/>
      <c r="G900" s="1"/>
      <c r="I900" s="1"/>
      <c r="J900" s="1"/>
      <c r="L900" s="1"/>
      <c r="O900" s="1"/>
    </row>
    <row r="901" spans="5:15">
      <c r="E901" s="1"/>
      <c r="F901" s="1"/>
      <c r="G901" s="1"/>
      <c r="I901" s="1"/>
      <c r="J901" s="1"/>
      <c r="L901" s="1"/>
      <c r="O901" s="1"/>
    </row>
    <row r="902" spans="5:15">
      <c r="E902" s="1"/>
      <c r="F902" s="1"/>
      <c r="G902" s="1"/>
      <c r="I902" s="1"/>
      <c r="J902" s="1"/>
      <c r="L902" s="1"/>
      <c r="O902" s="1"/>
    </row>
    <row r="903" spans="5:15">
      <c r="E903" s="1"/>
      <c r="F903" s="1"/>
      <c r="G903" s="1"/>
      <c r="I903" s="1"/>
      <c r="J903" s="1"/>
      <c r="L903" s="1"/>
      <c r="O903" s="1"/>
    </row>
    <row r="904" spans="5:15">
      <c r="E904" s="1"/>
      <c r="F904" s="1"/>
      <c r="G904" s="1"/>
      <c r="I904" s="1"/>
      <c r="J904" s="1"/>
      <c r="L904" s="1"/>
      <c r="O904" s="1"/>
    </row>
    <row r="905" spans="5:15">
      <c r="E905" s="1"/>
      <c r="F905" s="1"/>
      <c r="G905" s="1"/>
      <c r="I905" s="1"/>
      <c r="J905" s="1"/>
      <c r="L905" s="1"/>
      <c r="O905" s="1"/>
    </row>
    <row r="906" spans="5:15">
      <c r="E906" s="1"/>
      <c r="F906" s="1"/>
      <c r="G906" s="1"/>
      <c r="I906" s="1"/>
      <c r="J906" s="1"/>
      <c r="L906" s="1"/>
      <c r="O906" s="1"/>
    </row>
    <row r="907" spans="5:15">
      <c r="E907" s="1"/>
      <c r="F907" s="1"/>
      <c r="G907" s="1"/>
      <c r="I907" s="1"/>
      <c r="J907" s="1"/>
      <c r="L907" s="1"/>
      <c r="O907" s="1"/>
    </row>
    <row r="908" spans="5:15">
      <c r="E908" s="1"/>
      <c r="F908" s="1"/>
      <c r="G908" s="1"/>
      <c r="I908" s="1"/>
      <c r="J908" s="1"/>
      <c r="L908" s="1"/>
      <c r="O908" s="1"/>
    </row>
    <row r="909" spans="5:15">
      <c r="E909" s="1"/>
      <c r="F909" s="1"/>
      <c r="G909" s="1"/>
      <c r="I909" s="1"/>
      <c r="J909" s="1"/>
      <c r="L909" s="1"/>
      <c r="O909" s="1"/>
    </row>
    <row r="910" spans="5:15">
      <c r="E910" s="1"/>
      <c r="F910" s="1"/>
      <c r="G910" s="1"/>
      <c r="I910" s="1"/>
      <c r="J910" s="1"/>
      <c r="L910" s="1"/>
      <c r="O910" s="1"/>
    </row>
    <row r="911" spans="5:15">
      <c r="E911" s="1"/>
      <c r="F911" s="1"/>
      <c r="G911" s="1"/>
      <c r="I911" s="1"/>
      <c r="J911" s="1"/>
      <c r="L911" s="1"/>
      <c r="O911" s="1"/>
    </row>
    <row r="912" spans="5:15">
      <c r="E912" s="1"/>
      <c r="F912" s="1"/>
      <c r="G912" s="1"/>
      <c r="I912" s="1"/>
      <c r="J912" s="1"/>
      <c r="L912" s="1"/>
      <c r="O912" s="1"/>
    </row>
    <row r="913" spans="5:15">
      <c r="E913" s="1"/>
      <c r="F913" s="1"/>
      <c r="G913" s="1"/>
      <c r="I913" s="1"/>
      <c r="J913" s="1"/>
      <c r="L913" s="1"/>
      <c r="O913" s="1"/>
    </row>
    <row r="914" spans="5:15">
      <c r="E914" s="1"/>
      <c r="F914" s="1"/>
      <c r="G914" s="1"/>
      <c r="I914" s="1"/>
      <c r="J914" s="1"/>
      <c r="L914" s="1"/>
      <c r="O914" s="1"/>
    </row>
    <row r="915" spans="5:15">
      <c r="E915" s="1"/>
      <c r="F915" s="1"/>
      <c r="G915" s="1"/>
      <c r="I915" s="1"/>
      <c r="J915" s="1"/>
      <c r="L915" s="1"/>
      <c r="O915" s="1"/>
    </row>
    <row r="916" spans="5:15">
      <c r="E916" s="1"/>
      <c r="F916" s="1"/>
      <c r="G916" s="1"/>
      <c r="I916" s="1"/>
      <c r="J916" s="1"/>
      <c r="L916" s="1"/>
      <c r="O916" s="1"/>
    </row>
    <row r="917" spans="5:15">
      <c r="E917" s="1"/>
      <c r="F917" s="1"/>
      <c r="G917" s="1"/>
      <c r="I917" s="1"/>
      <c r="J917" s="1"/>
      <c r="L917" s="1"/>
      <c r="O917" s="1"/>
    </row>
    <row r="918" spans="5:15">
      <c r="E918" s="1"/>
      <c r="F918" s="1"/>
      <c r="G918" s="1"/>
      <c r="I918" s="1"/>
      <c r="J918" s="1"/>
      <c r="L918" s="1"/>
      <c r="O918" s="1"/>
    </row>
    <row r="919" spans="5:15">
      <c r="E919" s="1"/>
      <c r="F919" s="1"/>
      <c r="G919" s="1"/>
      <c r="I919" s="1"/>
      <c r="J919" s="1"/>
      <c r="L919" s="1"/>
      <c r="O919" s="1"/>
    </row>
    <row r="920" spans="5:15">
      <c r="E920" s="1"/>
      <c r="F920" s="1"/>
      <c r="G920" s="1"/>
      <c r="I920" s="1"/>
      <c r="J920" s="1"/>
      <c r="L920" s="1"/>
      <c r="O920" s="1"/>
    </row>
    <row r="921" spans="5:15">
      <c r="E921" s="1"/>
      <c r="F921" s="1"/>
      <c r="G921" s="1"/>
      <c r="I921" s="1"/>
      <c r="J921" s="1"/>
      <c r="L921" s="1"/>
      <c r="O921" s="1"/>
    </row>
    <row r="922" spans="5:15">
      <c r="E922" s="1"/>
      <c r="F922" s="1"/>
      <c r="G922" s="1"/>
      <c r="I922" s="1"/>
      <c r="J922" s="1"/>
      <c r="L922" s="1"/>
      <c r="O922" s="1"/>
    </row>
    <row r="923" spans="5:15">
      <c r="E923" s="1"/>
      <c r="F923" s="1"/>
      <c r="G923" s="1"/>
      <c r="I923" s="1"/>
      <c r="J923" s="1"/>
      <c r="L923" s="1"/>
      <c r="O923" s="1"/>
    </row>
    <row r="924" spans="5:15">
      <c r="E924" s="1"/>
      <c r="F924" s="1"/>
      <c r="G924" s="1"/>
      <c r="I924" s="1"/>
      <c r="J924" s="1"/>
      <c r="L924" s="1"/>
      <c r="O924" s="1"/>
    </row>
    <row r="925" spans="5:15">
      <c r="E925" s="1"/>
      <c r="F925" s="1"/>
      <c r="G925" s="1"/>
      <c r="I925" s="1"/>
      <c r="J925" s="1"/>
      <c r="L925" s="1"/>
      <c r="O925" s="1"/>
    </row>
    <row r="926" spans="5:15">
      <c r="E926" s="1"/>
      <c r="F926" s="1"/>
      <c r="G926" s="1"/>
      <c r="I926" s="1"/>
      <c r="J926" s="1"/>
      <c r="L926" s="1"/>
      <c r="O926" s="1"/>
    </row>
    <row r="927" spans="5:15">
      <c r="E927" s="1"/>
      <c r="F927" s="1"/>
      <c r="G927" s="1"/>
      <c r="I927" s="1"/>
      <c r="J927" s="1"/>
      <c r="L927" s="1"/>
      <c r="O927" s="1"/>
    </row>
    <row r="928" spans="5:15">
      <c r="E928" s="1"/>
      <c r="F928" s="1"/>
      <c r="G928" s="1"/>
      <c r="I928" s="1"/>
      <c r="J928" s="1"/>
      <c r="L928" s="1"/>
      <c r="O928" s="1"/>
    </row>
    <row r="929" spans="5:15">
      <c r="E929" s="1"/>
      <c r="F929" s="1"/>
      <c r="G929" s="1"/>
      <c r="I929" s="1"/>
      <c r="J929" s="1"/>
      <c r="L929" s="1"/>
      <c r="O929" s="1"/>
    </row>
    <row r="930" spans="5:15">
      <c r="E930" s="1"/>
      <c r="F930" s="1"/>
      <c r="G930" s="1"/>
      <c r="I930" s="1"/>
      <c r="J930" s="1"/>
      <c r="L930" s="1"/>
      <c r="O930" s="1"/>
    </row>
    <row r="931" spans="5:15">
      <c r="E931" s="1"/>
      <c r="F931" s="1"/>
      <c r="G931" s="1"/>
      <c r="I931" s="1"/>
      <c r="J931" s="1"/>
      <c r="L931" s="1"/>
      <c r="O931" s="1"/>
    </row>
    <row r="932" spans="5:15">
      <c r="E932" s="1"/>
      <c r="F932" s="1"/>
      <c r="G932" s="1"/>
      <c r="I932" s="1"/>
      <c r="J932" s="1"/>
      <c r="L932" s="1"/>
      <c r="O932" s="1"/>
    </row>
    <row r="933" spans="5:15">
      <c r="E933" s="1"/>
      <c r="F933" s="1"/>
      <c r="G933" s="1"/>
      <c r="I933" s="1"/>
      <c r="J933" s="1"/>
      <c r="L933" s="1"/>
      <c r="O933" s="1"/>
    </row>
    <row r="934" spans="5:15">
      <c r="E934" s="1"/>
      <c r="F934" s="1"/>
      <c r="G934" s="1"/>
      <c r="I934" s="1"/>
      <c r="J934" s="1"/>
      <c r="L934" s="1"/>
      <c r="O934" s="1"/>
    </row>
    <row r="935" spans="5:15">
      <c r="E935" s="1"/>
      <c r="F935" s="1"/>
      <c r="G935" s="1"/>
      <c r="I935" s="1"/>
      <c r="J935" s="1"/>
      <c r="L935" s="1"/>
      <c r="O935" s="1"/>
    </row>
    <row r="936" spans="5:15">
      <c r="E936" s="1"/>
      <c r="F936" s="1"/>
      <c r="G936" s="1"/>
      <c r="I936" s="1"/>
      <c r="J936" s="1"/>
      <c r="L936" s="1"/>
      <c r="O936" s="1"/>
    </row>
    <row r="937" spans="5:15">
      <c r="E937" s="1"/>
      <c r="F937" s="1"/>
      <c r="G937" s="1"/>
      <c r="I937" s="1"/>
      <c r="J937" s="1"/>
      <c r="L937" s="1"/>
      <c r="O937" s="1"/>
    </row>
    <row r="938" spans="5:15">
      <c r="E938" s="1"/>
      <c r="F938" s="1"/>
      <c r="G938" s="1"/>
      <c r="I938" s="1"/>
      <c r="J938" s="1"/>
      <c r="L938" s="1"/>
      <c r="O938" s="1"/>
    </row>
    <row r="939" spans="5:15">
      <c r="E939" s="1"/>
      <c r="F939" s="1"/>
      <c r="G939" s="1"/>
      <c r="I939" s="1"/>
      <c r="J939" s="1"/>
      <c r="L939" s="1"/>
      <c r="O939" s="1"/>
    </row>
    <row r="940" spans="5:15">
      <c r="E940" s="1"/>
      <c r="F940" s="1"/>
      <c r="G940" s="1"/>
      <c r="I940" s="1"/>
      <c r="J940" s="1"/>
      <c r="L940" s="1"/>
      <c r="O940" s="1"/>
    </row>
    <row r="941" spans="5:15">
      <c r="E941" s="1"/>
      <c r="F941" s="1"/>
      <c r="G941" s="1"/>
      <c r="I941" s="1"/>
      <c r="J941" s="1"/>
      <c r="L941" s="1"/>
      <c r="O941" s="1"/>
    </row>
    <row r="942" spans="5:15">
      <c r="E942" s="1"/>
      <c r="F942" s="1"/>
      <c r="G942" s="1"/>
      <c r="I942" s="1"/>
      <c r="J942" s="1"/>
      <c r="L942" s="1"/>
      <c r="O942" s="1"/>
    </row>
    <row r="943" spans="5:15">
      <c r="E943" s="1"/>
      <c r="F943" s="1"/>
      <c r="G943" s="1"/>
      <c r="I943" s="1"/>
      <c r="J943" s="1"/>
      <c r="L943" s="1"/>
      <c r="O943" s="1"/>
    </row>
    <row r="944" spans="5:15">
      <c r="E944" s="1"/>
      <c r="F944" s="1"/>
      <c r="G944" s="1"/>
      <c r="I944" s="1"/>
      <c r="J944" s="1"/>
      <c r="L944" s="1"/>
      <c r="O944" s="1"/>
    </row>
    <row r="945" spans="5:15">
      <c r="E945" s="1"/>
      <c r="F945" s="1"/>
      <c r="G945" s="1"/>
      <c r="I945" s="1"/>
      <c r="J945" s="1"/>
      <c r="L945" s="1"/>
      <c r="O945" s="1"/>
    </row>
    <row r="946" spans="5:15">
      <c r="E946" s="1"/>
      <c r="F946" s="1"/>
      <c r="G946" s="1"/>
      <c r="I946" s="1"/>
      <c r="J946" s="1"/>
      <c r="L946" s="1"/>
      <c r="O946" s="1"/>
    </row>
    <row r="947" spans="5:15">
      <c r="E947" s="1"/>
      <c r="F947" s="1"/>
      <c r="G947" s="1"/>
      <c r="I947" s="1"/>
      <c r="J947" s="1"/>
      <c r="L947" s="1"/>
      <c r="O947" s="1"/>
    </row>
    <row r="948" spans="5:15">
      <c r="E948" s="1"/>
      <c r="F948" s="1"/>
      <c r="G948" s="1"/>
      <c r="I948" s="1"/>
      <c r="J948" s="1"/>
      <c r="L948" s="1"/>
      <c r="O948" s="1"/>
    </row>
    <row r="949" spans="5:15">
      <c r="E949" s="1"/>
      <c r="F949" s="1"/>
      <c r="G949" s="1"/>
      <c r="I949" s="1"/>
      <c r="J949" s="1"/>
      <c r="L949" s="1"/>
      <c r="O949" s="1"/>
    </row>
    <row r="950" spans="5:15">
      <c r="E950" s="1"/>
      <c r="F950" s="1"/>
      <c r="G950" s="1"/>
      <c r="I950" s="1"/>
      <c r="J950" s="1"/>
      <c r="L950" s="1"/>
      <c r="O950" s="1"/>
    </row>
    <row r="951" spans="5:15">
      <c r="E951" s="1"/>
      <c r="F951" s="1"/>
      <c r="G951" s="1"/>
      <c r="I951" s="1"/>
      <c r="J951" s="1"/>
      <c r="L951" s="1"/>
      <c r="O951" s="1"/>
    </row>
    <row r="952" spans="5:15">
      <c r="E952" s="1"/>
      <c r="F952" s="1"/>
      <c r="G952" s="1"/>
      <c r="I952" s="1"/>
      <c r="J952" s="1"/>
      <c r="L952" s="1"/>
      <c r="O952" s="1"/>
    </row>
    <row r="953" spans="5:15">
      <c r="E953" s="1"/>
      <c r="F953" s="1"/>
      <c r="G953" s="1"/>
      <c r="I953" s="1"/>
      <c r="J953" s="1"/>
      <c r="L953" s="1"/>
      <c r="O953" s="1"/>
    </row>
    <row r="954" spans="5:15">
      <c r="E954" s="1"/>
      <c r="F954" s="1"/>
      <c r="G954" s="1"/>
      <c r="I954" s="1"/>
      <c r="J954" s="1"/>
      <c r="L954" s="1"/>
      <c r="O954" s="1"/>
    </row>
    <row r="955" spans="5:15">
      <c r="E955" s="1"/>
      <c r="F955" s="1"/>
      <c r="G955" s="1"/>
      <c r="I955" s="1"/>
      <c r="J955" s="1"/>
      <c r="L955" s="1"/>
      <c r="O955" s="1"/>
    </row>
    <row r="956" spans="5:15">
      <c r="E956" s="1"/>
      <c r="F956" s="1"/>
      <c r="G956" s="1"/>
      <c r="I956" s="1"/>
      <c r="J956" s="1"/>
      <c r="L956" s="1"/>
      <c r="O956" s="1"/>
    </row>
    <row r="957" spans="5:15">
      <c r="E957" s="1"/>
      <c r="F957" s="1"/>
      <c r="G957" s="1"/>
      <c r="I957" s="1"/>
      <c r="J957" s="1"/>
      <c r="L957" s="1"/>
      <c r="O957" s="1"/>
    </row>
    <row r="958" spans="5:15">
      <c r="E958" s="1"/>
      <c r="F958" s="1"/>
      <c r="G958" s="1"/>
      <c r="I958" s="1"/>
      <c r="J958" s="1"/>
      <c r="L958" s="1"/>
      <c r="O958" s="1"/>
    </row>
    <row r="959" spans="5:15">
      <c r="E959" s="1"/>
      <c r="F959" s="1"/>
      <c r="G959" s="1"/>
      <c r="I959" s="1"/>
      <c r="J959" s="1"/>
      <c r="L959" s="1"/>
      <c r="O959" s="1"/>
    </row>
    <row r="960" spans="5:15">
      <c r="E960" s="1"/>
      <c r="F960" s="1"/>
      <c r="G960" s="1"/>
      <c r="I960" s="1"/>
      <c r="J960" s="1"/>
      <c r="L960" s="1"/>
      <c r="O960" s="1"/>
    </row>
    <row r="961" spans="5:15">
      <c r="E961" s="1"/>
      <c r="F961" s="1"/>
      <c r="G961" s="1"/>
      <c r="I961" s="1"/>
      <c r="J961" s="1"/>
      <c r="L961" s="1"/>
      <c r="O961" s="1"/>
    </row>
    <row r="962" spans="5:15">
      <c r="E962" s="1"/>
      <c r="F962" s="1"/>
      <c r="G962" s="1"/>
      <c r="I962" s="1"/>
      <c r="J962" s="1"/>
      <c r="L962" s="1"/>
      <c r="O962" s="1"/>
    </row>
    <row r="963" spans="5:15">
      <c r="E963" s="1"/>
      <c r="F963" s="1"/>
      <c r="G963" s="1"/>
      <c r="I963" s="1"/>
      <c r="J963" s="1"/>
      <c r="L963" s="1"/>
      <c r="O963" s="1"/>
    </row>
    <row r="964" spans="5:15">
      <c r="E964" s="1"/>
      <c r="F964" s="1"/>
      <c r="G964" s="1"/>
      <c r="I964" s="1"/>
      <c r="J964" s="1"/>
      <c r="L964" s="1"/>
      <c r="O964" s="1"/>
    </row>
    <row r="965" spans="5:15">
      <c r="E965" s="1"/>
      <c r="F965" s="1"/>
      <c r="G965" s="1"/>
      <c r="I965" s="1"/>
      <c r="J965" s="1"/>
      <c r="L965" s="1"/>
      <c r="O965" s="1"/>
    </row>
    <row r="966" spans="5:15">
      <c r="E966" s="1"/>
      <c r="F966" s="1"/>
      <c r="G966" s="1"/>
      <c r="I966" s="1"/>
      <c r="J966" s="1"/>
      <c r="L966" s="1"/>
      <c r="O966" s="1"/>
    </row>
    <row r="967" spans="5:15">
      <c r="E967" s="1"/>
      <c r="F967" s="1"/>
      <c r="G967" s="1"/>
      <c r="I967" s="1"/>
      <c r="J967" s="1"/>
      <c r="L967" s="1"/>
      <c r="O967" s="1"/>
    </row>
    <row r="968" spans="5:15">
      <c r="E968" s="1"/>
      <c r="F968" s="1"/>
      <c r="G968" s="1"/>
      <c r="I968" s="1"/>
      <c r="J968" s="1"/>
      <c r="L968" s="1"/>
      <c r="O968" s="1"/>
    </row>
    <row r="969" spans="5:15">
      <c r="E969" s="1"/>
      <c r="F969" s="1"/>
      <c r="G969" s="1"/>
      <c r="I969" s="1"/>
      <c r="J969" s="1"/>
      <c r="L969" s="1"/>
      <c r="O969" s="1"/>
    </row>
    <row r="970" spans="5:15">
      <c r="E970" s="1"/>
      <c r="F970" s="1"/>
      <c r="G970" s="1"/>
      <c r="I970" s="1"/>
      <c r="J970" s="1"/>
      <c r="L970" s="1"/>
      <c r="O970" s="1"/>
    </row>
    <row r="971" spans="5:15">
      <c r="E971" s="1"/>
      <c r="F971" s="1"/>
      <c r="G971" s="1"/>
      <c r="I971" s="1"/>
      <c r="J971" s="1"/>
      <c r="L971" s="1"/>
      <c r="O971" s="1"/>
    </row>
    <row r="972" spans="5:15">
      <c r="E972" s="1"/>
      <c r="F972" s="1"/>
      <c r="G972" s="1"/>
      <c r="I972" s="1"/>
      <c r="J972" s="1"/>
      <c r="L972" s="1"/>
      <c r="O972" s="1"/>
    </row>
    <row r="973" spans="5:15">
      <c r="E973" s="1"/>
      <c r="F973" s="1"/>
      <c r="G973" s="1"/>
      <c r="I973" s="1"/>
      <c r="J973" s="1"/>
      <c r="L973" s="1"/>
      <c r="O973" s="1"/>
    </row>
    <row r="974" spans="5:15">
      <c r="E974" s="1"/>
      <c r="F974" s="1"/>
      <c r="G974" s="1"/>
      <c r="I974" s="1"/>
      <c r="J974" s="1"/>
      <c r="L974" s="1"/>
      <c r="O974" s="1"/>
    </row>
    <row r="975" spans="5:15">
      <c r="E975" s="1"/>
      <c r="F975" s="1"/>
      <c r="G975" s="1"/>
      <c r="I975" s="1"/>
      <c r="J975" s="1"/>
      <c r="L975" s="1"/>
      <c r="O975" s="1"/>
    </row>
    <row r="976" spans="5:15">
      <c r="E976" s="1"/>
      <c r="F976" s="1"/>
      <c r="G976" s="1"/>
      <c r="I976" s="1"/>
      <c r="J976" s="1"/>
      <c r="L976" s="1"/>
      <c r="O976" s="1"/>
    </row>
    <row r="977" spans="5:15">
      <c r="E977" s="1"/>
      <c r="F977" s="1"/>
      <c r="G977" s="1"/>
      <c r="I977" s="1"/>
      <c r="J977" s="1"/>
      <c r="L977" s="1"/>
      <c r="O977" s="1"/>
    </row>
    <row r="978" spans="5:15">
      <c r="E978" s="1"/>
      <c r="F978" s="1"/>
      <c r="G978" s="1"/>
      <c r="I978" s="1"/>
      <c r="J978" s="1"/>
      <c r="L978" s="1"/>
      <c r="O978" s="1"/>
    </row>
    <row r="979" spans="5:15">
      <c r="E979" s="1"/>
      <c r="F979" s="1"/>
      <c r="G979" s="1"/>
      <c r="I979" s="1"/>
      <c r="J979" s="1"/>
      <c r="L979" s="1"/>
      <c r="O979" s="1"/>
    </row>
    <row r="980" spans="5:15">
      <c r="E980" s="1"/>
      <c r="F980" s="1"/>
      <c r="G980" s="1"/>
      <c r="I980" s="1"/>
      <c r="J980" s="1"/>
      <c r="L980" s="1"/>
      <c r="O980" s="1"/>
    </row>
    <row r="981" spans="5:15">
      <c r="E981" s="1"/>
      <c r="F981" s="1"/>
      <c r="G981" s="1"/>
      <c r="I981" s="1"/>
      <c r="J981" s="1"/>
      <c r="L981" s="1"/>
      <c r="O981" s="1"/>
    </row>
    <row r="982" spans="5:15">
      <c r="E982" s="1"/>
      <c r="F982" s="1"/>
      <c r="G982" s="1"/>
      <c r="I982" s="1"/>
      <c r="J982" s="1"/>
      <c r="L982" s="1"/>
      <c r="O982" s="1"/>
    </row>
    <row r="983" spans="5:15">
      <c r="E983" s="1"/>
      <c r="F983" s="1"/>
      <c r="G983" s="1"/>
      <c r="I983" s="1"/>
      <c r="J983" s="1"/>
      <c r="L983" s="1"/>
      <c r="O983" s="1"/>
    </row>
    <row r="984" spans="5:15">
      <c r="E984" s="1"/>
      <c r="F984" s="1"/>
      <c r="G984" s="1"/>
      <c r="I984" s="1"/>
      <c r="J984" s="1"/>
      <c r="L984" s="1"/>
      <c r="O984" s="1"/>
    </row>
    <row r="985" spans="5:15">
      <c r="E985" s="1"/>
      <c r="F985" s="1"/>
      <c r="G985" s="1"/>
      <c r="I985" s="1"/>
      <c r="J985" s="1"/>
      <c r="L985" s="1"/>
      <c r="O985" s="1"/>
    </row>
    <row r="986" spans="5:15">
      <c r="E986" s="1"/>
      <c r="F986" s="1"/>
      <c r="G986" s="1"/>
      <c r="I986" s="1"/>
      <c r="J986" s="1"/>
      <c r="L986" s="1"/>
      <c r="O986" s="1"/>
    </row>
    <row r="987" spans="5:15">
      <c r="E987" s="1"/>
      <c r="F987" s="1"/>
      <c r="G987" s="1"/>
      <c r="I987" s="1"/>
      <c r="J987" s="1"/>
      <c r="L987" s="1"/>
      <c r="O987" s="1"/>
    </row>
    <row r="988" spans="5:15">
      <c r="E988" s="1"/>
      <c r="F988" s="1"/>
      <c r="G988" s="1"/>
      <c r="I988" s="1"/>
      <c r="J988" s="1"/>
      <c r="L988" s="1"/>
      <c r="O988" s="1"/>
    </row>
    <row r="989" spans="5:15">
      <c r="E989" s="1"/>
      <c r="F989" s="1"/>
      <c r="G989" s="1"/>
      <c r="I989" s="1"/>
      <c r="J989" s="1"/>
      <c r="L989" s="1"/>
      <c r="O989" s="1"/>
    </row>
    <row r="990" spans="5:15">
      <c r="E990" s="1"/>
      <c r="F990" s="1"/>
      <c r="G990" s="1"/>
      <c r="I990" s="1"/>
      <c r="J990" s="1"/>
      <c r="L990" s="1"/>
      <c r="O990" s="1"/>
    </row>
    <row r="991" spans="5:15">
      <c r="E991" s="1"/>
      <c r="F991" s="1"/>
      <c r="G991" s="1"/>
      <c r="I991" s="1"/>
      <c r="J991" s="1"/>
      <c r="L991" s="1"/>
      <c r="O991" s="1"/>
    </row>
    <row r="992" spans="5:15">
      <c r="E992" s="1"/>
      <c r="F992" s="1"/>
      <c r="G992" s="1"/>
      <c r="I992" s="1"/>
      <c r="J992" s="1"/>
      <c r="L992" s="1"/>
      <c r="O992" s="1"/>
    </row>
    <row r="993" spans="5:15">
      <c r="E993" s="1"/>
      <c r="F993" s="1"/>
      <c r="G993" s="1"/>
      <c r="I993" s="1"/>
      <c r="J993" s="1"/>
      <c r="L993" s="1"/>
      <c r="O993" s="1"/>
    </row>
    <row r="994" spans="5:15">
      <c r="E994" s="1"/>
      <c r="F994" s="1"/>
      <c r="G994" s="1"/>
      <c r="I994" s="1"/>
      <c r="J994" s="1"/>
      <c r="L994" s="1"/>
      <c r="O994" s="1"/>
    </row>
    <row r="995" spans="5:15">
      <c r="E995" s="1"/>
      <c r="F995" s="1"/>
      <c r="G995" s="1"/>
      <c r="I995" s="1"/>
      <c r="J995" s="1"/>
      <c r="L995" s="1"/>
      <c r="O995" s="1"/>
    </row>
    <row r="996" spans="5:15">
      <c r="E996" s="1"/>
      <c r="F996" s="1"/>
      <c r="G996" s="1"/>
      <c r="I996" s="1"/>
      <c r="J996" s="1"/>
      <c r="L996" s="1"/>
      <c r="O996" s="1"/>
    </row>
    <row r="997" spans="5:15">
      <c r="E997" s="1"/>
      <c r="F997" s="1"/>
      <c r="G997" s="1"/>
      <c r="I997" s="1"/>
      <c r="J997" s="1"/>
      <c r="L997" s="1"/>
      <c r="O997" s="1"/>
    </row>
    <row r="998" spans="5:15">
      <c r="E998" s="1"/>
      <c r="F998" s="1"/>
      <c r="G998" s="1"/>
      <c r="I998" s="1"/>
      <c r="J998" s="1"/>
      <c r="L998" s="1"/>
      <c r="O998" s="1"/>
    </row>
    <row r="999" spans="5:15">
      <c r="E999" s="1"/>
      <c r="F999" s="1"/>
      <c r="G999" s="1"/>
      <c r="I999" s="1"/>
      <c r="J999" s="1"/>
      <c r="L999" s="1"/>
      <c r="O999" s="1"/>
    </row>
    <row r="1000" spans="5:15">
      <c r="E1000" s="1"/>
      <c r="F1000" s="1"/>
      <c r="G1000" s="1"/>
      <c r="I1000" s="1"/>
      <c r="J1000" s="1"/>
      <c r="L1000" s="1"/>
      <c r="O1000" s="1"/>
    </row>
    <row r="1001" spans="5:15">
      <c r="E1001" s="1"/>
      <c r="F1001" s="1"/>
      <c r="G1001" s="1"/>
      <c r="I1001" s="1"/>
      <c r="J1001" s="1"/>
      <c r="L1001" s="1"/>
      <c r="O1001" s="1"/>
    </row>
    <row r="1002" spans="5:15">
      <c r="E1002" s="1"/>
      <c r="F1002" s="1"/>
      <c r="G1002" s="1"/>
      <c r="I1002" s="1"/>
      <c r="J1002" s="1"/>
      <c r="L1002" s="1"/>
      <c r="O1002" s="1"/>
    </row>
    <row r="1003" spans="5:15">
      <c r="E1003" s="1"/>
      <c r="F1003" s="1"/>
      <c r="G1003" s="1"/>
      <c r="I1003" s="1"/>
      <c r="J1003" s="1"/>
      <c r="L1003" s="1"/>
      <c r="O1003" s="1"/>
    </row>
    <row r="1004" spans="5:15">
      <c r="E1004" s="1"/>
      <c r="F1004" s="1"/>
      <c r="G1004" s="1"/>
      <c r="I1004" s="1"/>
      <c r="J1004" s="1"/>
      <c r="L1004" s="1"/>
      <c r="O1004" s="1"/>
    </row>
    <row r="1005" spans="5:15">
      <c r="E1005" s="1"/>
      <c r="F1005" s="1"/>
      <c r="G1005" s="1"/>
      <c r="I1005" s="1"/>
      <c r="J1005" s="1"/>
      <c r="L1005" s="1"/>
      <c r="O1005" s="1"/>
    </row>
    <row r="1006" spans="5:15">
      <c r="E1006" s="1"/>
      <c r="F1006" s="1"/>
      <c r="G1006" s="1"/>
      <c r="I1006" s="1"/>
      <c r="J1006" s="1"/>
      <c r="L1006" s="1"/>
      <c r="O1006" s="1"/>
    </row>
    <row r="1007" spans="5:15">
      <c r="E1007" s="1"/>
      <c r="F1007" s="1"/>
      <c r="G1007" s="1"/>
      <c r="I1007" s="1"/>
      <c r="J1007" s="1"/>
      <c r="L1007" s="1"/>
      <c r="O1007" s="1"/>
    </row>
    <row r="1008" spans="5:15">
      <c r="E1008" s="1"/>
      <c r="F1008" s="1"/>
      <c r="G1008" s="1"/>
      <c r="I1008" s="1"/>
      <c r="J1008" s="1"/>
      <c r="L1008" s="1"/>
      <c r="O1008" s="1"/>
    </row>
  </sheetData>
  <phoneticPr fontId="14" type="noConversion"/>
  <conditionalFormatting sqref="D5:O1008">
    <cfRule type="expression" dxfId="4" priority="2">
      <formula>$D5&lt;&gt;""</formula>
    </cfRule>
  </conditionalFormatting>
  <hyperlinks>
    <hyperlink ref="A1" location="'目录及说明'!A1" display="返回目录" xr:uid="{00000000-0004-0000-0A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55"/>
  <sheetViews>
    <sheetView showGridLines="0" zoomScale="112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P19" sqref="P19"/>
    </sheetView>
  </sheetViews>
  <sheetFormatPr baseColWidth="10" defaultColWidth="13.19921875" defaultRowHeight="16"/>
  <cols>
    <col min="1" max="1" width="4" style="16" customWidth="1"/>
    <col min="2" max="4" width="4.3984375" style="16" customWidth="1"/>
    <col min="6" max="6" width="20.796875" customWidth="1"/>
    <col min="7" max="7" width="13.19921875" style="372"/>
    <col min="8" max="8" width="13" style="371" customWidth="1"/>
    <col min="9" max="9" width="4.3984375" style="16" customWidth="1"/>
    <col min="10" max="10" width="25.3984375" style="16" customWidth="1"/>
    <col min="11" max="11" width="4" style="16" customWidth="1"/>
    <col min="12" max="20" width="13.796875" style="16" bestFit="1" customWidth="1"/>
    <col min="21" max="23" width="15.3984375" style="16" bestFit="1" customWidth="1"/>
  </cols>
  <sheetData>
    <row r="1" spans="1:24">
      <c r="A1" s="70" t="s">
        <v>28</v>
      </c>
      <c r="B1" s="67"/>
      <c r="C1" s="67"/>
      <c r="D1" s="67"/>
      <c r="E1" s="42"/>
      <c r="F1" s="42"/>
      <c r="G1" s="360" t="s">
        <v>294</v>
      </c>
      <c r="H1" s="360" t="s">
        <v>295</v>
      </c>
      <c r="I1" s="67"/>
      <c r="J1" s="140"/>
      <c r="K1" s="140"/>
      <c r="L1" s="278">
        <v>8.7999999999999995E-2</v>
      </c>
      <c r="M1" s="278">
        <v>8.8400000000000006E-2</v>
      </c>
      <c r="N1" s="278">
        <v>7.5999999999999998E-2</v>
      </c>
      <c r="O1" s="278">
        <v>9.06E-2</v>
      </c>
      <c r="P1" s="278">
        <v>7.2800000000000004E-2</v>
      </c>
      <c r="Q1" s="278">
        <v>9.9500000000000005E-2</v>
      </c>
      <c r="R1" s="278">
        <v>4.8599999999999997E-2</v>
      </c>
      <c r="S1" s="278">
        <v>6.5000000000000002E-2</v>
      </c>
      <c r="T1" s="278">
        <v>8.2199999999999995E-2</v>
      </c>
      <c r="U1" s="278">
        <v>8.8900000000000007E-2</v>
      </c>
      <c r="V1" s="278">
        <v>0.108</v>
      </c>
      <c r="W1" s="278">
        <v>9.1999999999999998E-2</v>
      </c>
      <c r="X1" s="39">
        <f>SUM(L1:W1)</f>
        <v>1</v>
      </c>
    </row>
    <row r="2" spans="1:24">
      <c r="A2" s="67"/>
      <c r="B2" s="192" t="s">
        <v>726</v>
      </c>
      <c r="C2" s="129"/>
      <c r="D2" s="129"/>
      <c r="E2" s="130"/>
      <c r="F2" s="131" t="s">
        <v>886</v>
      </c>
      <c r="G2" s="361" t="s">
        <v>296</v>
      </c>
      <c r="H2" s="361" t="s">
        <v>297</v>
      </c>
      <c r="I2" s="67"/>
      <c r="J2" s="129" t="s">
        <v>727</v>
      </c>
      <c r="K2" s="226"/>
      <c r="L2" s="153">
        <v>46023</v>
      </c>
      <c r="M2" s="153">
        <v>46054</v>
      </c>
      <c r="N2" s="153">
        <v>46082</v>
      </c>
      <c r="O2" s="153">
        <v>46113</v>
      </c>
      <c r="P2" s="153">
        <v>46143</v>
      </c>
      <c r="Q2" s="153">
        <v>46174</v>
      </c>
      <c r="R2" s="153">
        <v>46204</v>
      </c>
      <c r="S2" s="153">
        <v>46235</v>
      </c>
      <c r="T2" s="153">
        <v>46266</v>
      </c>
      <c r="U2" s="153">
        <v>46296</v>
      </c>
      <c r="V2" s="153">
        <v>46327</v>
      </c>
      <c r="W2" s="153">
        <v>46357</v>
      </c>
    </row>
    <row r="3" spans="1:24">
      <c r="A3" s="67"/>
      <c r="B3" s="67"/>
      <c r="C3" s="295" t="s">
        <v>242</v>
      </c>
      <c r="D3" s="295"/>
      <c r="E3" s="296"/>
      <c r="F3" s="297" t="s">
        <v>887</v>
      </c>
      <c r="G3" s="362">
        <f>G4+G9+G15</f>
        <v>1</v>
      </c>
      <c r="H3" s="363"/>
      <c r="I3" s="67"/>
      <c r="J3" s="277">
        <f>SUM(L3:W3)</f>
        <v>4980.0000000000009</v>
      </c>
      <c r="K3" s="290"/>
      <c r="L3" s="277">
        <f>'假设-成本与任务量'!K44</f>
        <v>365.02199999999999</v>
      </c>
      <c r="M3" s="277">
        <f>'假设-成本与任务量'!L44</f>
        <v>348.42599999999999</v>
      </c>
      <c r="N3" s="277">
        <f>'假设-成本与任务量'!M44</f>
        <v>495.42840000000001</v>
      </c>
      <c r="O3" s="277">
        <f>'假设-成本与任务量'!N44</f>
        <v>550.81079999999997</v>
      </c>
      <c r="P3" s="277">
        <f>'假设-成本与任务量'!O44</f>
        <v>640.44000000000005</v>
      </c>
      <c r="Q3" s="277">
        <f>'假设-成本与任务量'!P44</f>
        <v>439.39976651831569</v>
      </c>
      <c r="R3" s="277">
        <f>'假设-成本与任务量'!Q44</f>
        <v>214.6213934953783</v>
      </c>
      <c r="S3" s="277">
        <f>'假设-成本与任务量'!R44</f>
        <v>287.04507360492988</v>
      </c>
      <c r="T3" s="277">
        <f>'假设-成本与任务量'!S44</f>
        <v>363.00161615884974</v>
      </c>
      <c r="U3" s="277">
        <f>'假设-成本与任务量'!T44</f>
        <v>392.58933913043489</v>
      </c>
      <c r="V3" s="277">
        <f>'假设-成本与任务量'!U44</f>
        <v>476.93642998972962</v>
      </c>
      <c r="W3" s="277">
        <f>'假设-成本与任务量'!V44</f>
        <v>406.27918110236226</v>
      </c>
    </row>
    <row r="4" spans="1:24">
      <c r="A4" s="67"/>
      <c r="B4" s="67"/>
      <c r="C4" s="67"/>
      <c r="D4" s="274" t="s">
        <v>136</v>
      </c>
      <c r="E4" s="274"/>
      <c r="F4" s="275"/>
      <c r="G4" s="364">
        <f>SUM(G5:G7)</f>
        <v>0.35599999999999998</v>
      </c>
      <c r="H4" s="365"/>
      <c r="I4" s="67"/>
      <c r="J4" s="276">
        <f>SUM(L4:W4)</f>
        <v>1772.88</v>
      </c>
      <c r="K4" s="290"/>
      <c r="L4" s="276">
        <f t="shared" ref="L4:W7" si="0">L$3*$G4</f>
        <v>129.94783199999998</v>
      </c>
      <c r="M4" s="276">
        <f t="shared" si="0"/>
        <v>124.03965599999999</v>
      </c>
      <c r="N4" s="276">
        <f t="shared" si="0"/>
        <v>176.37251039999998</v>
      </c>
      <c r="O4" s="276">
        <f t="shared" si="0"/>
        <v>196.08864479999997</v>
      </c>
      <c r="P4" s="276">
        <f t="shared" si="0"/>
        <v>227.99664000000001</v>
      </c>
      <c r="Q4" s="276">
        <f t="shared" si="0"/>
        <v>156.42631688052037</v>
      </c>
      <c r="R4" s="276">
        <f t="shared" si="0"/>
        <v>76.405216084354677</v>
      </c>
      <c r="S4" s="276">
        <f t="shared" si="0"/>
        <v>102.18804620335503</v>
      </c>
      <c r="T4" s="276">
        <f t="shared" si="0"/>
        <v>129.22857535255051</v>
      </c>
      <c r="U4" s="276">
        <f t="shared" si="0"/>
        <v>139.76180473043482</v>
      </c>
      <c r="V4" s="276">
        <f t="shared" si="0"/>
        <v>169.78936907634375</v>
      </c>
      <c r="W4" s="276">
        <f t="shared" si="0"/>
        <v>144.63538847244095</v>
      </c>
    </row>
    <row r="5" spans="1:24">
      <c r="A5" s="67"/>
      <c r="B5" s="67"/>
      <c r="C5" s="67"/>
      <c r="D5" s="67"/>
      <c r="E5" s="67" t="s">
        <v>223</v>
      </c>
      <c r="F5" s="73"/>
      <c r="G5" s="349">
        <v>0.224</v>
      </c>
      <c r="H5" s="366"/>
      <c r="I5" s="67"/>
      <c r="J5" s="140">
        <f>SUM(L5:W5)</f>
        <v>1115.52</v>
      </c>
      <c r="K5" s="140"/>
      <c r="L5" s="140">
        <f t="shared" si="0"/>
        <v>81.764927999999998</v>
      </c>
      <c r="M5" s="140">
        <f t="shared" si="0"/>
        <v>78.047423999999992</v>
      </c>
      <c r="N5" s="140">
        <f t="shared" si="0"/>
        <v>110.97596160000001</v>
      </c>
      <c r="O5" s="140">
        <f t="shared" si="0"/>
        <v>123.3816192</v>
      </c>
      <c r="P5" s="140">
        <f t="shared" si="0"/>
        <v>143.45856000000001</v>
      </c>
      <c r="Q5" s="140">
        <f t="shared" si="0"/>
        <v>98.425547700102712</v>
      </c>
      <c r="R5" s="140">
        <f t="shared" si="0"/>
        <v>48.075192142964738</v>
      </c>
      <c r="S5" s="140">
        <f t="shared" si="0"/>
        <v>64.298096487504296</v>
      </c>
      <c r="T5" s="140">
        <f t="shared" si="0"/>
        <v>81.312362019582338</v>
      </c>
      <c r="U5" s="140">
        <f t="shared" si="0"/>
        <v>87.940011965217423</v>
      </c>
      <c r="V5" s="140">
        <f t="shared" si="0"/>
        <v>106.83376031769944</v>
      </c>
      <c r="W5" s="140">
        <f t="shared" si="0"/>
        <v>91.006536566929142</v>
      </c>
    </row>
    <row r="6" spans="1:24">
      <c r="A6" s="67"/>
      <c r="B6" s="67"/>
      <c r="C6" s="67"/>
      <c r="D6" s="67"/>
      <c r="E6" s="67" t="s">
        <v>224</v>
      </c>
      <c r="F6" s="73"/>
      <c r="G6" s="349">
        <v>0.04</v>
      </c>
      <c r="H6" s="366"/>
      <c r="I6" s="67"/>
      <c r="J6" s="140">
        <f>SUM(L6:W6)</f>
        <v>199.20000000000005</v>
      </c>
      <c r="K6" s="140"/>
      <c r="L6" s="140">
        <f t="shared" si="0"/>
        <v>14.60088</v>
      </c>
      <c r="M6" s="140">
        <f t="shared" si="0"/>
        <v>13.93704</v>
      </c>
      <c r="N6" s="140">
        <f t="shared" si="0"/>
        <v>19.817136000000001</v>
      </c>
      <c r="O6" s="140">
        <f t="shared" si="0"/>
        <v>22.032432</v>
      </c>
      <c r="P6" s="140">
        <f t="shared" si="0"/>
        <v>25.617600000000003</v>
      </c>
      <c r="Q6" s="140">
        <f t="shared" si="0"/>
        <v>17.575990660732629</v>
      </c>
      <c r="R6" s="140">
        <f t="shared" si="0"/>
        <v>8.5848557398151328</v>
      </c>
      <c r="S6" s="140">
        <f t="shared" si="0"/>
        <v>11.481802944197195</v>
      </c>
      <c r="T6" s="140">
        <f t="shared" si="0"/>
        <v>14.52006464635399</v>
      </c>
      <c r="U6" s="140">
        <f t="shared" si="0"/>
        <v>15.703573565217397</v>
      </c>
      <c r="V6" s="140">
        <f t="shared" si="0"/>
        <v>19.077457199589187</v>
      </c>
      <c r="W6" s="140">
        <f t="shared" si="0"/>
        <v>16.251167244094489</v>
      </c>
    </row>
    <row r="7" spans="1:24">
      <c r="A7" s="67"/>
      <c r="B7" s="67"/>
      <c r="C7" s="67"/>
      <c r="D7" s="67"/>
      <c r="E7" s="67" t="s">
        <v>298</v>
      </c>
      <c r="F7" s="73"/>
      <c r="G7" s="349">
        <v>9.1999999999999998E-2</v>
      </c>
      <c r="H7" s="366"/>
      <c r="I7" s="67"/>
      <c r="J7" s="140">
        <f>SUM(L7:W7)</f>
        <v>458.16000000000008</v>
      </c>
      <c r="K7" s="140"/>
      <c r="L7" s="140">
        <f t="shared" si="0"/>
        <v>33.582023999999997</v>
      </c>
      <c r="M7" s="140">
        <f t="shared" si="0"/>
        <v>32.055191999999998</v>
      </c>
      <c r="N7" s="140">
        <f t="shared" si="0"/>
        <v>45.5794128</v>
      </c>
      <c r="O7" s="140">
        <f t="shared" si="0"/>
        <v>50.674593599999994</v>
      </c>
      <c r="P7" s="140">
        <f t="shared" si="0"/>
        <v>58.920480000000005</v>
      </c>
      <c r="Q7" s="140">
        <f t="shared" si="0"/>
        <v>40.424778519685042</v>
      </c>
      <c r="R7" s="140">
        <f t="shared" si="0"/>
        <v>19.745168201574803</v>
      </c>
      <c r="S7" s="140">
        <f t="shared" si="0"/>
        <v>26.408146771653549</v>
      </c>
      <c r="T7" s="140">
        <f t="shared" si="0"/>
        <v>33.396148686614175</v>
      </c>
      <c r="U7" s="140">
        <f t="shared" si="0"/>
        <v>36.118219200000013</v>
      </c>
      <c r="V7" s="140">
        <f t="shared" si="0"/>
        <v>43.878151559055127</v>
      </c>
      <c r="W7" s="140">
        <f t="shared" si="0"/>
        <v>37.377684661417327</v>
      </c>
    </row>
    <row r="8" spans="1:24">
      <c r="A8" s="67"/>
      <c r="B8" s="67"/>
      <c r="C8" s="67"/>
      <c r="D8" s="67"/>
      <c r="E8" s="42"/>
      <c r="F8" s="73"/>
      <c r="G8" s="349"/>
      <c r="H8" s="366"/>
      <c r="I8" s="67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</row>
    <row r="9" spans="1:24">
      <c r="A9" s="67"/>
      <c r="B9" s="67"/>
      <c r="C9" s="67"/>
      <c r="D9" s="274" t="s">
        <v>299</v>
      </c>
      <c r="E9" s="274"/>
      <c r="F9" s="275"/>
      <c r="G9" s="364">
        <f>SUM(G10:G13)</f>
        <v>0.39800000000000002</v>
      </c>
      <c r="H9" s="365"/>
      <c r="I9" s="67"/>
      <c r="J9" s="276">
        <f>SUM(L9:W9)</f>
        <v>1982.0400000000004</v>
      </c>
      <c r="K9" s="290"/>
      <c r="L9" s="276">
        <f t="shared" ref="L9:W13" si="1">L$3*$G9</f>
        <v>145.27875600000002</v>
      </c>
      <c r="M9" s="276">
        <f t="shared" si="1"/>
        <v>138.67354800000001</v>
      </c>
      <c r="N9" s="276">
        <f t="shared" si="1"/>
        <v>197.1805032</v>
      </c>
      <c r="O9" s="276">
        <f t="shared" si="1"/>
        <v>219.22269840000001</v>
      </c>
      <c r="P9" s="276">
        <f t="shared" si="1"/>
        <v>254.89512000000005</v>
      </c>
      <c r="Q9" s="276">
        <f t="shared" si="1"/>
        <v>174.88110707428964</v>
      </c>
      <c r="R9" s="276">
        <f t="shared" si="1"/>
        <v>85.419314611160573</v>
      </c>
      <c r="S9" s="276">
        <f t="shared" si="1"/>
        <v>114.2439392947621</v>
      </c>
      <c r="T9" s="276">
        <f t="shared" si="1"/>
        <v>144.47464323122222</v>
      </c>
      <c r="U9" s="276">
        <f t="shared" si="1"/>
        <v>156.25055697391309</v>
      </c>
      <c r="V9" s="276">
        <f t="shared" si="1"/>
        <v>189.82069913591241</v>
      </c>
      <c r="W9" s="276">
        <f t="shared" si="1"/>
        <v>161.69911407874019</v>
      </c>
    </row>
    <row r="10" spans="1:24">
      <c r="A10" s="67"/>
      <c r="B10" s="67"/>
      <c r="C10" s="67"/>
      <c r="D10" s="67"/>
      <c r="E10" s="67" t="s">
        <v>153</v>
      </c>
      <c r="F10" s="73"/>
      <c r="G10" s="349">
        <v>0.35</v>
      </c>
      <c r="H10" s="366"/>
      <c r="I10" s="67"/>
      <c r="J10" s="140">
        <f>SUM(L10:W10)</f>
        <v>1743</v>
      </c>
      <c r="K10" s="140"/>
      <c r="L10" s="140">
        <f t="shared" si="1"/>
        <v>127.75769999999999</v>
      </c>
      <c r="M10" s="140">
        <f t="shared" si="1"/>
        <v>121.94909999999999</v>
      </c>
      <c r="N10" s="140">
        <f t="shared" si="1"/>
        <v>173.39993999999999</v>
      </c>
      <c r="O10" s="140">
        <f t="shared" si="1"/>
        <v>192.78377999999998</v>
      </c>
      <c r="P10" s="140">
        <f t="shared" si="1"/>
        <v>224.154</v>
      </c>
      <c r="Q10" s="140">
        <f t="shared" si="1"/>
        <v>153.78991828141048</v>
      </c>
      <c r="R10" s="140">
        <f t="shared" si="1"/>
        <v>75.117487723382396</v>
      </c>
      <c r="S10" s="140">
        <f t="shared" si="1"/>
        <v>100.46577576172545</v>
      </c>
      <c r="T10" s="140">
        <f t="shared" si="1"/>
        <v>127.0505656555974</v>
      </c>
      <c r="U10" s="140">
        <f t="shared" si="1"/>
        <v>137.40626869565222</v>
      </c>
      <c r="V10" s="140">
        <f t="shared" si="1"/>
        <v>166.92775049640537</v>
      </c>
      <c r="W10" s="140">
        <f t="shared" si="1"/>
        <v>142.19771338582677</v>
      </c>
    </row>
    <row r="11" spans="1:24">
      <c r="A11" s="67"/>
      <c r="B11" s="67"/>
      <c r="C11" s="67"/>
      <c r="D11" s="67"/>
      <c r="E11" s="67" t="s">
        <v>517</v>
      </c>
      <c r="F11" s="73"/>
      <c r="G11" s="349">
        <v>0.02</v>
      </c>
      <c r="H11" s="366"/>
      <c r="I11" s="67"/>
      <c r="J11" s="140">
        <f>SUM(L11:W11)</f>
        <v>99.600000000000023</v>
      </c>
      <c r="K11" s="140"/>
      <c r="L11" s="140">
        <f t="shared" si="1"/>
        <v>7.30044</v>
      </c>
      <c r="M11" s="140">
        <f t="shared" si="1"/>
        <v>6.9685199999999998</v>
      </c>
      <c r="N11" s="140">
        <f t="shared" si="1"/>
        <v>9.9085680000000007</v>
      </c>
      <c r="O11" s="140">
        <f t="shared" si="1"/>
        <v>11.016216</v>
      </c>
      <c r="P11" s="140">
        <f t="shared" si="1"/>
        <v>12.808800000000002</v>
      </c>
      <c r="Q11" s="140">
        <f t="shared" si="1"/>
        <v>8.7879953303663143</v>
      </c>
      <c r="R11" s="140">
        <f t="shared" si="1"/>
        <v>4.2924278699075664</v>
      </c>
      <c r="S11" s="140">
        <f t="shared" si="1"/>
        <v>5.7409014720985976</v>
      </c>
      <c r="T11" s="140">
        <f t="shared" si="1"/>
        <v>7.2600323231769952</v>
      </c>
      <c r="U11" s="140">
        <f t="shared" si="1"/>
        <v>7.8517867826086984</v>
      </c>
      <c r="V11" s="140">
        <f t="shared" si="1"/>
        <v>9.5387285997945934</v>
      </c>
      <c r="W11" s="140">
        <f t="shared" si="1"/>
        <v>8.1255836220472446</v>
      </c>
    </row>
    <row r="12" spans="1:24">
      <c r="A12" s="67"/>
      <c r="B12" s="67"/>
      <c r="C12" s="67"/>
      <c r="D12" s="67"/>
      <c r="E12" s="67" t="s">
        <v>728</v>
      </c>
      <c r="F12" s="73"/>
      <c r="G12" s="349">
        <v>2.5999999999999999E-2</v>
      </c>
      <c r="H12" s="366"/>
      <c r="I12" s="67"/>
      <c r="J12" s="140">
        <f>SUM(L12:W12)</f>
        <v>129.47999999999999</v>
      </c>
      <c r="K12" s="140"/>
      <c r="L12" s="140">
        <f t="shared" si="1"/>
        <v>9.4905719999999985</v>
      </c>
      <c r="M12" s="140">
        <f t="shared" si="1"/>
        <v>9.0590759999999992</v>
      </c>
      <c r="N12" s="140">
        <f t="shared" si="1"/>
        <v>12.881138399999999</v>
      </c>
      <c r="O12" s="140">
        <f t="shared" si="1"/>
        <v>14.321080799999999</v>
      </c>
      <c r="P12" s="140">
        <f t="shared" si="1"/>
        <v>16.651440000000001</v>
      </c>
      <c r="Q12" s="140">
        <f t="shared" si="1"/>
        <v>11.424393929476206</v>
      </c>
      <c r="R12" s="140">
        <f t="shared" si="1"/>
        <v>5.5801562308798358</v>
      </c>
      <c r="S12" s="140">
        <f t="shared" si="1"/>
        <v>7.4631719137281767</v>
      </c>
      <c r="T12" s="140">
        <f t="shared" si="1"/>
        <v>9.4380420201300925</v>
      </c>
      <c r="U12" s="140">
        <f t="shared" si="1"/>
        <v>10.207322817391306</v>
      </c>
      <c r="V12" s="140">
        <f t="shared" si="1"/>
        <v>12.40034717973297</v>
      </c>
      <c r="W12" s="140">
        <f t="shared" si="1"/>
        <v>10.563258708661419</v>
      </c>
    </row>
    <row r="13" spans="1:24">
      <c r="A13" s="67"/>
      <c r="B13" s="67"/>
      <c r="C13" s="67"/>
      <c r="D13" s="67"/>
      <c r="E13" s="67" t="s">
        <v>227</v>
      </c>
      <c r="F13" s="73"/>
      <c r="G13" s="349">
        <v>2E-3</v>
      </c>
      <c r="H13" s="366"/>
      <c r="I13" s="67"/>
      <c r="J13" s="140">
        <f>SUM(L13:W13)</f>
        <v>9.9599999999999991</v>
      </c>
      <c r="K13" s="140"/>
      <c r="L13" s="140">
        <f t="shared" si="1"/>
        <v>0.73004400000000003</v>
      </c>
      <c r="M13" s="140">
        <f t="shared" si="1"/>
        <v>0.69685200000000003</v>
      </c>
      <c r="N13" s="140">
        <f t="shared" si="1"/>
        <v>0.99085680000000009</v>
      </c>
      <c r="O13" s="140">
        <f t="shared" si="1"/>
        <v>1.1016215999999999</v>
      </c>
      <c r="P13" s="140">
        <f t="shared" si="1"/>
        <v>1.2808800000000002</v>
      </c>
      <c r="Q13" s="140">
        <f t="shared" si="1"/>
        <v>0.87879953303663139</v>
      </c>
      <c r="R13" s="140">
        <f t="shared" si="1"/>
        <v>0.42924278699075663</v>
      </c>
      <c r="S13" s="140">
        <f t="shared" si="1"/>
        <v>0.57409014720985974</v>
      </c>
      <c r="T13" s="140">
        <f t="shared" si="1"/>
        <v>0.72600323231769948</v>
      </c>
      <c r="U13" s="140">
        <f t="shared" si="1"/>
        <v>0.78517867826086984</v>
      </c>
      <c r="V13" s="140">
        <f t="shared" si="1"/>
        <v>0.95387285997945925</v>
      </c>
      <c r="W13" s="140">
        <f t="shared" si="1"/>
        <v>0.81255836220472455</v>
      </c>
    </row>
    <row r="14" spans="1:24">
      <c r="A14" s="67"/>
      <c r="B14" s="67"/>
      <c r="C14" s="67"/>
      <c r="D14" s="67"/>
      <c r="E14" s="42"/>
      <c r="F14" s="73"/>
      <c r="G14" s="349"/>
      <c r="H14" s="366"/>
      <c r="I14" s="67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</row>
    <row r="15" spans="1:24">
      <c r="A15" s="67"/>
      <c r="B15" s="67"/>
      <c r="C15" s="67"/>
      <c r="D15" s="274" t="s">
        <v>300</v>
      </c>
      <c r="E15" s="274"/>
      <c r="F15" s="275"/>
      <c r="G15" s="364">
        <v>0.246</v>
      </c>
      <c r="H15" s="365"/>
      <c r="I15" s="67"/>
      <c r="J15" s="276">
        <f>SUM(L15:W15)</f>
        <v>1225.0800000000002</v>
      </c>
      <c r="K15" s="290"/>
      <c r="L15" s="276">
        <f t="shared" ref="L15:W19" si="2">L$3*$G15</f>
        <v>89.795411999999999</v>
      </c>
      <c r="M15" s="276">
        <f t="shared" si="2"/>
        <v>85.712795999999997</v>
      </c>
      <c r="N15" s="276">
        <f t="shared" si="2"/>
        <v>121.8753864</v>
      </c>
      <c r="O15" s="276">
        <f t="shared" si="2"/>
        <v>135.49945679999999</v>
      </c>
      <c r="P15" s="276">
        <f t="shared" si="2"/>
        <v>157.54824000000002</v>
      </c>
      <c r="Q15" s="276">
        <f t="shared" si="2"/>
        <v>108.09234256350565</v>
      </c>
      <c r="R15" s="276">
        <f t="shared" si="2"/>
        <v>52.796862799863064</v>
      </c>
      <c r="S15" s="276">
        <f t="shared" si="2"/>
        <v>70.613088106812754</v>
      </c>
      <c r="T15" s="276">
        <f t="shared" si="2"/>
        <v>89.298397575077033</v>
      </c>
      <c r="U15" s="276">
        <f t="shared" si="2"/>
        <v>96.576977426086984</v>
      </c>
      <c r="V15" s="276">
        <f t="shared" si="2"/>
        <v>117.32636177747348</v>
      </c>
      <c r="W15" s="276">
        <f t="shared" si="2"/>
        <v>99.944678551181113</v>
      </c>
    </row>
    <row r="16" spans="1:24">
      <c r="A16" s="67"/>
      <c r="B16" s="67"/>
      <c r="C16" s="67"/>
      <c r="D16" s="67"/>
      <c r="E16" s="67" t="s">
        <v>301</v>
      </c>
      <c r="F16" s="73"/>
      <c r="G16" s="349">
        <f>$G$15*H16</f>
        <v>0.1098859729057049</v>
      </c>
      <c r="H16" s="366">
        <v>0.44669094677115811</v>
      </c>
      <c r="I16" s="67"/>
      <c r="J16" s="140">
        <f>SUM(L16:W16)</f>
        <v>547.23214507041052</v>
      </c>
      <c r="K16" s="140"/>
      <c r="L16" s="140">
        <f t="shared" si="2"/>
        <v>40.110797601986214</v>
      </c>
      <c r="M16" s="140">
        <f t="shared" si="2"/>
        <v>38.287129995643134</v>
      </c>
      <c r="N16" s="140">
        <f t="shared" si="2"/>
        <v>54.440631739116732</v>
      </c>
      <c r="O16" s="140">
        <f t="shared" si="2"/>
        <v>60.526380644969635</v>
      </c>
      <c r="P16" s="140">
        <f t="shared" si="2"/>
        <v>70.375372487729649</v>
      </c>
      <c r="Q16" s="140">
        <f t="shared" si="2"/>
        <v>48.283870838404695</v>
      </c>
      <c r="R16" s="140">
        <f t="shared" si="2"/>
        <v>23.58388063061777</v>
      </c>
      <c r="S16" s="140">
        <f t="shared" si="2"/>
        <v>31.542227180867393</v>
      </c>
      <c r="T16" s="140">
        <f t="shared" si="2"/>
        <v>39.888785757958452</v>
      </c>
      <c r="U16" s="140">
        <f t="shared" si="2"/>
        <v>43.140061482755563</v>
      </c>
      <c r="V16" s="140">
        <f t="shared" si="2"/>
        <v>52.408623623595048</v>
      </c>
      <c r="W16" s="140">
        <f t="shared" si="2"/>
        <v>44.644383086766155</v>
      </c>
    </row>
    <row r="17" spans="1:23">
      <c r="A17" s="67"/>
      <c r="B17" s="67"/>
      <c r="C17" s="67"/>
      <c r="D17" s="67"/>
      <c r="E17" s="67" t="s">
        <v>302</v>
      </c>
      <c r="F17" s="73"/>
      <c r="G17" s="349">
        <f t="shared" ref="G17:G19" si="3">$G$15*H17</f>
        <v>6.9923713251327499E-2</v>
      </c>
      <c r="H17" s="366">
        <v>0.28424273679401424</v>
      </c>
      <c r="I17" s="67"/>
      <c r="J17" s="140">
        <f>SUM(L17:W17)</f>
        <v>348.2200919916109</v>
      </c>
      <c r="K17" s="140"/>
      <c r="L17" s="140">
        <f t="shared" si="2"/>
        <v>25.523693658426065</v>
      </c>
      <c r="M17" s="140">
        <f t="shared" si="2"/>
        <v>24.363239713307035</v>
      </c>
      <c r="N17" s="140">
        <f t="shared" si="2"/>
        <v>34.642193378163981</v>
      </c>
      <c r="O17" s="140">
        <f t="shared" si="2"/>
        <v>38.514736434934299</v>
      </c>
      <c r="P17" s="140">
        <f t="shared" si="2"/>
        <v>44.781942914680187</v>
      </c>
      <c r="Q17" s="140">
        <f t="shared" si="2"/>
        <v>30.724463276726961</v>
      </c>
      <c r="R17" s="140">
        <f t="shared" si="2"/>
        <v>15.007124776371157</v>
      </c>
      <c r="S17" s="140">
        <f t="shared" si="2"/>
        <v>20.071257416957312</v>
      </c>
      <c r="T17" s="140">
        <f t="shared" si="2"/>
        <v>25.382420918059861</v>
      </c>
      <c r="U17" s="140">
        <f t="shared" si="2"/>
        <v>27.451304374884696</v>
      </c>
      <c r="V17" s="140">
        <f t="shared" si="2"/>
        <v>33.349166169713683</v>
      </c>
      <c r="W17" s="140">
        <f t="shared" si="2"/>
        <v>28.408548959385733</v>
      </c>
    </row>
    <row r="18" spans="1:23">
      <c r="A18" s="67"/>
      <c r="B18" s="67"/>
      <c r="C18" s="67"/>
      <c r="D18" s="67"/>
      <c r="E18" s="67" t="s">
        <v>303</v>
      </c>
      <c r="F18" s="73"/>
      <c r="G18" s="349">
        <f t="shared" si="3"/>
        <v>5.6515488799241129E-3</v>
      </c>
      <c r="H18" s="366">
        <v>2.2973775934650865E-2</v>
      </c>
      <c r="I18" s="67"/>
      <c r="J18" s="140">
        <f>SUM(L18:W18)</f>
        <v>28.144713422022086</v>
      </c>
      <c r="K18" s="140"/>
      <c r="L18" s="140">
        <f t="shared" si="2"/>
        <v>2.0629396752476596</v>
      </c>
      <c r="M18" s="140">
        <f t="shared" si="2"/>
        <v>1.969146570036439</v>
      </c>
      <c r="N18" s="140">
        <f t="shared" si="2"/>
        <v>2.7999378191025954</v>
      </c>
      <c r="O18" s="140">
        <f t="shared" si="2"/>
        <v>3.1129341597901043</v>
      </c>
      <c r="P18" s="140">
        <f t="shared" si="2"/>
        <v>3.6194779646585991</v>
      </c>
      <c r="Q18" s="140">
        <f t="shared" si="2"/>
        <v>2.4832892583055037</v>
      </c>
      <c r="R18" s="140">
        <f t="shared" si="2"/>
        <v>1.2129432960165576</v>
      </c>
      <c r="S18" s="140">
        <f t="shared" si="2"/>
        <v>1.622249264219676</v>
      </c>
      <c r="T18" s="140">
        <f t="shared" si="2"/>
        <v>2.0515213772131902</v>
      </c>
      <c r="U18" s="140">
        <f t="shared" si="2"/>
        <v>2.2187378398327571</v>
      </c>
      <c r="V18" s="140">
        <f t="shared" si="2"/>
        <v>2.6954295467034615</v>
      </c>
      <c r="W18" s="140">
        <f t="shared" si="2"/>
        <v>2.2961066508955414</v>
      </c>
    </row>
    <row r="19" spans="1:23">
      <c r="A19" s="67"/>
      <c r="B19" s="67"/>
      <c r="C19" s="67"/>
      <c r="D19" s="67"/>
      <c r="E19" s="67" t="s">
        <v>304</v>
      </c>
      <c r="F19" s="73"/>
      <c r="G19" s="349">
        <f t="shared" si="3"/>
        <v>6.0538764963043487E-2</v>
      </c>
      <c r="H19" s="366">
        <v>0.24609254050017679</v>
      </c>
      <c r="I19" s="67"/>
      <c r="J19" s="140">
        <f>SUM(L19:W19)</f>
        <v>301.48304951595662</v>
      </c>
      <c r="K19" s="140"/>
      <c r="L19" s="140">
        <f t="shared" si="2"/>
        <v>22.097981064340058</v>
      </c>
      <c r="M19" s="140">
        <f t="shared" si="2"/>
        <v>21.093279721013388</v>
      </c>
      <c r="N19" s="140">
        <f t="shared" si="2"/>
        <v>29.992623463616695</v>
      </c>
      <c r="O19" s="140">
        <f t="shared" si="2"/>
        <v>33.345405560305949</v>
      </c>
      <c r="P19" s="140">
        <f t="shared" si="2"/>
        <v>38.771446632931571</v>
      </c>
      <c r="Q19" s="140">
        <f t="shared" si="2"/>
        <v>26.600719190068499</v>
      </c>
      <c r="R19" s="140">
        <f t="shared" si="2"/>
        <v>12.992914096857577</v>
      </c>
      <c r="S19" s="140">
        <f t="shared" si="2"/>
        <v>17.37735424476837</v>
      </c>
      <c r="T19" s="140">
        <f t="shared" si="2"/>
        <v>21.975669521845532</v>
      </c>
      <c r="U19" s="140">
        <f t="shared" si="2"/>
        <v>23.76687372861397</v>
      </c>
      <c r="V19" s="140">
        <f t="shared" si="2"/>
        <v>28.873142437461286</v>
      </c>
      <c r="W19" s="140">
        <f t="shared" si="2"/>
        <v>24.595639854133687</v>
      </c>
    </row>
    <row r="20" spans="1:23">
      <c r="A20" s="67"/>
      <c r="B20" s="67"/>
      <c r="C20" s="67"/>
      <c r="D20" s="67"/>
      <c r="E20" s="67"/>
      <c r="F20" s="73"/>
      <c r="G20" s="349"/>
      <c r="H20" s="366"/>
      <c r="I20" s="67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</row>
    <row r="21" spans="1:23">
      <c r="C21" s="299" t="s">
        <v>890</v>
      </c>
      <c r="D21" s="299"/>
      <c r="E21" s="300"/>
      <c r="F21" s="301"/>
      <c r="G21" s="367"/>
      <c r="H21" s="368"/>
    </row>
    <row r="22" spans="1:23">
      <c r="C22" s="292" t="s">
        <v>242</v>
      </c>
      <c r="D22" s="292"/>
      <c r="E22" s="293"/>
      <c r="F22" s="294" t="s">
        <v>888</v>
      </c>
      <c r="G22" s="369"/>
      <c r="H22" s="370"/>
      <c r="I22" s="67"/>
      <c r="J22" s="291">
        <f>SUM(L22:W22)</f>
        <v>13940.16724098751</v>
      </c>
      <c r="K22" s="290"/>
      <c r="L22" s="291">
        <f t="shared" ref="L22:W22" si="4">SUM(L23,L32,L38,L28)</f>
        <v>1096.5403279999998</v>
      </c>
      <c r="M22" s="291">
        <f t="shared" si="4"/>
        <v>664.95960999999988</v>
      </c>
      <c r="N22" s="291">
        <f t="shared" si="4"/>
        <v>1008.2572700000001</v>
      </c>
      <c r="O22" s="291">
        <f t="shared" si="4"/>
        <v>976.040751</v>
      </c>
      <c r="P22" s="291">
        <f t="shared" si="4"/>
        <v>1216.0061830000002</v>
      </c>
      <c r="Q22" s="291">
        <f t="shared" si="4"/>
        <v>1239.1175712290683</v>
      </c>
      <c r="R22" s="291">
        <f t="shared" si="4"/>
        <v>791.84389242636723</v>
      </c>
      <c r="S22" s="291">
        <f t="shared" si="4"/>
        <v>1045.5994002616026</v>
      </c>
      <c r="T22" s="291">
        <f t="shared" si="4"/>
        <v>1311.1130078692877</v>
      </c>
      <c r="U22" s="291">
        <f t="shared" si="4"/>
        <v>1412.6212340885613</v>
      </c>
      <c r="V22" s="291">
        <f t="shared" si="4"/>
        <v>1714.9618192808164</v>
      </c>
      <c r="W22" s="291">
        <f t="shared" si="4"/>
        <v>1463.1061738318062</v>
      </c>
    </row>
    <row r="23" spans="1:23">
      <c r="C23" s="67"/>
      <c r="D23" s="274" t="s">
        <v>136</v>
      </c>
      <c r="E23" s="274"/>
      <c r="F23" s="275"/>
      <c r="G23" s="364"/>
      <c r="H23" s="365"/>
      <c r="I23" s="67"/>
      <c r="J23" s="276">
        <f>SUM(L23:W23)</f>
        <v>5910.0842706766953</v>
      </c>
      <c r="K23" s="290"/>
      <c r="L23" s="276">
        <f t="shared" ref="L23:W23" si="5">SUM(L24:L26)</f>
        <v>480.04285199999998</v>
      </c>
      <c r="M23" s="276">
        <f t="shared" si="5"/>
        <v>245.88414399999999</v>
      </c>
      <c r="N23" s="276">
        <f t="shared" si="5"/>
        <v>682.32837300000006</v>
      </c>
      <c r="O23" s="276">
        <f t="shared" si="5"/>
        <v>335.50737900000001</v>
      </c>
      <c r="P23" s="276">
        <f t="shared" si="5"/>
        <v>531.806378</v>
      </c>
      <c r="Q23" s="276">
        <f t="shared" si="5"/>
        <v>369.44428500000004</v>
      </c>
      <c r="R23" s="276">
        <f t="shared" si="5"/>
        <v>327.38280127973462</v>
      </c>
      <c r="S23" s="276">
        <f t="shared" si="5"/>
        <v>437.85765603256692</v>
      </c>
      <c r="T23" s="276">
        <f t="shared" si="5"/>
        <v>553.72152809041529</v>
      </c>
      <c r="U23" s="276">
        <f t="shared" si="5"/>
        <v>598.85454801992626</v>
      </c>
      <c r="V23" s="276">
        <f t="shared" si="5"/>
        <v>727.51733617718821</v>
      </c>
      <c r="W23" s="276">
        <f t="shared" si="5"/>
        <v>619.73699007686378</v>
      </c>
    </row>
    <row r="24" spans="1:23">
      <c r="C24" s="67"/>
      <c r="D24" s="67"/>
      <c r="E24" s="67" t="s">
        <v>223</v>
      </c>
      <c r="F24" s="73"/>
      <c r="G24" s="349"/>
      <c r="J24" s="140">
        <f t="shared" ref="J24:J26" si="6">SUM(L24:W24)</f>
        <v>3948.3536842105304</v>
      </c>
      <c r="K24" s="140"/>
      <c r="L24" s="40">
        <f>'测算-高个子抖音'!I$8</f>
        <v>412.736088</v>
      </c>
      <c r="M24" s="40">
        <f>'测算-高个子抖音'!J$8</f>
        <v>236.30884399999999</v>
      </c>
      <c r="N24" s="40">
        <f>'测算-高个子抖音'!K$8</f>
        <v>480.96784500000001</v>
      </c>
      <c r="O24" s="40">
        <f>'测算-高个子抖音'!L$8</f>
        <v>290.197382</v>
      </c>
      <c r="P24" s="40">
        <f>'测算-高个子抖音'!M$8</f>
        <v>383.28089</v>
      </c>
      <c r="Q24" s="40">
        <f>'测算-高个子抖音'!N$8</f>
        <v>271.526498</v>
      </c>
      <c r="R24" s="289">
        <f>'测算-高个子抖音'!O$8</f>
        <v>187.83605584574326</v>
      </c>
      <c r="S24" s="289">
        <f>'测算-高个子抖音'!P$8</f>
        <v>251.22106234512992</v>
      </c>
      <c r="T24" s="289">
        <f>'测算-高个子抖音'!Q$8</f>
        <v>317.6980203810719</v>
      </c>
      <c r="U24" s="289">
        <f>'测算-高个子抖音'!R$8</f>
        <v>343.59311449972392</v>
      </c>
      <c r="V24" s="289">
        <f>'测算-高个子抖音'!S$8</f>
        <v>417.41345743498516</v>
      </c>
      <c r="W24" s="289">
        <f>'测算-高个子抖音'!T$8</f>
        <v>355.5744267038761</v>
      </c>
    </row>
    <row r="25" spans="1:23">
      <c r="C25" s="67"/>
      <c r="D25" s="67"/>
      <c r="E25" s="67" t="s">
        <v>224</v>
      </c>
      <c r="F25" s="73"/>
      <c r="G25" s="349"/>
      <c r="J25" s="140">
        <f t="shared" si="6"/>
        <v>705.06315789473706</v>
      </c>
      <c r="K25" s="140"/>
      <c r="L25" s="40">
        <f>'测算-高个子视频号'!I$8</f>
        <v>15.6332</v>
      </c>
      <c r="M25" s="40">
        <f>'测算-高个子视频号'!J$8</f>
        <v>5.3376999999999999</v>
      </c>
      <c r="N25" s="40">
        <f>'测算-高个子视频号'!K$8</f>
        <v>11.328250000000001</v>
      </c>
      <c r="O25" s="40">
        <f>'测算-高个子视频号'!L$8</f>
        <v>7.4995000000000003</v>
      </c>
      <c r="P25" s="40">
        <f>'测算-高个子视频号'!M$8</f>
        <v>67.386525000000006</v>
      </c>
      <c r="Q25" s="40">
        <f>'测算-高个子视频号'!N$8</f>
        <v>70.535852000000006</v>
      </c>
      <c r="R25" s="289">
        <f>'测算-高个子视频号'!O$8</f>
        <v>52.875650013377793</v>
      </c>
      <c r="S25" s="289">
        <f>'测算-高个子视频号'!P$8</f>
        <v>70.718461952048486</v>
      </c>
      <c r="T25" s="289">
        <f>'测算-高个子视频号'!Q$8</f>
        <v>89.431654960898243</v>
      </c>
      <c r="U25" s="289">
        <f>'测算-高个子视频号'!R$8</f>
        <v>96.721096423647879</v>
      </c>
      <c r="V25" s="289">
        <f>'测算-高个子视频号'!S$8</f>
        <v>117.5014444741729</v>
      </c>
      <c r="W25" s="289">
        <f>'测算-高个子视频号'!T$8</f>
        <v>100.0938230705917</v>
      </c>
    </row>
    <row r="26" spans="1:23">
      <c r="C26" s="67"/>
      <c r="D26" s="67"/>
      <c r="E26" s="67" t="s">
        <v>298</v>
      </c>
      <c r="F26" s="73"/>
      <c r="G26" s="349"/>
      <c r="J26" s="140">
        <f t="shared" si="6"/>
        <v>1256.6674285714278</v>
      </c>
      <c r="K26" s="140"/>
      <c r="L26" s="40">
        <f>'测算-达播'!I$8</f>
        <v>51.673563999999999</v>
      </c>
      <c r="M26" s="40">
        <f>'测算-达播'!J$8</f>
        <v>4.2375999999999996</v>
      </c>
      <c r="N26" s="40">
        <f>'测算-达播'!K$8</f>
        <v>190.03227799999999</v>
      </c>
      <c r="O26" s="40">
        <f>'测算-达播'!L$8</f>
        <v>37.810496999999998</v>
      </c>
      <c r="P26" s="40">
        <f>'测算-达播'!M$8</f>
        <v>81.138963000000004</v>
      </c>
      <c r="Q26" s="40">
        <f>'测算-达播'!N$8</f>
        <v>27.381934999999999</v>
      </c>
      <c r="R26" s="289">
        <f>'测算-达播'!O$8</f>
        <v>86.67109542061354</v>
      </c>
      <c r="S26" s="289">
        <f>'测算-达播'!P$8</f>
        <v>115.9181317353885</v>
      </c>
      <c r="T26" s="289">
        <f>'测算-达播'!Q$8</f>
        <v>146.59185274844512</v>
      </c>
      <c r="U26" s="289">
        <f>'测算-达播'!R$8</f>
        <v>158.54033709655445</v>
      </c>
      <c r="V26" s="289">
        <f>'测算-达播'!S$8</f>
        <v>192.60243426803015</v>
      </c>
      <c r="W26" s="289">
        <f>'测算-达播'!T$8</f>
        <v>164.06874030239601</v>
      </c>
    </row>
    <row r="27" spans="1:23">
      <c r="C27" s="67"/>
      <c r="D27" s="67"/>
      <c r="E27" s="42"/>
      <c r="F27" s="73"/>
      <c r="G27" s="349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</row>
    <row r="28" spans="1:23">
      <c r="C28" s="67"/>
      <c r="D28" s="274" t="s">
        <v>905</v>
      </c>
      <c r="E28" s="274"/>
      <c r="F28" s="275"/>
      <c r="G28" s="364"/>
      <c r="H28" s="365"/>
      <c r="I28" s="67"/>
      <c r="J28" s="276">
        <f>SUM(L28:W28)</f>
        <v>315.10419100000001</v>
      </c>
      <c r="K28" s="290"/>
      <c r="L28" s="276">
        <f>SUM(L29:L30)</f>
        <v>24.7803</v>
      </c>
      <c r="M28" s="276">
        <f t="shared" ref="M28:W28" si="7">SUM(M29:M30)</f>
        <v>7.8601000000000001</v>
      </c>
      <c r="N28" s="276">
        <f t="shared" si="7"/>
        <v>26.021881</v>
      </c>
      <c r="O28" s="276">
        <f t="shared" si="7"/>
        <v>17.22148</v>
      </c>
      <c r="P28" s="276">
        <f t="shared" si="7"/>
        <v>18.578579999999999</v>
      </c>
      <c r="Q28" s="276">
        <f t="shared" si="7"/>
        <v>20.101900000000001</v>
      </c>
      <c r="R28" s="276">
        <f t="shared" si="7"/>
        <v>35.9514</v>
      </c>
      <c r="S28" s="276">
        <f t="shared" si="7"/>
        <v>34.632075</v>
      </c>
      <c r="T28" s="276">
        <f t="shared" si="7"/>
        <v>32.628174999999999</v>
      </c>
      <c r="U28" s="276">
        <f t="shared" si="7"/>
        <v>29.928999999999998</v>
      </c>
      <c r="V28" s="276">
        <f t="shared" si="7"/>
        <v>35.200724999999998</v>
      </c>
      <c r="W28" s="276">
        <f t="shared" si="7"/>
        <v>32.198574999999998</v>
      </c>
    </row>
    <row r="29" spans="1:23">
      <c r="C29" s="67"/>
      <c r="D29" s="102"/>
      <c r="E29" s="67" t="s">
        <v>904</v>
      </c>
      <c r="F29" s="73"/>
      <c r="G29" s="352"/>
      <c r="H29" s="366"/>
      <c r="I29" s="67"/>
      <c r="J29" s="140">
        <f t="shared" ref="J29" si="8">SUM(L29:W29)</f>
        <v>0</v>
      </c>
      <c r="K29" s="140"/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0</v>
      </c>
      <c r="R29" s="289">
        <v>0</v>
      </c>
      <c r="S29" s="289">
        <v>0</v>
      </c>
      <c r="T29" s="289">
        <v>0</v>
      </c>
      <c r="U29" s="289">
        <v>0</v>
      </c>
      <c r="V29" s="289">
        <v>0</v>
      </c>
      <c r="W29" s="289">
        <v>0</v>
      </c>
    </row>
    <row r="30" spans="1:23">
      <c r="C30" s="67"/>
      <c r="D30" s="67"/>
      <c r="E30" s="67" t="s">
        <v>903</v>
      </c>
      <c r="F30" s="73"/>
      <c r="G30" s="349"/>
      <c r="J30" s="140">
        <f t="shared" ref="J30" si="9">SUM(L30:W30)</f>
        <v>315.10419100000001</v>
      </c>
      <c r="K30" s="140"/>
      <c r="L30" s="40">
        <f>'测算-私域'!I$8</f>
        <v>24.7803</v>
      </c>
      <c r="M30" s="40">
        <f>'测算-私域'!J$8</f>
        <v>7.8601000000000001</v>
      </c>
      <c r="N30" s="40">
        <f>'测算-私域'!K$8</f>
        <v>26.021881</v>
      </c>
      <c r="O30" s="40">
        <f>'测算-私域'!L$8</f>
        <v>17.22148</v>
      </c>
      <c r="P30" s="40">
        <f>'测算-私域'!M$8</f>
        <v>18.578579999999999</v>
      </c>
      <c r="Q30" s="40">
        <f>'测算-私域'!N$8</f>
        <v>20.101900000000001</v>
      </c>
      <c r="R30" s="289">
        <f>'测算-私域'!O$8</f>
        <v>35.9514</v>
      </c>
      <c r="S30" s="289">
        <f>'测算-私域'!P$8</f>
        <v>34.632075</v>
      </c>
      <c r="T30" s="289">
        <f>'测算-私域'!Q$8</f>
        <v>32.628174999999999</v>
      </c>
      <c r="U30" s="289">
        <f>'测算-私域'!R$8</f>
        <v>29.928999999999998</v>
      </c>
      <c r="V30" s="289">
        <f>'测算-私域'!S$8</f>
        <v>35.200724999999998</v>
      </c>
      <c r="W30" s="289">
        <f>'测算-私域'!T$8</f>
        <v>32.198574999999998</v>
      </c>
    </row>
    <row r="31" spans="1:23">
      <c r="C31" s="67"/>
      <c r="D31" s="67"/>
      <c r="E31" s="67"/>
      <c r="F31" s="73"/>
      <c r="G31" s="349"/>
      <c r="J31" s="140"/>
      <c r="K31" s="140"/>
      <c r="L31" s="40"/>
      <c r="M31" s="40"/>
      <c r="N31" s="40"/>
      <c r="O31" s="40"/>
      <c r="P31" s="40"/>
      <c r="Q31" s="40"/>
      <c r="R31" s="289"/>
      <c r="S31" s="289"/>
      <c r="T31" s="289"/>
      <c r="U31" s="289"/>
      <c r="V31" s="289"/>
      <c r="W31" s="289"/>
    </row>
    <row r="32" spans="1:23">
      <c r="C32" s="67"/>
      <c r="D32" s="274" t="s">
        <v>299</v>
      </c>
      <c r="E32" s="274"/>
      <c r="F32" s="275"/>
      <c r="G32" s="364"/>
      <c r="H32" s="365"/>
      <c r="I32" s="67"/>
      <c r="J32" s="276">
        <f>SUM(L32:W32)</f>
        <v>6300.8794736842165</v>
      </c>
      <c r="K32" s="290"/>
      <c r="L32" s="276">
        <f t="shared" ref="L32:W32" si="10">SUM(L33:L36)</f>
        <v>442.18784399999998</v>
      </c>
      <c r="M32" s="276">
        <f t="shared" si="10"/>
        <v>324.268528</v>
      </c>
      <c r="N32" s="276">
        <f t="shared" si="10"/>
        <v>96.71458100000001</v>
      </c>
      <c r="O32" s="276">
        <f t="shared" si="10"/>
        <v>492.74503999999996</v>
      </c>
      <c r="P32" s="276">
        <f t="shared" si="10"/>
        <v>498.49809599999998</v>
      </c>
      <c r="Q32" s="276">
        <f t="shared" si="10"/>
        <v>708.12915822906803</v>
      </c>
      <c r="R32" s="276">
        <f t="shared" si="10"/>
        <v>374.83627110732436</v>
      </c>
      <c r="S32" s="276">
        <f t="shared" si="10"/>
        <v>501.32423090485787</v>
      </c>
      <c r="T32" s="276">
        <f t="shared" si="10"/>
        <v>633.98233508275871</v>
      </c>
      <c r="U32" s="276">
        <f t="shared" si="10"/>
        <v>685.6572942683365</v>
      </c>
      <c r="V32" s="276">
        <f t="shared" si="10"/>
        <v>832.96949134960994</v>
      </c>
      <c r="W32" s="276">
        <f t="shared" si="10"/>
        <v>709.56660374226033</v>
      </c>
    </row>
    <row r="33" spans="3:23">
      <c r="C33" s="67"/>
      <c r="D33" s="67"/>
      <c r="E33" s="67" t="s">
        <v>153</v>
      </c>
      <c r="F33" s="73"/>
      <c r="G33" s="349"/>
      <c r="J33" s="140">
        <f t="shared" ref="J33:J36" si="11">SUM(L33:W33)</f>
        <v>5504.2105263157946</v>
      </c>
      <c r="K33" s="140"/>
      <c r="L33" s="40">
        <f>'测算-京东自营'!I$8</f>
        <v>400.66293999999999</v>
      </c>
      <c r="M33" s="40">
        <f>'测算-京东自营'!J$8</f>
        <v>301.16879999999998</v>
      </c>
      <c r="N33" s="40">
        <f>'测算-京东自营'!K$8</f>
        <v>40.522410000000001</v>
      </c>
      <c r="O33" s="40">
        <f>'测算-京东自营'!L$8</f>
        <v>438.91120999999998</v>
      </c>
      <c r="P33" s="40">
        <f>'测算-京东自营'!M$8</f>
        <v>446.22897</v>
      </c>
      <c r="Q33" s="40">
        <f>'测算-京东自营'!N$8</f>
        <v>660.27603822906804</v>
      </c>
      <c r="R33" s="289">
        <f>'测算-京东自营'!O$8</f>
        <v>322.50668801942413</v>
      </c>
      <c r="S33" s="289">
        <f>'测算-京东自营'!P$8</f>
        <v>431.33610537577317</v>
      </c>
      <c r="T33" s="289">
        <f>'测算-京东自营'!Q$8</f>
        <v>545.47427479828536</v>
      </c>
      <c r="U33" s="289">
        <f>'测算-京东自营'!R$8</f>
        <v>589.93507335240372</v>
      </c>
      <c r="V33" s="289">
        <f>'测算-京东自营'!S$8</f>
        <v>716.68152893205388</v>
      </c>
      <c r="W33" s="289">
        <f>'测算-京东自营'!T$8</f>
        <v>610.50648760878653</v>
      </c>
    </row>
    <row r="34" spans="3:23">
      <c r="C34" s="67"/>
      <c r="D34" s="67"/>
      <c r="E34" s="67" t="s">
        <v>517</v>
      </c>
      <c r="F34" s="73"/>
      <c r="G34" s="349"/>
      <c r="J34" s="140">
        <f t="shared" si="11"/>
        <v>352.53157894736842</v>
      </c>
      <c r="K34" s="140"/>
      <c r="L34" s="40">
        <f>'测算-京东POP'!I$8</f>
        <v>13.6692</v>
      </c>
      <c r="M34" s="40">
        <f>'测算-京东POP'!J$8</f>
        <v>8.5720729999999996</v>
      </c>
      <c r="N34" s="40">
        <f>'测算-京东POP'!K$8</f>
        <v>23.263656000000001</v>
      </c>
      <c r="O34" s="40">
        <f>'测算-京东POP'!L$8</f>
        <v>19.4663</v>
      </c>
      <c r="P34" s="40">
        <f>'测算-京东POP'!M$8</f>
        <v>19.221454999999999</v>
      </c>
      <c r="Q34" s="40">
        <f>'测算-京东POP'!N$8</f>
        <v>16.670736999999999</v>
      </c>
      <c r="R34" s="289">
        <f>'测算-京东POP'!O$8</f>
        <v>25.234314991215399</v>
      </c>
      <c r="S34" s="289">
        <f>'测算-京东POP'!P$8</f>
        <v>33.749598239279855</v>
      </c>
      <c r="T34" s="289">
        <f>'测算-京东POP'!Q$8</f>
        <v>42.680261157981604</v>
      </c>
      <c r="U34" s="289">
        <f>'测算-京东POP'!R$8</f>
        <v>46.159065899568915</v>
      </c>
      <c r="V34" s="289">
        <f>'测算-京东POP'!S$8</f>
        <v>56.076255536034225</v>
      </c>
      <c r="W34" s="289">
        <f>'测算-京东POP'!T$8</f>
        <v>47.768662123288401</v>
      </c>
    </row>
    <row r="35" spans="3:23">
      <c r="C35" s="67"/>
      <c r="D35" s="67"/>
      <c r="E35" s="67" t="s">
        <v>728</v>
      </c>
      <c r="F35" s="73"/>
      <c r="G35" s="349"/>
      <c r="J35" s="140">
        <f t="shared" si="11"/>
        <v>408.88421052631566</v>
      </c>
      <c r="K35" s="140"/>
      <c r="L35" s="40">
        <f>'测算-天猫淘宝'!I$8</f>
        <v>27.701167999999999</v>
      </c>
      <c r="M35" s="40">
        <f>'测算-天猫淘宝'!J$8</f>
        <v>14.251385999999998</v>
      </c>
      <c r="N35" s="40">
        <f>'测算-天猫淘宝'!K$8</f>
        <v>32.562117000000001</v>
      </c>
      <c r="O35" s="40">
        <f>'测算-天猫淘宝'!L$8</f>
        <v>34.249648999999998</v>
      </c>
      <c r="P35" s="40">
        <f>'测算-天猫淘宝'!M$8</f>
        <v>32.596449999999997</v>
      </c>
      <c r="Q35" s="40">
        <f>'测算-天猫淘宝'!N$8</f>
        <v>26.272108000000003</v>
      </c>
      <c r="R35" s="289">
        <f>'测算-天猫淘宝'!O$8</f>
        <v>24.189838582172356</v>
      </c>
      <c r="S35" s="289">
        <f>'测算-天猫淘宝'!P$8</f>
        <v>32.35266477039513</v>
      </c>
      <c r="T35" s="289">
        <f>'测算-天猫淘宝'!Q$8</f>
        <v>40.913677601945835</v>
      </c>
      <c r="U35" s="289">
        <f>'测算-天猫淘宝'!R$8</f>
        <v>44.248490739817342</v>
      </c>
      <c r="V35" s="289">
        <f>'测算-天猫淘宝'!S$8</f>
        <v>53.755196849271904</v>
      </c>
      <c r="W35" s="289">
        <f>'测算-天猫淘宝'!T$8</f>
        <v>45.791463982713104</v>
      </c>
    </row>
    <row r="36" spans="3:23">
      <c r="C36" s="67"/>
      <c r="D36" s="67"/>
      <c r="E36" s="67" t="s">
        <v>227</v>
      </c>
      <c r="F36" s="73"/>
      <c r="G36" s="349"/>
      <c r="J36" s="140">
        <f t="shared" si="11"/>
        <v>35.25315789473683</v>
      </c>
      <c r="K36" s="140"/>
      <c r="L36" s="40">
        <f>'测算-拼多多'!I$8</f>
        <v>0.15453599999999998</v>
      </c>
      <c r="M36" s="40">
        <f>'测算-拼多多'!J$8</f>
        <v>0.27626899999999999</v>
      </c>
      <c r="N36" s="40">
        <f>'测算-拼多多'!K$8</f>
        <v>0.366398</v>
      </c>
      <c r="O36" s="40">
        <f>'测算-拼多多'!L$8</f>
        <v>0.117881</v>
      </c>
      <c r="P36" s="40">
        <f>'测算-拼多多'!M$8</f>
        <v>0.45122099999999998</v>
      </c>
      <c r="Q36" s="40">
        <f>'测算-拼多多'!N$8</f>
        <v>4.9102750000000004</v>
      </c>
      <c r="R36" s="289">
        <f>'测算-拼多多'!O$8</f>
        <v>2.9054295145125022</v>
      </c>
      <c r="S36" s="289">
        <f>'测算-拼多多'!P$8</f>
        <v>3.8858625194097254</v>
      </c>
      <c r="T36" s="289">
        <f>'测算-拼多多'!Q$8</f>
        <v>4.9141215245458358</v>
      </c>
      <c r="U36" s="289">
        <f>'测算-拼多多'!R$8</f>
        <v>5.3146642765465328</v>
      </c>
      <c r="V36" s="289">
        <f>'测算-拼多多'!S$8</f>
        <v>6.4565100322500051</v>
      </c>
      <c r="W36" s="289">
        <f>'测算-拼多多'!T$8</f>
        <v>5.4999900274722275</v>
      </c>
    </row>
    <row r="37" spans="3:23">
      <c r="C37" s="67"/>
      <c r="D37" s="67"/>
      <c r="E37" s="42"/>
      <c r="F37" s="73"/>
      <c r="G37" s="349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</row>
    <row r="38" spans="3:23">
      <c r="C38" s="67"/>
      <c r="D38" s="274" t="s">
        <v>300</v>
      </c>
      <c r="E38" s="274"/>
      <c r="F38" s="275"/>
      <c r="G38" s="373" t="s">
        <v>914</v>
      </c>
      <c r="H38" s="373" t="s">
        <v>915</v>
      </c>
      <c r="I38" s="67"/>
      <c r="J38" s="276">
        <f>SUM(L38:W38)</f>
        <v>1414.0993056265984</v>
      </c>
      <c r="K38" s="290"/>
      <c r="L38" s="276">
        <f>SUM(L39:L46)</f>
        <v>149.52933199999998</v>
      </c>
      <c r="M38" s="276">
        <f t="shared" ref="M38:P38" si="12">SUM(M39:M46)</f>
        <v>86.946838</v>
      </c>
      <c r="N38" s="276">
        <f t="shared" si="12"/>
        <v>203.19243500000005</v>
      </c>
      <c r="O38" s="276">
        <f t="shared" si="12"/>
        <v>130.56685200000001</v>
      </c>
      <c r="P38" s="276">
        <f t="shared" si="12"/>
        <v>167.12312899999998</v>
      </c>
      <c r="Q38" s="276">
        <f>SUM(Q39:Q46)</f>
        <v>141.442228</v>
      </c>
      <c r="R38" s="276">
        <f>'测算-外部分销'!O9</f>
        <v>53.673420039308191</v>
      </c>
      <c r="S38" s="276">
        <f>'测算-外部分销'!P9</f>
        <v>71.785438324177633</v>
      </c>
      <c r="T38" s="276">
        <f>'测算-外部分销'!Q9</f>
        <v>90.780969696113843</v>
      </c>
      <c r="U38" s="276">
        <f>'测算-外部分销'!R9</f>
        <v>98.180391800298352</v>
      </c>
      <c r="V38" s="276">
        <f>'测算-外部分销'!S9</f>
        <v>119.27426675401821</v>
      </c>
      <c r="W38" s="276">
        <f>'测算-外部分销'!T9</f>
        <v>101.60400501268217</v>
      </c>
    </row>
    <row r="39" spans="3:23">
      <c r="E39" s="67" t="s">
        <v>906</v>
      </c>
      <c r="G39" s="349">
        <v>0</v>
      </c>
      <c r="H39" s="349">
        <f t="shared" ref="H39:H46" si="13">SUM($L39:$Q39)/SUM($L$38:$Q$38)</f>
        <v>2.2205213842689956E-3</v>
      </c>
      <c r="J39" s="140">
        <f t="shared" ref="J39:J46" si="14">SUM(L39:W39)</f>
        <v>1.9513960000000001</v>
      </c>
      <c r="L39" s="40">
        <f>IF(COUNTIFS('参考值-平台费用率分析'!$B$6:$B$532,"分销-古手羽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古手羽",'参考值-平台费用率分析'!$C$6:$C$532,"主营业务收入",'参考值-平台费用率分析'!$E$6:$E$532,"主营业务收入")/10000)</f>
        <v>0</v>
      </c>
      <c r="M39" s="40">
        <f>IF(COUNTIFS('参考值-平台费用率分析'!$B$6:$B$532,"分销-古手羽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古手羽",'参考值-平台费用率分析'!$C$6:$C$532,"主营业务收入",'参考值-平台费用率分析'!$E$6:$E$532,"主营业务收入")/10000)</f>
        <v>0</v>
      </c>
      <c r="N39" s="40">
        <f>IF(COUNTIFS('参考值-平台费用率分析'!$B$6:$B$532,"分销-古手羽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古手羽",'参考值-平台费用率分析'!$C$6:$C$532,"主营业务收入",'参考值-平台费用率分析'!$E$6:$E$532,"主营业务收入")/10000)</f>
        <v>0</v>
      </c>
      <c r="O39" s="40">
        <f>IF(COUNTIFS('参考值-平台费用率分析'!$B$6:$B$532,"分销-古手羽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古手羽",'参考值-平台费用率分析'!$C$6:$C$532,"主营业务收入",'参考值-平台费用率分析'!$E$6:$E$532,"主营业务收入")/10000)</f>
        <v>0</v>
      </c>
      <c r="P39" s="40">
        <f>IF(COUNTIFS('参考值-平台费用率分析'!$B$6:$B$532,"分销-古手羽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古手羽",'参考值-平台费用率分析'!$C$6:$C$532,"主营业务收入",'参考值-平台费用率分析'!$E$6:$E$532,"主营业务收入")/10000)</f>
        <v>5.365E-3</v>
      </c>
      <c r="Q39" s="40">
        <f>IF(COUNTIFS('参考值-平台费用率分析'!$B$6:$B$532,"分销-古手羽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古手羽",'参考值-平台费用率分析'!$C$6:$C$532,"主营业务收入",'参考值-平台费用率分析'!$E$6:$E$532,"主营业务收入")/10000)</f>
        <v>1.9460310000000001</v>
      </c>
      <c r="R39" s="359">
        <f t="shared" ref="R39:W46" si="15">R$38*$G39</f>
        <v>0</v>
      </c>
      <c r="S39" s="359">
        <f t="shared" si="15"/>
        <v>0</v>
      </c>
      <c r="T39" s="359">
        <f t="shared" si="15"/>
        <v>0</v>
      </c>
      <c r="U39" s="359">
        <f t="shared" si="15"/>
        <v>0</v>
      </c>
      <c r="V39" s="359">
        <f t="shared" si="15"/>
        <v>0</v>
      </c>
      <c r="W39" s="359">
        <f t="shared" si="15"/>
        <v>0</v>
      </c>
    </row>
    <row r="40" spans="3:23">
      <c r="E40" s="67" t="s">
        <v>907</v>
      </c>
      <c r="G40" s="349">
        <v>0.36399999999999999</v>
      </c>
      <c r="H40" s="349">
        <f t="shared" si="13"/>
        <v>0.26204711048435603</v>
      </c>
      <c r="J40" s="140">
        <f t="shared" si="14"/>
        <v>425.13586495208176</v>
      </c>
      <c r="L40" s="40">
        <f>IF(COUNTIFS('参考值-平台费用率分析'!$B$6:$B$532,"分销-乖巧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乖巧",'参考值-平台费用率分析'!$C$6:$C$532,"主营业务收入",'参考值-平台费用率分析'!$E$6:$E$532,"主营业务收入")/10000)</f>
        <v>36.883513999999998</v>
      </c>
      <c r="M40" s="40">
        <f>IF(COUNTIFS('参考值-平台费用率分析'!$B$6:$B$532,"分销-乖巧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乖巧",'参考值-平台费用率分析'!$C$6:$C$532,"主营业务收入",'参考值-平台费用率分析'!$E$6:$E$532,"主营业务收入")/10000)</f>
        <v>24.413</v>
      </c>
      <c r="N40" s="40">
        <f>IF(COUNTIFS('参考值-平台费用率分析'!$B$6:$B$532,"分销-乖巧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乖巧",'参考值-平台费用率分析'!$C$6:$C$532,"主营业务收入",'参考值-平台费用率分析'!$E$6:$E$532,"主营业务收入")/10000)</f>
        <v>70.810050000000004</v>
      </c>
      <c r="O40" s="40">
        <f>IF(COUNTIFS('参考值-平台费用率分析'!$B$6:$B$532,"分销-乖巧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乖巧",'参考值-平台费用率分析'!$C$6:$C$532,"主营业务收入",'参考值-平台费用率分析'!$E$6:$E$532,"主营业务收入")/10000)</f>
        <v>30.011700000000001</v>
      </c>
      <c r="P40" s="40">
        <f>IF(COUNTIFS('参考值-平台费用率分析'!$B$6:$B$532,"分销-乖巧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乖巧",'参考值-平台费用率分析'!$C$6:$C$532,"主营业务收入",'参考值-平台费用率分析'!$E$6:$E$532,"主营业务收入")/10000)</f>
        <v>43.134349999999998</v>
      </c>
      <c r="Q40" s="40">
        <f>IF(COUNTIFS('参考值-平台费用率分析'!$B$6:$B$532,"分销-乖巧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乖巧",'参考值-平台费用率分析'!$C$6:$C$532,"主营业务收入",'参考值-平台费用率分析'!$E$6:$E$532,"主营业务收入")/10000)</f>
        <v>25.034600000000001</v>
      </c>
      <c r="R40" s="359">
        <f t="shared" si="15"/>
        <v>19.537124894308182</v>
      </c>
      <c r="S40" s="359">
        <f t="shared" si="15"/>
        <v>26.129899550000658</v>
      </c>
      <c r="T40" s="359">
        <f t="shared" si="15"/>
        <v>33.044272969385439</v>
      </c>
      <c r="U40" s="359">
        <f t="shared" si="15"/>
        <v>35.737662615308601</v>
      </c>
      <c r="V40" s="359">
        <f t="shared" si="15"/>
        <v>43.415833098462628</v>
      </c>
      <c r="W40" s="359">
        <f t="shared" si="15"/>
        <v>36.983857824616308</v>
      </c>
    </row>
    <row r="41" spans="3:23">
      <c r="E41" s="67" t="s">
        <v>908</v>
      </c>
      <c r="G41" s="349">
        <v>0</v>
      </c>
      <c r="H41" s="349">
        <f t="shared" si="13"/>
        <v>1.0644732971310153E-2</v>
      </c>
      <c r="J41" s="140">
        <f t="shared" si="14"/>
        <v>9.3545999999999996</v>
      </c>
      <c r="L41" s="40">
        <f>IF(COUNTIFS('参考值-平台费用率分析'!$B$6:$B$532,"分销-杭州网创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杭州网创",'参考值-平台费用率分析'!$C$6:$C$532,"主营业务收入",'参考值-平台费用率分析'!$E$6:$E$532,"主营业务收入")/10000)</f>
        <v>9.3545999999999996</v>
      </c>
      <c r="M41" s="40">
        <f>IF(COUNTIFS('参考值-平台费用率分析'!$B$6:$B$532,"分销-杭州网创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杭州网创",'参考值-平台费用率分析'!$C$6:$C$532,"主营业务收入",'参考值-平台费用率分析'!$E$6:$E$532,"主营业务收入")/10000)</f>
        <v>0</v>
      </c>
      <c r="N41" s="40">
        <f>IF(COUNTIFS('参考值-平台费用率分析'!$B$6:$B$532,"分销-杭州网创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杭州网创",'参考值-平台费用率分析'!$C$6:$C$532,"主营业务收入",'参考值-平台费用率分析'!$E$6:$E$532,"主营业务收入")/10000)</f>
        <v>0</v>
      </c>
      <c r="O41" s="40">
        <f>IF(COUNTIFS('参考值-平台费用率分析'!$B$6:$B$532,"分销-杭州网创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杭州网创",'参考值-平台费用率分析'!$C$6:$C$532,"主营业务收入",'参考值-平台费用率分析'!$E$6:$E$532,"主营业务收入")/10000)</f>
        <v>0</v>
      </c>
      <c r="P41" s="40">
        <f>IF(COUNTIFS('参考值-平台费用率分析'!$B$6:$B$532,"分销-杭州网创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杭州网创",'参考值-平台费用率分析'!$C$6:$C$532,"主营业务收入",'参考值-平台费用率分析'!$E$6:$E$532,"主营业务收入")/10000)</f>
        <v>0</v>
      </c>
      <c r="Q41" s="40">
        <f>IF(COUNTIFS('参考值-平台费用率分析'!$B$6:$B$532,"分销-杭州网创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杭州网创",'参考值-平台费用率分析'!$C$6:$C$532,"主营业务收入",'参考值-平台费用率分析'!$E$6:$E$532,"主营业务收入")/10000)</f>
        <v>0</v>
      </c>
      <c r="R41" s="359">
        <f t="shared" si="15"/>
        <v>0</v>
      </c>
      <c r="S41" s="359">
        <f t="shared" si="15"/>
        <v>0</v>
      </c>
      <c r="T41" s="359">
        <f t="shared" si="15"/>
        <v>0</v>
      </c>
      <c r="U41" s="359">
        <f t="shared" si="15"/>
        <v>0</v>
      </c>
      <c r="V41" s="359">
        <f t="shared" si="15"/>
        <v>0</v>
      </c>
      <c r="W41" s="359">
        <f t="shared" si="15"/>
        <v>0</v>
      </c>
    </row>
    <row r="42" spans="3:23">
      <c r="E42" s="67" t="s">
        <v>909</v>
      </c>
      <c r="G42" s="349">
        <v>0</v>
      </c>
      <c r="H42" s="349">
        <f t="shared" si="13"/>
        <v>4.06711514493431E-2</v>
      </c>
      <c r="J42" s="140">
        <f t="shared" si="14"/>
        <v>35.741840999999994</v>
      </c>
      <c r="L42" s="40">
        <f>IF(COUNTIFS('参考值-平台费用率分析'!$B$6:$B$532,"分销-社群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社群",'参考值-平台费用率分析'!$C$6:$C$532,"主营业务收入",'参考值-平台费用率分析'!$E$6:$E$532,"主营业务收入")/10000)</f>
        <v>8.1361289999999986</v>
      </c>
      <c r="M42" s="40">
        <f>IF(COUNTIFS('参考值-平台费用率分析'!$B$6:$B$532,"分销-社群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社群",'参考值-平台费用率分析'!$C$6:$C$532,"主营业务收入",'参考值-平台费用率分析'!$E$6:$E$532,"主营业务收入")/10000)</f>
        <v>6.433306</v>
      </c>
      <c r="N42" s="40">
        <f>IF(COUNTIFS('参考值-平台费用率分析'!$B$6:$B$532,"分销-社群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社群",'参考值-平台费用率分析'!$C$6:$C$532,"主营业务收入",'参考值-平台费用率分析'!$E$6:$E$532,"主营业务收入")/10000)</f>
        <v>8.1600029999999997</v>
      </c>
      <c r="O42" s="40">
        <f>IF(COUNTIFS('参考值-平台费用率分析'!$B$6:$B$532,"分销-社群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社群",'参考值-平台费用率分析'!$C$6:$C$532,"主营业务收入",'参考值-平台费用率分析'!$E$6:$E$532,"主营业务收入")/10000)</f>
        <v>6.0070839999999999</v>
      </c>
      <c r="P42" s="40">
        <f>IF(COUNTIFS('参考值-平台费用率分析'!$B$6:$B$532,"分销-社群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社群",'参考值-平台费用率分析'!$C$6:$C$532,"主营业务收入",'参考值-平台费用率分析'!$E$6:$E$532,"主营业务收入")/10000)</f>
        <v>5.4218320000000002</v>
      </c>
      <c r="Q42" s="40">
        <f>IF(COUNTIFS('参考值-平台费用率分析'!$B$6:$B$532,"分销-社群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社群",'参考值-平台费用率分析'!$C$6:$C$532,"主营业务收入",'参考值-平台费用率分析'!$E$6:$E$532,"主营业务收入")/10000)</f>
        <v>1.5834870000000001</v>
      </c>
      <c r="R42" s="359">
        <f t="shared" si="15"/>
        <v>0</v>
      </c>
      <c r="S42" s="359">
        <f t="shared" si="15"/>
        <v>0</v>
      </c>
      <c r="T42" s="359">
        <f t="shared" si="15"/>
        <v>0</v>
      </c>
      <c r="U42" s="359">
        <f t="shared" si="15"/>
        <v>0</v>
      </c>
      <c r="V42" s="359">
        <f t="shared" si="15"/>
        <v>0</v>
      </c>
      <c r="W42" s="359">
        <f t="shared" si="15"/>
        <v>0</v>
      </c>
    </row>
    <row r="43" spans="3:23">
      <c r="E43" s="67" t="s">
        <v>910</v>
      </c>
      <c r="G43" s="349">
        <v>0.127</v>
      </c>
      <c r="H43" s="349">
        <f t="shared" si="13"/>
        <v>0.22687594369934208</v>
      </c>
      <c r="J43" s="140">
        <f t="shared" si="14"/>
        <v>267.36167243657798</v>
      </c>
      <c r="L43" s="40">
        <f>IF(COUNTIFS('参考值-平台费用率分析'!$B$6:$B$532,"分销-天猫超市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天猫超市",'参考值-平台费用率分析'!$C$6:$C$532,"主营业务收入",'参考值-平台费用率分析'!$E$6:$E$532,"主营业务收入")/10000)</f>
        <v>41.998800000000003</v>
      </c>
      <c r="M43" s="40">
        <f>IF(COUNTIFS('参考值-平台费用率分析'!$B$6:$B$532,"分销-天猫超市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天猫超市",'参考值-平台费用率分析'!$C$6:$C$532,"主营业务收入",'参考值-平台费用率分析'!$E$6:$E$532,"主营业务收入")/10000)</f>
        <v>13.589700000000001</v>
      </c>
      <c r="N43" s="40">
        <f>IF(COUNTIFS('参考值-平台费用率分析'!$B$6:$B$532,"分销-天猫超市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天猫超市",'参考值-平台费用率分析'!$C$6:$C$532,"主营业务收入",'参考值-平台费用率分析'!$E$6:$E$532,"主营业务收入")/10000)</f>
        <v>41.476799999999997</v>
      </c>
      <c r="O43" s="40">
        <f>IF(COUNTIFS('参考值-平台费用率分析'!$B$6:$B$532,"分销-天猫超市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天猫超市",'参考值-平台费用率分析'!$C$6:$C$532,"主营业务收入",'参考值-平台费用率分析'!$E$6:$E$532,"主营业务收入")/10000)</f>
        <v>26.746259999999996</v>
      </c>
      <c r="P43" s="40">
        <f>IF(COUNTIFS('参考值-平台费用率分析'!$B$6:$B$532,"分销-天猫超市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天猫超市",'参考值-平台费用率分析'!$C$6:$C$532,"主营业务收入",'参考值-平台费用率分析'!$E$6:$E$532,"主营业务收入")/10000)</f>
        <v>40.783704</v>
      </c>
      <c r="Q43" s="40">
        <f>IF(COUNTIFS('参考值-平台费用率分析'!$B$6:$B$532,"分销-天猫超市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天猫超市",'参考值-平台费用率分析'!$C$6:$C$532,"主营业务收入",'参考值-平台费用率分析'!$E$6:$E$532,"主营业务收入")/10000)</f>
        <v>34.783499999999997</v>
      </c>
      <c r="R43" s="359">
        <f t="shared" si="15"/>
        <v>6.81652434499214</v>
      </c>
      <c r="S43" s="359">
        <f t="shared" si="15"/>
        <v>9.1167506671705603</v>
      </c>
      <c r="T43" s="359">
        <f t="shared" si="15"/>
        <v>11.529183151406459</v>
      </c>
      <c r="U43" s="359">
        <f t="shared" si="15"/>
        <v>12.46890975863789</v>
      </c>
      <c r="V43" s="359">
        <f t="shared" si="15"/>
        <v>15.147831877760314</v>
      </c>
      <c r="W43" s="359">
        <f t="shared" si="15"/>
        <v>12.903708636610634</v>
      </c>
    </row>
    <row r="44" spans="3:23">
      <c r="E44" s="67" t="s">
        <v>911</v>
      </c>
      <c r="G44" s="349">
        <v>0.48799999999999999</v>
      </c>
      <c r="H44" s="349">
        <f t="shared" si="13"/>
        <v>0.41181024782255155</v>
      </c>
      <c r="J44" s="140">
        <f t="shared" si="14"/>
        <v>623.12484491378007</v>
      </c>
      <c r="L44" s="40">
        <f>IF(COUNTIFS('参考值-平台费用率分析'!$B$6:$B$532,"分销-武汉一八八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武汉一八八",'参考值-平台费用率分析'!$C$6:$C$532,"主营业务收入",'参考值-平台费用率分析'!$E$6:$E$532,"主营业务收入")/10000)</f>
        <v>47.849629</v>
      </c>
      <c r="M44" s="40">
        <f>IF(COUNTIFS('参考值-平台费用率分析'!$B$6:$B$532,"分销-武汉一八八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武汉一八八",'参考值-平台费用率分析'!$C$6:$C$532,"主营业务收入",'参考值-平台费用率分析'!$E$6:$E$532,"主营业务收入")/10000)</f>
        <v>36.974940000000004</v>
      </c>
      <c r="N44" s="40">
        <f>IF(COUNTIFS('参考值-平台费用率分析'!$B$6:$B$532,"分销-武汉一八八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武汉一八八",'参考值-平台费用率分析'!$C$6:$C$532,"主营业务收入",'参考值-平台费用率分析'!$E$6:$E$532,"主营业务收入")/10000)</f>
        <v>65.339454000000003</v>
      </c>
      <c r="O44" s="40">
        <f>IF(COUNTIFS('参考值-平台费用率分析'!$B$6:$B$532,"分销-武汉一八八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武汉一八八",'参考值-平台费用率分析'!$C$6:$C$532,"主营业务收入",'参考值-平台费用率分析'!$E$6:$E$532,"主营业务收入")/10000)</f>
        <v>62.073050000000002</v>
      </c>
      <c r="P44" s="40">
        <f>IF(COUNTIFS('参考值-平台费用率分析'!$B$6:$B$532,"分销-武汉一八八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武汉一八八",'参考值-平台费用率分析'!$C$6:$C$532,"主营业务收入",'参考值-平台费用率分析'!$E$6:$E$532,"主营业务收入")/10000)</f>
        <v>73.082044999999994</v>
      </c>
      <c r="Q44" s="40">
        <f>IF(COUNTIFS('参考值-平台费用率分析'!$B$6:$B$532,"分销-武汉一八八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武汉一八八",'参考值-平台费用率分析'!$C$6:$C$532,"主营业务收入",'参考值-平台费用率分析'!$E$6:$E$532,"主营业务收入")/10000)</f>
        <v>76.580062999999996</v>
      </c>
      <c r="R44" s="359">
        <f t="shared" si="15"/>
        <v>26.192628979182395</v>
      </c>
      <c r="S44" s="359">
        <f t="shared" si="15"/>
        <v>35.031293902198684</v>
      </c>
      <c r="T44" s="359">
        <f t="shared" si="15"/>
        <v>44.301113211703552</v>
      </c>
      <c r="U44" s="359">
        <f t="shared" si="15"/>
        <v>47.912031198545591</v>
      </c>
      <c r="V44" s="359">
        <f t="shared" si="15"/>
        <v>58.205842175960889</v>
      </c>
      <c r="W44" s="359">
        <f t="shared" si="15"/>
        <v>49.582754446188893</v>
      </c>
    </row>
    <row r="45" spans="3:23">
      <c r="E45" s="67" t="s">
        <v>913</v>
      </c>
      <c r="G45" s="349">
        <v>2.12E-2</v>
      </c>
      <c r="H45" s="349">
        <f t="shared" si="13"/>
        <v>2.1179825625423237E-2</v>
      </c>
      <c r="J45" s="140">
        <f t="shared" si="14"/>
        <v>29.961176022483887</v>
      </c>
      <c r="L45" s="40">
        <f>IF(COUNTIFS('参考值-平台费用率分析'!$B$6:$B$532,"分销-引力唯品会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引力唯品会",'参考值-平台费用率分析'!$C$6:$C$532,"主营业务收入",'参考值-平台费用率分析'!$E$6:$E$532,"主营业务收入")/10000)</f>
        <v>6.4561000000000007E-2</v>
      </c>
      <c r="M45" s="40">
        <f>IF(COUNTIFS('参考值-平台费用率分析'!$B$6:$B$532,"分销-引力唯品会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引力唯品会",'参考值-平台费用率分析'!$C$6:$C$532,"主营业务收入",'参考值-平台费用率分析'!$E$6:$E$532,"主营业务收入")/10000)</f>
        <v>1.84677</v>
      </c>
      <c r="N45" s="40">
        <f>IF(COUNTIFS('参考值-平台费用率分析'!$B$6:$B$532,"分销-引力唯品会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引力唯品会",'参考值-平台费用率分析'!$C$6:$C$532,"主营业务收入",'参考值-平台费用率分析'!$E$6:$E$532,"主营业务收入")/10000)</f>
        <v>6.4183120000000002</v>
      </c>
      <c r="O45" s="40">
        <f>IF(COUNTIFS('参考值-平台费用率分析'!$B$6:$B$532,"分销-引力唯品会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引力唯品会",'参考值-平台费用率分析'!$C$6:$C$532,"主营业务收入",'参考值-平台费用率分析'!$E$6:$E$532,"主营业务收入")/10000)</f>
        <v>4.0728249999999999</v>
      </c>
      <c r="P45" s="40">
        <f>IF(COUNTIFS('参考值-平台费用率分析'!$B$6:$B$532,"分销-引力唯品会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引力唯品会",'参考值-平台费用率分析'!$C$6:$C$532,"主营业务收入",'参考值-平台费用率分析'!$E$6:$E$532,"主营业务收入")/10000)</f>
        <v>4.6958330000000004</v>
      </c>
      <c r="Q45" s="40">
        <f>IF(COUNTIFS('参考值-平台费用率分析'!$B$6:$B$532,"分销-引力唯品会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引力唯品会",'参考值-平台费用率分析'!$C$6:$C$532,"主营业务收入",'参考值-平台费用率分析'!$E$6:$E$532,"主营业务收入")/10000)</f>
        <v>1.5145469999999999</v>
      </c>
      <c r="R45" s="359">
        <f t="shared" si="15"/>
        <v>1.1378765048333337</v>
      </c>
      <c r="S45" s="359">
        <f t="shared" si="15"/>
        <v>1.5218512924725658</v>
      </c>
      <c r="T45" s="359">
        <f t="shared" si="15"/>
        <v>1.9245565575576136</v>
      </c>
      <c r="U45" s="359">
        <f t="shared" si="15"/>
        <v>2.0814243061663249</v>
      </c>
      <c r="V45" s="359">
        <f t="shared" si="15"/>
        <v>2.5286144551851861</v>
      </c>
      <c r="W45" s="359">
        <f t="shared" si="15"/>
        <v>2.1540049062688618</v>
      </c>
    </row>
    <row r="46" spans="3:23">
      <c r="E46" s="67" t="s">
        <v>912</v>
      </c>
      <c r="G46" s="349">
        <v>0</v>
      </c>
      <c r="H46" s="349">
        <f t="shared" si="13"/>
        <v>2.4550466563404896E-2</v>
      </c>
      <c r="J46" s="140">
        <f t="shared" si="14"/>
        <v>21.574970000000004</v>
      </c>
      <c r="L46" s="40">
        <f>IF(COUNTIFS('参考值-平台费用率分析'!$B$6:$B$532,"分销-lisa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分销-lisa",'参考值-平台费用率分析'!$C$6:$C$532,"主营业务收入",'参考值-平台费用率分析'!$E$6:$E$532,"主营业务收入")/10000)</f>
        <v>5.2420989999999996</v>
      </c>
      <c r="M46" s="40">
        <f>IF(COUNTIFS('参考值-平台费用率分析'!$B$6:$B$532,"分销-lisa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分销-lisa",'参考值-平台费用率分析'!$C$6:$C$532,"主营业务收入",'参考值-平台费用率分析'!$E$6:$E$532,"主营业务收入")/10000)</f>
        <v>3.6891220000000002</v>
      </c>
      <c r="N46" s="40">
        <f>IF(COUNTIFS('参考值-平台费用率分析'!$B$6:$B$532,"分销-lisa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分销-lisa",'参考值-平台费用率分析'!$C$6:$C$532,"主营业务收入",'参考值-平台费用率分析'!$E$6:$E$532,"主营业务收入")/10000)</f>
        <v>10.987816</v>
      </c>
      <c r="O46" s="40">
        <f>IF(COUNTIFS('参考值-平台费用率分析'!$B$6:$B$532,"分销-lisa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分销-lisa",'参考值-平台费用率分析'!$C$6:$C$532,"主营业务收入",'参考值-平台费用率分析'!$E$6:$E$532,"主营业务收入")/10000)</f>
        <v>1.6559330000000001</v>
      </c>
      <c r="P46" s="40">
        <f>IF(COUNTIFS('参考值-平台费用率分析'!$B$6:$B$532,"分销-lisa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分销-lisa",'参考值-平台费用率分析'!$C$6:$C$532,"主营业务收入",'参考值-平台费用率分析'!$E$6:$E$532,"主营业务收入")/10000)</f>
        <v>0</v>
      </c>
      <c r="Q46" s="40">
        <f>IF(COUNTIFS('参考值-平台费用率分析'!$B$6:$B$532,"分销-lisa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分销-lisa",'参考值-平台费用率分析'!$C$6:$C$532,"主营业务收入",'参考值-平台费用率分析'!$E$6:$E$532,"主营业务收入")/10000)</f>
        <v>0</v>
      </c>
      <c r="R46" s="359">
        <f t="shared" si="15"/>
        <v>0</v>
      </c>
      <c r="S46" s="359">
        <f t="shared" si="15"/>
        <v>0</v>
      </c>
      <c r="T46" s="359">
        <f t="shared" si="15"/>
        <v>0</v>
      </c>
      <c r="U46" s="359">
        <f t="shared" si="15"/>
        <v>0</v>
      </c>
      <c r="V46" s="359">
        <f t="shared" si="15"/>
        <v>0</v>
      </c>
      <c r="W46" s="359">
        <f t="shared" si="15"/>
        <v>0</v>
      </c>
    </row>
    <row r="55" spans="6:6">
      <c r="F55" s="67"/>
    </row>
  </sheetData>
  <phoneticPr fontId="14" type="noConversion"/>
  <hyperlinks>
    <hyperlink ref="A1" location="'目录及说明'!A1" display="返回目录" xr:uid="{00000000-0004-0000-0B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filterMode="1"/>
  <dimension ref="A1:AZ532"/>
  <sheetViews>
    <sheetView showGridLines="0" zoomScale="90" zoomScaleNormal="100" workbookViewId="0">
      <pane xSplit="7" ySplit="5" topLeftCell="H213" activePane="bottomRight" state="frozen"/>
      <selection pane="topRight" activeCell="H1" sqref="H1"/>
      <selection pane="bottomLeft" activeCell="A6" sqref="A6"/>
      <selection pane="bottomRight" activeCell="F222" sqref="F222"/>
    </sheetView>
  </sheetViews>
  <sheetFormatPr baseColWidth="10" defaultColWidth="10.59765625" defaultRowHeight="13"/>
  <cols>
    <col min="1" max="1" width="14.3984375" customWidth="1"/>
    <col min="2" max="2" width="21.59765625" customWidth="1"/>
    <col min="3" max="4" width="16.796875" customWidth="1"/>
    <col min="5" max="5" width="19.19921875" customWidth="1"/>
    <col min="6" max="6" width="81.19921875" customWidth="1"/>
    <col min="7" max="7" width="44.59765625" customWidth="1"/>
    <col min="8" max="9" width="17" bestFit="1" customWidth="1"/>
    <col min="10" max="10" width="12.3984375" bestFit="1" customWidth="1"/>
    <col min="11" max="12" width="17" bestFit="1" customWidth="1"/>
    <col min="13" max="13" width="12.3984375" bestFit="1" customWidth="1"/>
    <col min="14" max="15" width="17" bestFit="1" customWidth="1"/>
    <col min="16" max="17" width="16.796875" customWidth="1"/>
    <col min="18" max="18" width="17" bestFit="1" customWidth="1"/>
    <col min="19" max="19" width="12.3984375" bestFit="1" customWidth="1"/>
    <col min="20" max="21" width="17" bestFit="1" customWidth="1"/>
    <col min="22" max="22" width="12.3984375" bestFit="1" customWidth="1"/>
    <col min="23" max="24" width="17" bestFit="1" customWidth="1"/>
    <col min="25" max="25" width="12.3984375" bestFit="1" customWidth="1"/>
    <col min="26" max="27" width="18.59765625" bestFit="1" customWidth="1"/>
    <col min="28" max="28" width="28.796875" customWidth="1"/>
    <col min="29" max="29" width="16.796875" customWidth="1"/>
    <col min="30" max="30" width="13.19921875" customWidth="1"/>
    <col min="31" max="33" width="16.796875" customWidth="1"/>
    <col min="34" max="34" width="13.19921875" customWidth="1"/>
    <col min="35" max="37" width="16.796875" customWidth="1"/>
    <col min="38" max="38" width="13.19921875" customWidth="1"/>
    <col min="39" max="41" width="16.796875" customWidth="1"/>
    <col min="42" max="42" width="13.19921875" customWidth="1"/>
    <col min="43" max="45" width="16.796875" customWidth="1"/>
    <col min="46" max="46" width="13.19921875" customWidth="1"/>
    <col min="47" max="49" width="16.796875" customWidth="1"/>
    <col min="50" max="50" width="13.19921875" customWidth="1"/>
    <col min="51" max="52" width="16.796875" customWidth="1"/>
  </cols>
  <sheetData>
    <row r="1" spans="1:52" ht="28" customHeight="1">
      <c r="A1" s="179" t="s">
        <v>305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  <c r="AG1" s="179"/>
      <c r="AH1" s="179"/>
      <c r="AI1" s="179"/>
      <c r="AJ1" s="179"/>
      <c r="AK1" s="179"/>
      <c r="AL1" s="179"/>
      <c r="AM1" s="179"/>
      <c r="AN1" s="179"/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</row>
    <row r="2" spans="1:52" ht="25" customHeight="1">
      <c r="A2" s="180" t="s">
        <v>729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81"/>
      <c r="AT2" s="181"/>
      <c r="AU2" s="181"/>
      <c r="AV2" s="181"/>
      <c r="AW2" s="181"/>
      <c r="AX2" s="181"/>
      <c r="AY2" s="181"/>
      <c r="AZ2" s="181"/>
    </row>
    <row r="3" spans="1:5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</row>
    <row r="4" spans="1:52" ht="15" customHeight="1">
      <c r="A4" s="182" t="s">
        <v>306</v>
      </c>
      <c r="B4" s="182" t="s">
        <v>215</v>
      </c>
      <c r="C4" s="182" t="s">
        <v>110</v>
      </c>
      <c r="D4" s="182" t="s">
        <v>111</v>
      </c>
      <c r="E4" s="182" t="s">
        <v>6</v>
      </c>
      <c r="F4" s="182" t="s">
        <v>307</v>
      </c>
      <c r="G4" s="182" t="s">
        <v>308</v>
      </c>
      <c r="H4" s="383" t="s">
        <v>482</v>
      </c>
      <c r="I4" s="383"/>
      <c r="J4" s="383"/>
      <c r="K4" s="383" t="s">
        <v>483</v>
      </c>
      <c r="L4" s="383"/>
      <c r="M4" s="383"/>
      <c r="N4" s="383" t="s">
        <v>484</v>
      </c>
      <c r="O4" s="383"/>
      <c r="P4" s="383"/>
      <c r="Q4" s="383" t="s">
        <v>485</v>
      </c>
      <c r="R4" s="383"/>
      <c r="S4" s="383"/>
      <c r="T4" s="383" t="s">
        <v>486</v>
      </c>
      <c r="U4" s="383"/>
      <c r="V4" s="383"/>
      <c r="W4" s="383" t="s">
        <v>487</v>
      </c>
      <c r="X4" s="383"/>
      <c r="Y4" s="383"/>
      <c r="Z4" s="182" t="s">
        <v>730</v>
      </c>
      <c r="AA4" s="182" t="s">
        <v>731</v>
      </c>
      <c r="AB4" s="182" t="s">
        <v>732</v>
      </c>
      <c r="AC4" s="383" t="s">
        <v>733</v>
      </c>
      <c r="AD4" s="383"/>
      <c r="AE4" s="383"/>
      <c r="AF4" s="183"/>
      <c r="AG4" s="383" t="s">
        <v>734</v>
      </c>
      <c r="AH4" s="383"/>
      <c r="AI4" s="383"/>
      <c r="AJ4" s="183"/>
      <c r="AK4" s="383" t="s">
        <v>735</v>
      </c>
      <c r="AL4" s="383"/>
      <c r="AM4" s="383"/>
      <c r="AN4" s="183"/>
      <c r="AO4" s="383" t="s">
        <v>736</v>
      </c>
      <c r="AP4" s="383"/>
      <c r="AQ4" s="383"/>
      <c r="AR4" s="183"/>
      <c r="AS4" s="383" t="s">
        <v>737</v>
      </c>
      <c r="AT4" s="383"/>
      <c r="AU4" s="383"/>
      <c r="AV4" s="183"/>
      <c r="AW4" s="383" t="s">
        <v>738</v>
      </c>
      <c r="AX4" s="383"/>
      <c r="AY4" s="383"/>
      <c r="AZ4" s="183"/>
    </row>
    <row r="5" spans="1:52" ht="16" customHeight="1">
      <c r="A5" s="184" t="s">
        <v>306</v>
      </c>
      <c r="B5" s="185" t="s">
        <v>215</v>
      </c>
      <c r="C5" s="185" t="s">
        <v>110</v>
      </c>
      <c r="D5" s="185" t="s">
        <v>111</v>
      </c>
      <c r="E5" s="185" t="s">
        <v>6</v>
      </c>
      <c r="F5" s="185" t="s">
        <v>307</v>
      </c>
      <c r="G5" s="186" t="s">
        <v>308</v>
      </c>
      <c r="H5" s="185" t="s">
        <v>739</v>
      </c>
      <c r="I5" s="185" t="s">
        <v>740</v>
      </c>
      <c r="J5" s="185" t="s">
        <v>741</v>
      </c>
      <c r="K5" s="185" t="s">
        <v>742</v>
      </c>
      <c r="L5" s="185" t="s">
        <v>743</v>
      </c>
      <c r="M5" s="185" t="s">
        <v>744</v>
      </c>
      <c r="N5" s="185" t="s">
        <v>745</v>
      </c>
      <c r="O5" s="185" t="s">
        <v>746</v>
      </c>
      <c r="P5" s="185" t="s">
        <v>747</v>
      </c>
      <c r="Q5" s="185" t="s">
        <v>748</v>
      </c>
      <c r="R5" s="185" t="s">
        <v>749</v>
      </c>
      <c r="S5" s="185" t="s">
        <v>750</v>
      </c>
      <c r="T5" s="185" t="s">
        <v>751</v>
      </c>
      <c r="U5" s="185" t="s">
        <v>752</v>
      </c>
      <c r="V5" s="185" t="s">
        <v>753</v>
      </c>
      <c r="W5" s="185" t="s">
        <v>754</v>
      </c>
      <c r="X5" s="185" t="s">
        <v>755</v>
      </c>
      <c r="Y5" s="185" t="s">
        <v>756</v>
      </c>
      <c r="Z5" s="185" t="s">
        <v>730</v>
      </c>
      <c r="AA5" s="185" t="s">
        <v>731</v>
      </c>
      <c r="AB5" s="185" t="s">
        <v>732</v>
      </c>
      <c r="AC5" s="185" t="s">
        <v>757</v>
      </c>
      <c r="AD5" s="185" t="s">
        <v>758</v>
      </c>
      <c r="AE5" s="185" t="s">
        <v>759</v>
      </c>
      <c r="AF5" s="185" t="s">
        <v>309</v>
      </c>
      <c r="AG5" s="185" t="s">
        <v>760</v>
      </c>
      <c r="AH5" s="185" t="s">
        <v>761</v>
      </c>
      <c r="AI5" s="185" t="s">
        <v>762</v>
      </c>
      <c r="AJ5" s="185" t="s">
        <v>309</v>
      </c>
      <c r="AK5" s="185" t="s">
        <v>763</v>
      </c>
      <c r="AL5" s="185" t="s">
        <v>764</v>
      </c>
      <c r="AM5" s="185" t="s">
        <v>765</v>
      </c>
      <c r="AN5" s="185" t="s">
        <v>309</v>
      </c>
      <c r="AO5" s="185" t="s">
        <v>766</v>
      </c>
      <c r="AP5" s="185" t="s">
        <v>767</v>
      </c>
      <c r="AQ5" s="185" t="s">
        <v>768</v>
      </c>
      <c r="AR5" s="185" t="s">
        <v>309</v>
      </c>
      <c r="AS5" s="185" t="s">
        <v>769</v>
      </c>
      <c r="AT5" s="185" t="s">
        <v>770</v>
      </c>
      <c r="AU5" s="185" t="s">
        <v>771</v>
      </c>
      <c r="AV5" s="185" t="s">
        <v>309</v>
      </c>
      <c r="AW5" s="185" t="s">
        <v>772</v>
      </c>
      <c r="AX5" s="185" t="s">
        <v>773</v>
      </c>
      <c r="AY5" s="185" t="s">
        <v>774</v>
      </c>
      <c r="AZ5" s="185" t="s">
        <v>309</v>
      </c>
    </row>
    <row r="6" spans="1:52" ht="17">
      <c r="A6" s="28" t="s">
        <v>231</v>
      </c>
      <c r="B6" s="29" t="s">
        <v>310</v>
      </c>
      <c r="C6" s="29" t="s">
        <v>46</v>
      </c>
      <c r="D6" s="29"/>
      <c r="E6" s="29" t="s">
        <v>46</v>
      </c>
      <c r="F6" s="29" t="s">
        <v>311</v>
      </c>
      <c r="G6" s="30" t="s">
        <v>312</v>
      </c>
      <c r="H6" s="31">
        <v>0</v>
      </c>
      <c r="I6" s="31">
        <v>0</v>
      </c>
      <c r="J6" s="32"/>
      <c r="K6" s="31">
        <v>0</v>
      </c>
      <c r="L6" s="31">
        <v>0</v>
      </c>
      <c r="M6" s="32"/>
      <c r="N6" s="31">
        <v>0</v>
      </c>
      <c r="O6" s="31">
        <v>0</v>
      </c>
      <c r="P6" s="32"/>
      <c r="Q6" s="31">
        <v>0</v>
      </c>
      <c r="R6" s="31">
        <v>0</v>
      </c>
      <c r="S6" s="32"/>
      <c r="T6" s="31">
        <v>53.65</v>
      </c>
      <c r="U6" s="31">
        <v>53.65</v>
      </c>
      <c r="V6" s="32"/>
      <c r="W6" s="31">
        <v>19460.310000000001</v>
      </c>
      <c r="X6" s="31">
        <v>19460.310000000001</v>
      </c>
      <c r="Y6" s="32"/>
      <c r="Z6" s="31">
        <f t="shared" ref="Z6:Z69" si="0">IF(COUNT(H6,K6,N6,Q6,T6,W6)=0,"",SUM(H6,K6,N6,Q6,T6,W6))</f>
        <v>19513.960000000003</v>
      </c>
      <c r="AA6" s="31">
        <f t="shared" ref="AA6:AA69" si="1">IF(COUNT(I6,L6,O6,R6,U6,X6)=0,"",SUM(I6,L6,O6,R6,U6,X6))</f>
        <v>19513.960000000003</v>
      </c>
      <c r="AB6" s="32"/>
      <c r="AC6" s="31"/>
      <c r="AD6" s="31"/>
      <c r="AE6" s="32" t="str">
        <f t="shared" ref="AE6:AE69" si="2">IF(AC6="","",IFERROR(AC6/AD6,""))</f>
        <v/>
      </c>
      <c r="AF6" s="32" t="s">
        <v>313</v>
      </c>
      <c r="AG6" s="31"/>
      <c r="AH6" s="31"/>
      <c r="AI6" s="32" t="str">
        <f t="shared" ref="AI6:AI69" si="3">IF(AG6="","",IFERROR(AG6/AH6,""))</f>
        <v/>
      </c>
      <c r="AJ6" s="32" t="s">
        <v>313</v>
      </c>
      <c r="AK6" s="31"/>
      <c r="AL6" s="31"/>
      <c r="AM6" s="32" t="str">
        <f t="shared" ref="AM6:AM69" si="4">IF(AK6="","",IFERROR(AK6/AL6,""))</f>
        <v/>
      </c>
      <c r="AN6" s="32" t="s">
        <v>313</v>
      </c>
      <c r="AO6" s="31"/>
      <c r="AP6" s="31"/>
      <c r="AQ6" s="32" t="str">
        <f t="shared" ref="AQ6:AQ69" si="5">IF(AO6="","",IFERROR(AO6/AP6,""))</f>
        <v/>
      </c>
      <c r="AR6" s="32" t="s">
        <v>313</v>
      </c>
      <c r="AS6" s="31"/>
      <c r="AT6" s="31"/>
      <c r="AU6" s="32" t="str">
        <f t="shared" ref="AU6:AU69" si="6">IF(AS6="","",IFERROR(AS6/AT6,""))</f>
        <v/>
      </c>
      <c r="AV6" s="32" t="s">
        <v>313</v>
      </c>
      <c r="AW6" s="31"/>
      <c r="AX6" s="31"/>
      <c r="AY6" s="32" t="str">
        <f t="shared" ref="AY6:AY69" si="7">IF(AW6="","",IFERROR(AW6/AX6,""))</f>
        <v/>
      </c>
      <c r="AZ6" s="32" t="s">
        <v>313</v>
      </c>
    </row>
    <row r="7" spans="1:52" ht="34" customHeight="1">
      <c r="A7" s="28" t="s">
        <v>231</v>
      </c>
      <c r="B7" s="29" t="s">
        <v>310</v>
      </c>
      <c r="C7" s="29" t="s">
        <v>121</v>
      </c>
      <c r="D7" s="29"/>
      <c r="E7" s="29" t="s">
        <v>125</v>
      </c>
      <c r="F7" s="29" t="s">
        <v>314</v>
      </c>
      <c r="G7" s="30" t="s">
        <v>312</v>
      </c>
      <c r="H7" s="31">
        <v>0</v>
      </c>
      <c r="I7" s="31">
        <v>0</v>
      </c>
      <c r="J7" s="32" t="str">
        <f t="shared" ref="J7:J36" si="8">IF(H7="","",IFERROR(H7/I7,""))</f>
        <v/>
      </c>
      <c r="K7" s="31">
        <v>0</v>
      </c>
      <c r="L7" s="31">
        <v>0</v>
      </c>
      <c r="M7" s="32" t="str">
        <f t="shared" ref="M7:M36" si="9">IF(K7="","",IFERROR(K7/L7,""))</f>
        <v/>
      </c>
      <c r="N7" s="31">
        <v>0</v>
      </c>
      <c r="O7" s="31">
        <v>0</v>
      </c>
      <c r="P7" s="32" t="str">
        <f t="shared" ref="P7:P36" si="10">IF(N7="","",IFERROR(N7/O7,""))</f>
        <v/>
      </c>
      <c r="Q7" s="31">
        <v>0</v>
      </c>
      <c r="R7" s="31">
        <v>0</v>
      </c>
      <c r="S7" s="32" t="str">
        <f t="shared" ref="S7:S36" si="11">IF(Q7="","",IFERROR(Q7/R7,""))</f>
        <v/>
      </c>
      <c r="T7" s="31">
        <v>0</v>
      </c>
      <c r="U7" s="31">
        <v>53.65</v>
      </c>
      <c r="V7" s="32">
        <f t="shared" ref="V7:V36" si="12">IF(T7="","",IFERROR(T7/U7,""))</f>
        <v>0</v>
      </c>
      <c r="W7" s="31">
        <v>0</v>
      </c>
      <c r="X7" s="31">
        <v>19460.310000000001</v>
      </c>
      <c r="Y7" s="32">
        <f t="shared" ref="Y7:Y36" si="13">IF(W7="","",IFERROR(W7/X7,""))</f>
        <v>0</v>
      </c>
      <c r="Z7" s="31">
        <f t="shared" si="0"/>
        <v>0</v>
      </c>
      <c r="AA7" s="31">
        <f t="shared" si="1"/>
        <v>19513.960000000003</v>
      </c>
      <c r="AB7" s="32">
        <f t="shared" ref="AB7:AB36" si="14">IF(Z7="","",IFERROR(Z7/AA7,""))</f>
        <v>0</v>
      </c>
      <c r="AC7" s="31"/>
      <c r="AD7" s="31"/>
      <c r="AE7" s="32" t="str">
        <f t="shared" si="2"/>
        <v/>
      </c>
      <c r="AF7" s="32" t="s">
        <v>313</v>
      </c>
      <c r="AG7" s="31"/>
      <c r="AH7" s="31"/>
      <c r="AI7" s="32" t="str">
        <f t="shared" si="3"/>
        <v/>
      </c>
      <c r="AJ7" s="32" t="s">
        <v>313</v>
      </c>
      <c r="AK7" s="31"/>
      <c r="AL7" s="31"/>
      <c r="AM7" s="32" t="str">
        <f t="shared" si="4"/>
        <v/>
      </c>
      <c r="AN7" s="32" t="s">
        <v>313</v>
      </c>
      <c r="AO7" s="31"/>
      <c r="AP7" s="31"/>
      <c r="AQ7" s="32" t="str">
        <f t="shared" si="5"/>
        <v/>
      </c>
      <c r="AR7" s="32" t="s">
        <v>313</v>
      </c>
      <c r="AS7" s="31"/>
      <c r="AT7" s="31"/>
      <c r="AU7" s="32" t="str">
        <f t="shared" si="6"/>
        <v/>
      </c>
      <c r="AV7" s="32" t="s">
        <v>313</v>
      </c>
      <c r="AW7" s="31"/>
      <c r="AX7" s="31"/>
      <c r="AY7" s="32" t="str">
        <f t="shared" si="7"/>
        <v/>
      </c>
      <c r="AZ7" s="32" t="s">
        <v>313</v>
      </c>
    </row>
    <row r="8" spans="1:52" ht="34" customHeight="1">
      <c r="A8" s="28" t="s">
        <v>231</v>
      </c>
      <c r="B8" s="29" t="s">
        <v>310</v>
      </c>
      <c r="C8" s="29" t="s">
        <v>48</v>
      </c>
      <c r="D8" s="29"/>
      <c r="E8" s="29" t="s">
        <v>127</v>
      </c>
      <c r="F8" s="29" t="s">
        <v>315</v>
      </c>
      <c r="G8" s="30" t="s">
        <v>312</v>
      </c>
      <c r="H8" s="31">
        <v>0</v>
      </c>
      <c r="I8" s="31">
        <v>0</v>
      </c>
      <c r="J8" s="32" t="str">
        <f t="shared" si="8"/>
        <v/>
      </c>
      <c r="K8" s="31">
        <v>0</v>
      </c>
      <c r="L8" s="31">
        <v>0</v>
      </c>
      <c r="M8" s="32" t="str">
        <f t="shared" si="9"/>
        <v/>
      </c>
      <c r="N8" s="31">
        <v>0</v>
      </c>
      <c r="O8" s="31">
        <v>0</v>
      </c>
      <c r="P8" s="32" t="str">
        <f t="shared" si="10"/>
        <v/>
      </c>
      <c r="Q8" s="31">
        <v>0</v>
      </c>
      <c r="R8" s="31">
        <v>0</v>
      </c>
      <c r="S8" s="32" t="str">
        <f t="shared" si="11"/>
        <v/>
      </c>
      <c r="T8" s="31">
        <v>0</v>
      </c>
      <c r="U8" s="31">
        <v>53.65</v>
      </c>
      <c r="V8" s="32">
        <f t="shared" si="12"/>
        <v>0</v>
      </c>
      <c r="W8" s="31">
        <v>15003</v>
      </c>
      <c r="X8" s="31">
        <v>19460.310000000001</v>
      </c>
      <c r="Y8" s="32">
        <f t="shared" si="13"/>
        <v>0.77095380289419846</v>
      </c>
      <c r="Z8" s="31">
        <f t="shared" si="0"/>
        <v>15003</v>
      </c>
      <c r="AA8" s="31">
        <f t="shared" si="1"/>
        <v>19513.960000000003</v>
      </c>
      <c r="AB8" s="32">
        <f t="shared" si="14"/>
        <v>0.76883420894580079</v>
      </c>
      <c r="AC8" s="31"/>
      <c r="AD8" s="31"/>
      <c r="AE8" s="32" t="str">
        <f t="shared" si="2"/>
        <v/>
      </c>
      <c r="AF8" s="32" t="s">
        <v>313</v>
      </c>
      <c r="AG8" s="31"/>
      <c r="AH8" s="31"/>
      <c r="AI8" s="32" t="str">
        <f t="shared" si="3"/>
        <v/>
      </c>
      <c r="AJ8" s="32" t="s">
        <v>313</v>
      </c>
      <c r="AK8" s="31"/>
      <c r="AL8" s="31"/>
      <c r="AM8" s="32" t="str">
        <f t="shared" si="4"/>
        <v/>
      </c>
      <c r="AN8" s="32" t="s">
        <v>313</v>
      </c>
      <c r="AO8" s="31"/>
      <c r="AP8" s="31"/>
      <c r="AQ8" s="32" t="str">
        <f t="shared" si="5"/>
        <v/>
      </c>
      <c r="AR8" s="32" t="s">
        <v>313</v>
      </c>
      <c r="AS8" s="31"/>
      <c r="AT8" s="31"/>
      <c r="AU8" s="32" t="str">
        <f t="shared" si="6"/>
        <v/>
      </c>
      <c r="AV8" s="32" t="s">
        <v>313</v>
      </c>
      <c r="AW8" s="31"/>
      <c r="AX8" s="31"/>
      <c r="AY8" s="32" t="str">
        <f t="shared" si="7"/>
        <v/>
      </c>
      <c r="AZ8" s="32" t="s">
        <v>313</v>
      </c>
    </row>
    <row r="9" spans="1:52" ht="34" customHeight="1">
      <c r="A9" s="28" t="s">
        <v>231</v>
      </c>
      <c r="B9" s="29" t="s">
        <v>310</v>
      </c>
      <c r="C9" s="29" t="s">
        <v>52</v>
      </c>
      <c r="D9" s="29" t="s">
        <v>54</v>
      </c>
      <c r="E9" s="29" t="s">
        <v>55</v>
      </c>
      <c r="F9" s="29" t="s">
        <v>130</v>
      </c>
      <c r="G9" s="30" t="s">
        <v>312</v>
      </c>
      <c r="H9" s="31">
        <v>0</v>
      </c>
      <c r="I9" s="31">
        <v>0</v>
      </c>
      <c r="J9" s="32" t="str">
        <f t="shared" si="8"/>
        <v/>
      </c>
      <c r="K9" s="31">
        <v>0</v>
      </c>
      <c r="L9" s="31">
        <v>0</v>
      </c>
      <c r="M9" s="32" t="str">
        <f t="shared" si="9"/>
        <v/>
      </c>
      <c r="N9" s="31">
        <v>0</v>
      </c>
      <c r="O9" s="31">
        <v>0</v>
      </c>
      <c r="P9" s="32" t="str">
        <f t="shared" si="10"/>
        <v/>
      </c>
      <c r="Q9" s="31">
        <v>0</v>
      </c>
      <c r="R9" s="31">
        <v>0</v>
      </c>
      <c r="S9" s="32" t="str">
        <f t="shared" si="11"/>
        <v/>
      </c>
      <c r="T9" s="31">
        <v>0</v>
      </c>
      <c r="U9" s="31">
        <v>53.65</v>
      </c>
      <c r="V9" s="32">
        <f t="shared" si="12"/>
        <v>0</v>
      </c>
      <c r="W9" s="31">
        <v>0</v>
      </c>
      <c r="X9" s="31">
        <v>19460.310000000001</v>
      </c>
      <c r="Y9" s="32">
        <f t="shared" si="13"/>
        <v>0</v>
      </c>
      <c r="Z9" s="31">
        <f t="shared" si="0"/>
        <v>0</v>
      </c>
      <c r="AA9" s="31">
        <f t="shared" si="1"/>
        <v>19513.960000000003</v>
      </c>
      <c r="AB9" s="32">
        <f t="shared" si="14"/>
        <v>0</v>
      </c>
      <c r="AC9" s="31"/>
      <c r="AD9" s="31"/>
      <c r="AE9" s="32" t="str">
        <f t="shared" si="2"/>
        <v/>
      </c>
      <c r="AF9" s="32" t="s">
        <v>313</v>
      </c>
      <c r="AG9" s="31"/>
      <c r="AH9" s="31"/>
      <c r="AI9" s="32" t="str">
        <f t="shared" si="3"/>
        <v/>
      </c>
      <c r="AJ9" s="32" t="s">
        <v>313</v>
      </c>
      <c r="AK9" s="31"/>
      <c r="AL9" s="31"/>
      <c r="AM9" s="32" t="str">
        <f t="shared" si="4"/>
        <v/>
      </c>
      <c r="AN9" s="32" t="s">
        <v>313</v>
      </c>
      <c r="AO9" s="31"/>
      <c r="AP9" s="31"/>
      <c r="AQ9" s="32" t="str">
        <f t="shared" si="5"/>
        <v/>
      </c>
      <c r="AR9" s="32" t="s">
        <v>313</v>
      </c>
      <c r="AS9" s="31"/>
      <c r="AT9" s="31"/>
      <c r="AU9" s="32" t="str">
        <f t="shared" si="6"/>
        <v/>
      </c>
      <c r="AV9" s="32" t="s">
        <v>313</v>
      </c>
      <c r="AW9" s="31"/>
      <c r="AX9" s="31"/>
      <c r="AY9" s="32" t="str">
        <f t="shared" si="7"/>
        <v/>
      </c>
      <c r="AZ9" s="32" t="s">
        <v>313</v>
      </c>
    </row>
    <row r="10" spans="1:52" ht="34" customHeight="1">
      <c r="A10" s="28" t="s">
        <v>231</v>
      </c>
      <c r="B10" s="29" t="s">
        <v>310</v>
      </c>
      <c r="C10" s="29" t="s">
        <v>52</v>
      </c>
      <c r="D10" s="29" t="s">
        <v>54</v>
      </c>
      <c r="E10" s="29" t="s">
        <v>58</v>
      </c>
      <c r="F10" s="29" t="s">
        <v>316</v>
      </c>
      <c r="G10" s="30" t="s">
        <v>312</v>
      </c>
      <c r="H10" s="31"/>
      <c r="I10" s="31">
        <v>0</v>
      </c>
      <c r="J10" s="32" t="str">
        <f t="shared" si="8"/>
        <v/>
      </c>
      <c r="K10" s="31"/>
      <c r="L10" s="31">
        <v>0</v>
      </c>
      <c r="M10" s="32" t="str">
        <f t="shared" si="9"/>
        <v/>
      </c>
      <c r="N10" s="31"/>
      <c r="O10" s="31">
        <v>0</v>
      </c>
      <c r="P10" s="32" t="str">
        <f t="shared" si="10"/>
        <v/>
      </c>
      <c r="Q10" s="31"/>
      <c r="R10" s="31">
        <v>0</v>
      </c>
      <c r="S10" s="32" t="str">
        <f t="shared" si="11"/>
        <v/>
      </c>
      <c r="T10" s="31"/>
      <c r="U10" s="31">
        <v>53.65</v>
      </c>
      <c r="V10" s="32" t="str">
        <f t="shared" si="12"/>
        <v/>
      </c>
      <c r="W10" s="31"/>
      <c r="X10" s="31">
        <v>19460.310000000001</v>
      </c>
      <c r="Y10" s="32" t="str">
        <f t="shared" si="13"/>
        <v/>
      </c>
      <c r="Z10" s="31" t="str">
        <f t="shared" si="0"/>
        <v/>
      </c>
      <c r="AA10" s="31">
        <f t="shared" si="1"/>
        <v>19513.960000000003</v>
      </c>
      <c r="AB10" s="32" t="str">
        <f t="shared" si="14"/>
        <v/>
      </c>
      <c r="AC10" s="31"/>
      <c r="AD10" s="31"/>
      <c r="AE10" s="32" t="str">
        <f t="shared" si="2"/>
        <v/>
      </c>
      <c r="AF10" s="32" t="s">
        <v>313</v>
      </c>
      <c r="AG10" s="31"/>
      <c r="AH10" s="31"/>
      <c r="AI10" s="32" t="str">
        <f t="shared" si="3"/>
        <v/>
      </c>
      <c r="AJ10" s="32" t="s">
        <v>313</v>
      </c>
      <c r="AK10" s="31"/>
      <c r="AL10" s="31"/>
      <c r="AM10" s="32" t="str">
        <f t="shared" si="4"/>
        <v/>
      </c>
      <c r="AN10" s="32" t="s">
        <v>313</v>
      </c>
      <c r="AO10" s="31"/>
      <c r="AP10" s="31"/>
      <c r="AQ10" s="32" t="str">
        <f t="shared" si="5"/>
        <v/>
      </c>
      <c r="AR10" s="32" t="s">
        <v>313</v>
      </c>
      <c r="AS10" s="31"/>
      <c r="AT10" s="31"/>
      <c r="AU10" s="32" t="str">
        <f t="shared" si="6"/>
        <v/>
      </c>
      <c r="AV10" s="32" t="s">
        <v>313</v>
      </c>
      <c r="AW10" s="31"/>
      <c r="AX10" s="31"/>
      <c r="AY10" s="32" t="str">
        <f t="shared" si="7"/>
        <v/>
      </c>
      <c r="AZ10" s="32" t="s">
        <v>313</v>
      </c>
    </row>
    <row r="11" spans="1:52" ht="34" customHeight="1">
      <c r="A11" s="28" t="s">
        <v>231</v>
      </c>
      <c r="B11" s="29" t="s">
        <v>310</v>
      </c>
      <c r="C11" s="29" t="s">
        <v>52</v>
      </c>
      <c r="D11" s="29" t="s">
        <v>54</v>
      </c>
      <c r="E11" s="29" t="s">
        <v>59</v>
      </c>
      <c r="F11" s="29" t="s">
        <v>316</v>
      </c>
      <c r="G11" s="30" t="s">
        <v>312</v>
      </c>
      <c r="H11" s="31"/>
      <c r="I11" s="31">
        <v>0</v>
      </c>
      <c r="J11" s="32" t="str">
        <f t="shared" si="8"/>
        <v/>
      </c>
      <c r="K11" s="31"/>
      <c r="L11" s="31">
        <v>0</v>
      </c>
      <c r="M11" s="32" t="str">
        <f t="shared" si="9"/>
        <v/>
      </c>
      <c r="N11" s="31"/>
      <c r="O11" s="31">
        <v>0</v>
      </c>
      <c r="P11" s="32" t="str">
        <f t="shared" si="10"/>
        <v/>
      </c>
      <c r="Q11" s="31"/>
      <c r="R11" s="31">
        <v>0</v>
      </c>
      <c r="S11" s="32" t="str">
        <f t="shared" si="11"/>
        <v/>
      </c>
      <c r="T11" s="31"/>
      <c r="U11" s="31">
        <v>53.65</v>
      </c>
      <c r="V11" s="32" t="str">
        <f t="shared" si="12"/>
        <v/>
      </c>
      <c r="W11" s="31"/>
      <c r="X11" s="31">
        <v>19460.310000000001</v>
      </c>
      <c r="Y11" s="32" t="str">
        <f t="shared" si="13"/>
        <v/>
      </c>
      <c r="Z11" s="31" t="str">
        <f t="shared" si="0"/>
        <v/>
      </c>
      <c r="AA11" s="31">
        <f t="shared" si="1"/>
        <v>19513.960000000003</v>
      </c>
      <c r="AB11" s="32" t="str">
        <f t="shared" si="14"/>
        <v/>
      </c>
      <c r="AC11" s="31"/>
      <c r="AD11" s="31"/>
      <c r="AE11" s="32" t="str">
        <f t="shared" si="2"/>
        <v/>
      </c>
      <c r="AF11" s="32" t="s">
        <v>313</v>
      </c>
      <c r="AG11" s="31"/>
      <c r="AH11" s="31"/>
      <c r="AI11" s="32" t="str">
        <f t="shared" si="3"/>
        <v/>
      </c>
      <c r="AJ11" s="32" t="s">
        <v>313</v>
      </c>
      <c r="AK11" s="31"/>
      <c r="AL11" s="31"/>
      <c r="AM11" s="32" t="str">
        <f t="shared" si="4"/>
        <v/>
      </c>
      <c r="AN11" s="32" t="s">
        <v>313</v>
      </c>
      <c r="AO11" s="31"/>
      <c r="AP11" s="31"/>
      <c r="AQ11" s="32" t="str">
        <f t="shared" si="5"/>
        <v/>
      </c>
      <c r="AR11" s="32" t="s">
        <v>313</v>
      </c>
      <c r="AS11" s="31"/>
      <c r="AT11" s="31"/>
      <c r="AU11" s="32" t="str">
        <f t="shared" si="6"/>
        <v/>
      </c>
      <c r="AV11" s="32" t="s">
        <v>313</v>
      </c>
      <c r="AW11" s="31"/>
      <c r="AX11" s="31"/>
      <c r="AY11" s="32" t="str">
        <f t="shared" si="7"/>
        <v/>
      </c>
      <c r="AZ11" s="32" t="s">
        <v>313</v>
      </c>
    </row>
    <row r="12" spans="1:52" ht="34" customHeight="1">
      <c r="A12" s="28" t="s">
        <v>231</v>
      </c>
      <c r="B12" s="29" t="s">
        <v>310</v>
      </c>
      <c r="C12" s="29" t="s">
        <v>52</v>
      </c>
      <c r="D12" s="29" t="s">
        <v>54</v>
      </c>
      <c r="E12" s="29" t="s">
        <v>64</v>
      </c>
      <c r="F12" s="29" t="s">
        <v>133</v>
      </c>
      <c r="G12" s="30" t="s">
        <v>312</v>
      </c>
      <c r="H12" s="31">
        <v>0</v>
      </c>
      <c r="I12" s="31">
        <v>0</v>
      </c>
      <c r="J12" s="32" t="str">
        <f t="shared" si="8"/>
        <v/>
      </c>
      <c r="K12" s="31">
        <v>0</v>
      </c>
      <c r="L12" s="31">
        <v>0</v>
      </c>
      <c r="M12" s="32" t="str">
        <f t="shared" si="9"/>
        <v/>
      </c>
      <c r="N12" s="31">
        <v>0</v>
      </c>
      <c r="O12" s="31">
        <v>0</v>
      </c>
      <c r="P12" s="32" t="str">
        <f t="shared" si="10"/>
        <v/>
      </c>
      <c r="Q12" s="31">
        <v>0</v>
      </c>
      <c r="R12" s="31">
        <v>0</v>
      </c>
      <c r="S12" s="32" t="str">
        <f t="shared" si="11"/>
        <v/>
      </c>
      <c r="T12" s="31">
        <v>0</v>
      </c>
      <c r="U12" s="31">
        <v>53.65</v>
      </c>
      <c r="V12" s="32">
        <f t="shared" si="12"/>
        <v>0</v>
      </c>
      <c r="W12" s="31">
        <v>0</v>
      </c>
      <c r="X12" s="31">
        <v>19460.310000000001</v>
      </c>
      <c r="Y12" s="32">
        <f t="shared" si="13"/>
        <v>0</v>
      </c>
      <c r="Z12" s="31">
        <f t="shared" si="0"/>
        <v>0</v>
      </c>
      <c r="AA12" s="31">
        <f t="shared" si="1"/>
        <v>19513.960000000003</v>
      </c>
      <c r="AB12" s="32">
        <f t="shared" si="14"/>
        <v>0</v>
      </c>
      <c r="AC12" s="31"/>
      <c r="AD12" s="31"/>
      <c r="AE12" s="32" t="str">
        <f t="shared" si="2"/>
        <v/>
      </c>
      <c r="AF12" s="32" t="s">
        <v>313</v>
      </c>
      <c r="AG12" s="31"/>
      <c r="AH12" s="31"/>
      <c r="AI12" s="32" t="str">
        <f t="shared" si="3"/>
        <v/>
      </c>
      <c r="AJ12" s="32" t="s">
        <v>313</v>
      </c>
      <c r="AK12" s="31"/>
      <c r="AL12" s="31"/>
      <c r="AM12" s="32" t="str">
        <f t="shared" si="4"/>
        <v/>
      </c>
      <c r="AN12" s="32" t="s">
        <v>313</v>
      </c>
      <c r="AO12" s="31"/>
      <c r="AP12" s="31"/>
      <c r="AQ12" s="32" t="str">
        <f t="shared" si="5"/>
        <v/>
      </c>
      <c r="AR12" s="32" t="s">
        <v>313</v>
      </c>
      <c r="AS12" s="31"/>
      <c r="AT12" s="31"/>
      <c r="AU12" s="32" t="str">
        <f t="shared" si="6"/>
        <v/>
      </c>
      <c r="AV12" s="32" t="s">
        <v>313</v>
      </c>
      <c r="AW12" s="31"/>
      <c r="AX12" s="31"/>
      <c r="AY12" s="32" t="str">
        <f t="shared" si="7"/>
        <v/>
      </c>
      <c r="AZ12" s="32" t="s">
        <v>313</v>
      </c>
    </row>
    <row r="13" spans="1:52" ht="34" customHeight="1">
      <c r="A13" s="28" t="s">
        <v>231</v>
      </c>
      <c r="B13" s="29" t="s">
        <v>310</v>
      </c>
      <c r="C13" s="29" t="s">
        <v>52</v>
      </c>
      <c r="D13" s="29" t="s">
        <v>54</v>
      </c>
      <c r="E13" s="29" t="s">
        <v>60</v>
      </c>
      <c r="F13" s="29" t="s">
        <v>316</v>
      </c>
      <c r="G13" s="30" t="s">
        <v>312</v>
      </c>
      <c r="H13" s="31"/>
      <c r="I13" s="31">
        <v>0</v>
      </c>
      <c r="J13" s="32" t="str">
        <f t="shared" si="8"/>
        <v/>
      </c>
      <c r="K13" s="31"/>
      <c r="L13" s="31">
        <v>0</v>
      </c>
      <c r="M13" s="32" t="str">
        <f t="shared" si="9"/>
        <v/>
      </c>
      <c r="N13" s="31"/>
      <c r="O13" s="31">
        <v>0</v>
      </c>
      <c r="P13" s="32" t="str">
        <f t="shared" si="10"/>
        <v/>
      </c>
      <c r="Q13" s="31"/>
      <c r="R13" s="31">
        <v>0</v>
      </c>
      <c r="S13" s="32" t="str">
        <f t="shared" si="11"/>
        <v/>
      </c>
      <c r="T13" s="31"/>
      <c r="U13" s="31">
        <v>53.65</v>
      </c>
      <c r="V13" s="32" t="str">
        <f t="shared" si="12"/>
        <v/>
      </c>
      <c r="W13" s="31"/>
      <c r="X13" s="31">
        <v>19460.310000000001</v>
      </c>
      <c r="Y13" s="32" t="str">
        <f t="shared" si="13"/>
        <v/>
      </c>
      <c r="Z13" s="31" t="str">
        <f t="shared" si="0"/>
        <v/>
      </c>
      <c r="AA13" s="31">
        <f t="shared" si="1"/>
        <v>19513.960000000003</v>
      </c>
      <c r="AB13" s="32" t="str">
        <f t="shared" si="14"/>
        <v/>
      </c>
      <c r="AC13" s="31"/>
      <c r="AD13" s="31"/>
      <c r="AE13" s="32" t="str">
        <f t="shared" si="2"/>
        <v/>
      </c>
      <c r="AF13" s="32" t="s">
        <v>313</v>
      </c>
      <c r="AG13" s="31"/>
      <c r="AH13" s="31"/>
      <c r="AI13" s="32" t="str">
        <f t="shared" si="3"/>
        <v/>
      </c>
      <c r="AJ13" s="32" t="s">
        <v>313</v>
      </c>
      <c r="AK13" s="31"/>
      <c r="AL13" s="31"/>
      <c r="AM13" s="32" t="str">
        <f t="shared" si="4"/>
        <v/>
      </c>
      <c r="AN13" s="32" t="s">
        <v>313</v>
      </c>
      <c r="AO13" s="31"/>
      <c r="AP13" s="31"/>
      <c r="AQ13" s="32" t="str">
        <f t="shared" si="5"/>
        <v/>
      </c>
      <c r="AR13" s="32" t="s">
        <v>313</v>
      </c>
      <c r="AS13" s="31"/>
      <c r="AT13" s="31"/>
      <c r="AU13" s="32" t="str">
        <f t="shared" si="6"/>
        <v/>
      </c>
      <c r="AV13" s="32" t="s">
        <v>313</v>
      </c>
      <c r="AW13" s="31"/>
      <c r="AX13" s="31"/>
      <c r="AY13" s="32" t="str">
        <f t="shared" si="7"/>
        <v/>
      </c>
      <c r="AZ13" s="32" t="s">
        <v>313</v>
      </c>
    </row>
    <row r="14" spans="1:52" ht="51" customHeight="1">
      <c r="A14" s="28" t="s">
        <v>231</v>
      </c>
      <c r="B14" s="29" t="s">
        <v>310</v>
      </c>
      <c r="C14" s="29" t="s">
        <v>52</v>
      </c>
      <c r="D14" s="29" t="s">
        <v>54</v>
      </c>
      <c r="E14" s="29" t="s">
        <v>61</v>
      </c>
      <c r="F14" s="29" t="s">
        <v>135</v>
      </c>
      <c r="G14" s="30" t="s">
        <v>312</v>
      </c>
      <c r="H14" s="31">
        <v>0</v>
      </c>
      <c r="I14" s="31">
        <v>0</v>
      </c>
      <c r="J14" s="32" t="str">
        <f t="shared" si="8"/>
        <v/>
      </c>
      <c r="K14" s="31">
        <v>0</v>
      </c>
      <c r="L14" s="31">
        <v>0</v>
      </c>
      <c r="M14" s="32" t="str">
        <f t="shared" si="9"/>
        <v/>
      </c>
      <c r="N14" s="31">
        <v>0</v>
      </c>
      <c r="O14" s="31">
        <v>0</v>
      </c>
      <c r="P14" s="32" t="str">
        <f t="shared" si="10"/>
        <v/>
      </c>
      <c r="Q14" s="31">
        <v>0</v>
      </c>
      <c r="R14" s="31">
        <v>0</v>
      </c>
      <c r="S14" s="32" t="str">
        <f t="shared" si="11"/>
        <v/>
      </c>
      <c r="T14" s="31">
        <v>0</v>
      </c>
      <c r="U14" s="31">
        <v>53.65</v>
      </c>
      <c r="V14" s="32">
        <f t="shared" si="12"/>
        <v>0</v>
      </c>
      <c r="W14" s="31">
        <v>0</v>
      </c>
      <c r="X14" s="31">
        <v>19460.310000000001</v>
      </c>
      <c r="Y14" s="32">
        <f t="shared" si="13"/>
        <v>0</v>
      </c>
      <c r="Z14" s="31">
        <f t="shared" si="0"/>
        <v>0</v>
      </c>
      <c r="AA14" s="31">
        <f t="shared" si="1"/>
        <v>19513.960000000003</v>
      </c>
      <c r="AB14" s="32">
        <f t="shared" si="14"/>
        <v>0</v>
      </c>
      <c r="AC14" s="31"/>
      <c r="AD14" s="31"/>
      <c r="AE14" s="32" t="str">
        <f t="shared" si="2"/>
        <v/>
      </c>
      <c r="AF14" s="32" t="s">
        <v>313</v>
      </c>
      <c r="AG14" s="31"/>
      <c r="AH14" s="31"/>
      <c r="AI14" s="32" t="str">
        <f t="shared" si="3"/>
        <v/>
      </c>
      <c r="AJ14" s="32" t="s">
        <v>313</v>
      </c>
      <c r="AK14" s="31"/>
      <c r="AL14" s="31"/>
      <c r="AM14" s="32" t="str">
        <f t="shared" si="4"/>
        <v/>
      </c>
      <c r="AN14" s="32" t="s">
        <v>313</v>
      </c>
      <c r="AO14" s="31"/>
      <c r="AP14" s="31"/>
      <c r="AQ14" s="32" t="str">
        <f t="shared" si="5"/>
        <v/>
      </c>
      <c r="AR14" s="32" t="s">
        <v>313</v>
      </c>
      <c r="AS14" s="31"/>
      <c r="AT14" s="31"/>
      <c r="AU14" s="32" t="str">
        <f t="shared" si="6"/>
        <v/>
      </c>
      <c r="AV14" s="32" t="s">
        <v>313</v>
      </c>
      <c r="AW14" s="31"/>
      <c r="AX14" s="31"/>
      <c r="AY14" s="32" t="str">
        <f t="shared" si="7"/>
        <v/>
      </c>
      <c r="AZ14" s="32" t="s">
        <v>313</v>
      </c>
    </row>
    <row r="15" spans="1:52" ht="34" customHeight="1">
      <c r="A15" s="28" t="s">
        <v>231</v>
      </c>
      <c r="B15" s="29" t="s">
        <v>310</v>
      </c>
      <c r="C15" s="29" t="s">
        <v>52</v>
      </c>
      <c r="D15" s="29" t="s">
        <v>54</v>
      </c>
      <c r="E15" s="29" t="s">
        <v>62</v>
      </c>
      <c r="F15" s="29" t="s">
        <v>316</v>
      </c>
      <c r="G15" s="30" t="s">
        <v>312</v>
      </c>
      <c r="H15" s="31"/>
      <c r="I15" s="31">
        <v>0</v>
      </c>
      <c r="J15" s="32" t="str">
        <f t="shared" si="8"/>
        <v/>
      </c>
      <c r="K15" s="31"/>
      <c r="L15" s="31">
        <v>0</v>
      </c>
      <c r="M15" s="32" t="str">
        <f t="shared" si="9"/>
        <v/>
      </c>
      <c r="N15" s="31"/>
      <c r="O15" s="31">
        <v>0</v>
      </c>
      <c r="P15" s="32" t="str">
        <f t="shared" si="10"/>
        <v/>
      </c>
      <c r="Q15" s="31"/>
      <c r="R15" s="31">
        <v>0</v>
      </c>
      <c r="S15" s="32" t="str">
        <f t="shared" si="11"/>
        <v/>
      </c>
      <c r="T15" s="31"/>
      <c r="U15" s="31">
        <v>53.65</v>
      </c>
      <c r="V15" s="32" t="str">
        <f t="shared" si="12"/>
        <v/>
      </c>
      <c r="W15" s="31"/>
      <c r="X15" s="31">
        <v>19460.310000000001</v>
      </c>
      <c r="Y15" s="32" t="str">
        <f t="shared" si="13"/>
        <v/>
      </c>
      <c r="Z15" s="31" t="str">
        <f t="shared" si="0"/>
        <v/>
      </c>
      <c r="AA15" s="31">
        <f t="shared" si="1"/>
        <v>19513.960000000003</v>
      </c>
      <c r="AB15" s="32" t="str">
        <f t="shared" si="14"/>
        <v/>
      </c>
      <c r="AC15" s="31"/>
      <c r="AD15" s="31"/>
      <c r="AE15" s="32" t="str">
        <f t="shared" si="2"/>
        <v/>
      </c>
      <c r="AF15" s="32" t="s">
        <v>313</v>
      </c>
      <c r="AG15" s="31"/>
      <c r="AH15" s="31"/>
      <c r="AI15" s="32" t="str">
        <f t="shared" si="3"/>
        <v/>
      </c>
      <c r="AJ15" s="32" t="s">
        <v>313</v>
      </c>
      <c r="AK15" s="31"/>
      <c r="AL15" s="31"/>
      <c r="AM15" s="32" t="str">
        <f t="shared" si="4"/>
        <v/>
      </c>
      <c r="AN15" s="32" t="s">
        <v>313</v>
      </c>
      <c r="AO15" s="31"/>
      <c r="AP15" s="31"/>
      <c r="AQ15" s="32" t="str">
        <f t="shared" si="5"/>
        <v/>
      </c>
      <c r="AR15" s="32" t="s">
        <v>313</v>
      </c>
      <c r="AS15" s="31"/>
      <c r="AT15" s="31"/>
      <c r="AU15" s="32" t="str">
        <f t="shared" si="6"/>
        <v/>
      </c>
      <c r="AV15" s="32" t="s">
        <v>313</v>
      </c>
      <c r="AW15" s="31"/>
      <c r="AX15" s="31"/>
      <c r="AY15" s="32" t="str">
        <f t="shared" si="7"/>
        <v/>
      </c>
      <c r="AZ15" s="32" t="s">
        <v>313</v>
      </c>
    </row>
    <row r="16" spans="1:52" ht="34" customHeight="1">
      <c r="A16" s="28" t="s">
        <v>231</v>
      </c>
      <c r="B16" s="29" t="s">
        <v>310</v>
      </c>
      <c r="C16" s="29" t="s">
        <v>52</v>
      </c>
      <c r="D16" s="29" t="s">
        <v>54</v>
      </c>
      <c r="E16" s="29" t="s">
        <v>63</v>
      </c>
      <c r="F16" s="29" t="s">
        <v>316</v>
      </c>
      <c r="G16" s="30" t="s">
        <v>312</v>
      </c>
      <c r="H16" s="31"/>
      <c r="I16" s="31">
        <v>0</v>
      </c>
      <c r="J16" s="32" t="str">
        <f t="shared" si="8"/>
        <v/>
      </c>
      <c r="K16" s="31"/>
      <c r="L16" s="31">
        <v>0</v>
      </c>
      <c r="M16" s="32" t="str">
        <f t="shared" si="9"/>
        <v/>
      </c>
      <c r="N16" s="31"/>
      <c r="O16" s="31">
        <v>0</v>
      </c>
      <c r="P16" s="32" t="str">
        <f t="shared" si="10"/>
        <v/>
      </c>
      <c r="Q16" s="31"/>
      <c r="R16" s="31">
        <v>0</v>
      </c>
      <c r="S16" s="32" t="str">
        <f t="shared" si="11"/>
        <v/>
      </c>
      <c r="T16" s="31"/>
      <c r="U16" s="31">
        <v>53.65</v>
      </c>
      <c r="V16" s="32" t="str">
        <f t="shared" si="12"/>
        <v/>
      </c>
      <c r="W16" s="31"/>
      <c r="X16" s="31">
        <v>19460.310000000001</v>
      </c>
      <c r="Y16" s="32" t="str">
        <f t="shared" si="13"/>
        <v/>
      </c>
      <c r="Z16" s="31" t="str">
        <f t="shared" si="0"/>
        <v/>
      </c>
      <c r="AA16" s="31">
        <f t="shared" si="1"/>
        <v>19513.960000000003</v>
      </c>
      <c r="AB16" s="32" t="str">
        <f t="shared" si="14"/>
        <v/>
      </c>
      <c r="AC16" s="31"/>
      <c r="AD16" s="31"/>
      <c r="AE16" s="32" t="str">
        <f t="shared" si="2"/>
        <v/>
      </c>
      <c r="AF16" s="32" t="s">
        <v>313</v>
      </c>
      <c r="AG16" s="31"/>
      <c r="AH16" s="31"/>
      <c r="AI16" s="32" t="str">
        <f t="shared" si="3"/>
        <v/>
      </c>
      <c r="AJ16" s="32" t="s">
        <v>313</v>
      </c>
      <c r="AK16" s="31"/>
      <c r="AL16" s="31"/>
      <c r="AM16" s="32" t="str">
        <f t="shared" si="4"/>
        <v/>
      </c>
      <c r="AN16" s="32" t="s">
        <v>313</v>
      </c>
      <c r="AO16" s="31"/>
      <c r="AP16" s="31"/>
      <c r="AQ16" s="32" t="str">
        <f t="shared" si="5"/>
        <v/>
      </c>
      <c r="AR16" s="32" t="s">
        <v>313</v>
      </c>
      <c r="AS16" s="31"/>
      <c r="AT16" s="31"/>
      <c r="AU16" s="32" t="str">
        <f t="shared" si="6"/>
        <v/>
      </c>
      <c r="AV16" s="32" t="s">
        <v>313</v>
      </c>
      <c r="AW16" s="31"/>
      <c r="AX16" s="31"/>
      <c r="AY16" s="32" t="str">
        <f t="shared" si="7"/>
        <v/>
      </c>
      <c r="AZ16" s="32" t="s">
        <v>313</v>
      </c>
    </row>
    <row r="17" spans="1:52" ht="34" customHeight="1">
      <c r="A17" s="28" t="s">
        <v>231</v>
      </c>
      <c r="B17" s="29" t="s">
        <v>310</v>
      </c>
      <c r="C17" s="29" t="s">
        <v>52</v>
      </c>
      <c r="D17" s="29" t="s">
        <v>65</v>
      </c>
      <c r="E17" s="29" t="s">
        <v>66</v>
      </c>
      <c r="F17" s="29" t="s">
        <v>316</v>
      </c>
      <c r="G17" s="30" t="s">
        <v>312</v>
      </c>
      <c r="H17" s="31"/>
      <c r="I17" s="31">
        <v>0</v>
      </c>
      <c r="J17" s="32" t="str">
        <f t="shared" si="8"/>
        <v/>
      </c>
      <c r="K17" s="31"/>
      <c r="L17" s="31">
        <v>0</v>
      </c>
      <c r="M17" s="32" t="str">
        <f t="shared" si="9"/>
        <v/>
      </c>
      <c r="N17" s="31"/>
      <c r="O17" s="31">
        <v>0</v>
      </c>
      <c r="P17" s="32" t="str">
        <f t="shared" si="10"/>
        <v/>
      </c>
      <c r="Q17" s="31"/>
      <c r="R17" s="31">
        <v>0</v>
      </c>
      <c r="S17" s="32" t="str">
        <f t="shared" si="11"/>
        <v/>
      </c>
      <c r="T17" s="31"/>
      <c r="U17" s="31">
        <v>53.65</v>
      </c>
      <c r="V17" s="32" t="str">
        <f t="shared" si="12"/>
        <v/>
      </c>
      <c r="W17" s="31"/>
      <c r="X17" s="31">
        <v>19460.310000000001</v>
      </c>
      <c r="Y17" s="32" t="str">
        <f t="shared" si="13"/>
        <v/>
      </c>
      <c r="Z17" s="31" t="str">
        <f t="shared" si="0"/>
        <v/>
      </c>
      <c r="AA17" s="31">
        <f t="shared" si="1"/>
        <v>19513.960000000003</v>
      </c>
      <c r="AB17" s="32" t="str">
        <f t="shared" si="14"/>
        <v/>
      </c>
      <c r="AC17" s="31"/>
      <c r="AD17" s="31"/>
      <c r="AE17" s="32" t="str">
        <f t="shared" si="2"/>
        <v/>
      </c>
      <c r="AF17" s="32" t="s">
        <v>313</v>
      </c>
      <c r="AG17" s="31"/>
      <c r="AH17" s="31"/>
      <c r="AI17" s="32" t="str">
        <f t="shared" si="3"/>
        <v/>
      </c>
      <c r="AJ17" s="32" t="s">
        <v>313</v>
      </c>
      <c r="AK17" s="31"/>
      <c r="AL17" s="31"/>
      <c r="AM17" s="32" t="str">
        <f t="shared" si="4"/>
        <v/>
      </c>
      <c r="AN17" s="32" t="s">
        <v>313</v>
      </c>
      <c r="AO17" s="31"/>
      <c r="AP17" s="31"/>
      <c r="AQ17" s="32" t="str">
        <f t="shared" si="5"/>
        <v/>
      </c>
      <c r="AR17" s="32" t="s">
        <v>313</v>
      </c>
      <c r="AS17" s="31"/>
      <c r="AT17" s="31"/>
      <c r="AU17" s="32" t="str">
        <f t="shared" si="6"/>
        <v/>
      </c>
      <c r="AV17" s="32" t="s">
        <v>313</v>
      </c>
      <c r="AW17" s="31"/>
      <c r="AX17" s="31"/>
      <c r="AY17" s="32" t="str">
        <f t="shared" si="7"/>
        <v/>
      </c>
      <c r="AZ17" s="32" t="s">
        <v>313</v>
      </c>
    </row>
    <row r="18" spans="1:52" ht="34" customHeight="1">
      <c r="A18" s="28" t="s">
        <v>231</v>
      </c>
      <c r="B18" s="29" t="s">
        <v>310</v>
      </c>
      <c r="C18" s="29" t="s">
        <v>52</v>
      </c>
      <c r="D18" s="29" t="s">
        <v>65</v>
      </c>
      <c r="E18" s="29" t="s">
        <v>67</v>
      </c>
      <c r="F18" s="29" t="s">
        <v>316</v>
      </c>
      <c r="G18" s="30" t="s">
        <v>312</v>
      </c>
      <c r="H18" s="31"/>
      <c r="I18" s="31">
        <v>0</v>
      </c>
      <c r="J18" s="32" t="str">
        <f t="shared" si="8"/>
        <v/>
      </c>
      <c r="K18" s="31"/>
      <c r="L18" s="31">
        <v>0</v>
      </c>
      <c r="M18" s="32" t="str">
        <f t="shared" si="9"/>
        <v/>
      </c>
      <c r="N18" s="31"/>
      <c r="O18" s="31">
        <v>0</v>
      </c>
      <c r="P18" s="32" t="str">
        <f t="shared" si="10"/>
        <v/>
      </c>
      <c r="Q18" s="31"/>
      <c r="R18" s="31">
        <v>0</v>
      </c>
      <c r="S18" s="32" t="str">
        <f t="shared" si="11"/>
        <v/>
      </c>
      <c r="T18" s="31"/>
      <c r="U18" s="31">
        <v>53.65</v>
      </c>
      <c r="V18" s="32" t="str">
        <f t="shared" si="12"/>
        <v/>
      </c>
      <c r="W18" s="31"/>
      <c r="X18" s="31">
        <v>19460.310000000001</v>
      </c>
      <c r="Y18" s="32" t="str">
        <f t="shared" si="13"/>
        <v/>
      </c>
      <c r="Z18" s="31" t="str">
        <f t="shared" si="0"/>
        <v/>
      </c>
      <c r="AA18" s="31">
        <f t="shared" si="1"/>
        <v>19513.960000000003</v>
      </c>
      <c r="AB18" s="32" t="str">
        <f t="shared" si="14"/>
        <v/>
      </c>
      <c r="AC18" s="31"/>
      <c r="AD18" s="31"/>
      <c r="AE18" s="32" t="str">
        <f t="shared" si="2"/>
        <v/>
      </c>
      <c r="AF18" s="32" t="s">
        <v>313</v>
      </c>
      <c r="AG18" s="31"/>
      <c r="AH18" s="31"/>
      <c r="AI18" s="32" t="str">
        <f t="shared" si="3"/>
        <v/>
      </c>
      <c r="AJ18" s="32" t="s">
        <v>313</v>
      </c>
      <c r="AK18" s="31"/>
      <c r="AL18" s="31"/>
      <c r="AM18" s="32" t="str">
        <f t="shared" si="4"/>
        <v/>
      </c>
      <c r="AN18" s="32" t="s">
        <v>313</v>
      </c>
      <c r="AO18" s="31"/>
      <c r="AP18" s="31"/>
      <c r="AQ18" s="32" t="str">
        <f t="shared" si="5"/>
        <v/>
      </c>
      <c r="AR18" s="32" t="s">
        <v>313</v>
      </c>
      <c r="AS18" s="31"/>
      <c r="AT18" s="31"/>
      <c r="AU18" s="32" t="str">
        <f t="shared" si="6"/>
        <v/>
      </c>
      <c r="AV18" s="32" t="s">
        <v>313</v>
      </c>
      <c r="AW18" s="31"/>
      <c r="AX18" s="31"/>
      <c r="AY18" s="32" t="str">
        <f t="shared" si="7"/>
        <v/>
      </c>
      <c r="AZ18" s="32" t="s">
        <v>313</v>
      </c>
    </row>
    <row r="19" spans="1:52" ht="34" customHeight="1">
      <c r="A19" s="28" t="s">
        <v>231</v>
      </c>
      <c r="B19" s="29" t="s">
        <v>310</v>
      </c>
      <c r="C19" s="29" t="s">
        <v>52</v>
      </c>
      <c r="D19" s="29" t="s">
        <v>65</v>
      </c>
      <c r="E19" s="29" t="s">
        <v>68</v>
      </c>
      <c r="F19" s="29" t="s">
        <v>316</v>
      </c>
      <c r="G19" s="30" t="s">
        <v>312</v>
      </c>
      <c r="H19" s="31"/>
      <c r="I19" s="31">
        <v>0</v>
      </c>
      <c r="J19" s="32" t="str">
        <f t="shared" si="8"/>
        <v/>
      </c>
      <c r="K19" s="31"/>
      <c r="L19" s="31">
        <v>0</v>
      </c>
      <c r="M19" s="32" t="str">
        <f t="shared" si="9"/>
        <v/>
      </c>
      <c r="N19" s="31"/>
      <c r="O19" s="31">
        <v>0</v>
      </c>
      <c r="P19" s="32" t="str">
        <f t="shared" si="10"/>
        <v/>
      </c>
      <c r="Q19" s="31"/>
      <c r="R19" s="31">
        <v>0</v>
      </c>
      <c r="S19" s="32" t="str">
        <f t="shared" si="11"/>
        <v/>
      </c>
      <c r="T19" s="31"/>
      <c r="U19" s="31">
        <v>53.65</v>
      </c>
      <c r="V19" s="32" t="str">
        <f t="shared" si="12"/>
        <v/>
      </c>
      <c r="W19" s="31"/>
      <c r="X19" s="31">
        <v>19460.310000000001</v>
      </c>
      <c r="Y19" s="32" t="str">
        <f t="shared" si="13"/>
        <v/>
      </c>
      <c r="Z19" s="31" t="str">
        <f t="shared" si="0"/>
        <v/>
      </c>
      <c r="AA19" s="31">
        <f t="shared" si="1"/>
        <v>19513.960000000003</v>
      </c>
      <c r="AB19" s="32" t="str">
        <f t="shared" si="14"/>
        <v/>
      </c>
      <c r="AC19" s="31"/>
      <c r="AD19" s="31"/>
      <c r="AE19" s="32" t="str">
        <f t="shared" si="2"/>
        <v/>
      </c>
      <c r="AF19" s="32" t="s">
        <v>313</v>
      </c>
      <c r="AG19" s="31"/>
      <c r="AH19" s="31"/>
      <c r="AI19" s="32" t="str">
        <f t="shared" si="3"/>
        <v/>
      </c>
      <c r="AJ19" s="32" t="s">
        <v>313</v>
      </c>
      <c r="AK19" s="31"/>
      <c r="AL19" s="31"/>
      <c r="AM19" s="32" t="str">
        <f t="shared" si="4"/>
        <v/>
      </c>
      <c r="AN19" s="32" t="s">
        <v>313</v>
      </c>
      <c r="AO19" s="31"/>
      <c r="AP19" s="31"/>
      <c r="AQ19" s="32" t="str">
        <f t="shared" si="5"/>
        <v/>
      </c>
      <c r="AR19" s="32" t="s">
        <v>313</v>
      </c>
      <c r="AS19" s="31"/>
      <c r="AT19" s="31"/>
      <c r="AU19" s="32" t="str">
        <f t="shared" si="6"/>
        <v/>
      </c>
      <c r="AV19" s="32" t="s">
        <v>313</v>
      </c>
      <c r="AW19" s="31"/>
      <c r="AX19" s="31"/>
      <c r="AY19" s="32" t="str">
        <f t="shared" si="7"/>
        <v/>
      </c>
      <c r="AZ19" s="32" t="s">
        <v>313</v>
      </c>
    </row>
    <row r="20" spans="1:52" ht="34" customHeight="1">
      <c r="A20" s="28" t="s">
        <v>231</v>
      </c>
      <c r="B20" s="29" t="s">
        <v>310</v>
      </c>
      <c r="C20" s="29" t="s">
        <v>52</v>
      </c>
      <c r="D20" s="29" t="s">
        <v>65</v>
      </c>
      <c r="E20" s="29" t="s">
        <v>69</v>
      </c>
      <c r="F20" s="29" t="s">
        <v>316</v>
      </c>
      <c r="G20" s="30" t="s">
        <v>312</v>
      </c>
      <c r="H20" s="31"/>
      <c r="I20" s="31">
        <v>0</v>
      </c>
      <c r="J20" s="32" t="str">
        <f t="shared" si="8"/>
        <v/>
      </c>
      <c r="K20" s="31"/>
      <c r="L20" s="31">
        <v>0</v>
      </c>
      <c r="M20" s="32" t="str">
        <f t="shared" si="9"/>
        <v/>
      </c>
      <c r="N20" s="31"/>
      <c r="O20" s="31">
        <v>0</v>
      </c>
      <c r="P20" s="32" t="str">
        <f t="shared" si="10"/>
        <v/>
      </c>
      <c r="Q20" s="31"/>
      <c r="R20" s="31">
        <v>0</v>
      </c>
      <c r="S20" s="32" t="str">
        <f t="shared" si="11"/>
        <v/>
      </c>
      <c r="T20" s="31"/>
      <c r="U20" s="31">
        <v>53.65</v>
      </c>
      <c r="V20" s="32" t="str">
        <f t="shared" si="12"/>
        <v/>
      </c>
      <c r="W20" s="31"/>
      <c r="X20" s="31">
        <v>19460.310000000001</v>
      </c>
      <c r="Y20" s="32" t="str">
        <f t="shared" si="13"/>
        <v/>
      </c>
      <c r="Z20" s="31" t="str">
        <f t="shared" si="0"/>
        <v/>
      </c>
      <c r="AA20" s="31">
        <f t="shared" si="1"/>
        <v>19513.960000000003</v>
      </c>
      <c r="AB20" s="32" t="str">
        <f t="shared" si="14"/>
        <v/>
      </c>
      <c r="AC20" s="31"/>
      <c r="AD20" s="31"/>
      <c r="AE20" s="32" t="str">
        <f t="shared" si="2"/>
        <v/>
      </c>
      <c r="AF20" s="32" t="s">
        <v>313</v>
      </c>
      <c r="AG20" s="31"/>
      <c r="AH20" s="31"/>
      <c r="AI20" s="32" t="str">
        <f t="shared" si="3"/>
        <v/>
      </c>
      <c r="AJ20" s="32" t="s">
        <v>313</v>
      </c>
      <c r="AK20" s="31"/>
      <c r="AL20" s="31"/>
      <c r="AM20" s="32" t="str">
        <f t="shared" si="4"/>
        <v/>
      </c>
      <c r="AN20" s="32" t="s">
        <v>313</v>
      </c>
      <c r="AO20" s="31"/>
      <c r="AP20" s="31"/>
      <c r="AQ20" s="32" t="str">
        <f t="shared" si="5"/>
        <v/>
      </c>
      <c r="AR20" s="32" t="s">
        <v>313</v>
      </c>
      <c r="AS20" s="31"/>
      <c r="AT20" s="31"/>
      <c r="AU20" s="32" t="str">
        <f t="shared" si="6"/>
        <v/>
      </c>
      <c r="AV20" s="32" t="s">
        <v>313</v>
      </c>
      <c r="AW20" s="31"/>
      <c r="AX20" s="31"/>
      <c r="AY20" s="32" t="str">
        <f t="shared" si="7"/>
        <v/>
      </c>
      <c r="AZ20" s="32" t="s">
        <v>313</v>
      </c>
    </row>
    <row r="21" spans="1:52" ht="68" customHeight="1">
      <c r="A21" s="28" t="s">
        <v>231</v>
      </c>
      <c r="B21" s="29" t="s">
        <v>310</v>
      </c>
      <c r="C21" s="29" t="s">
        <v>52</v>
      </c>
      <c r="D21" s="29" t="s">
        <v>70</v>
      </c>
      <c r="E21" s="29" t="s">
        <v>73</v>
      </c>
      <c r="F21" s="29" t="s">
        <v>317</v>
      </c>
      <c r="G21" s="30" t="s">
        <v>312</v>
      </c>
      <c r="H21" s="31">
        <v>0</v>
      </c>
      <c r="I21" s="31">
        <v>0</v>
      </c>
      <c r="J21" s="32" t="str">
        <f t="shared" si="8"/>
        <v/>
      </c>
      <c r="K21" s="31">
        <v>0</v>
      </c>
      <c r="L21" s="31">
        <v>0</v>
      </c>
      <c r="M21" s="32" t="str">
        <f t="shared" si="9"/>
        <v/>
      </c>
      <c r="N21" s="31">
        <v>0</v>
      </c>
      <c r="O21" s="31">
        <v>0</v>
      </c>
      <c r="P21" s="32" t="str">
        <f t="shared" si="10"/>
        <v/>
      </c>
      <c r="Q21" s="31">
        <v>0</v>
      </c>
      <c r="R21" s="31">
        <v>0</v>
      </c>
      <c r="S21" s="32" t="str">
        <f t="shared" si="11"/>
        <v/>
      </c>
      <c r="T21" s="31">
        <v>41.2</v>
      </c>
      <c r="U21" s="31">
        <v>53.65</v>
      </c>
      <c r="V21" s="32">
        <f t="shared" si="12"/>
        <v>0.76794035414725081</v>
      </c>
      <c r="W21" s="31">
        <v>1273.08</v>
      </c>
      <c r="X21" s="31">
        <v>19460.310000000001</v>
      </c>
      <c r="Y21" s="32">
        <f t="shared" si="13"/>
        <v>6.5419307297776855E-2</v>
      </c>
      <c r="Z21" s="31">
        <f t="shared" si="0"/>
        <v>1314.28</v>
      </c>
      <c r="AA21" s="31">
        <f t="shared" si="1"/>
        <v>19513.960000000003</v>
      </c>
      <c r="AB21" s="32">
        <f t="shared" si="14"/>
        <v>6.7350758123927684E-2</v>
      </c>
      <c r="AC21" s="31"/>
      <c r="AD21" s="31"/>
      <c r="AE21" s="32" t="str">
        <f t="shared" si="2"/>
        <v/>
      </c>
      <c r="AF21" s="32" t="s">
        <v>313</v>
      </c>
      <c r="AG21" s="31"/>
      <c r="AH21" s="31"/>
      <c r="AI21" s="32" t="str">
        <f t="shared" si="3"/>
        <v/>
      </c>
      <c r="AJ21" s="32" t="s">
        <v>313</v>
      </c>
      <c r="AK21" s="31"/>
      <c r="AL21" s="31"/>
      <c r="AM21" s="32" t="str">
        <f t="shared" si="4"/>
        <v/>
      </c>
      <c r="AN21" s="32" t="s">
        <v>313</v>
      </c>
      <c r="AO21" s="31"/>
      <c r="AP21" s="31"/>
      <c r="AQ21" s="32" t="str">
        <f t="shared" si="5"/>
        <v/>
      </c>
      <c r="AR21" s="32" t="s">
        <v>313</v>
      </c>
      <c r="AS21" s="31"/>
      <c r="AT21" s="31"/>
      <c r="AU21" s="32" t="str">
        <f t="shared" si="6"/>
        <v/>
      </c>
      <c r="AV21" s="32" t="s">
        <v>313</v>
      </c>
      <c r="AW21" s="31"/>
      <c r="AX21" s="31"/>
      <c r="AY21" s="32" t="str">
        <f t="shared" si="7"/>
        <v/>
      </c>
      <c r="AZ21" s="32" t="s">
        <v>313</v>
      </c>
    </row>
    <row r="22" spans="1:52" ht="34" customHeight="1">
      <c r="A22" s="28" t="s">
        <v>231</v>
      </c>
      <c r="B22" s="29" t="s">
        <v>310</v>
      </c>
      <c r="C22" s="29" t="s">
        <v>52</v>
      </c>
      <c r="D22" s="29" t="s">
        <v>70</v>
      </c>
      <c r="E22" s="29" t="s">
        <v>71</v>
      </c>
      <c r="F22" s="29" t="s">
        <v>316</v>
      </c>
      <c r="G22" s="30" t="s">
        <v>312</v>
      </c>
      <c r="H22" s="31"/>
      <c r="I22" s="31">
        <v>0</v>
      </c>
      <c r="J22" s="32" t="str">
        <f t="shared" si="8"/>
        <v/>
      </c>
      <c r="K22" s="31"/>
      <c r="L22" s="31">
        <v>0</v>
      </c>
      <c r="M22" s="32" t="str">
        <f t="shared" si="9"/>
        <v/>
      </c>
      <c r="N22" s="31"/>
      <c r="O22" s="31">
        <v>0</v>
      </c>
      <c r="P22" s="32" t="str">
        <f t="shared" si="10"/>
        <v/>
      </c>
      <c r="Q22" s="31"/>
      <c r="R22" s="31">
        <v>0</v>
      </c>
      <c r="S22" s="32" t="str">
        <f t="shared" si="11"/>
        <v/>
      </c>
      <c r="T22" s="31"/>
      <c r="U22" s="31">
        <v>53.65</v>
      </c>
      <c r="V22" s="32" t="str">
        <f t="shared" si="12"/>
        <v/>
      </c>
      <c r="W22" s="31"/>
      <c r="X22" s="31">
        <v>19460.310000000001</v>
      </c>
      <c r="Y22" s="32" t="str">
        <f t="shared" si="13"/>
        <v/>
      </c>
      <c r="Z22" s="31" t="str">
        <f t="shared" si="0"/>
        <v/>
      </c>
      <c r="AA22" s="31">
        <f t="shared" si="1"/>
        <v>19513.960000000003</v>
      </c>
      <c r="AB22" s="32" t="str">
        <f t="shared" si="14"/>
        <v/>
      </c>
      <c r="AC22" s="31"/>
      <c r="AD22" s="31"/>
      <c r="AE22" s="32" t="str">
        <f t="shared" si="2"/>
        <v/>
      </c>
      <c r="AF22" s="32" t="s">
        <v>313</v>
      </c>
      <c r="AG22" s="31"/>
      <c r="AH22" s="31"/>
      <c r="AI22" s="32" t="str">
        <f t="shared" si="3"/>
        <v/>
      </c>
      <c r="AJ22" s="32" t="s">
        <v>313</v>
      </c>
      <c r="AK22" s="31"/>
      <c r="AL22" s="31"/>
      <c r="AM22" s="32" t="str">
        <f t="shared" si="4"/>
        <v/>
      </c>
      <c r="AN22" s="32" t="s">
        <v>313</v>
      </c>
      <c r="AO22" s="31"/>
      <c r="AP22" s="31"/>
      <c r="AQ22" s="32" t="str">
        <f t="shared" si="5"/>
        <v/>
      </c>
      <c r="AR22" s="32" t="s">
        <v>313</v>
      </c>
      <c r="AS22" s="31"/>
      <c r="AT22" s="31"/>
      <c r="AU22" s="32" t="str">
        <f t="shared" si="6"/>
        <v/>
      </c>
      <c r="AV22" s="32" t="s">
        <v>313</v>
      </c>
      <c r="AW22" s="31"/>
      <c r="AX22" s="31"/>
      <c r="AY22" s="32" t="str">
        <f t="shared" si="7"/>
        <v/>
      </c>
      <c r="AZ22" s="32" t="s">
        <v>313</v>
      </c>
    </row>
    <row r="23" spans="1:52" ht="34" customHeight="1">
      <c r="A23" s="28" t="s">
        <v>231</v>
      </c>
      <c r="B23" s="29" t="s">
        <v>310</v>
      </c>
      <c r="C23" s="29" t="s">
        <v>52</v>
      </c>
      <c r="D23" s="29" t="s">
        <v>70</v>
      </c>
      <c r="E23" s="29" t="s">
        <v>72</v>
      </c>
      <c r="F23" s="29" t="s">
        <v>316</v>
      </c>
      <c r="G23" s="30" t="s">
        <v>312</v>
      </c>
      <c r="H23" s="31"/>
      <c r="I23" s="31">
        <v>0</v>
      </c>
      <c r="J23" s="32" t="str">
        <f t="shared" si="8"/>
        <v/>
      </c>
      <c r="K23" s="31"/>
      <c r="L23" s="31">
        <v>0</v>
      </c>
      <c r="M23" s="32" t="str">
        <f t="shared" si="9"/>
        <v/>
      </c>
      <c r="N23" s="31"/>
      <c r="O23" s="31">
        <v>0</v>
      </c>
      <c r="P23" s="32" t="str">
        <f t="shared" si="10"/>
        <v/>
      </c>
      <c r="Q23" s="31"/>
      <c r="R23" s="31">
        <v>0</v>
      </c>
      <c r="S23" s="32" t="str">
        <f t="shared" si="11"/>
        <v/>
      </c>
      <c r="T23" s="31"/>
      <c r="U23" s="31">
        <v>53.65</v>
      </c>
      <c r="V23" s="32" t="str">
        <f t="shared" si="12"/>
        <v/>
      </c>
      <c r="W23" s="31"/>
      <c r="X23" s="31">
        <v>19460.310000000001</v>
      </c>
      <c r="Y23" s="32" t="str">
        <f t="shared" si="13"/>
        <v/>
      </c>
      <c r="Z23" s="31" t="str">
        <f t="shared" si="0"/>
        <v/>
      </c>
      <c r="AA23" s="31">
        <f t="shared" si="1"/>
        <v>19513.960000000003</v>
      </c>
      <c r="AB23" s="32" t="str">
        <f t="shared" si="14"/>
        <v/>
      </c>
      <c r="AC23" s="31"/>
      <c r="AD23" s="31"/>
      <c r="AE23" s="32" t="str">
        <f t="shared" si="2"/>
        <v/>
      </c>
      <c r="AF23" s="32" t="s">
        <v>313</v>
      </c>
      <c r="AG23" s="31"/>
      <c r="AH23" s="31"/>
      <c r="AI23" s="32" t="str">
        <f t="shared" si="3"/>
        <v/>
      </c>
      <c r="AJ23" s="32" t="s">
        <v>313</v>
      </c>
      <c r="AK23" s="31"/>
      <c r="AL23" s="31"/>
      <c r="AM23" s="32" t="str">
        <f t="shared" si="4"/>
        <v/>
      </c>
      <c r="AN23" s="32" t="s">
        <v>313</v>
      </c>
      <c r="AO23" s="31"/>
      <c r="AP23" s="31"/>
      <c r="AQ23" s="32" t="str">
        <f t="shared" si="5"/>
        <v/>
      </c>
      <c r="AR23" s="32" t="s">
        <v>313</v>
      </c>
      <c r="AS23" s="31"/>
      <c r="AT23" s="31"/>
      <c r="AU23" s="32" t="str">
        <f t="shared" si="6"/>
        <v/>
      </c>
      <c r="AV23" s="32" t="s">
        <v>313</v>
      </c>
      <c r="AW23" s="31"/>
      <c r="AX23" s="31"/>
      <c r="AY23" s="32" t="str">
        <f t="shared" si="7"/>
        <v/>
      </c>
      <c r="AZ23" s="32" t="s">
        <v>313</v>
      </c>
    </row>
    <row r="24" spans="1:52" ht="34" customHeight="1">
      <c r="A24" s="28" t="s">
        <v>231</v>
      </c>
      <c r="B24" s="29" t="s">
        <v>310</v>
      </c>
      <c r="C24" s="29" t="s">
        <v>52</v>
      </c>
      <c r="D24" s="29" t="s">
        <v>74</v>
      </c>
      <c r="E24" s="29" t="s">
        <v>75</v>
      </c>
      <c r="F24" s="29" t="s">
        <v>139</v>
      </c>
      <c r="G24" s="30" t="s">
        <v>312</v>
      </c>
      <c r="H24" s="31">
        <v>0</v>
      </c>
      <c r="I24" s="31">
        <v>0</v>
      </c>
      <c r="J24" s="32" t="str">
        <f t="shared" si="8"/>
        <v/>
      </c>
      <c r="K24" s="31">
        <v>0</v>
      </c>
      <c r="L24" s="31">
        <v>0</v>
      </c>
      <c r="M24" s="32" t="str">
        <f t="shared" si="9"/>
        <v/>
      </c>
      <c r="N24" s="31">
        <v>0</v>
      </c>
      <c r="O24" s="31">
        <v>0</v>
      </c>
      <c r="P24" s="32" t="str">
        <f t="shared" si="10"/>
        <v/>
      </c>
      <c r="Q24" s="31">
        <v>0</v>
      </c>
      <c r="R24" s="31">
        <v>0</v>
      </c>
      <c r="S24" s="32" t="str">
        <f t="shared" si="11"/>
        <v/>
      </c>
      <c r="T24" s="31">
        <v>0</v>
      </c>
      <c r="U24" s="31">
        <v>53.65</v>
      </c>
      <c r="V24" s="32">
        <f t="shared" si="12"/>
        <v>0</v>
      </c>
      <c r="W24" s="31">
        <v>0</v>
      </c>
      <c r="X24" s="31">
        <v>19460.310000000001</v>
      </c>
      <c r="Y24" s="32">
        <f t="shared" si="13"/>
        <v>0</v>
      </c>
      <c r="Z24" s="31">
        <f t="shared" si="0"/>
        <v>0</v>
      </c>
      <c r="AA24" s="31">
        <f t="shared" si="1"/>
        <v>19513.960000000003</v>
      </c>
      <c r="AB24" s="32">
        <f t="shared" si="14"/>
        <v>0</v>
      </c>
      <c r="AC24" s="31"/>
      <c r="AD24" s="31"/>
      <c r="AE24" s="32" t="str">
        <f t="shared" si="2"/>
        <v/>
      </c>
      <c r="AF24" s="32" t="s">
        <v>313</v>
      </c>
      <c r="AG24" s="31"/>
      <c r="AH24" s="31"/>
      <c r="AI24" s="32" t="str">
        <f t="shared" si="3"/>
        <v/>
      </c>
      <c r="AJ24" s="32" t="s">
        <v>313</v>
      </c>
      <c r="AK24" s="31"/>
      <c r="AL24" s="31"/>
      <c r="AM24" s="32" t="str">
        <f t="shared" si="4"/>
        <v/>
      </c>
      <c r="AN24" s="32" t="s">
        <v>313</v>
      </c>
      <c r="AO24" s="31"/>
      <c r="AP24" s="31"/>
      <c r="AQ24" s="32" t="str">
        <f t="shared" si="5"/>
        <v/>
      </c>
      <c r="AR24" s="32" t="s">
        <v>313</v>
      </c>
      <c r="AS24" s="31"/>
      <c r="AT24" s="31"/>
      <c r="AU24" s="32" t="str">
        <f t="shared" si="6"/>
        <v/>
      </c>
      <c r="AV24" s="32" t="s">
        <v>313</v>
      </c>
      <c r="AW24" s="31"/>
      <c r="AX24" s="31"/>
      <c r="AY24" s="32" t="str">
        <f t="shared" si="7"/>
        <v/>
      </c>
      <c r="AZ24" s="32" t="s">
        <v>313</v>
      </c>
    </row>
    <row r="25" spans="1:52" ht="34" customHeight="1">
      <c r="A25" s="28" t="s">
        <v>231</v>
      </c>
      <c r="B25" s="29" t="s">
        <v>310</v>
      </c>
      <c r="C25" s="29" t="s">
        <v>52</v>
      </c>
      <c r="D25" s="29" t="s">
        <v>74</v>
      </c>
      <c r="E25" s="29" t="s">
        <v>76</v>
      </c>
      <c r="F25" s="29" t="s">
        <v>141</v>
      </c>
      <c r="G25" s="30" t="s">
        <v>312</v>
      </c>
      <c r="H25" s="31">
        <v>0</v>
      </c>
      <c r="I25" s="31">
        <v>0</v>
      </c>
      <c r="J25" s="32" t="str">
        <f t="shared" si="8"/>
        <v/>
      </c>
      <c r="K25" s="31">
        <v>0</v>
      </c>
      <c r="L25" s="31">
        <v>0</v>
      </c>
      <c r="M25" s="32" t="str">
        <f t="shared" si="9"/>
        <v/>
      </c>
      <c r="N25" s="31">
        <v>0</v>
      </c>
      <c r="O25" s="31">
        <v>0</v>
      </c>
      <c r="P25" s="32" t="str">
        <f t="shared" si="10"/>
        <v/>
      </c>
      <c r="Q25" s="31">
        <v>0</v>
      </c>
      <c r="R25" s="31">
        <v>0</v>
      </c>
      <c r="S25" s="32" t="str">
        <f t="shared" si="11"/>
        <v/>
      </c>
      <c r="T25" s="31">
        <v>3.65</v>
      </c>
      <c r="U25" s="31">
        <v>53.65</v>
      </c>
      <c r="V25" s="32">
        <f t="shared" si="12"/>
        <v>6.8033550792171479E-2</v>
      </c>
      <c r="W25" s="31">
        <v>317.31</v>
      </c>
      <c r="X25" s="31">
        <v>19460.310000000001</v>
      </c>
      <c r="Y25" s="32">
        <f t="shared" si="13"/>
        <v>1.6305495647294416E-2</v>
      </c>
      <c r="Z25" s="31">
        <f t="shared" si="0"/>
        <v>320.95999999999998</v>
      </c>
      <c r="AA25" s="31">
        <f t="shared" si="1"/>
        <v>19513.960000000003</v>
      </c>
      <c r="AB25" s="32">
        <f t="shared" si="14"/>
        <v>1.644771230442206E-2</v>
      </c>
      <c r="AC25" s="31"/>
      <c r="AD25" s="31"/>
      <c r="AE25" s="32" t="str">
        <f t="shared" si="2"/>
        <v/>
      </c>
      <c r="AF25" s="32" t="s">
        <v>313</v>
      </c>
      <c r="AG25" s="31"/>
      <c r="AH25" s="31"/>
      <c r="AI25" s="32" t="str">
        <f t="shared" si="3"/>
        <v/>
      </c>
      <c r="AJ25" s="32" t="s">
        <v>313</v>
      </c>
      <c r="AK25" s="31"/>
      <c r="AL25" s="31"/>
      <c r="AM25" s="32" t="str">
        <f t="shared" si="4"/>
        <v/>
      </c>
      <c r="AN25" s="32" t="s">
        <v>313</v>
      </c>
      <c r="AO25" s="31"/>
      <c r="AP25" s="31"/>
      <c r="AQ25" s="32" t="str">
        <f t="shared" si="5"/>
        <v/>
      </c>
      <c r="AR25" s="32" t="s">
        <v>313</v>
      </c>
      <c r="AS25" s="31"/>
      <c r="AT25" s="31"/>
      <c r="AU25" s="32" t="str">
        <f t="shared" si="6"/>
        <v/>
      </c>
      <c r="AV25" s="32" t="s">
        <v>313</v>
      </c>
      <c r="AW25" s="31"/>
      <c r="AX25" s="31"/>
      <c r="AY25" s="32" t="str">
        <f t="shared" si="7"/>
        <v/>
      </c>
      <c r="AZ25" s="32" t="s">
        <v>313</v>
      </c>
    </row>
    <row r="26" spans="1:52" ht="34" customHeight="1">
      <c r="A26" s="28" t="s">
        <v>231</v>
      </c>
      <c r="B26" s="29" t="s">
        <v>310</v>
      </c>
      <c r="C26" s="29" t="s">
        <v>52</v>
      </c>
      <c r="D26" s="29" t="s">
        <v>74</v>
      </c>
      <c r="E26" s="29" t="s">
        <v>77</v>
      </c>
      <c r="F26" s="29" t="s">
        <v>316</v>
      </c>
      <c r="G26" s="30" t="s">
        <v>312</v>
      </c>
      <c r="H26" s="31"/>
      <c r="I26" s="31">
        <v>0</v>
      </c>
      <c r="J26" s="32" t="str">
        <f t="shared" si="8"/>
        <v/>
      </c>
      <c r="K26" s="31"/>
      <c r="L26" s="31">
        <v>0</v>
      </c>
      <c r="M26" s="32" t="str">
        <f t="shared" si="9"/>
        <v/>
      </c>
      <c r="N26" s="31"/>
      <c r="O26" s="31">
        <v>0</v>
      </c>
      <c r="P26" s="32" t="str">
        <f t="shared" si="10"/>
        <v/>
      </c>
      <c r="Q26" s="31"/>
      <c r="R26" s="31">
        <v>0</v>
      </c>
      <c r="S26" s="32" t="str">
        <f t="shared" si="11"/>
        <v/>
      </c>
      <c r="T26" s="31"/>
      <c r="U26" s="31">
        <v>53.65</v>
      </c>
      <c r="V26" s="32" t="str">
        <f t="shared" si="12"/>
        <v/>
      </c>
      <c r="W26" s="31"/>
      <c r="X26" s="31">
        <v>19460.310000000001</v>
      </c>
      <c r="Y26" s="32" t="str">
        <f t="shared" si="13"/>
        <v/>
      </c>
      <c r="Z26" s="31" t="str">
        <f t="shared" si="0"/>
        <v/>
      </c>
      <c r="AA26" s="31">
        <f t="shared" si="1"/>
        <v>19513.960000000003</v>
      </c>
      <c r="AB26" s="32" t="str">
        <f t="shared" si="14"/>
        <v/>
      </c>
      <c r="AC26" s="31"/>
      <c r="AD26" s="31"/>
      <c r="AE26" s="32" t="str">
        <f t="shared" si="2"/>
        <v/>
      </c>
      <c r="AF26" s="32" t="s">
        <v>313</v>
      </c>
      <c r="AG26" s="31"/>
      <c r="AH26" s="31"/>
      <c r="AI26" s="32" t="str">
        <f t="shared" si="3"/>
        <v/>
      </c>
      <c r="AJ26" s="32" t="s">
        <v>313</v>
      </c>
      <c r="AK26" s="31"/>
      <c r="AL26" s="31"/>
      <c r="AM26" s="32" t="str">
        <f t="shared" si="4"/>
        <v/>
      </c>
      <c r="AN26" s="32" t="s">
        <v>313</v>
      </c>
      <c r="AO26" s="31"/>
      <c r="AP26" s="31"/>
      <c r="AQ26" s="32" t="str">
        <f t="shared" si="5"/>
        <v/>
      </c>
      <c r="AR26" s="32" t="s">
        <v>313</v>
      </c>
      <c r="AS26" s="31"/>
      <c r="AT26" s="31"/>
      <c r="AU26" s="32" t="str">
        <f t="shared" si="6"/>
        <v/>
      </c>
      <c r="AV26" s="32" t="s">
        <v>313</v>
      </c>
      <c r="AW26" s="31"/>
      <c r="AX26" s="31"/>
      <c r="AY26" s="32" t="str">
        <f t="shared" si="7"/>
        <v/>
      </c>
      <c r="AZ26" s="32" t="s">
        <v>313</v>
      </c>
    </row>
    <row r="27" spans="1:52" ht="34" customHeight="1">
      <c r="A27" s="28" t="s">
        <v>231</v>
      </c>
      <c r="B27" s="29" t="s">
        <v>310</v>
      </c>
      <c r="C27" s="29" t="s">
        <v>52</v>
      </c>
      <c r="D27" s="29" t="s">
        <v>74</v>
      </c>
      <c r="E27" s="29" t="s">
        <v>78</v>
      </c>
      <c r="F27" s="29" t="s">
        <v>144</v>
      </c>
      <c r="G27" s="30" t="s">
        <v>312</v>
      </c>
      <c r="H27" s="31">
        <v>0</v>
      </c>
      <c r="I27" s="31">
        <v>0</v>
      </c>
      <c r="J27" s="32" t="str">
        <f t="shared" si="8"/>
        <v/>
      </c>
      <c r="K27" s="31">
        <v>0</v>
      </c>
      <c r="L27" s="31">
        <v>0</v>
      </c>
      <c r="M27" s="32" t="str">
        <f t="shared" si="9"/>
        <v/>
      </c>
      <c r="N27" s="31">
        <v>0</v>
      </c>
      <c r="O27" s="31">
        <v>0</v>
      </c>
      <c r="P27" s="32" t="str">
        <f t="shared" si="10"/>
        <v/>
      </c>
      <c r="Q27" s="31">
        <v>0</v>
      </c>
      <c r="R27" s="31">
        <v>0</v>
      </c>
      <c r="S27" s="32" t="str">
        <f t="shared" si="11"/>
        <v/>
      </c>
      <c r="T27" s="31">
        <v>0</v>
      </c>
      <c r="U27" s="31">
        <v>53.65</v>
      </c>
      <c r="V27" s="32">
        <f t="shared" si="12"/>
        <v>0</v>
      </c>
      <c r="W27" s="31">
        <v>0</v>
      </c>
      <c r="X27" s="31">
        <v>19460.310000000001</v>
      </c>
      <c r="Y27" s="32">
        <f t="shared" si="13"/>
        <v>0</v>
      </c>
      <c r="Z27" s="31">
        <f t="shared" si="0"/>
        <v>0</v>
      </c>
      <c r="AA27" s="31">
        <f t="shared" si="1"/>
        <v>19513.960000000003</v>
      </c>
      <c r="AB27" s="32">
        <f t="shared" si="14"/>
        <v>0</v>
      </c>
      <c r="AC27" s="31"/>
      <c r="AD27" s="31"/>
      <c r="AE27" s="32" t="str">
        <f t="shared" si="2"/>
        <v/>
      </c>
      <c r="AF27" s="32" t="s">
        <v>313</v>
      </c>
      <c r="AG27" s="31"/>
      <c r="AH27" s="31"/>
      <c r="AI27" s="32" t="str">
        <f t="shared" si="3"/>
        <v/>
      </c>
      <c r="AJ27" s="32" t="s">
        <v>313</v>
      </c>
      <c r="AK27" s="31"/>
      <c r="AL27" s="31"/>
      <c r="AM27" s="32" t="str">
        <f t="shared" si="4"/>
        <v/>
      </c>
      <c r="AN27" s="32" t="s">
        <v>313</v>
      </c>
      <c r="AO27" s="31"/>
      <c r="AP27" s="31"/>
      <c r="AQ27" s="32" t="str">
        <f t="shared" si="5"/>
        <v/>
      </c>
      <c r="AR27" s="32" t="s">
        <v>313</v>
      </c>
      <c r="AS27" s="31"/>
      <c r="AT27" s="31"/>
      <c r="AU27" s="32" t="str">
        <f t="shared" si="6"/>
        <v/>
      </c>
      <c r="AV27" s="32" t="s">
        <v>313</v>
      </c>
      <c r="AW27" s="31"/>
      <c r="AX27" s="31"/>
      <c r="AY27" s="32" t="str">
        <f t="shared" si="7"/>
        <v/>
      </c>
      <c r="AZ27" s="32" t="s">
        <v>313</v>
      </c>
    </row>
    <row r="28" spans="1:52" ht="34" customHeight="1">
      <c r="A28" s="28" t="s">
        <v>231</v>
      </c>
      <c r="B28" s="29" t="s">
        <v>310</v>
      </c>
      <c r="C28" s="29" t="s">
        <v>52</v>
      </c>
      <c r="D28" s="29" t="s">
        <v>79</v>
      </c>
      <c r="E28" s="29" t="s">
        <v>80</v>
      </c>
      <c r="F28" s="29" t="s">
        <v>318</v>
      </c>
      <c r="G28" s="30" t="s">
        <v>312</v>
      </c>
      <c r="H28" s="31">
        <v>0</v>
      </c>
      <c r="I28" s="31">
        <v>0</v>
      </c>
      <c r="J28" s="32" t="str">
        <f t="shared" si="8"/>
        <v/>
      </c>
      <c r="K28" s="31">
        <v>0</v>
      </c>
      <c r="L28" s="31">
        <v>0</v>
      </c>
      <c r="M28" s="32" t="str">
        <f t="shared" si="9"/>
        <v/>
      </c>
      <c r="N28" s="31">
        <v>0</v>
      </c>
      <c r="O28" s="31">
        <v>0</v>
      </c>
      <c r="P28" s="32" t="str">
        <f t="shared" si="10"/>
        <v/>
      </c>
      <c r="Q28" s="31">
        <v>0</v>
      </c>
      <c r="R28" s="31">
        <v>0</v>
      </c>
      <c r="S28" s="32" t="str">
        <f t="shared" si="11"/>
        <v/>
      </c>
      <c r="T28" s="31">
        <v>0</v>
      </c>
      <c r="U28" s="31">
        <v>53.65</v>
      </c>
      <c r="V28" s="32">
        <f t="shared" si="12"/>
        <v>0</v>
      </c>
      <c r="W28" s="31">
        <v>0</v>
      </c>
      <c r="X28" s="31">
        <v>19460.310000000001</v>
      </c>
      <c r="Y28" s="32">
        <f t="shared" si="13"/>
        <v>0</v>
      </c>
      <c r="Z28" s="31">
        <f t="shared" si="0"/>
        <v>0</v>
      </c>
      <c r="AA28" s="31">
        <f t="shared" si="1"/>
        <v>19513.960000000003</v>
      </c>
      <c r="AB28" s="32">
        <f t="shared" si="14"/>
        <v>0</v>
      </c>
      <c r="AC28" s="31"/>
      <c r="AD28" s="31"/>
      <c r="AE28" s="32" t="str">
        <f t="shared" si="2"/>
        <v/>
      </c>
      <c r="AF28" s="32" t="s">
        <v>313</v>
      </c>
      <c r="AG28" s="31"/>
      <c r="AH28" s="31"/>
      <c r="AI28" s="32" t="str">
        <f t="shared" si="3"/>
        <v/>
      </c>
      <c r="AJ28" s="32" t="s">
        <v>313</v>
      </c>
      <c r="AK28" s="31"/>
      <c r="AL28" s="31"/>
      <c r="AM28" s="32" t="str">
        <f t="shared" si="4"/>
        <v/>
      </c>
      <c r="AN28" s="32" t="s">
        <v>313</v>
      </c>
      <c r="AO28" s="31"/>
      <c r="AP28" s="31"/>
      <c r="AQ28" s="32" t="str">
        <f t="shared" si="5"/>
        <v/>
      </c>
      <c r="AR28" s="32" t="s">
        <v>313</v>
      </c>
      <c r="AS28" s="31"/>
      <c r="AT28" s="31"/>
      <c r="AU28" s="32" t="str">
        <f t="shared" si="6"/>
        <v/>
      </c>
      <c r="AV28" s="32" t="s">
        <v>313</v>
      </c>
      <c r="AW28" s="31"/>
      <c r="AX28" s="31"/>
      <c r="AY28" s="32" t="str">
        <f t="shared" si="7"/>
        <v/>
      </c>
      <c r="AZ28" s="32" t="s">
        <v>313</v>
      </c>
    </row>
    <row r="29" spans="1:52" ht="34" customHeight="1">
      <c r="A29" s="28" t="s">
        <v>231</v>
      </c>
      <c r="B29" s="29" t="s">
        <v>310</v>
      </c>
      <c r="C29" s="29" t="s">
        <v>52</v>
      </c>
      <c r="D29" s="29" t="s">
        <v>79</v>
      </c>
      <c r="E29" s="29" t="s">
        <v>81</v>
      </c>
      <c r="F29" s="29" t="s">
        <v>316</v>
      </c>
      <c r="G29" s="30" t="s">
        <v>312</v>
      </c>
      <c r="H29" s="31"/>
      <c r="I29" s="31">
        <v>0</v>
      </c>
      <c r="J29" s="32" t="str">
        <f t="shared" si="8"/>
        <v/>
      </c>
      <c r="K29" s="31"/>
      <c r="L29" s="31">
        <v>0</v>
      </c>
      <c r="M29" s="32" t="str">
        <f t="shared" si="9"/>
        <v/>
      </c>
      <c r="N29" s="31"/>
      <c r="O29" s="31">
        <v>0</v>
      </c>
      <c r="P29" s="32" t="str">
        <f t="shared" si="10"/>
        <v/>
      </c>
      <c r="Q29" s="31"/>
      <c r="R29" s="31">
        <v>0</v>
      </c>
      <c r="S29" s="32" t="str">
        <f t="shared" si="11"/>
        <v/>
      </c>
      <c r="T29" s="31"/>
      <c r="U29" s="31">
        <v>53.65</v>
      </c>
      <c r="V29" s="32" t="str">
        <f t="shared" si="12"/>
        <v/>
      </c>
      <c r="W29" s="31"/>
      <c r="X29" s="31">
        <v>19460.310000000001</v>
      </c>
      <c r="Y29" s="32" t="str">
        <f t="shared" si="13"/>
        <v/>
      </c>
      <c r="Z29" s="31" t="str">
        <f t="shared" si="0"/>
        <v/>
      </c>
      <c r="AA29" s="31">
        <f t="shared" si="1"/>
        <v>19513.960000000003</v>
      </c>
      <c r="AB29" s="32" t="str">
        <f t="shared" si="14"/>
        <v/>
      </c>
      <c r="AC29" s="31"/>
      <c r="AD29" s="31"/>
      <c r="AE29" s="32" t="str">
        <f t="shared" si="2"/>
        <v/>
      </c>
      <c r="AF29" s="32" t="s">
        <v>313</v>
      </c>
      <c r="AG29" s="31"/>
      <c r="AH29" s="31"/>
      <c r="AI29" s="32" t="str">
        <f t="shared" si="3"/>
        <v/>
      </c>
      <c r="AJ29" s="32" t="s">
        <v>313</v>
      </c>
      <c r="AK29" s="31"/>
      <c r="AL29" s="31"/>
      <c r="AM29" s="32" t="str">
        <f t="shared" si="4"/>
        <v/>
      </c>
      <c r="AN29" s="32" t="s">
        <v>313</v>
      </c>
      <c r="AO29" s="31"/>
      <c r="AP29" s="31"/>
      <c r="AQ29" s="32" t="str">
        <f t="shared" si="5"/>
        <v/>
      </c>
      <c r="AR29" s="32" t="s">
        <v>313</v>
      </c>
      <c r="AS29" s="31"/>
      <c r="AT29" s="31"/>
      <c r="AU29" s="32" t="str">
        <f t="shared" si="6"/>
        <v/>
      </c>
      <c r="AV29" s="32" t="s">
        <v>313</v>
      </c>
      <c r="AW29" s="31"/>
      <c r="AX29" s="31"/>
      <c r="AY29" s="32" t="str">
        <f t="shared" si="7"/>
        <v/>
      </c>
      <c r="AZ29" s="32" t="s">
        <v>313</v>
      </c>
    </row>
    <row r="30" spans="1:52" ht="34" customHeight="1">
      <c r="A30" s="28" t="s">
        <v>231</v>
      </c>
      <c r="B30" s="29" t="s">
        <v>310</v>
      </c>
      <c r="C30" s="29" t="s">
        <v>52</v>
      </c>
      <c r="D30" s="29" t="s">
        <v>79</v>
      </c>
      <c r="E30" s="29" t="s">
        <v>82</v>
      </c>
      <c r="F30" s="29" t="s">
        <v>316</v>
      </c>
      <c r="G30" s="30" t="s">
        <v>312</v>
      </c>
      <c r="H30" s="31"/>
      <c r="I30" s="31">
        <v>0</v>
      </c>
      <c r="J30" s="32" t="str">
        <f t="shared" si="8"/>
        <v/>
      </c>
      <c r="K30" s="31"/>
      <c r="L30" s="31">
        <v>0</v>
      </c>
      <c r="M30" s="32" t="str">
        <f t="shared" si="9"/>
        <v/>
      </c>
      <c r="N30" s="31"/>
      <c r="O30" s="31">
        <v>0</v>
      </c>
      <c r="P30" s="32" t="str">
        <f t="shared" si="10"/>
        <v/>
      </c>
      <c r="Q30" s="31"/>
      <c r="R30" s="31">
        <v>0</v>
      </c>
      <c r="S30" s="32" t="str">
        <f t="shared" si="11"/>
        <v/>
      </c>
      <c r="T30" s="31"/>
      <c r="U30" s="31">
        <v>53.65</v>
      </c>
      <c r="V30" s="32" t="str">
        <f t="shared" si="12"/>
        <v/>
      </c>
      <c r="W30" s="31"/>
      <c r="X30" s="31">
        <v>19460.310000000001</v>
      </c>
      <c r="Y30" s="32" t="str">
        <f t="shared" si="13"/>
        <v/>
      </c>
      <c r="Z30" s="31" t="str">
        <f t="shared" si="0"/>
        <v/>
      </c>
      <c r="AA30" s="31">
        <f t="shared" si="1"/>
        <v>19513.960000000003</v>
      </c>
      <c r="AB30" s="32" t="str">
        <f t="shared" si="14"/>
        <v/>
      </c>
      <c r="AC30" s="31"/>
      <c r="AD30" s="31"/>
      <c r="AE30" s="32" t="str">
        <f t="shared" si="2"/>
        <v/>
      </c>
      <c r="AF30" s="32" t="s">
        <v>313</v>
      </c>
      <c r="AG30" s="31"/>
      <c r="AH30" s="31"/>
      <c r="AI30" s="32" t="str">
        <f t="shared" si="3"/>
        <v/>
      </c>
      <c r="AJ30" s="32" t="s">
        <v>313</v>
      </c>
      <c r="AK30" s="31"/>
      <c r="AL30" s="31"/>
      <c r="AM30" s="32" t="str">
        <f t="shared" si="4"/>
        <v/>
      </c>
      <c r="AN30" s="32" t="s">
        <v>313</v>
      </c>
      <c r="AO30" s="31"/>
      <c r="AP30" s="31"/>
      <c r="AQ30" s="32" t="str">
        <f t="shared" si="5"/>
        <v/>
      </c>
      <c r="AR30" s="32" t="s">
        <v>313</v>
      </c>
      <c r="AS30" s="31"/>
      <c r="AT30" s="31"/>
      <c r="AU30" s="32" t="str">
        <f t="shared" si="6"/>
        <v/>
      </c>
      <c r="AV30" s="32" t="s">
        <v>313</v>
      </c>
      <c r="AW30" s="31"/>
      <c r="AX30" s="31"/>
      <c r="AY30" s="32" t="str">
        <f t="shared" si="7"/>
        <v/>
      </c>
      <c r="AZ30" s="32" t="s">
        <v>313</v>
      </c>
    </row>
    <row r="31" spans="1:52" ht="34" customHeight="1">
      <c r="A31" s="28" t="s">
        <v>231</v>
      </c>
      <c r="B31" s="29" t="s">
        <v>310</v>
      </c>
      <c r="C31" s="29" t="s">
        <v>85</v>
      </c>
      <c r="D31" s="29" t="s">
        <v>79</v>
      </c>
      <c r="E31" s="29" t="s">
        <v>80</v>
      </c>
      <c r="F31" s="29" t="s">
        <v>316</v>
      </c>
      <c r="G31" s="30" t="s">
        <v>312</v>
      </c>
      <c r="H31" s="31"/>
      <c r="I31" s="31">
        <v>0</v>
      </c>
      <c r="J31" s="32" t="str">
        <f t="shared" si="8"/>
        <v/>
      </c>
      <c r="K31" s="31"/>
      <c r="L31" s="31">
        <v>0</v>
      </c>
      <c r="M31" s="32" t="str">
        <f t="shared" si="9"/>
        <v/>
      </c>
      <c r="N31" s="31"/>
      <c r="O31" s="31">
        <v>0</v>
      </c>
      <c r="P31" s="32" t="str">
        <f t="shared" si="10"/>
        <v/>
      </c>
      <c r="Q31" s="31"/>
      <c r="R31" s="31">
        <v>0</v>
      </c>
      <c r="S31" s="32" t="str">
        <f t="shared" si="11"/>
        <v/>
      </c>
      <c r="T31" s="31"/>
      <c r="U31" s="31">
        <v>53.65</v>
      </c>
      <c r="V31" s="32" t="str">
        <f t="shared" si="12"/>
        <v/>
      </c>
      <c r="W31" s="31"/>
      <c r="X31" s="31">
        <v>19460.310000000001</v>
      </c>
      <c r="Y31" s="32" t="str">
        <f t="shared" si="13"/>
        <v/>
      </c>
      <c r="Z31" s="31" t="str">
        <f t="shared" si="0"/>
        <v/>
      </c>
      <c r="AA31" s="31">
        <f t="shared" si="1"/>
        <v>19513.960000000003</v>
      </c>
      <c r="AB31" s="32" t="str">
        <f t="shared" si="14"/>
        <v/>
      </c>
      <c r="AC31" s="31"/>
      <c r="AD31" s="31"/>
      <c r="AE31" s="32" t="str">
        <f t="shared" si="2"/>
        <v/>
      </c>
      <c r="AF31" s="32" t="s">
        <v>313</v>
      </c>
      <c r="AG31" s="31"/>
      <c r="AH31" s="31"/>
      <c r="AI31" s="32" t="str">
        <f t="shared" si="3"/>
        <v/>
      </c>
      <c r="AJ31" s="32" t="s">
        <v>313</v>
      </c>
      <c r="AK31" s="31"/>
      <c r="AL31" s="31"/>
      <c r="AM31" s="32" t="str">
        <f t="shared" si="4"/>
        <v/>
      </c>
      <c r="AN31" s="32" t="s">
        <v>313</v>
      </c>
      <c r="AO31" s="31"/>
      <c r="AP31" s="31"/>
      <c r="AQ31" s="32" t="str">
        <f t="shared" si="5"/>
        <v/>
      </c>
      <c r="AR31" s="32" t="s">
        <v>313</v>
      </c>
      <c r="AS31" s="31"/>
      <c r="AT31" s="31"/>
      <c r="AU31" s="32" t="str">
        <f t="shared" si="6"/>
        <v/>
      </c>
      <c r="AV31" s="32" t="s">
        <v>313</v>
      </c>
      <c r="AW31" s="31"/>
      <c r="AX31" s="31"/>
      <c r="AY31" s="32" t="str">
        <f t="shared" si="7"/>
        <v/>
      </c>
      <c r="AZ31" s="32" t="s">
        <v>313</v>
      </c>
    </row>
    <row r="32" spans="1:52" ht="34" customHeight="1">
      <c r="A32" s="28" t="s">
        <v>231</v>
      </c>
      <c r="B32" s="29" t="s">
        <v>310</v>
      </c>
      <c r="C32" s="29" t="s">
        <v>85</v>
      </c>
      <c r="D32" s="29" t="s">
        <v>79</v>
      </c>
      <c r="E32" s="29" t="s">
        <v>81</v>
      </c>
      <c r="F32" s="29" t="s">
        <v>316</v>
      </c>
      <c r="G32" s="30" t="s">
        <v>312</v>
      </c>
      <c r="H32" s="31"/>
      <c r="I32" s="31">
        <v>0</v>
      </c>
      <c r="J32" s="32" t="str">
        <f t="shared" si="8"/>
        <v/>
      </c>
      <c r="K32" s="31"/>
      <c r="L32" s="31">
        <v>0</v>
      </c>
      <c r="M32" s="32" t="str">
        <f t="shared" si="9"/>
        <v/>
      </c>
      <c r="N32" s="31"/>
      <c r="O32" s="31">
        <v>0</v>
      </c>
      <c r="P32" s="32" t="str">
        <f t="shared" si="10"/>
        <v/>
      </c>
      <c r="Q32" s="31"/>
      <c r="R32" s="31">
        <v>0</v>
      </c>
      <c r="S32" s="32" t="str">
        <f t="shared" si="11"/>
        <v/>
      </c>
      <c r="T32" s="31"/>
      <c r="U32" s="31">
        <v>53.65</v>
      </c>
      <c r="V32" s="32" t="str">
        <f t="shared" si="12"/>
        <v/>
      </c>
      <c r="W32" s="31"/>
      <c r="X32" s="31">
        <v>19460.310000000001</v>
      </c>
      <c r="Y32" s="32" t="str">
        <f t="shared" si="13"/>
        <v/>
      </c>
      <c r="Z32" s="31" t="str">
        <f t="shared" si="0"/>
        <v/>
      </c>
      <c r="AA32" s="31">
        <f t="shared" si="1"/>
        <v>19513.960000000003</v>
      </c>
      <c r="AB32" s="32" t="str">
        <f t="shared" si="14"/>
        <v/>
      </c>
      <c r="AC32" s="31"/>
      <c r="AD32" s="31"/>
      <c r="AE32" s="32" t="str">
        <f t="shared" si="2"/>
        <v/>
      </c>
      <c r="AF32" s="32" t="s">
        <v>313</v>
      </c>
      <c r="AG32" s="31"/>
      <c r="AH32" s="31"/>
      <c r="AI32" s="32" t="str">
        <f t="shared" si="3"/>
        <v/>
      </c>
      <c r="AJ32" s="32" t="s">
        <v>313</v>
      </c>
      <c r="AK32" s="31"/>
      <c r="AL32" s="31"/>
      <c r="AM32" s="32" t="str">
        <f t="shared" si="4"/>
        <v/>
      </c>
      <c r="AN32" s="32" t="s">
        <v>313</v>
      </c>
      <c r="AO32" s="31"/>
      <c r="AP32" s="31"/>
      <c r="AQ32" s="32" t="str">
        <f t="shared" si="5"/>
        <v/>
      </c>
      <c r="AR32" s="32" t="s">
        <v>313</v>
      </c>
      <c r="AS32" s="31"/>
      <c r="AT32" s="31"/>
      <c r="AU32" s="32" t="str">
        <f t="shared" si="6"/>
        <v/>
      </c>
      <c r="AV32" s="32" t="s">
        <v>313</v>
      </c>
      <c r="AW32" s="31"/>
      <c r="AX32" s="31"/>
      <c r="AY32" s="32" t="str">
        <f t="shared" si="7"/>
        <v/>
      </c>
      <c r="AZ32" s="32" t="s">
        <v>313</v>
      </c>
    </row>
    <row r="33" spans="1:52" ht="34" customHeight="1">
      <c r="A33" s="28" t="s">
        <v>231</v>
      </c>
      <c r="B33" s="29" t="s">
        <v>310</v>
      </c>
      <c r="C33" s="29" t="s">
        <v>85</v>
      </c>
      <c r="D33" s="29" t="s">
        <v>79</v>
      </c>
      <c r="E33" s="29" t="s">
        <v>82</v>
      </c>
      <c r="F33" s="29" t="s">
        <v>319</v>
      </c>
      <c r="G33" s="30" t="s">
        <v>312</v>
      </c>
      <c r="H33" s="31">
        <v>0</v>
      </c>
      <c r="I33" s="31">
        <v>0</v>
      </c>
      <c r="J33" s="32" t="str">
        <f t="shared" si="8"/>
        <v/>
      </c>
      <c r="K33" s="31">
        <v>0</v>
      </c>
      <c r="L33" s="31">
        <v>0</v>
      </c>
      <c r="M33" s="32" t="str">
        <f t="shared" si="9"/>
        <v/>
      </c>
      <c r="N33" s="31">
        <v>0</v>
      </c>
      <c r="O33" s="31">
        <v>0</v>
      </c>
      <c r="P33" s="32" t="str">
        <f t="shared" si="10"/>
        <v/>
      </c>
      <c r="Q33" s="31">
        <v>0</v>
      </c>
      <c r="R33" s="31">
        <v>0</v>
      </c>
      <c r="S33" s="32" t="str">
        <f t="shared" si="11"/>
        <v/>
      </c>
      <c r="T33" s="31">
        <v>0</v>
      </c>
      <c r="U33" s="31">
        <v>53.65</v>
      </c>
      <c r="V33" s="32">
        <f t="shared" si="12"/>
        <v>0</v>
      </c>
      <c r="W33" s="31">
        <v>0</v>
      </c>
      <c r="X33" s="31">
        <v>19460.310000000001</v>
      </c>
      <c r="Y33" s="32">
        <f t="shared" si="13"/>
        <v>0</v>
      </c>
      <c r="Z33" s="31">
        <f t="shared" si="0"/>
        <v>0</v>
      </c>
      <c r="AA33" s="31">
        <f t="shared" si="1"/>
        <v>19513.960000000003</v>
      </c>
      <c r="AB33" s="32">
        <f t="shared" si="14"/>
        <v>0</v>
      </c>
      <c r="AC33" s="31"/>
      <c r="AD33" s="31"/>
      <c r="AE33" s="32" t="str">
        <f t="shared" si="2"/>
        <v/>
      </c>
      <c r="AF33" s="32" t="s">
        <v>313</v>
      </c>
      <c r="AG33" s="31"/>
      <c r="AH33" s="31"/>
      <c r="AI33" s="32" t="str">
        <f t="shared" si="3"/>
        <v/>
      </c>
      <c r="AJ33" s="32" t="s">
        <v>313</v>
      </c>
      <c r="AK33" s="31"/>
      <c r="AL33" s="31"/>
      <c r="AM33" s="32" t="str">
        <f t="shared" si="4"/>
        <v/>
      </c>
      <c r="AN33" s="32" t="s">
        <v>313</v>
      </c>
      <c r="AO33" s="31"/>
      <c r="AP33" s="31"/>
      <c r="AQ33" s="32" t="str">
        <f t="shared" si="5"/>
        <v/>
      </c>
      <c r="AR33" s="32" t="s">
        <v>313</v>
      </c>
      <c r="AS33" s="31"/>
      <c r="AT33" s="31"/>
      <c r="AU33" s="32" t="str">
        <f t="shared" si="6"/>
        <v/>
      </c>
      <c r="AV33" s="32" t="s">
        <v>313</v>
      </c>
      <c r="AW33" s="31"/>
      <c r="AX33" s="31"/>
      <c r="AY33" s="32" t="str">
        <f t="shared" si="7"/>
        <v/>
      </c>
      <c r="AZ33" s="32" t="s">
        <v>313</v>
      </c>
    </row>
    <row r="34" spans="1:52" ht="34" customHeight="1">
      <c r="A34" s="28" t="s">
        <v>231</v>
      </c>
      <c r="B34" s="29" t="s">
        <v>310</v>
      </c>
      <c r="C34" s="29" t="s">
        <v>85</v>
      </c>
      <c r="D34" s="29" t="s">
        <v>90</v>
      </c>
      <c r="E34" s="29" t="s">
        <v>90</v>
      </c>
      <c r="F34" s="29" t="s">
        <v>316</v>
      </c>
      <c r="G34" s="30" t="s">
        <v>312</v>
      </c>
      <c r="H34" s="31"/>
      <c r="I34" s="31">
        <v>0</v>
      </c>
      <c r="J34" s="32" t="str">
        <f t="shared" si="8"/>
        <v/>
      </c>
      <c r="K34" s="31"/>
      <c r="L34" s="31">
        <v>0</v>
      </c>
      <c r="M34" s="32" t="str">
        <f t="shared" si="9"/>
        <v/>
      </c>
      <c r="N34" s="31"/>
      <c r="O34" s="31">
        <v>0</v>
      </c>
      <c r="P34" s="32" t="str">
        <f t="shared" si="10"/>
        <v/>
      </c>
      <c r="Q34" s="31"/>
      <c r="R34" s="31">
        <v>0</v>
      </c>
      <c r="S34" s="32" t="str">
        <f t="shared" si="11"/>
        <v/>
      </c>
      <c r="T34" s="31"/>
      <c r="U34" s="31">
        <v>53.65</v>
      </c>
      <c r="V34" s="32" t="str">
        <f t="shared" si="12"/>
        <v/>
      </c>
      <c r="W34" s="31"/>
      <c r="X34" s="31">
        <v>19460.310000000001</v>
      </c>
      <c r="Y34" s="32" t="str">
        <f t="shared" si="13"/>
        <v/>
      </c>
      <c r="Z34" s="31" t="str">
        <f t="shared" si="0"/>
        <v/>
      </c>
      <c r="AA34" s="31">
        <f t="shared" si="1"/>
        <v>19513.960000000003</v>
      </c>
      <c r="AB34" s="32" t="str">
        <f t="shared" si="14"/>
        <v/>
      </c>
      <c r="AC34" s="31"/>
      <c r="AD34" s="31"/>
      <c r="AE34" s="32" t="str">
        <f t="shared" si="2"/>
        <v/>
      </c>
      <c r="AF34" s="32" t="s">
        <v>313</v>
      </c>
      <c r="AG34" s="31"/>
      <c r="AH34" s="31"/>
      <c r="AI34" s="32" t="str">
        <f t="shared" si="3"/>
        <v/>
      </c>
      <c r="AJ34" s="32" t="s">
        <v>313</v>
      </c>
      <c r="AK34" s="31"/>
      <c r="AL34" s="31"/>
      <c r="AM34" s="32" t="str">
        <f t="shared" si="4"/>
        <v/>
      </c>
      <c r="AN34" s="32" t="s">
        <v>313</v>
      </c>
      <c r="AO34" s="31"/>
      <c r="AP34" s="31"/>
      <c r="AQ34" s="32" t="str">
        <f t="shared" si="5"/>
        <v/>
      </c>
      <c r="AR34" s="32" t="s">
        <v>313</v>
      </c>
      <c r="AS34" s="31"/>
      <c r="AT34" s="31"/>
      <c r="AU34" s="32" t="str">
        <f t="shared" si="6"/>
        <v/>
      </c>
      <c r="AV34" s="32" t="s">
        <v>313</v>
      </c>
      <c r="AW34" s="31"/>
      <c r="AX34" s="31"/>
      <c r="AY34" s="32" t="str">
        <f t="shared" si="7"/>
        <v/>
      </c>
      <c r="AZ34" s="32" t="s">
        <v>313</v>
      </c>
    </row>
    <row r="35" spans="1:52" ht="34" customHeight="1">
      <c r="A35" s="28" t="s">
        <v>231</v>
      </c>
      <c r="B35" s="29" t="s">
        <v>310</v>
      </c>
      <c r="C35" s="29" t="s">
        <v>85</v>
      </c>
      <c r="D35" s="29" t="s">
        <v>93</v>
      </c>
      <c r="E35" s="29" t="s">
        <v>143</v>
      </c>
      <c r="F35" s="29" t="s">
        <v>320</v>
      </c>
      <c r="G35" s="30" t="s">
        <v>312</v>
      </c>
      <c r="H35" s="31">
        <v>0</v>
      </c>
      <c r="I35" s="31">
        <v>0</v>
      </c>
      <c r="J35" s="32" t="str">
        <f t="shared" si="8"/>
        <v/>
      </c>
      <c r="K35" s="31">
        <v>0</v>
      </c>
      <c r="L35" s="31">
        <v>0</v>
      </c>
      <c r="M35" s="32" t="str">
        <f t="shared" si="9"/>
        <v/>
      </c>
      <c r="N35" s="31">
        <v>0</v>
      </c>
      <c r="O35" s="31">
        <v>0</v>
      </c>
      <c r="P35" s="32" t="str">
        <f t="shared" si="10"/>
        <v/>
      </c>
      <c r="Q35" s="31">
        <v>0</v>
      </c>
      <c r="R35" s="31">
        <v>0</v>
      </c>
      <c r="S35" s="32" t="str">
        <f t="shared" si="11"/>
        <v/>
      </c>
      <c r="T35" s="31">
        <v>0</v>
      </c>
      <c r="U35" s="31">
        <v>53.65</v>
      </c>
      <c r="V35" s="32">
        <f t="shared" si="12"/>
        <v>0</v>
      </c>
      <c r="W35" s="31">
        <v>0</v>
      </c>
      <c r="X35" s="31">
        <v>19460.310000000001</v>
      </c>
      <c r="Y35" s="32">
        <f t="shared" si="13"/>
        <v>0</v>
      </c>
      <c r="Z35" s="31">
        <f t="shared" si="0"/>
        <v>0</v>
      </c>
      <c r="AA35" s="31">
        <f t="shared" si="1"/>
        <v>19513.960000000003</v>
      </c>
      <c r="AB35" s="32">
        <f t="shared" si="14"/>
        <v>0</v>
      </c>
      <c r="AC35" s="31"/>
      <c r="AD35" s="31"/>
      <c r="AE35" s="32" t="str">
        <f t="shared" si="2"/>
        <v/>
      </c>
      <c r="AF35" s="32" t="s">
        <v>313</v>
      </c>
      <c r="AG35" s="31"/>
      <c r="AH35" s="31"/>
      <c r="AI35" s="32" t="str">
        <f t="shared" si="3"/>
        <v/>
      </c>
      <c r="AJ35" s="32" t="s">
        <v>313</v>
      </c>
      <c r="AK35" s="31"/>
      <c r="AL35" s="31"/>
      <c r="AM35" s="32" t="str">
        <f t="shared" si="4"/>
        <v/>
      </c>
      <c r="AN35" s="32" t="s">
        <v>313</v>
      </c>
      <c r="AO35" s="31"/>
      <c r="AP35" s="31"/>
      <c r="AQ35" s="32" t="str">
        <f t="shared" si="5"/>
        <v/>
      </c>
      <c r="AR35" s="32" t="s">
        <v>313</v>
      </c>
      <c r="AS35" s="31"/>
      <c r="AT35" s="31"/>
      <c r="AU35" s="32" t="str">
        <f t="shared" si="6"/>
        <v/>
      </c>
      <c r="AV35" s="32" t="s">
        <v>313</v>
      </c>
      <c r="AW35" s="31"/>
      <c r="AX35" s="31"/>
      <c r="AY35" s="32" t="str">
        <f t="shared" si="7"/>
        <v/>
      </c>
      <c r="AZ35" s="32" t="s">
        <v>313</v>
      </c>
    </row>
    <row r="36" spans="1:52" ht="34" customHeight="1">
      <c r="A36" s="28" t="s">
        <v>231</v>
      </c>
      <c r="B36" s="29" t="s">
        <v>310</v>
      </c>
      <c r="C36" s="29" t="s">
        <v>85</v>
      </c>
      <c r="D36" s="29" t="s">
        <v>152</v>
      </c>
      <c r="E36" s="29" t="s">
        <v>152</v>
      </c>
      <c r="F36" s="29" t="s">
        <v>316</v>
      </c>
      <c r="G36" s="30" t="s">
        <v>312</v>
      </c>
      <c r="H36" s="31"/>
      <c r="I36" s="31">
        <v>0</v>
      </c>
      <c r="J36" s="32" t="str">
        <f t="shared" si="8"/>
        <v/>
      </c>
      <c r="K36" s="31"/>
      <c r="L36" s="31">
        <v>0</v>
      </c>
      <c r="M36" s="32" t="str">
        <f t="shared" si="9"/>
        <v/>
      </c>
      <c r="N36" s="31"/>
      <c r="O36" s="31">
        <v>0</v>
      </c>
      <c r="P36" s="32" t="str">
        <f t="shared" si="10"/>
        <v/>
      </c>
      <c r="Q36" s="31"/>
      <c r="R36" s="31">
        <v>0</v>
      </c>
      <c r="S36" s="32" t="str">
        <f t="shared" si="11"/>
        <v/>
      </c>
      <c r="T36" s="31"/>
      <c r="U36" s="31">
        <v>53.65</v>
      </c>
      <c r="V36" s="32" t="str">
        <f t="shared" si="12"/>
        <v/>
      </c>
      <c r="W36" s="31"/>
      <c r="X36" s="31">
        <v>19460.310000000001</v>
      </c>
      <c r="Y36" s="32" t="str">
        <f t="shared" si="13"/>
        <v/>
      </c>
      <c r="Z36" s="31" t="str">
        <f t="shared" si="0"/>
        <v/>
      </c>
      <c r="AA36" s="31">
        <f t="shared" si="1"/>
        <v>19513.960000000003</v>
      </c>
      <c r="AB36" s="32" t="str">
        <f t="shared" si="14"/>
        <v/>
      </c>
      <c r="AC36" s="31"/>
      <c r="AD36" s="31"/>
      <c r="AE36" s="32" t="str">
        <f t="shared" si="2"/>
        <v/>
      </c>
      <c r="AF36" s="32" t="s">
        <v>313</v>
      </c>
      <c r="AG36" s="31"/>
      <c r="AH36" s="31"/>
      <c r="AI36" s="32" t="str">
        <f t="shared" si="3"/>
        <v/>
      </c>
      <c r="AJ36" s="32" t="s">
        <v>313</v>
      </c>
      <c r="AK36" s="31"/>
      <c r="AL36" s="31"/>
      <c r="AM36" s="32" t="str">
        <f t="shared" si="4"/>
        <v/>
      </c>
      <c r="AN36" s="32" t="s">
        <v>313</v>
      </c>
      <c r="AO36" s="31"/>
      <c r="AP36" s="31"/>
      <c r="AQ36" s="32" t="str">
        <f t="shared" si="5"/>
        <v/>
      </c>
      <c r="AR36" s="32" t="s">
        <v>313</v>
      </c>
      <c r="AS36" s="31"/>
      <c r="AT36" s="31"/>
      <c r="AU36" s="32" t="str">
        <f t="shared" si="6"/>
        <v/>
      </c>
      <c r="AV36" s="32" t="s">
        <v>313</v>
      </c>
      <c r="AW36" s="31"/>
      <c r="AX36" s="31"/>
      <c r="AY36" s="32" t="str">
        <f t="shared" si="7"/>
        <v/>
      </c>
      <c r="AZ36" s="32" t="s">
        <v>313</v>
      </c>
    </row>
    <row r="37" spans="1:52" ht="34" customHeight="1">
      <c r="A37" s="28" t="s">
        <v>231</v>
      </c>
      <c r="B37" s="29" t="s">
        <v>321</v>
      </c>
      <c r="C37" s="29" t="s">
        <v>46</v>
      </c>
      <c r="D37" s="29"/>
      <c r="E37" s="29" t="s">
        <v>46</v>
      </c>
      <c r="F37" s="29" t="s">
        <v>311</v>
      </c>
      <c r="G37" s="30" t="s">
        <v>312</v>
      </c>
      <c r="H37" s="31">
        <v>368835.14</v>
      </c>
      <c r="I37" s="31">
        <v>368835.14</v>
      </c>
      <c r="J37" s="32"/>
      <c r="K37" s="31">
        <v>244130</v>
      </c>
      <c r="L37" s="31">
        <v>244130</v>
      </c>
      <c r="M37" s="32"/>
      <c r="N37" s="31">
        <v>748475.5</v>
      </c>
      <c r="O37" s="31">
        <v>708100.5</v>
      </c>
      <c r="P37" s="32"/>
      <c r="Q37" s="31">
        <v>318207</v>
      </c>
      <c r="R37" s="31">
        <v>300117</v>
      </c>
      <c r="S37" s="32"/>
      <c r="T37" s="31">
        <v>452313.5</v>
      </c>
      <c r="U37" s="31">
        <v>431343.5</v>
      </c>
      <c r="V37" s="32"/>
      <c r="W37" s="31">
        <v>265076</v>
      </c>
      <c r="X37" s="31">
        <v>250346</v>
      </c>
      <c r="Y37" s="32"/>
      <c r="Z37" s="31">
        <f t="shared" si="0"/>
        <v>2397037.14</v>
      </c>
      <c r="AA37" s="31">
        <f t="shared" si="1"/>
        <v>2302872.14</v>
      </c>
      <c r="AB37" s="32"/>
      <c r="AC37" s="31"/>
      <c r="AD37" s="31"/>
      <c r="AE37" s="32" t="str">
        <f t="shared" si="2"/>
        <v/>
      </c>
      <c r="AF37" s="32" t="s">
        <v>313</v>
      </c>
      <c r="AG37" s="31"/>
      <c r="AH37" s="31"/>
      <c r="AI37" s="32" t="str">
        <f t="shared" si="3"/>
        <v/>
      </c>
      <c r="AJ37" s="32" t="s">
        <v>313</v>
      </c>
      <c r="AK37" s="31"/>
      <c r="AL37" s="31"/>
      <c r="AM37" s="32" t="str">
        <f t="shared" si="4"/>
        <v/>
      </c>
      <c r="AN37" s="32" t="s">
        <v>313</v>
      </c>
      <c r="AO37" s="31"/>
      <c r="AP37" s="31"/>
      <c r="AQ37" s="32" t="str">
        <f t="shared" si="5"/>
        <v/>
      </c>
      <c r="AR37" s="32" t="s">
        <v>313</v>
      </c>
      <c r="AS37" s="31"/>
      <c r="AT37" s="31"/>
      <c r="AU37" s="32" t="str">
        <f t="shared" si="6"/>
        <v/>
      </c>
      <c r="AV37" s="32" t="s">
        <v>313</v>
      </c>
      <c r="AW37" s="31"/>
      <c r="AX37" s="31"/>
      <c r="AY37" s="32" t="str">
        <f t="shared" si="7"/>
        <v/>
      </c>
      <c r="AZ37" s="32" t="s">
        <v>313</v>
      </c>
    </row>
    <row r="38" spans="1:52" ht="34" customHeight="1">
      <c r="A38" s="28" t="s">
        <v>231</v>
      </c>
      <c r="B38" s="29" t="s">
        <v>321</v>
      </c>
      <c r="C38" s="29" t="s">
        <v>121</v>
      </c>
      <c r="D38" s="29"/>
      <c r="E38" s="29" t="s">
        <v>125</v>
      </c>
      <c r="F38" s="29" t="s">
        <v>314</v>
      </c>
      <c r="G38" s="30" t="s">
        <v>312</v>
      </c>
      <c r="H38" s="31">
        <v>0</v>
      </c>
      <c r="I38" s="31">
        <v>368835.14</v>
      </c>
      <c r="J38" s="32">
        <f t="shared" ref="J38:J67" si="15">IF(H38="","",IFERROR(H38/I38,""))</f>
        <v>0</v>
      </c>
      <c r="K38" s="31">
        <v>0</v>
      </c>
      <c r="L38" s="31">
        <v>244130</v>
      </c>
      <c r="M38" s="32">
        <f t="shared" ref="M38:M67" si="16">IF(K38="","",IFERROR(K38/L38,""))</f>
        <v>0</v>
      </c>
      <c r="N38" s="31">
        <v>-40375</v>
      </c>
      <c r="O38" s="31">
        <v>708100.5</v>
      </c>
      <c r="P38" s="32">
        <f t="shared" ref="P38:P67" si="17">IF(N38="","",IFERROR(N38/O38,""))</f>
        <v>-5.7018742396029942E-2</v>
      </c>
      <c r="Q38" s="31">
        <v>-18090</v>
      </c>
      <c r="R38" s="31">
        <v>300117</v>
      </c>
      <c r="S38" s="32">
        <f t="shared" ref="S38:S67" si="18">IF(Q38="","",IFERROR(Q38/R38,""))</f>
        <v>-6.027649216805446E-2</v>
      </c>
      <c r="T38" s="31">
        <v>-20970</v>
      </c>
      <c r="U38" s="31">
        <v>431343.5</v>
      </c>
      <c r="V38" s="32">
        <f t="shared" ref="V38:V67" si="19">IF(T38="","",IFERROR(T38/U38,""))</f>
        <v>-4.8615546542372844E-2</v>
      </c>
      <c r="W38" s="31">
        <v>-14730</v>
      </c>
      <c r="X38" s="31">
        <v>250346</v>
      </c>
      <c r="Y38" s="32">
        <f t="shared" ref="Y38:Y67" si="20">IF(W38="","",IFERROR(W38/X38,""))</f>
        <v>-5.8838567422686998E-2</v>
      </c>
      <c r="Z38" s="31">
        <f t="shared" si="0"/>
        <v>-94165</v>
      </c>
      <c r="AA38" s="31">
        <f t="shared" si="1"/>
        <v>2302872.14</v>
      </c>
      <c r="AB38" s="32">
        <f t="shared" ref="AB38:AB67" si="21">IF(Z38="","",IFERROR(Z38/AA38,""))</f>
        <v>-4.0890242390964872E-2</v>
      </c>
      <c r="AC38" s="31"/>
      <c r="AD38" s="31"/>
      <c r="AE38" s="32" t="str">
        <f t="shared" si="2"/>
        <v/>
      </c>
      <c r="AF38" s="32" t="s">
        <v>313</v>
      </c>
      <c r="AG38" s="31"/>
      <c r="AH38" s="31"/>
      <c r="AI38" s="32" t="str">
        <f t="shared" si="3"/>
        <v/>
      </c>
      <c r="AJ38" s="32" t="s">
        <v>313</v>
      </c>
      <c r="AK38" s="31"/>
      <c r="AL38" s="31"/>
      <c r="AM38" s="32" t="str">
        <f t="shared" si="4"/>
        <v/>
      </c>
      <c r="AN38" s="32" t="s">
        <v>313</v>
      </c>
      <c r="AO38" s="31"/>
      <c r="AP38" s="31"/>
      <c r="AQ38" s="32" t="str">
        <f t="shared" si="5"/>
        <v/>
      </c>
      <c r="AR38" s="32" t="s">
        <v>313</v>
      </c>
      <c r="AS38" s="31"/>
      <c r="AT38" s="31"/>
      <c r="AU38" s="32" t="str">
        <f t="shared" si="6"/>
        <v/>
      </c>
      <c r="AV38" s="32" t="s">
        <v>313</v>
      </c>
      <c r="AW38" s="31"/>
      <c r="AX38" s="31"/>
      <c r="AY38" s="32" t="str">
        <f t="shared" si="7"/>
        <v/>
      </c>
      <c r="AZ38" s="32" t="s">
        <v>313</v>
      </c>
    </row>
    <row r="39" spans="1:52" ht="34" customHeight="1">
      <c r="A39" s="28" t="s">
        <v>231</v>
      </c>
      <c r="B39" s="29" t="s">
        <v>321</v>
      </c>
      <c r="C39" s="29" t="s">
        <v>48</v>
      </c>
      <c r="D39" s="29"/>
      <c r="E39" s="29" t="s">
        <v>127</v>
      </c>
      <c r="F39" s="29" t="s">
        <v>315</v>
      </c>
      <c r="G39" s="30" t="s">
        <v>312</v>
      </c>
      <c r="H39" s="31">
        <v>335193</v>
      </c>
      <c r="I39" s="31">
        <v>368835.14</v>
      </c>
      <c r="J39" s="32">
        <f t="shared" si="15"/>
        <v>0.90878813770293143</v>
      </c>
      <c r="K39" s="31">
        <v>201297</v>
      </c>
      <c r="L39" s="31">
        <v>244130</v>
      </c>
      <c r="M39" s="32">
        <f t="shared" si="16"/>
        <v>0.82454839634620902</v>
      </c>
      <c r="N39" s="31">
        <v>761433</v>
      </c>
      <c r="O39" s="31">
        <v>708100.5</v>
      </c>
      <c r="P39" s="32">
        <f t="shared" si="17"/>
        <v>1.0753176985470283</v>
      </c>
      <c r="Q39" s="31">
        <v>304602</v>
      </c>
      <c r="R39" s="31">
        <v>300117</v>
      </c>
      <c r="S39" s="32">
        <f t="shared" si="18"/>
        <v>1.0149441717730086</v>
      </c>
      <c r="T39" s="31">
        <v>403134</v>
      </c>
      <c r="U39" s="31">
        <v>431343.5</v>
      </c>
      <c r="V39" s="32">
        <f t="shared" si="19"/>
        <v>0.93460084596151327</v>
      </c>
      <c r="W39" s="31">
        <v>255111</v>
      </c>
      <c r="X39" s="31">
        <v>250346</v>
      </c>
      <c r="Y39" s="32">
        <f t="shared" si="20"/>
        <v>1.0190336574181333</v>
      </c>
      <c r="Z39" s="31">
        <f t="shared" si="0"/>
        <v>2260770</v>
      </c>
      <c r="AA39" s="31">
        <f t="shared" si="1"/>
        <v>2302872.14</v>
      </c>
      <c r="AB39" s="32">
        <f t="shared" si="21"/>
        <v>0.98171755206522227</v>
      </c>
      <c r="AC39" s="31"/>
      <c r="AD39" s="31"/>
      <c r="AE39" s="32" t="str">
        <f t="shared" si="2"/>
        <v/>
      </c>
      <c r="AF39" s="32" t="s">
        <v>313</v>
      </c>
      <c r="AG39" s="31"/>
      <c r="AH39" s="31"/>
      <c r="AI39" s="32" t="str">
        <f t="shared" si="3"/>
        <v/>
      </c>
      <c r="AJ39" s="32" t="s">
        <v>313</v>
      </c>
      <c r="AK39" s="31"/>
      <c r="AL39" s="31"/>
      <c r="AM39" s="32" t="str">
        <f t="shared" si="4"/>
        <v/>
      </c>
      <c r="AN39" s="32" t="s">
        <v>313</v>
      </c>
      <c r="AO39" s="31"/>
      <c r="AP39" s="31"/>
      <c r="AQ39" s="32" t="str">
        <f t="shared" si="5"/>
        <v/>
      </c>
      <c r="AR39" s="32" t="s">
        <v>313</v>
      </c>
      <c r="AS39" s="31"/>
      <c r="AT39" s="31"/>
      <c r="AU39" s="32" t="str">
        <f t="shared" si="6"/>
        <v/>
      </c>
      <c r="AV39" s="32" t="s">
        <v>313</v>
      </c>
      <c r="AW39" s="31"/>
      <c r="AX39" s="31"/>
      <c r="AY39" s="32" t="str">
        <f t="shared" si="7"/>
        <v/>
      </c>
      <c r="AZ39" s="32" t="s">
        <v>313</v>
      </c>
    </row>
    <row r="40" spans="1:52" ht="34" customHeight="1">
      <c r="A40" s="28" t="s">
        <v>231</v>
      </c>
      <c r="B40" s="29" t="s">
        <v>321</v>
      </c>
      <c r="C40" s="29" t="s">
        <v>52</v>
      </c>
      <c r="D40" s="29" t="s">
        <v>54</v>
      </c>
      <c r="E40" s="29" t="s">
        <v>55</v>
      </c>
      <c r="F40" s="29" t="s">
        <v>130</v>
      </c>
      <c r="G40" s="30" t="s">
        <v>312</v>
      </c>
      <c r="H40" s="31">
        <v>0</v>
      </c>
      <c r="I40" s="31">
        <v>368835.14</v>
      </c>
      <c r="J40" s="32">
        <f t="shared" si="15"/>
        <v>0</v>
      </c>
      <c r="K40" s="31">
        <v>0</v>
      </c>
      <c r="L40" s="31">
        <v>244130</v>
      </c>
      <c r="M40" s="32">
        <f t="shared" si="16"/>
        <v>0</v>
      </c>
      <c r="N40" s="31">
        <v>0</v>
      </c>
      <c r="O40" s="31">
        <v>708100.5</v>
      </c>
      <c r="P40" s="32">
        <f t="shared" si="17"/>
        <v>0</v>
      </c>
      <c r="Q40" s="31">
        <v>0</v>
      </c>
      <c r="R40" s="31">
        <v>300117</v>
      </c>
      <c r="S40" s="32">
        <f t="shared" si="18"/>
        <v>0</v>
      </c>
      <c r="T40" s="31">
        <v>0</v>
      </c>
      <c r="U40" s="31">
        <v>431343.5</v>
      </c>
      <c r="V40" s="32">
        <f t="shared" si="19"/>
        <v>0</v>
      </c>
      <c r="W40" s="31">
        <v>0</v>
      </c>
      <c r="X40" s="31">
        <v>250346</v>
      </c>
      <c r="Y40" s="32">
        <f t="shared" si="20"/>
        <v>0</v>
      </c>
      <c r="Z40" s="31">
        <f t="shared" si="0"/>
        <v>0</v>
      </c>
      <c r="AA40" s="31">
        <f t="shared" si="1"/>
        <v>2302872.14</v>
      </c>
      <c r="AB40" s="32">
        <f t="shared" si="21"/>
        <v>0</v>
      </c>
      <c r="AC40" s="31"/>
      <c r="AD40" s="31"/>
      <c r="AE40" s="32" t="str">
        <f t="shared" si="2"/>
        <v/>
      </c>
      <c r="AF40" s="32" t="s">
        <v>313</v>
      </c>
      <c r="AG40" s="31"/>
      <c r="AH40" s="31"/>
      <c r="AI40" s="32" t="str">
        <f t="shared" si="3"/>
        <v/>
      </c>
      <c r="AJ40" s="32" t="s">
        <v>313</v>
      </c>
      <c r="AK40" s="31"/>
      <c r="AL40" s="31"/>
      <c r="AM40" s="32" t="str">
        <f t="shared" si="4"/>
        <v/>
      </c>
      <c r="AN40" s="32" t="s">
        <v>313</v>
      </c>
      <c r="AO40" s="31"/>
      <c r="AP40" s="31"/>
      <c r="AQ40" s="32" t="str">
        <f t="shared" si="5"/>
        <v/>
      </c>
      <c r="AR40" s="32" t="s">
        <v>313</v>
      </c>
      <c r="AS40" s="31"/>
      <c r="AT40" s="31"/>
      <c r="AU40" s="32" t="str">
        <f t="shared" si="6"/>
        <v/>
      </c>
      <c r="AV40" s="32" t="s">
        <v>313</v>
      </c>
      <c r="AW40" s="31"/>
      <c r="AX40" s="31"/>
      <c r="AY40" s="32" t="str">
        <f t="shared" si="7"/>
        <v/>
      </c>
      <c r="AZ40" s="32" t="s">
        <v>313</v>
      </c>
    </row>
    <row r="41" spans="1:52" ht="34" customHeight="1">
      <c r="A41" s="28" t="s">
        <v>231</v>
      </c>
      <c r="B41" s="29" t="s">
        <v>321</v>
      </c>
      <c r="C41" s="29" t="s">
        <v>52</v>
      </c>
      <c r="D41" s="29" t="s">
        <v>54</v>
      </c>
      <c r="E41" s="29" t="s">
        <v>58</v>
      </c>
      <c r="F41" s="29" t="s">
        <v>316</v>
      </c>
      <c r="G41" s="30" t="s">
        <v>312</v>
      </c>
      <c r="H41" s="31"/>
      <c r="I41" s="31">
        <v>368835.14</v>
      </c>
      <c r="J41" s="32" t="str">
        <f t="shared" si="15"/>
        <v/>
      </c>
      <c r="K41" s="31"/>
      <c r="L41" s="31">
        <v>244130</v>
      </c>
      <c r="M41" s="32" t="str">
        <f t="shared" si="16"/>
        <v/>
      </c>
      <c r="N41" s="31"/>
      <c r="O41" s="31">
        <v>708100.5</v>
      </c>
      <c r="P41" s="32" t="str">
        <f t="shared" si="17"/>
        <v/>
      </c>
      <c r="Q41" s="31"/>
      <c r="R41" s="31">
        <v>300117</v>
      </c>
      <c r="S41" s="32" t="str">
        <f t="shared" si="18"/>
        <v/>
      </c>
      <c r="T41" s="31"/>
      <c r="U41" s="31">
        <v>431343.5</v>
      </c>
      <c r="V41" s="32" t="str">
        <f t="shared" si="19"/>
        <v/>
      </c>
      <c r="W41" s="31"/>
      <c r="X41" s="31">
        <v>250346</v>
      </c>
      <c r="Y41" s="32" t="str">
        <f t="shared" si="20"/>
        <v/>
      </c>
      <c r="Z41" s="31" t="str">
        <f t="shared" si="0"/>
        <v/>
      </c>
      <c r="AA41" s="31">
        <f t="shared" si="1"/>
        <v>2302872.14</v>
      </c>
      <c r="AB41" s="32" t="str">
        <f t="shared" si="21"/>
        <v/>
      </c>
      <c r="AC41" s="31"/>
      <c r="AD41" s="31"/>
      <c r="AE41" s="32" t="str">
        <f t="shared" si="2"/>
        <v/>
      </c>
      <c r="AF41" s="32" t="s">
        <v>313</v>
      </c>
      <c r="AG41" s="31"/>
      <c r="AH41" s="31"/>
      <c r="AI41" s="32" t="str">
        <f t="shared" si="3"/>
        <v/>
      </c>
      <c r="AJ41" s="32" t="s">
        <v>313</v>
      </c>
      <c r="AK41" s="31"/>
      <c r="AL41" s="31"/>
      <c r="AM41" s="32" t="str">
        <f t="shared" si="4"/>
        <v/>
      </c>
      <c r="AN41" s="32" t="s">
        <v>313</v>
      </c>
      <c r="AO41" s="31"/>
      <c r="AP41" s="31"/>
      <c r="AQ41" s="32" t="str">
        <f t="shared" si="5"/>
        <v/>
      </c>
      <c r="AR41" s="32" t="s">
        <v>313</v>
      </c>
      <c r="AS41" s="31"/>
      <c r="AT41" s="31"/>
      <c r="AU41" s="32" t="str">
        <f t="shared" si="6"/>
        <v/>
      </c>
      <c r="AV41" s="32" t="s">
        <v>313</v>
      </c>
      <c r="AW41" s="31"/>
      <c r="AX41" s="31"/>
      <c r="AY41" s="32" t="str">
        <f t="shared" si="7"/>
        <v/>
      </c>
      <c r="AZ41" s="32" t="s">
        <v>313</v>
      </c>
    </row>
    <row r="42" spans="1:52" ht="34" customHeight="1">
      <c r="A42" s="28" t="s">
        <v>231</v>
      </c>
      <c r="B42" s="29" t="s">
        <v>321</v>
      </c>
      <c r="C42" s="29" t="s">
        <v>52</v>
      </c>
      <c r="D42" s="29" t="s">
        <v>54</v>
      </c>
      <c r="E42" s="29" t="s">
        <v>59</v>
      </c>
      <c r="F42" s="29" t="s">
        <v>316</v>
      </c>
      <c r="G42" s="30" t="s">
        <v>312</v>
      </c>
      <c r="H42" s="31"/>
      <c r="I42" s="31">
        <v>368835.14</v>
      </c>
      <c r="J42" s="32" t="str">
        <f t="shared" si="15"/>
        <v/>
      </c>
      <c r="K42" s="31"/>
      <c r="L42" s="31">
        <v>244130</v>
      </c>
      <c r="M42" s="32" t="str">
        <f t="shared" si="16"/>
        <v/>
      </c>
      <c r="N42" s="31"/>
      <c r="O42" s="31">
        <v>708100.5</v>
      </c>
      <c r="P42" s="32" t="str">
        <f t="shared" si="17"/>
        <v/>
      </c>
      <c r="Q42" s="31"/>
      <c r="R42" s="31">
        <v>300117</v>
      </c>
      <c r="S42" s="32" t="str">
        <f t="shared" si="18"/>
        <v/>
      </c>
      <c r="T42" s="31"/>
      <c r="U42" s="31">
        <v>431343.5</v>
      </c>
      <c r="V42" s="32" t="str">
        <f t="shared" si="19"/>
        <v/>
      </c>
      <c r="W42" s="31"/>
      <c r="X42" s="31">
        <v>250346</v>
      </c>
      <c r="Y42" s="32" t="str">
        <f t="shared" si="20"/>
        <v/>
      </c>
      <c r="Z42" s="31" t="str">
        <f t="shared" si="0"/>
        <v/>
      </c>
      <c r="AA42" s="31">
        <f t="shared" si="1"/>
        <v>2302872.14</v>
      </c>
      <c r="AB42" s="32" t="str">
        <f t="shared" si="21"/>
        <v/>
      </c>
      <c r="AC42" s="31"/>
      <c r="AD42" s="31"/>
      <c r="AE42" s="32" t="str">
        <f t="shared" si="2"/>
        <v/>
      </c>
      <c r="AF42" s="32" t="s">
        <v>313</v>
      </c>
      <c r="AG42" s="31"/>
      <c r="AH42" s="31"/>
      <c r="AI42" s="32" t="str">
        <f t="shared" si="3"/>
        <v/>
      </c>
      <c r="AJ42" s="32" t="s">
        <v>313</v>
      </c>
      <c r="AK42" s="31"/>
      <c r="AL42" s="31"/>
      <c r="AM42" s="32" t="str">
        <f t="shared" si="4"/>
        <v/>
      </c>
      <c r="AN42" s="32" t="s">
        <v>313</v>
      </c>
      <c r="AO42" s="31"/>
      <c r="AP42" s="31"/>
      <c r="AQ42" s="32" t="str">
        <f t="shared" si="5"/>
        <v/>
      </c>
      <c r="AR42" s="32" t="s">
        <v>313</v>
      </c>
      <c r="AS42" s="31"/>
      <c r="AT42" s="31"/>
      <c r="AU42" s="32" t="str">
        <f t="shared" si="6"/>
        <v/>
      </c>
      <c r="AV42" s="32" t="s">
        <v>313</v>
      </c>
      <c r="AW42" s="31"/>
      <c r="AX42" s="31"/>
      <c r="AY42" s="32" t="str">
        <f t="shared" si="7"/>
        <v/>
      </c>
      <c r="AZ42" s="32" t="s">
        <v>313</v>
      </c>
    </row>
    <row r="43" spans="1:52" ht="34" customHeight="1">
      <c r="A43" s="28" t="s">
        <v>231</v>
      </c>
      <c r="B43" s="29" t="s">
        <v>321</v>
      </c>
      <c r="C43" s="29" t="s">
        <v>52</v>
      </c>
      <c r="D43" s="29" t="s">
        <v>54</v>
      </c>
      <c r="E43" s="29" t="s">
        <v>64</v>
      </c>
      <c r="F43" s="29" t="s">
        <v>133</v>
      </c>
      <c r="G43" s="30" t="s">
        <v>312</v>
      </c>
      <c r="H43" s="31">
        <v>0</v>
      </c>
      <c r="I43" s="31">
        <v>368835.14</v>
      </c>
      <c r="J43" s="32">
        <f t="shared" si="15"/>
        <v>0</v>
      </c>
      <c r="K43" s="31">
        <v>0</v>
      </c>
      <c r="L43" s="31">
        <v>244130</v>
      </c>
      <c r="M43" s="32">
        <f t="shared" si="16"/>
        <v>0</v>
      </c>
      <c r="N43" s="31">
        <v>0</v>
      </c>
      <c r="O43" s="31">
        <v>708100.5</v>
      </c>
      <c r="P43" s="32">
        <f t="shared" si="17"/>
        <v>0</v>
      </c>
      <c r="Q43" s="31">
        <v>0</v>
      </c>
      <c r="R43" s="31">
        <v>300117</v>
      </c>
      <c r="S43" s="32">
        <f t="shared" si="18"/>
        <v>0</v>
      </c>
      <c r="T43" s="31">
        <v>0</v>
      </c>
      <c r="U43" s="31">
        <v>431343.5</v>
      </c>
      <c r="V43" s="32">
        <f t="shared" si="19"/>
        <v>0</v>
      </c>
      <c r="W43" s="31">
        <v>0</v>
      </c>
      <c r="X43" s="31">
        <v>250346</v>
      </c>
      <c r="Y43" s="32">
        <f t="shared" si="20"/>
        <v>0</v>
      </c>
      <c r="Z43" s="31">
        <f t="shared" si="0"/>
        <v>0</v>
      </c>
      <c r="AA43" s="31">
        <f t="shared" si="1"/>
        <v>2302872.14</v>
      </c>
      <c r="AB43" s="32">
        <f t="shared" si="21"/>
        <v>0</v>
      </c>
      <c r="AC43" s="31"/>
      <c r="AD43" s="31"/>
      <c r="AE43" s="32" t="str">
        <f t="shared" si="2"/>
        <v/>
      </c>
      <c r="AF43" s="32" t="s">
        <v>313</v>
      </c>
      <c r="AG43" s="31"/>
      <c r="AH43" s="31"/>
      <c r="AI43" s="32" t="str">
        <f t="shared" si="3"/>
        <v/>
      </c>
      <c r="AJ43" s="32" t="s">
        <v>313</v>
      </c>
      <c r="AK43" s="31"/>
      <c r="AL43" s="31"/>
      <c r="AM43" s="32" t="str">
        <f t="shared" si="4"/>
        <v/>
      </c>
      <c r="AN43" s="32" t="s">
        <v>313</v>
      </c>
      <c r="AO43" s="31"/>
      <c r="AP43" s="31"/>
      <c r="AQ43" s="32" t="str">
        <f t="shared" si="5"/>
        <v/>
      </c>
      <c r="AR43" s="32" t="s">
        <v>313</v>
      </c>
      <c r="AS43" s="31"/>
      <c r="AT43" s="31"/>
      <c r="AU43" s="32" t="str">
        <f t="shared" si="6"/>
        <v/>
      </c>
      <c r="AV43" s="32" t="s">
        <v>313</v>
      </c>
      <c r="AW43" s="31"/>
      <c r="AX43" s="31"/>
      <c r="AY43" s="32" t="str">
        <f t="shared" si="7"/>
        <v/>
      </c>
      <c r="AZ43" s="32" t="s">
        <v>313</v>
      </c>
    </row>
    <row r="44" spans="1:52" ht="34" customHeight="1">
      <c r="A44" s="28" t="s">
        <v>231</v>
      </c>
      <c r="B44" s="29" t="s">
        <v>321</v>
      </c>
      <c r="C44" s="29" t="s">
        <v>52</v>
      </c>
      <c r="D44" s="29" t="s">
        <v>54</v>
      </c>
      <c r="E44" s="29" t="s">
        <v>60</v>
      </c>
      <c r="F44" s="29" t="s">
        <v>316</v>
      </c>
      <c r="G44" s="30" t="s">
        <v>312</v>
      </c>
      <c r="H44" s="31"/>
      <c r="I44" s="31">
        <v>368835.14</v>
      </c>
      <c r="J44" s="32" t="str">
        <f t="shared" si="15"/>
        <v/>
      </c>
      <c r="K44" s="31"/>
      <c r="L44" s="31">
        <v>244130</v>
      </c>
      <c r="M44" s="32" t="str">
        <f t="shared" si="16"/>
        <v/>
      </c>
      <c r="N44" s="31"/>
      <c r="O44" s="31">
        <v>708100.5</v>
      </c>
      <c r="P44" s="32" t="str">
        <f t="shared" si="17"/>
        <v/>
      </c>
      <c r="Q44" s="31"/>
      <c r="R44" s="31">
        <v>300117</v>
      </c>
      <c r="S44" s="32" t="str">
        <f t="shared" si="18"/>
        <v/>
      </c>
      <c r="T44" s="31"/>
      <c r="U44" s="31">
        <v>431343.5</v>
      </c>
      <c r="V44" s="32" t="str">
        <f t="shared" si="19"/>
        <v/>
      </c>
      <c r="W44" s="31"/>
      <c r="X44" s="31">
        <v>250346</v>
      </c>
      <c r="Y44" s="32" t="str">
        <f t="shared" si="20"/>
        <v/>
      </c>
      <c r="Z44" s="31" t="str">
        <f t="shared" si="0"/>
        <v/>
      </c>
      <c r="AA44" s="31">
        <f t="shared" si="1"/>
        <v>2302872.14</v>
      </c>
      <c r="AB44" s="32" t="str">
        <f t="shared" si="21"/>
        <v/>
      </c>
      <c r="AC44" s="31"/>
      <c r="AD44" s="31"/>
      <c r="AE44" s="32" t="str">
        <f t="shared" si="2"/>
        <v/>
      </c>
      <c r="AF44" s="32" t="s">
        <v>313</v>
      </c>
      <c r="AG44" s="31"/>
      <c r="AH44" s="31"/>
      <c r="AI44" s="32" t="str">
        <f t="shared" si="3"/>
        <v/>
      </c>
      <c r="AJ44" s="32" t="s">
        <v>313</v>
      </c>
      <c r="AK44" s="31"/>
      <c r="AL44" s="31"/>
      <c r="AM44" s="32" t="str">
        <f t="shared" si="4"/>
        <v/>
      </c>
      <c r="AN44" s="32" t="s">
        <v>313</v>
      </c>
      <c r="AO44" s="31"/>
      <c r="AP44" s="31"/>
      <c r="AQ44" s="32" t="str">
        <f t="shared" si="5"/>
        <v/>
      </c>
      <c r="AR44" s="32" t="s">
        <v>313</v>
      </c>
      <c r="AS44" s="31"/>
      <c r="AT44" s="31"/>
      <c r="AU44" s="32" t="str">
        <f t="shared" si="6"/>
        <v/>
      </c>
      <c r="AV44" s="32" t="s">
        <v>313</v>
      </c>
      <c r="AW44" s="31"/>
      <c r="AX44" s="31"/>
      <c r="AY44" s="32" t="str">
        <f t="shared" si="7"/>
        <v/>
      </c>
      <c r="AZ44" s="32" t="s">
        <v>313</v>
      </c>
    </row>
    <row r="45" spans="1:52" ht="51" customHeight="1">
      <c r="A45" s="28" t="s">
        <v>231</v>
      </c>
      <c r="B45" s="29" t="s">
        <v>321</v>
      </c>
      <c r="C45" s="29" t="s">
        <v>52</v>
      </c>
      <c r="D45" s="29" t="s">
        <v>54</v>
      </c>
      <c r="E45" s="29" t="s">
        <v>61</v>
      </c>
      <c r="F45" s="29" t="s">
        <v>135</v>
      </c>
      <c r="G45" s="30" t="s">
        <v>312</v>
      </c>
      <c r="H45" s="31">
        <v>0</v>
      </c>
      <c r="I45" s="31">
        <v>368835.14</v>
      </c>
      <c r="J45" s="32">
        <f t="shared" si="15"/>
        <v>0</v>
      </c>
      <c r="K45" s="31">
        <v>0</v>
      </c>
      <c r="L45" s="31">
        <v>244130</v>
      </c>
      <c r="M45" s="32">
        <f t="shared" si="16"/>
        <v>0</v>
      </c>
      <c r="N45" s="31">
        <v>0</v>
      </c>
      <c r="O45" s="31">
        <v>708100.5</v>
      </c>
      <c r="P45" s="32">
        <f t="shared" si="17"/>
        <v>0</v>
      </c>
      <c r="Q45" s="31">
        <v>0</v>
      </c>
      <c r="R45" s="31">
        <v>300117</v>
      </c>
      <c r="S45" s="32">
        <f t="shared" si="18"/>
        <v>0</v>
      </c>
      <c r="T45" s="31">
        <v>0</v>
      </c>
      <c r="U45" s="31">
        <v>431343.5</v>
      </c>
      <c r="V45" s="32">
        <f t="shared" si="19"/>
        <v>0</v>
      </c>
      <c r="W45" s="31">
        <v>0</v>
      </c>
      <c r="X45" s="31">
        <v>250346</v>
      </c>
      <c r="Y45" s="32">
        <f t="shared" si="20"/>
        <v>0</v>
      </c>
      <c r="Z45" s="31">
        <f t="shared" si="0"/>
        <v>0</v>
      </c>
      <c r="AA45" s="31">
        <f t="shared" si="1"/>
        <v>2302872.14</v>
      </c>
      <c r="AB45" s="32">
        <f t="shared" si="21"/>
        <v>0</v>
      </c>
      <c r="AC45" s="31"/>
      <c r="AD45" s="31"/>
      <c r="AE45" s="32" t="str">
        <f t="shared" si="2"/>
        <v/>
      </c>
      <c r="AF45" s="32" t="s">
        <v>313</v>
      </c>
      <c r="AG45" s="31"/>
      <c r="AH45" s="31"/>
      <c r="AI45" s="32" t="str">
        <f t="shared" si="3"/>
        <v/>
      </c>
      <c r="AJ45" s="32" t="s">
        <v>313</v>
      </c>
      <c r="AK45" s="31"/>
      <c r="AL45" s="31"/>
      <c r="AM45" s="32" t="str">
        <f t="shared" si="4"/>
        <v/>
      </c>
      <c r="AN45" s="32" t="s">
        <v>313</v>
      </c>
      <c r="AO45" s="31"/>
      <c r="AP45" s="31"/>
      <c r="AQ45" s="32" t="str">
        <f t="shared" si="5"/>
        <v/>
      </c>
      <c r="AR45" s="32" t="s">
        <v>313</v>
      </c>
      <c r="AS45" s="31"/>
      <c r="AT45" s="31"/>
      <c r="AU45" s="32" t="str">
        <f t="shared" si="6"/>
        <v/>
      </c>
      <c r="AV45" s="32" t="s">
        <v>313</v>
      </c>
      <c r="AW45" s="31"/>
      <c r="AX45" s="31"/>
      <c r="AY45" s="32" t="str">
        <f t="shared" si="7"/>
        <v/>
      </c>
      <c r="AZ45" s="32" t="s">
        <v>313</v>
      </c>
    </row>
    <row r="46" spans="1:52" ht="34" customHeight="1">
      <c r="A46" s="28" t="s">
        <v>231</v>
      </c>
      <c r="B46" s="29" t="s">
        <v>321</v>
      </c>
      <c r="C46" s="29" t="s">
        <v>52</v>
      </c>
      <c r="D46" s="29" t="s">
        <v>54</v>
      </c>
      <c r="E46" s="29" t="s">
        <v>62</v>
      </c>
      <c r="F46" s="29" t="s">
        <v>316</v>
      </c>
      <c r="G46" s="30" t="s">
        <v>312</v>
      </c>
      <c r="H46" s="31"/>
      <c r="I46" s="31">
        <v>368835.14</v>
      </c>
      <c r="J46" s="32" t="str">
        <f t="shared" si="15"/>
        <v/>
      </c>
      <c r="K46" s="31"/>
      <c r="L46" s="31">
        <v>244130</v>
      </c>
      <c r="M46" s="32" t="str">
        <f t="shared" si="16"/>
        <v/>
      </c>
      <c r="N46" s="31"/>
      <c r="O46" s="31">
        <v>708100.5</v>
      </c>
      <c r="P46" s="32" t="str">
        <f t="shared" si="17"/>
        <v/>
      </c>
      <c r="Q46" s="31"/>
      <c r="R46" s="31">
        <v>300117</v>
      </c>
      <c r="S46" s="32" t="str">
        <f t="shared" si="18"/>
        <v/>
      </c>
      <c r="T46" s="31"/>
      <c r="U46" s="31">
        <v>431343.5</v>
      </c>
      <c r="V46" s="32" t="str">
        <f t="shared" si="19"/>
        <v/>
      </c>
      <c r="W46" s="31"/>
      <c r="X46" s="31">
        <v>250346</v>
      </c>
      <c r="Y46" s="32" t="str">
        <f t="shared" si="20"/>
        <v/>
      </c>
      <c r="Z46" s="31" t="str">
        <f t="shared" si="0"/>
        <v/>
      </c>
      <c r="AA46" s="31">
        <f t="shared" si="1"/>
        <v>2302872.14</v>
      </c>
      <c r="AB46" s="32" t="str">
        <f t="shared" si="21"/>
        <v/>
      </c>
      <c r="AC46" s="31"/>
      <c r="AD46" s="31"/>
      <c r="AE46" s="32" t="str">
        <f t="shared" si="2"/>
        <v/>
      </c>
      <c r="AF46" s="32" t="s">
        <v>313</v>
      </c>
      <c r="AG46" s="31"/>
      <c r="AH46" s="31"/>
      <c r="AI46" s="32" t="str">
        <f t="shared" si="3"/>
        <v/>
      </c>
      <c r="AJ46" s="32" t="s">
        <v>313</v>
      </c>
      <c r="AK46" s="31"/>
      <c r="AL46" s="31"/>
      <c r="AM46" s="32" t="str">
        <f t="shared" si="4"/>
        <v/>
      </c>
      <c r="AN46" s="32" t="s">
        <v>313</v>
      </c>
      <c r="AO46" s="31"/>
      <c r="AP46" s="31"/>
      <c r="AQ46" s="32" t="str">
        <f t="shared" si="5"/>
        <v/>
      </c>
      <c r="AR46" s="32" t="s">
        <v>313</v>
      </c>
      <c r="AS46" s="31"/>
      <c r="AT46" s="31"/>
      <c r="AU46" s="32" t="str">
        <f t="shared" si="6"/>
        <v/>
      </c>
      <c r="AV46" s="32" t="s">
        <v>313</v>
      </c>
      <c r="AW46" s="31"/>
      <c r="AX46" s="31"/>
      <c r="AY46" s="32" t="str">
        <f t="shared" si="7"/>
        <v/>
      </c>
      <c r="AZ46" s="32" t="s">
        <v>313</v>
      </c>
    </row>
    <row r="47" spans="1:52" ht="34" customHeight="1">
      <c r="A47" s="28" t="s">
        <v>231</v>
      </c>
      <c r="B47" s="29" t="s">
        <v>321</v>
      </c>
      <c r="C47" s="29" t="s">
        <v>52</v>
      </c>
      <c r="D47" s="29" t="s">
        <v>54</v>
      </c>
      <c r="E47" s="29" t="s">
        <v>63</v>
      </c>
      <c r="F47" s="29" t="s">
        <v>316</v>
      </c>
      <c r="G47" s="30" t="s">
        <v>312</v>
      </c>
      <c r="H47" s="31"/>
      <c r="I47" s="31">
        <v>368835.14</v>
      </c>
      <c r="J47" s="32" t="str">
        <f t="shared" si="15"/>
        <v/>
      </c>
      <c r="K47" s="31"/>
      <c r="L47" s="31">
        <v>244130</v>
      </c>
      <c r="M47" s="32" t="str">
        <f t="shared" si="16"/>
        <v/>
      </c>
      <c r="N47" s="31"/>
      <c r="O47" s="31">
        <v>708100.5</v>
      </c>
      <c r="P47" s="32" t="str">
        <f t="shared" si="17"/>
        <v/>
      </c>
      <c r="Q47" s="31"/>
      <c r="R47" s="31">
        <v>300117</v>
      </c>
      <c r="S47" s="32" t="str">
        <f t="shared" si="18"/>
        <v/>
      </c>
      <c r="T47" s="31"/>
      <c r="U47" s="31">
        <v>431343.5</v>
      </c>
      <c r="V47" s="32" t="str">
        <f t="shared" si="19"/>
        <v/>
      </c>
      <c r="W47" s="31"/>
      <c r="X47" s="31">
        <v>250346</v>
      </c>
      <c r="Y47" s="32" t="str">
        <f t="shared" si="20"/>
        <v/>
      </c>
      <c r="Z47" s="31" t="str">
        <f t="shared" si="0"/>
        <v/>
      </c>
      <c r="AA47" s="31">
        <f t="shared" si="1"/>
        <v>2302872.14</v>
      </c>
      <c r="AB47" s="32" t="str">
        <f t="shared" si="21"/>
        <v/>
      </c>
      <c r="AC47" s="31"/>
      <c r="AD47" s="31"/>
      <c r="AE47" s="32" t="str">
        <f t="shared" si="2"/>
        <v/>
      </c>
      <c r="AF47" s="32" t="s">
        <v>313</v>
      </c>
      <c r="AG47" s="31"/>
      <c r="AH47" s="31"/>
      <c r="AI47" s="32" t="str">
        <f t="shared" si="3"/>
        <v/>
      </c>
      <c r="AJ47" s="32" t="s">
        <v>313</v>
      </c>
      <c r="AK47" s="31"/>
      <c r="AL47" s="31"/>
      <c r="AM47" s="32" t="str">
        <f t="shared" si="4"/>
        <v/>
      </c>
      <c r="AN47" s="32" t="s">
        <v>313</v>
      </c>
      <c r="AO47" s="31"/>
      <c r="AP47" s="31"/>
      <c r="AQ47" s="32" t="str">
        <f t="shared" si="5"/>
        <v/>
      </c>
      <c r="AR47" s="32" t="s">
        <v>313</v>
      </c>
      <c r="AS47" s="31"/>
      <c r="AT47" s="31"/>
      <c r="AU47" s="32" t="str">
        <f t="shared" si="6"/>
        <v/>
      </c>
      <c r="AV47" s="32" t="s">
        <v>313</v>
      </c>
      <c r="AW47" s="31"/>
      <c r="AX47" s="31"/>
      <c r="AY47" s="32" t="str">
        <f t="shared" si="7"/>
        <v/>
      </c>
      <c r="AZ47" s="32" t="s">
        <v>313</v>
      </c>
    </row>
    <row r="48" spans="1:52" ht="34" customHeight="1">
      <c r="A48" s="28" t="s">
        <v>231</v>
      </c>
      <c r="B48" s="29" t="s">
        <v>321</v>
      </c>
      <c r="C48" s="29" t="s">
        <v>52</v>
      </c>
      <c r="D48" s="29" t="s">
        <v>65</v>
      </c>
      <c r="E48" s="29" t="s">
        <v>66</v>
      </c>
      <c r="F48" s="29" t="s">
        <v>316</v>
      </c>
      <c r="G48" s="30" t="s">
        <v>312</v>
      </c>
      <c r="H48" s="31"/>
      <c r="I48" s="31">
        <v>368835.14</v>
      </c>
      <c r="J48" s="32" t="str">
        <f t="shared" si="15"/>
        <v/>
      </c>
      <c r="K48" s="31"/>
      <c r="L48" s="31">
        <v>244130</v>
      </c>
      <c r="M48" s="32" t="str">
        <f t="shared" si="16"/>
        <v/>
      </c>
      <c r="N48" s="31"/>
      <c r="O48" s="31">
        <v>708100.5</v>
      </c>
      <c r="P48" s="32" t="str">
        <f t="shared" si="17"/>
        <v/>
      </c>
      <c r="Q48" s="31"/>
      <c r="R48" s="31">
        <v>300117</v>
      </c>
      <c r="S48" s="32" t="str">
        <f t="shared" si="18"/>
        <v/>
      </c>
      <c r="T48" s="31"/>
      <c r="U48" s="31">
        <v>431343.5</v>
      </c>
      <c r="V48" s="32" t="str">
        <f t="shared" si="19"/>
        <v/>
      </c>
      <c r="W48" s="31"/>
      <c r="X48" s="31">
        <v>250346</v>
      </c>
      <c r="Y48" s="32" t="str">
        <f t="shared" si="20"/>
        <v/>
      </c>
      <c r="Z48" s="31" t="str">
        <f t="shared" si="0"/>
        <v/>
      </c>
      <c r="AA48" s="31">
        <f t="shared" si="1"/>
        <v>2302872.14</v>
      </c>
      <c r="AB48" s="32" t="str">
        <f t="shared" si="21"/>
        <v/>
      </c>
      <c r="AC48" s="31"/>
      <c r="AD48" s="31"/>
      <c r="AE48" s="32" t="str">
        <f t="shared" si="2"/>
        <v/>
      </c>
      <c r="AF48" s="32" t="s">
        <v>313</v>
      </c>
      <c r="AG48" s="31"/>
      <c r="AH48" s="31"/>
      <c r="AI48" s="32" t="str">
        <f t="shared" si="3"/>
        <v/>
      </c>
      <c r="AJ48" s="32" t="s">
        <v>313</v>
      </c>
      <c r="AK48" s="31"/>
      <c r="AL48" s="31"/>
      <c r="AM48" s="32" t="str">
        <f t="shared" si="4"/>
        <v/>
      </c>
      <c r="AN48" s="32" t="s">
        <v>313</v>
      </c>
      <c r="AO48" s="31"/>
      <c r="AP48" s="31"/>
      <c r="AQ48" s="32" t="str">
        <f t="shared" si="5"/>
        <v/>
      </c>
      <c r="AR48" s="32" t="s">
        <v>313</v>
      </c>
      <c r="AS48" s="31"/>
      <c r="AT48" s="31"/>
      <c r="AU48" s="32" t="str">
        <f t="shared" si="6"/>
        <v/>
      </c>
      <c r="AV48" s="32" t="s">
        <v>313</v>
      </c>
      <c r="AW48" s="31"/>
      <c r="AX48" s="31"/>
      <c r="AY48" s="32" t="str">
        <f t="shared" si="7"/>
        <v/>
      </c>
      <c r="AZ48" s="32" t="s">
        <v>313</v>
      </c>
    </row>
    <row r="49" spans="1:52" ht="34" customHeight="1">
      <c r="A49" s="28" t="s">
        <v>231</v>
      </c>
      <c r="B49" s="29" t="s">
        <v>321</v>
      </c>
      <c r="C49" s="29" t="s">
        <v>52</v>
      </c>
      <c r="D49" s="29" t="s">
        <v>65</v>
      </c>
      <c r="E49" s="29" t="s">
        <v>67</v>
      </c>
      <c r="F49" s="29" t="s">
        <v>316</v>
      </c>
      <c r="G49" s="30" t="s">
        <v>312</v>
      </c>
      <c r="H49" s="31"/>
      <c r="I49" s="31">
        <v>368835.14</v>
      </c>
      <c r="J49" s="32" t="str">
        <f t="shared" si="15"/>
        <v/>
      </c>
      <c r="K49" s="31"/>
      <c r="L49" s="31">
        <v>244130</v>
      </c>
      <c r="M49" s="32" t="str">
        <f t="shared" si="16"/>
        <v/>
      </c>
      <c r="N49" s="31"/>
      <c r="O49" s="31">
        <v>708100.5</v>
      </c>
      <c r="P49" s="32" t="str">
        <f t="shared" si="17"/>
        <v/>
      </c>
      <c r="Q49" s="31"/>
      <c r="R49" s="31">
        <v>300117</v>
      </c>
      <c r="S49" s="32" t="str">
        <f t="shared" si="18"/>
        <v/>
      </c>
      <c r="T49" s="31"/>
      <c r="U49" s="31">
        <v>431343.5</v>
      </c>
      <c r="V49" s="32" t="str">
        <f t="shared" si="19"/>
        <v/>
      </c>
      <c r="W49" s="31"/>
      <c r="X49" s="31">
        <v>250346</v>
      </c>
      <c r="Y49" s="32" t="str">
        <f t="shared" si="20"/>
        <v/>
      </c>
      <c r="Z49" s="31" t="str">
        <f t="shared" si="0"/>
        <v/>
      </c>
      <c r="AA49" s="31">
        <f t="shared" si="1"/>
        <v>2302872.14</v>
      </c>
      <c r="AB49" s="32" t="str">
        <f t="shared" si="21"/>
        <v/>
      </c>
      <c r="AC49" s="31"/>
      <c r="AD49" s="31"/>
      <c r="AE49" s="32" t="str">
        <f t="shared" si="2"/>
        <v/>
      </c>
      <c r="AF49" s="32" t="s">
        <v>313</v>
      </c>
      <c r="AG49" s="31"/>
      <c r="AH49" s="31"/>
      <c r="AI49" s="32" t="str">
        <f t="shared" si="3"/>
        <v/>
      </c>
      <c r="AJ49" s="32" t="s">
        <v>313</v>
      </c>
      <c r="AK49" s="31"/>
      <c r="AL49" s="31"/>
      <c r="AM49" s="32" t="str">
        <f t="shared" si="4"/>
        <v/>
      </c>
      <c r="AN49" s="32" t="s">
        <v>313</v>
      </c>
      <c r="AO49" s="31"/>
      <c r="AP49" s="31"/>
      <c r="AQ49" s="32" t="str">
        <f t="shared" si="5"/>
        <v/>
      </c>
      <c r="AR49" s="32" t="s">
        <v>313</v>
      </c>
      <c r="AS49" s="31"/>
      <c r="AT49" s="31"/>
      <c r="AU49" s="32" t="str">
        <f t="shared" si="6"/>
        <v/>
      </c>
      <c r="AV49" s="32" t="s">
        <v>313</v>
      </c>
      <c r="AW49" s="31"/>
      <c r="AX49" s="31"/>
      <c r="AY49" s="32" t="str">
        <f t="shared" si="7"/>
        <v/>
      </c>
      <c r="AZ49" s="32" t="s">
        <v>313</v>
      </c>
    </row>
    <row r="50" spans="1:52" ht="34" customHeight="1">
      <c r="A50" s="28" t="s">
        <v>231</v>
      </c>
      <c r="B50" s="29" t="s">
        <v>321</v>
      </c>
      <c r="C50" s="29" t="s">
        <v>52</v>
      </c>
      <c r="D50" s="29" t="s">
        <v>65</v>
      </c>
      <c r="E50" s="29" t="s">
        <v>68</v>
      </c>
      <c r="F50" s="29" t="s">
        <v>316</v>
      </c>
      <c r="G50" s="30" t="s">
        <v>312</v>
      </c>
      <c r="H50" s="31"/>
      <c r="I50" s="31">
        <v>368835.14</v>
      </c>
      <c r="J50" s="32" t="str">
        <f t="shared" si="15"/>
        <v/>
      </c>
      <c r="K50" s="31"/>
      <c r="L50" s="31">
        <v>244130</v>
      </c>
      <c r="M50" s="32" t="str">
        <f t="shared" si="16"/>
        <v/>
      </c>
      <c r="N50" s="31"/>
      <c r="O50" s="31">
        <v>708100.5</v>
      </c>
      <c r="P50" s="32" t="str">
        <f t="shared" si="17"/>
        <v/>
      </c>
      <c r="Q50" s="31"/>
      <c r="R50" s="31">
        <v>300117</v>
      </c>
      <c r="S50" s="32" t="str">
        <f t="shared" si="18"/>
        <v/>
      </c>
      <c r="T50" s="31"/>
      <c r="U50" s="31">
        <v>431343.5</v>
      </c>
      <c r="V50" s="32" t="str">
        <f t="shared" si="19"/>
        <v/>
      </c>
      <c r="W50" s="31"/>
      <c r="X50" s="31">
        <v>250346</v>
      </c>
      <c r="Y50" s="32" t="str">
        <f t="shared" si="20"/>
        <v/>
      </c>
      <c r="Z50" s="31" t="str">
        <f t="shared" si="0"/>
        <v/>
      </c>
      <c r="AA50" s="31">
        <f t="shared" si="1"/>
        <v>2302872.14</v>
      </c>
      <c r="AB50" s="32" t="str">
        <f t="shared" si="21"/>
        <v/>
      </c>
      <c r="AC50" s="31"/>
      <c r="AD50" s="31"/>
      <c r="AE50" s="32" t="str">
        <f t="shared" si="2"/>
        <v/>
      </c>
      <c r="AF50" s="32" t="s">
        <v>313</v>
      </c>
      <c r="AG50" s="31"/>
      <c r="AH50" s="31"/>
      <c r="AI50" s="32" t="str">
        <f t="shared" si="3"/>
        <v/>
      </c>
      <c r="AJ50" s="32" t="s">
        <v>313</v>
      </c>
      <c r="AK50" s="31"/>
      <c r="AL50" s="31"/>
      <c r="AM50" s="32" t="str">
        <f t="shared" si="4"/>
        <v/>
      </c>
      <c r="AN50" s="32" t="s">
        <v>313</v>
      </c>
      <c r="AO50" s="31"/>
      <c r="AP50" s="31"/>
      <c r="AQ50" s="32" t="str">
        <f t="shared" si="5"/>
        <v/>
      </c>
      <c r="AR50" s="32" t="s">
        <v>313</v>
      </c>
      <c r="AS50" s="31"/>
      <c r="AT50" s="31"/>
      <c r="AU50" s="32" t="str">
        <f t="shared" si="6"/>
        <v/>
      </c>
      <c r="AV50" s="32" t="s">
        <v>313</v>
      </c>
      <c r="AW50" s="31"/>
      <c r="AX50" s="31"/>
      <c r="AY50" s="32" t="str">
        <f t="shared" si="7"/>
        <v/>
      </c>
      <c r="AZ50" s="32" t="s">
        <v>313</v>
      </c>
    </row>
    <row r="51" spans="1:52" ht="34" customHeight="1">
      <c r="A51" s="28" t="s">
        <v>231</v>
      </c>
      <c r="B51" s="29" t="s">
        <v>321</v>
      </c>
      <c r="C51" s="29" t="s">
        <v>52</v>
      </c>
      <c r="D51" s="29" t="s">
        <v>65</v>
      </c>
      <c r="E51" s="29" t="s">
        <v>69</v>
      </c>
      <c r="F51" s="29" t="s">
        <v>316</v>
      </c>
      <c r="G51" s="30" t="s">
        <v>312</v>
      </c>
      <c r="H51" s="31"/>
      <c r="I51" s="31">
        <v>368835.14</v>
      </c>
      <c r="J51" s="32" t="str">
        <f t="shared" si="15"/>
        <v/>
      </c>
      <c r="K51" s="31"/>
      <c r="L51" s="31">
        <v>244130</v>
      </c>
      <c r="M51" s="32" t="str">
        <f t="shared" si="16"/>
        <v/>
      </c>
      <c r="N51" s="31"/>
      <c r="O51" s="31">
        <v>708100.5</v>
      </c>
      <c r="P51" s="32" t="str">
        <f t="shared" si="17"/>
        <v/>
      </c>
      <c r="Q51" s="31"/>
      <c r="R51" s="31">
        <v>300117</v>
      </c>
      <c r="S51" s="32" t="str">
        <f t="shared" si="18"/>
        <v/>
      </c>
      <c r="T51" s="31"/>
      <c r="U51" s="31">
        <v>431343.5</v>
      </c>
      <c r="V51" s="32" t="str">
        <f t="shared" si="19"/>
        <v/>
      </c>
      <c r="W51" s="31"/>
      <c r="X51" s="31">
        <v>250346</v>
      </c>
      <c r="Y51" s="32" t="str">
        <f t="shared" si="20"/>
        <v/>
      </c>
      <c r="Z51" s="31" t="str">
        <f t="shared" si="0"/>
        <v/>
      </c>
      <c r="AA51" s="31">
        <f t="shared" si="1"/>
        <v>2302872.14</v>
      </c>
      <c r="AB51" s="32" t="str">
        <f t="shared" si="21"/>
        <v/>
      </c>
      <c r="AC51" s="31"/>
      <c r="AD51" s="31"/>
      <c r="AE51" s="32" t="str">
        <f t="shared" si="2"/>
        <v/>
      </c>
      <c r="AF51" s="32" t="s">
        <v>313</v>
      </c>
      <c r="AG51" s="31"/>
      <c r="AH51" s="31"/>
      <c r="AI51" s="32" t="str">
        <f t="shared" si="3"/>
        <v/>
      </c>
      <c r="AJ51" s="32" t="s">
        <v>313</v>
      </c>
      <c r="AK51" s="31"/>
      <c r="AL51" s="31"/>
      <c r="AM51" s="32" t="str">
        <f t="shared" si="4"/>
        <v/>
      </c>
      <c r="AN51" s="32" t="s">
        <v>313</v>
      </c>
      <c r="AO51" s="31"/>
      <c r="AP51" s="31"/>
      <c r="AQ51" s="32" t="str">
        <f t="shared" si="5"/>
        <v/>
      </c>
      <c r="AR51" s="32" t="s">
        <v>313</v>
      </c>
      <c r="AS51" s="31"/>
      <c r="AT51" s="31"/>
      <c r="AU51" s="32" t="str">
        <f t="shared" si="6"/>
        <v/>
      </c>
      <c r="AV51" s="32" t="s">
        <v>313</v>
      </c>
      <c r="AW51" s="31"/>
      <c r="AX51" s="31"/>
      <c r="AY51" s="32" t="str">
        <f t="shared" si="7"/>
        <v/>
      </c>
      <c r="AZ51" s="32" t="s">
        <v>313</v>
      </c>
    </row>
    <row r="52" spans="1:52" ht="68" customHeight="1">
      <c r="A52" s="28" t="s">
        <v>231</v>
      </c>
      <c r="B52" s="29" t="s">
        <v>321</v>
      </c>
      <c r="C52" s="29" t="s">
        <v>52</v>
      </c>
      <c r="D52" s="29" t="s">
        <v>70</v>
      </c>
      <c r="E52" s="29" t="s">
        <v>73</v>
      </c>
      <c r="F52" s="29" t="s">
        <v>317</v>
      </c>
      <c r="G52" s="30" t="s">
        <v>312</v>
      </c>
      <c r="H52" s="31">
        <v>0</v>
      </c>
      <c r="I52" s="31">
        <v>368835.14</v>
      </c>
      <c r="J52" s="32">
        <f t="shared" si="15"/>
        <v>0</v>
      </c>
      <c r="K52" s="31">
        <v>0</v>
      </c>
      <c r="L52" s="31">
        <v>244130</v>
      </c>
      <c r="M52" s="32">
        <f t="shared" si="16"/>
        <v>0</v>
      </c>
      <c r="N52" s="31">
        <v>0</v>
      </c>
      <c r="O52" s="31">
        <v>708100.5</v>
      </c>
      <c r="P52" s="32">
        <f t="shared" si="17"/>
        <v>0</v>
      </c>
      <c r="Q52" s="31">
        <v>0</v>
      </c>
      <c r="R52" s="31">
        <v>300117</v>
      </c>
      <c r="S52" s="32">
        <f t="shared" si="18"/>
        <v>0</v>
      </c>
      <c r="T52" s="31">
        <v>0</v>
      </c>
      <c r="U52" s="31">
        <v>431343.5</v>
      </c>
      <c r="V52" s="32">
        <f t="shared" si="19"/>
        <v>0</v>
      </c>
      <c r="W52" s="31">
        <v>0</v>
      </c>
      <c r="X52" s="31">
        <v>250346</v>
      </c>
      <c r="Y52" s="32">
        <f t="shared" si="20"/>
        <v>0</v>
      </c>
      <c r="Z52" s="31">
        <f t="shared" si="0"/>
        <v>0</v>
      </c>
      <c r="AA52" s="31">
        <f t="shared" si="1"/>
        <v>2302872.14</v>
      </c>
      <c r="AB52" s="32">
        <f t="shared" si="21"/>
        <v>0</v>
      </c>
      <c r="AC52" s="31"/>
      <c r="AD52" s="31"/>
      <c r="AE52" s="32" t="str">
        <f t="shared" si="2"/>
        <v/>
      </c>
      <c r="AF52" s="32" t="s">
        <v>313</v>
      </c>
      <c r="AG52" s="31"/>
      <c r="AH52" s="31"/>
      <c r="AI52" s="32" t="str">
        <f t="shared" si="3"/>
        <v/>
      </c>
      <c r="AJ52" s="32" t="s">
        <v>313</v>
      </c>
      <c r="AK52" s="31"/>
      <c r="AL52" s="31"/>
      <c r="AM52" s="32" t="str">
        <f t="shared" si="4"/>
        <v/>
      </c>
      <c r="AN52" s="32" t="s">
        <v>313</v>
      </c>
      <c r="AO52" s="31"/>
      <c r="AP52" s="31"/>
      <c r="AQ52" s="32" t="str">
        <f t="shared" si="5"/>
        <v/>
      </c>
      <c r="AR52" s="32" t="s">
        <v>313</v>
      </c>
      <c r="AS52" s="31"/>
      <c r="AT52" s="31"/>
      <c r="AU52" s="32" t="str">
        <f t="shared" si="6"/>
        <v/>
      </c>
      <c r="AV52" s="32" t="s">
        <v>313</v>
      </c>
      <c r="AW52" s="31"/>
      <c r="AX52" s="31"/>
      <c r="AY52" s="32" t="str">
        <f t="shared" si="7"/>
        <v/>
      </c>
      <c r="AZ52" s="32" t="s">
        <v>313</v>
      </c>
    </row>
    <row r="53" spans="1:52" ht="34" customHeight="1">
      <c r="A53" s="28" t="s">
        <v>231</v>
      </c>
      <c r="B53" s="29" t="s">
        <v>321</v>
      </c>
      <c r="C53" s="29" t="s">
        <v>52</v>
      </c>
      <c r="D53" s="29" t="s">
        <v>70</v>
      </c>
      <c r="E53" s="29" t="s">
        <v>71</v>
      </c>
      <c r="F53" s="29" t="s">
        <v>316</v>
      </c>
      <c r="G53" s="30" t="s">
        <v>312</v>
      </c>
      <c r="H53" s="31"/>
      <c r="I53" s="31">
        <v>368835.14</v>
      </c>
      <c r="J53" s="32" t="str">
        <f t="shared" si="15"/>
        <v/>
      </c>
      <c r="K53" s="31"/>
      <c r="L53" s="31">
        <v>244130</v>
      </c>
      <c r="M53" s="32" t="str">
        <f t="shared" si="16"/>
        <v/>
      </c>
      <c r="N53" s="31"/>
      <c r="O53" s="31">
        <v>708100.5</v>
      </c>
      <c r="P53" s="32" t="str">
        <f t="shared" si="17"/>
        <v/>
      </c>
      <c r="Q53" s="31"/>
      <c r="R53" s="31">
        <v>300117</v>
      </c>
      <c r="S53" s="32" t="str">
        <f t="shared" si="18"/>
        <v/>
      </c>
      <c r="T53" s="31"/>
      <c r="U53" s="31">
        <v>431343.5</v>
      </c>
      <c r="V53" s="32" t="str">
        <f t="shared" si="19"/>
        <v/>
      </c>
      <c r="W53" s="31"/>
      <c r="X53" s="31">
        <v>250346</v>
      </c>
      <c r="Y53" s="32" t="str">
        <f t="shared" si="20"/>
        <v/>
      </c>
      <c r="Z53" s="31" t="str">
        <f t="shared" si="0"/>
        <v/>
      </c>
      <c r="AA53" s="31">
        <f t="shared" si="1"/>
        <v>2302872.14</v>
      </c>
      <c r="AB53" s="32" t="str">
        <f t="shared" si="21"/>
        <v/>
      </c>
      <c r="AC53" s="31"/>
      <c r="AD53" s="31"/>
      <c r="AE53" s="32" t="str">
        <f t="shared" si="2"/>
        <v/>
      </c>
      <c r="AF53" s="32" t="s">
        <v>313</v>
      </c>
      <c r="AG53" s="31"/>
      <c r="AH53" s="31"/>
      <c r="AI53" s="32" t="str">
        <f t="shared" si="3"/>
        <v/>
      </c>
      <c r="AJ53" s="32" t="s">
        <v>313</v>
      </c>
      <c r="AK53" s="31"/>
      <c r="AL53" s="31"/>
      <c r="AM53" s="32" t="str">
        <f t="shared" si="4"/>
        <v/>
      </c>
      <c r="AN53" s="32" t="s">
        <v>313</v>
      </c>
      <c r="AO53" s="31"/>
      <c r="AP53" s="31"/>
      <c r="AQ53" s="32" t="str">
        <f t="shared" si="5"/>
        <v/>
      </c>
      <c r="AR53" s="32" t="s">
        <v>313</v>
      </c>
      <c r="AS53" s="31"/>
      <c r="AT53" s="31"/>
      <c r="AU53" s="32" t="str">
        <f t="shared" si="6"/>
        <v/>
      </c>
      <c r="AV53" s="32" t="s">
        <v>313</v>
      </c>
      <c r="AW53" s="31"/>
      <c r="AX53" s="31"/>
      <c r="AY53" s="32" t="str">
        <f t="shared" si="7"/>
        <v/>
      </c>
      <c r="AZ53" s="32" t="s">
        <v>313</v>
      </c>
    </row>
    <row r="54" spans="1:52" ht="34" customHeight="1">
      <c r="A54" s="28" t="s">
        <v>231</v>
      </c>
      <c r="B54" s="29" t="s">
        <v>321</v>
      </c>
      <c r="C54" s="29" t="s">
        <v>52</v>
      </c>
      <c r="D54" s="29" t="s">
        <v>70</v>
      </c>
      <c r="E54" s="29" t="s">
        <v>72</v>
      </c>
      <c r="F54" s="29" t="s">
        <v>316</v>
      </c>
      <c r="G54" s="30" t="s">
        <v>312</v>
      </c>
      <c r="H54" s="31"/>
      <c r="I54" s="31">
        <v>368835.14</v>
      </c>
      <c r="J54" s="32" t="str">
        <f t="shared" si="15"/>
        <v/>
      </c>
      <c r="K54" s="31"/>
      <c r="L54" s="31">
        <v>244130</v>
      </c>
      <c r="M54" s="32" t="str">
        <f t="shared" si="16"/>
        <v/>
      </c>
      <c r="N54" s="31"/>
      <c r="O54" s="31">
        <v>708100.5</v>
      </c>
      <c r="P54" s="32" t="str">
        <f t="shared" si="17"/>
        <v/>
      </c>
      <c r="Q54" s="31"/>
      <c r="R54" s="31">
        <v>300117</v>
      </c>
      <c r="S54" s="32" t="str">
        <f t="shared" si="18"/>
        <v/>
      </c>
      <c r="T54" s="31"/>
      <c r="U54" s="31">
        <v>431343.5</v>
      </c>
      <c r="V54" s="32" t="str">
        <f t="shared" si="19"/>
        <v/>
      </c>
      <c r="W54" s="31"/>
      <c r="X54" s="31">
        <v>250346</v>
      </c>
      <c r="Y54" s="32" t="str">
        <f t="shared" si="20"/>
        <v/>
      </c>
      <c r="Z54" s="31" t="str">
        <f t="shared" si="0"/>
        <v/>
      </c>
      <c r="AA54" s="31">
        <f t="shared" si="1"/>
        <v>2302872.14</v>
      </c>
      <c r="AB54" s="32" t="str">
        <f t="shared" si="21"/>
        <v/>
      </c>
      <c r="AC54" s="31"/>
      <c r="AD54" s="31"/>
      <c r="AE54" s="32" t="str">
        <f t="shared" si="2"/>
        <v/>
      </c>
      <c r="AF54" s="32" t="s">
        <v>313</v>
      </c>
      <c r="AG54" s="31"/>
      <c r="AH54" s="31"/>
      <c r="AI54" s="32" t="str">
        <f t="shared" si="3"/>
        <v/>
      </c>
      <c r="AJ54" s="32" t="s">
        <v>313</v>
      </c>
      <c r="AK54" s="31"/>
      <c r="AL54" s="31"/>
      <c r="AM54" s="32" t="str">
        <f t="shared" si="4"/>
        <v/>
      </c>
      <c r="AN54" s="32" t="s">
        <v>313</v>
      </c>
      <c r="AO54" s="31"/>
      <c r="AP54" s="31"/>
      <c r="AQ54" s="32" t="str">
        <f t="shared" si="5"/>
        <v/>
      </c>
      <c r="AR54" s="32" t="s">
        <v>313</v>
      </c>
      <c r="AS54" s="31"/>
      <c r="AT54" s="31"/>
      <c r="AU54" s="32" t="str">
        <f t="shared" si="6"/>
        <v/>
      </c>
      <c r="AV54" s="32" t="s">
        <v>313</v>
      </c>
      <c r="AW54" s="31"/>
      <c r="AX54" s="31"/>
      <c r="AY54" s="32" t="str">
        <f t="shared" si="7"/>
        <v/>
      </c>
      <c r="AZ54" s="32" t="s">
        <v>313</v>
      </c>
    </row>
    <row r="55" spans="1:52" ht="34" customHeight="1">
      <c r="A55" s="28" t="s">
        <v>231</v>
      </c>
      <c r="B55" s="29" t="s">
        <v>321</v>
      </c>
      <c r="C55" s="29" t="s">
        <v>52</v>
      </c>
      <c r="D55" s="29" t="s">
        <v>74</v>
      </c>
      <c r="E55" s="29" t="s">
        <v>75</v>
      </c>
      <c r="F55" s="29" t="s">
        <v>139</v>
      </c>
      <c r="G55" s="30" t="s">
        <v>312</v>
      </c>
      <c r="H55" s="31">
        <v>5914.8</v>
      </c>
      <c r="I55" s="31">
        <v>368835.14</v>
      </c>
      <c r="J55" s="32">
        <f t="shared" si="15"/>
        <v>1.6036432971110074E-2</v>
      </c>
      <c r="K55" s="31">
        <v>2678.75</v>
      </c>
      <c r="L55" s="31">
        <v>244130</v>
      </c>
      <c r="M55" s="32">
        <f t="shared" si="16"/>
        <v>1.0972637529185271E-2</v>
      </c>
      <c r="N55" s="31">
        <v>8468.9500000000007</v>
      </c>
      <c r="O55" s="31">
        <v>708100.5</v>
      </c>
      <c r="P55" s="32">
        <f t="shared" si="17"/>
        <v>1.1960096059810721E-2</v>
      </c>
      <c r="Q55" s="31">
        <v>5210.05</v>
      </c>
      <c r="R55" s="31">
        <v>300117</v>
      </c>
      <c r="S55" s="32">
        <f t="shared" si="18"/>
        <v>1.7360062908798903E-2</v>
      </c>
      <c r="T55" s="31">
        <v>3369.85</v>
      </c>
      <c r="U55" s="31">
        <v>431343.5</v>
      </c>
      <c r="V55" s="32">
        <f t="shared" si="19"/>
        <v>7.8124510975591376E-3</v>
      </c>
      <c r="W55" s="31">
        <v>3209.65</v>
      </c>
      <c r="X55" s="31">
        <v>250346</v>
      </c>
      <c r="Y55" s="32">
        <f t="shared" si="20"/>
        <v>1.2820855935385426E-2</v>
      </c>
      <c r="Z55" s="31">
        <f t="shared" si="0"/>
        <v>28852.05</v>
      </c>
      <c r="AA55" s="31">
        <f t="shared" si="1"/>
        <v>2302872.14</v>
      </c>
      <c r="AB55" s="32">
        <f t="shared" si="21"/>
        <v>1.2528724239114724E-2</v>
      </c>
      <c r="AC55" s="31"/>
      <c r="AD55" s="31"/>
      <c r="AE55" s="32" t="str">
        <f t="shared" si="2"/>
        <v/>
      </c>
      <c r="AF55" s="32" t="s">
        <v>313</v>
      </c>
      <c r="AG55" s="31"/>
      <c r="AH55" s="31"/>
      <c r="AI55" s="32" t="str">
        <f t="shared" si="3"/>
        <v/>
      </c>
      <c r="AJ55" s="32" t="s">
        <v>313</v>
      </c>
      <c r="AK55" s="31"/>
      <c r="AL55" s="31"/>
      <c r="AM55" s="32" t="str">
        <f t="shared" si="4"/>
        <v/>
      </c>
      <c r="AN55" s="32" t="s">
        <v>313</v>
      </c>
      <c r="AO55" s="31"/>
      <c r="AP55" s="31"/>
      <c r="AQ55" s="32" t="str">
        <f t="shared" si="5"/>
        <v/>
      </c>
      <c r="AR55" s="32" t="s">
        <v>313</v>
      </c>
      <c r="AS55" s="31"/>
      <c r="AT55" s="31"/>
      <c r="AU55" s="32" t="str">
        <f t="shared" si="6"/>
        <v/>
      </c>
      <c r="AV55" s="32" t="s">
        <v>313</v>
      </c>
      <c r="AW55" s="31"/>
      <c r="AX55" s="31"/>
      <c r="AY55" s="32" t="str">
        <f t="shared" si="7"/>
        <v/>
      </c>
      <c r="AZ55" s="32" t="s">
        <v>313</v>
      </c>
    </row>
    <row r="56" spans="1:52" ht="34" customHeight="1">
      <c r="A56" s="28" t="s">
        <v>231</v>
      </c>
      <c r="B56" s="29" t="s">
        <v>321</v>
      </c>
      <c r="C56" s="29" t="s">
        <v>52</v>
      </c>
      <c r="D56" s="29" t="s">
        <v>74</v>
      </c>
      <c r="E56" s="29" t="s">
        <v>76</v>
      </c>
      <c r="F56" s="29" t="s">
        <v>141</v>
      </c>
      <c r="G56" s="30" t="s">
        <v>312</v>
      </c>
      <c r="H56" s="31">
        <v>437.094675</v>
      </c>
      <c r="I56" s="31">
        <v>368835.14</v>
      </c>
      <c r="J56" s="32">
        <f t="shared" si="15"/>
        <v>1.1850678734135799E-3</v>
      </c>
      <c r="K56" s="31">
        <v>238.99706099504999</v>
      </c>
      <c r="L56" s="31">
        <v>244130</v>
      </c>
      <c r="M56" s="32">
        <f t="shared" si="16"/>
        <v>9.7897456680887227E-4</v>
      </c>
      <c r="N56" s="31">
        <v>791.17</v>
      </c>
      <c r="O56" s="31">
        <v>708100.5</v>
      </c>
      <c r="P56" s="32">
        <f t="shared" si="17"/>
        <v>1.1173131497576967E-3</v>
      </c>
      <c r="Q56" s="31">
        <v>418.88</v>
      </c>
      <c r="R56" s="31">
        <v>300117</v>
      </c>
      <c r="S56" s="32">
        <f t="shared" si="18"/>
        <v>1.3957223349560339E-3</v>
      </c>
      <c r="T56" s="31">
        <v>427.1</v>
      </c>
      <c r="U56" s="31">
        <v>431343.5</v>
      </c>
      <c r="V56" s="32">
        <f t="shared" si="19"/>
        <v>9.901621329636357E-4</v>
      </c>
      <c r="W56" s="31">
        <v>334.97</v>
      </c>
      <c r="X56" s="31">
        <v>250346</v>
      </c>
      <c r="Y56" s="32">
        <f t="shared" si="20"/>
        <v>1.3380281690140846E-3</v>
      </c>
      <c r="Z56" s="31">
        <f t="shared" si="0"/>
        <v>2648.2117359950498</v>
      </c>
      <c r="AA56" s="31">
        <f t="shared" si="1"/>
        <v>2302872.14</v>
      </c>
      <c r="AB56" s="32">
        <f t="shared" si="21"/>
        <v>1.1499603864220831E-3</v>
      </c>
      <c r="AC56" s="31"/>
      <c r="AD56" s="31"/>
      <c r="AE56" s="32" t="str">
        <f t="shared" si="2"/>
        <v/>
      </c>
      <c r="AF56" s="32" t="s">
        <v>313</v>
      </c>
      <c r="AG56" s="31"/>
      <c r="AH56" s="31"/>
      <c r="AI56" s="32" t="str">
        <f t="shared" si="3"/>
        <v/>
      </c>
      <c r="AJ56" s="32" t="s">
        <v>313</v>
      </c>
      <c r="AK56" s="31"/>
      <c r="AL56" s="31"/>
      <c r="AM56" s="32" t="str">
        <f t="shared" si="4"/>
        <v/>
      </c>
      <c r="AN56" s="32" t="s">
        <v>313</v>
      </c>
      <c r="AO56" s="31"/>
      <c r="AP56" s="31"/>
      <c r="AQ56" s="32" t="str">
        <f t="shared" si="5"/>
        <v/>
      </c>
      <c r="AR56" s="32" t="s">
        <v>313</v>
      </c>
      <c r="AS56" s="31"/>
      <c r="AT56" s="31"/>
      <c r="AU56" s="32" t="str">
        <f t="shared" si="6"/>
        <v/>
      </c>
      <c r="AV56" s="32" t="s">
        <v>313</v>
      </c>
      <c r="AW56" s="31"/>
      <c r="AX56" s="31"/>
      <c r="AY56" s="32" t="str">
        <f t="shared" si="7"/>
        <v/>
      </c>
      <c r="AZ56" s="32" t="s">
        <v>313</v>
      </c>
    </row>
    <row r="57" spans="1:52" ht="34" customHeight="1">
      <c r="A57" s="28" t="s">
        <v>231</v>
      </c>
      <c r="B57" s="29" t="s">
        <v>321</v>
      </c>
      <c r="C57" s="29" t="s">
        <v>52</v>
      </c>
      <c r="D57" s="29" t="s">
        <v>74</v>
      </c>
      <c r="E57" s="29" t="s">
        <v>77</v>
      </c>
      <c r="F57" s="29" t="s">
        <v>316</v>
      </c>
      <c r="G57" s="30" t="s">
        <v>312</v>
      </c>
      <c r="H57" s="31"/>
      <c r="I57" s="31">
        <v>368835.14</v>
      </c>
      <c r="J57" s="32" t="str">
        <f t="shared" si="15"/>
        <v/>
      </c>
      <c r="K57" s="31"/>
      <c r="L57" s="31">
        <v>244130</v>
      </c>
      <c r="M57" s="32" t="str">
        <f t="shared" si="16"/>
        <v/>
      </c>
      <c r="N57" s="31"/>
      <c r="O57" s="31">
        <v>708100.5</v>
      </c>
      <c r="P57" s="32" t="str">
        <f t="shared" si="17"/>
        <v/>
      </c>
      <c r="Q57" s="31"/>
      <c r="R57" s="31">
        <v>300117</v>
      </c>
      <c r="S57" s="32" t="str">
        <f t="shared" si="18"/>
        <v/>
      </c>
      <c r="T57" s="31"/>
      <c r="U57" s="31">
        <v>431343.5</v>
      </c>
      <c r="V57" s="32" t="str">
        <f t="shared" si="19"/>
        <v/>
      </c>
      <c r="W57" s="31"/>
      <c r="X57" s="31">
        <v>250346</v>
      </c>
      <c r="Y57" s="32" t="str">
        <f t="shared" si="20"/>
        <v/>
      </c>
      <c r="Z57" s="31" t="str">
        <f t="shared" si="0"/>
        <v/>
      </c>
      <c r="AA57" s="31">
        <f t="shared" si="1"/>
        <v>2302872.14</v>
      </c>
      <c r="AB57" s="32" t="str">
        <f t="shared" si="21"/>
        <v/>
      </c>
      <c r="AC57" s="31"/>
      <c r="AD57" s="31"/>
      <c r="AE57" s="32" t="str">
        <f t="shared" si="2"/>
        <v/>
      </c>
      <c r="AF57" s="32" t="s">
        <v>313</v>
      </c>
      <c r="AG57" s="31"/>
      <c r="AH57" s="31"/>
      <c r="AI57" s="32" t="str">
        <f t="shared" si="3"/>
        <v/>
      </c>
      <c r="AJ57" s="32" t="s">
        <v>313</v>
      </c>
      <c r="AK57" s="31"/>
      <c r="AL57" s="31"/>
      <c r="AM57" s="32" t="str">
        <f t="shared" si="4"/>
        <v/>
      </c>
      <c r="AN57" s="32" t="s">
        <v>313</v>
      </c>
      <c r="AO57" s="31"/>
      <c r="AP57" s="31"/>
      <c r="AQ57" s="32" t="str">
        <f t="shared" si="5"/>
        <v/>
      </c>
      <c r="AR57" s="32" t="s">
        <v>313</v>
      </c>
      <c r="AS57" s="31"/>
      <c r="AT57" s="31"/>
      <c r="AU57" s="32" t="str">
        <f t="shared" si="6"/>
        <v/>
      </c>
      <c r="AV57" s="32" t="s">
        <v>313</v>
      </c>
      <c r="AW57" s="31"/>
      <c r="AX57" s="31"/>
      <c r="AY57" s="32" t="str">
        <f t="shared" si="7"/>
        <v/>
      </c>
      <c r="AZ57" s="32" t="s">
        <v>313</v>
      </c>
    </row>
    <row r="58" spans="1:52" ht="34" customHeight="1">
      <c r="A58" s="28" t="s">
        <v>231</v>
      </c>
      <c r="B58" s="29" t="s">
        <v>321</v>
      </c>
      <c r="C58" s="29" t="s">
        <v>52</v>
      </c>
      <c r="D58" s="29" t="s">
        <v>74</v>
      </c>
      <c r="E58" s="29" t="s">
        <v>78</v>
      </c>
      <c r="F58" s="29" t="s">
        <v>144</v>
      </c>
      <c r="G58" s="30" t="s">
        <v>312</v>
      </c>
      <c r="H58" s="31">
        <v>0</v>
      </c>
      <c r="I58" s="31">
        <v>368835.14</v>
      </c>
      <c r="J58" s="32">
        <f t="shared" si="15"/>
        <v>0</v>
      </c>
      <c r="K58" s="31">
        <v>0</v>
      </c>
      <c r="L58" s="31">
        <v>244130</v>
      </c>
      <c r="M58" s="32">
        <f t="shared" si="16"/>
        <v>0</v>
      </c>
      <c r="N58" s="31">
        <v>0</v>
      </c>
      <c r="O58" s="31">
        <v>708100.5</v>
      </c>
      <c r="P58" s="32">
        <f t="shared" si="17"/>
        <v>0</v>
      </c>
      <c r="Q58" s="31">
        <v>0</v>
      </c>
      <c r="R58" s="31">
        <v>300117</v>
      </c>
      <c r="S58" s="32">
        <f t="shared" si="18"/>
        <v>0</v>
      </c>
      <c r="T58" s="31">
        <v>0</v>
      </c>
      <c r="U58" s="31">
        <v>431343.5</v>
      </c>
      <c r="V58" s="32">
        <f t="shared" si="19"/>
        <v>0</v>
      </c>
      <c r="W58" s="31">
        <v>0</v>
      </c>
      <c r="X58" s="31">
        <v>250346</v>
      </c>
      <c r="Y58" s="32">
        <f t="shared" si="20"/>
        <v>0</v>
      </c>
      <c r="Z58" s="31">
        <f t="shared" si="0"/>
        <v>0</v>
      </c>
      <c r="AA58" s="31">
        <f t="shared" si="1"/>
        <v>2302872.14</v>
      </c>
      <c r="AB58" s="32">
        <f t="shared" si="21"/>
        <v>0</v>
      </c>
      <c r="AC58" s="31"/>
      <c r="AD58" s="31"/>
      <c r="AE58" s="32" t="str">
        <f t="shared" si="2"/>
        <v/>
      </c>
      <c r="AF58" s="32" t="s">
        <v>313</v>
      </c>
      <c r="AG58" s="31"/>
      <c r="AH58" s="31"/>
      <c r="AI58" s="32" t="str">
        <f t="shared" si="3"/>
        <v/>
      </c>
      <c r="AJ58" s="32" t="s">
        <v>313</v>
      </c>
      <c r="AK58" s="31"/>
      <c r="AL58" s="31"/>
      <c r="AM58" s="32" t="str">
        <f t="shared" si="4"/>
        <v/>
      </c>
      <c r="AN58" s="32" t="s">
        <v>313</v>
      </c>
      <c r="AO58" s="31"/>
      <c r="AP58" s="31"/>
      <c r="AQ58" s="32" t="str">
        <f t="shared" si="5"/>
        <v/>
      </c>
      <c r="AR58" s="32" t="s">
        <v>313</v>
      </c>
      <c r="AS58" s="31"/>
      <c r="AT58" s="31"/>
      <c r="AU58" s="32" t="str">
        <f t="shared" si="6"/>
        <v/>
      </c>
      <c r="AV58" s="32" t="s">
        <v>313</v>
      </c>
      <c r="AW58" s="31"/>
      <c r="AX58" s="31"/>
      <c r="AY58" s="32" t="str">
        <f t="shared" si="7"/>
        <v/>
      </c>
      <c r="AZ58" s="32" t="s">
        <v>313</v>
      </c>
    </row>
    <row r="59" spans="1:52" ht="34" customHeight="1">
      <c r="A59" s="28" t="s">
        <v>231</v>
      </c>
      <c r="B59" s="29" t="s">
        <v>321</v>
      </c>
      <c r="C59" s="29" t="s">
        <v>52</v>
      </c>
      <c r="D59" s="29" t="s">
        <v>79</v>
      </c>
      <c r="E59" s="29" t="s">
        <v>80</v>
      </c>
      <c r="F59" s="29" t="s">
        <v>318</v>
      </c>
      <c r="G59" s="30" t="s">
        <v>312</v>
      </c>
      <c r="H59" s="31">
        <v>0</v>
      </c>
      <c r="I59" s="31">
        <v>368835.14</v>
      </c>
      <c r="J59" s="32">
        <f t="shared" si="15"/>
        <v>0</v>
      </c>
      <c r="K59" s="31">
        <v>0</v>
      </c>
      <c r="L59" s="31">
        <v>244130</v>
      </c>
      <c r="M59" s="32">
        <f t="shared" si="16"/>
        <v>0</v>
      </c>
      <c r="N59" s="31">
        <v>0</v>
      </c>
      <c r="O59" s="31">
        <v>708100.5</v>
      </c>
      <c r="P59" s="32">
        <f t="shared" si="17"/>
        <v>0</v>
      </c>
      <c r="Q59" s="31">
        <v>0</v>
      </c>
      <c r="R59" s="31">
        <v>300117</v>
      </c>
      <c r="S59" s="32">
        <f t="shared" si="18"/>
        <v>0</v>
      </c>
      <c r="T59" s="31">
        <v>0</v>
      </c>
      <c r="U59" s="31">
        <v>431343.5</v>
      </c>
      <c r="V59" s="32">
        <f t="shared" si="19"/>
        <v>0</v>
      </c>
      <c r="W59" s="31">
        <v>0</v>
      </c>
      <c r="X59" s="31">
        <v>250346</v>
      </c>
      <c r="Y59" s="32">
        <f t="shared" si="20"/>
        <v>0</v>
      </c>
      <c r="Z59" s="31">
        <f t="shared" si="0"/>
        <v>0</v>
      </c>
      <c r="AA59" s="31">
        <f t="shared" si="1"/>
        <v>2302872.14</v>
      </c>
      <c r="AB59" s="32">
        <f t="shared" si="21"/>
        <v>0</v>
      </c>
      <c r="AC59" s="31"/>
      <c r="AD59" s="31"/>
      <c r="AE59" s="32" t="str">
        <f t="shared" si="2"/>
        <v/>
      </c>
      <c r="AF59" s="32" t="s">
        <v>313</v>
      </c>
      <c r="AG59" s="31"/>
      <c r="AH59" s="31"/>
      <c r="AI59" s="32" t="str">
        <f t="shared" si="3"/>
        <v/>
      </c>
      <c r="AJ59" s="32" t="s">
        <v>313</v>
      </c>
      <c r="AK59" s="31"/>
      <c r="AL59" s="31"/>
      <c r="AM59" s="32" t="str">
        <f t="shared" si="4"/>
        <v/>
      </c>
      <c r="AN59" s="32" t="s">
        <v>313</v>
      </c>
      <c r="AO59" s="31"/>
      <c r="AP59" s="31"/>
      <c r="AQ59" s="32" t="str">
        <f t="shared" si="5"/>
        <v/>
      </c>
      <c r="AR59" s="32" t="s">
        <v>313</v>
      </c>
      <c r="AS59" s="31"/>
      <c r="AT59" s="31"/>
      <c r="AU59" s="32" t="str">
        <f t="shared" si="6"/>
        <v/>
      </c>
      <c r="AV59" s="32" t="s">
        <v>313</v>
      </c>
      <c r="AW59" s="31"/>
      <c r="AX59" s="31"/>
      <c r="AY59" s="32" t="str">
        <f t="shared" si="7"/>
        <v/>
      </c>
      <c r="AZ59" s="32" t="s">
        <v>313</v>
      </c>
    </row>
    <row r="60" spans="1:52" ht="34" customHeight="1">
      <c r="A60" s="28" t="s">
        <v>231</v>
      </c>
      <c r="B60" s="29" t="s">
        <v>321</v>
      </c>
      <c r="C60" s="29" t="s">
        <v>52</v>
      </c>
      <c r="D60" s="29" t="s">
        <v>79</v>
      </c>
      <c r="E60" s="29" t="s">
        <v>81</v>
      </c>
      <c r="F60" s="29" t="s">
        <v>316</v>
      </c>
      <c r="G60" s="30" t="s">
        <v>312</v>
      </c>
      <c r="H60" s="31"/>
      <c r="I60" s="31">
        <v>368835.14</v>
      </c>
      <c r="J60" s="32" t="str">
        <f t="shared" si="15"/>
        <v/>
      </c>
      <c r="K60" s="31"/>
      <c r="L60" s="31">
        <v>244130</v>
      </c>
      <c r="M60" s="32" t="str">
        <f t="shared" si="16"/>
        <v/>
      </c>
      <c r="N60" s="31"/>
      <c r="O60" s="31">
        <v>708100.5</v>
      </c>
      <c r="P60" s="32" t="str">
        <f t="shared" si="17"/>
        <v/>
      </c>
      <c r="Q60" s="31"/>
      <c r="R60" s="31">
        <v>300117</v>
      </c>
      <c r="S60" s="32" t="str">
        <f t="shared" si="18"/>
        <v/>
      </c>
      <c r="T60" s="31"/>
      <c r="U60" s="31">
        <v>431343.5</v>
      </c>
      <c r="V60" s="32" t="str">
        <f t="shared" si="19"/>
        <v/>
      </c>
      <c r="W60" s="31"/>
      <c r="X60" s="31">
        <v>250346</v>
      </c>
      <c r="Y60" s="32" t="str">
        <f t="shared" si="20"/>
        <v/>
      </c>
      <c r="Z60" s="31" t="str">
        <f t="shared" si="0"/>
        <v/>
      </c>
      <c r="AA60" s="31">
        <f t="shared" si="1"/>
        <v>2302872.14</v>
      </c>
      <c r="AB60" s="32" t="str">
        <f t="shared" si="21"/>
        <v/>
      </c>
      <c r="AC60" s="31"/>
      <c r="AD60" s="31"/>
      <c r="AE60" s="32" t="str">
        <f t="shared" si="2"/>
        <v/>
      </c>
      <c r="AF60" s="32" t="s">
        <v>313</v>
      </c>
      <c r="AG60" s="31"/>
      <c r="AH60" s="31"/>
      <c r="AI60" s="32" t="str">
        <f t="shared" si="3"/>
        <v/>
      </c>
      <c r="AJ60" s="32" t="s">
        <v>313</v>
      </c>
      <c r="AK60" s="31"/>
      <c r="AL60" s="31"/>
      <c r="AM60" s="32" t="str">
        <f t="shared" si="4"/>
        <v/>
      </c>
      <c r="AN60" s="32" t="s">
        <v>313</v>
      </c>
      <c r="AO60" s="31"/>
      <c r="AP60" s="31"/>
      <c r="AQ60" s="32" t="str">
        <f t="shared" si="5"/>
        <v/>
      </c>
      <c r="AR60" s="32" t="s">
        <v>313</v>
      </c>
      <c r="AS60" s="31"/>
      <c r="AT60" s="31"/>
      <c r="AU60" s="32" t="str">
        <f t="shared" si="6"/>
        <v/>
      </c>
      <c r="AV60" s="32" t="s">
        <v>313</v>
      </c>
      <c r="AW60" s="31"/>
      <c r="AX60" s="31"/>
      <c r="AY60" s="32" t="str">
        <f t="shared" si="7"/>
        <v/>
      </c>
      <c r="AZ60" s="32" t="s">
        <v>313</v>
      </c>
    </row>
    <row r="61" spans="1:52" ht="34" customHeight="1">
      <c r="A61" s="28" t="s">
        <v>231</v>
      </c>
      <c r="B61" s="29" t="s">
        <v>321</v>
      </c>
      <c r="C61" s="29" t="s">
        <v>52</v>
      </c>
      <c r="D61" s="29" t="s">
        <v>79</v>
      </c>
      <c r="E61" s="29" t="s">
        <v>82</v>
      </c>
      <c r="F61" s="29" t="s">
        <v>316</v>
      </c>
      <c r="G61" s="30" t="s">
        <v>312</v>
      </c>
      <c r="H61" s="31"/>
      <c r="I61" s="31">
        <v>368835.14</v>
      </c>
      <c r="J61" s="32" t="str">
        <f t="shared" si="15"/>
        <v/>
      </c>
      <c r="K61" s="31"/>
      <c r="L61" s="31">
        <v>244130</v>
      </c>
      <c r="M61" s="32" t="str">
        <f t="shared" si="16"/>
        <v/>
      </c>
      <c r="N61" s="31"/>
      <c r="O61" s="31">
        <v>708100.5</v>
      </c>
      <c r="P61" s="32" t="str">
        <f t="shared" si="17"/>
        <v/>
      </c>
      <c r="Q61" s="31"/>
      <c r="R61" s="31">
        <v>300117</v>
      </c>
      <c r="S61" s="32" t="str">
        <f t="shared" si="18"/>
        <v/>
      </c>
      <c r="T61" s="31"/>
      <c r="U61" s="31">
        <v>431343.5</v>
      </c>
      <c r="V61" s="32" t="str">
        <f t="shared" si="19"/>
        <v/>
      </c>
      <c r="W61" s="31"/>
      <c r="X61" s="31">
        <v>250346</v>
      </c>
      <c r="Y61" s="32" t="str">
        <f t="shared" si="20"/>
        <v/>
      </c>
      <c r="Z61" s="31" t="str">
        <f t="shared" si="0"/>
        <v/>
      </c>
      <c r="AA61" s="31">
        <f t="shared" si="1"/>
        <v>2302872.14</v>
      </c>
      <c r="AB61" s="32" t="str">
        <f t="shared" si="21"/>
        <v/>
      </c>
      <c r="AC61" s="31"/>
      <c r="AD61" s="31"/>
      <c r="AE61" s="32" t="str">
        <f t="shared" si="2"/>
        <v/>
      </c>
      <c r="AF61" s="32" t="s">
        <v>313</v>
      </c>
      <c r="AG61" s="31"/>
      <c r="AH61" s="31"/>
      <c r="AI61" s="32" t="str">
        <f t="shared" si="3"/>
        <v/>
      </c>
      <c r="AJ61" s="32" t="s">
        <v>313</v>
      </c>
      <c r="AK61" s="31"/>
      <c r="AL61" s="31"/>
      <c r="AM61" s="32" t="str">
        <f t="shared" si="4"/>
        <v/>
      </c>
      <c r="AN61" s="32" t="s">
        <v>313</v>
      </c>
      <c r="AO61" s="31"/>
      <c r="AP61" s="31"/>
      <c r="AQ61" s="32" t="str">
        <f t="shared" si="5"/>
        <v/>
      </c>
      <c r="AR61" s="32" t="s">
        <v>313</v>
      </c>
      <c r="AS61" s="31"/>
      <c r="AT61" s="31"/>
      <c r="AU61" s="32" t="str">
        <f t="shared" si="6"/>
        <v/>
      </c>
      <c r="AV61" s="32" t="s">
        <v>313</v>
      </c>
      <c r="AW61" s="31"/>
      <c r="AX61" s="31"/>
      <c r="AY61" s="32" t="str">
        <f t="shared" si="7"/>
        <v/>
      </c>
      <c r="AZ61" s="32" t="s">
        <v>313</v>
      </c>
    </row>
    <row r="62" spans="1:52" ht="34" customHeight="1">
      <c r="A62" s="28" t="s">
        <v>231</v>
      </c>
      <c r="B62" s="29" t="s">
        <v>321</v>
      </c>
      <c r="C62" s="29" t="s">
        <v>85</v>
      </c>
      <c r="D62" s="29" t="s">
        <v>79</v>
      </c>
      <c r="E62" s="29" t="s">
        <v>80</v>
      </c>
      <c r="F62" s="29" t="s">
        <v>316</v>
      </c>
      <c r="G62" s="30" t="s">
        <v>312</v>
      </c>
      <c r="H62" s="31"/>
      <c r="I62" s="31">
        <v>368835.14</v>
      </c>
      <c r="J62" s="32" t="str">
        <f t="shared" si="15"/>
        <v/>
      </c>
      <c r="K62" s="31"/>
      <c r="L62" s="31">
        <v>244130</v>
      </c>
      <c r="M62" s="32" t="str">
        <f t="shared" si="16"/>
        <v/>
      </c>
      <c r="N62" s="31"/>
      <c r="O62" s="31">
        <v>708100.5</v>
      </c>
      <c r="P62" s="32" t="str">
        <f t="shared" si="17"/>
        <v/>
      </c>
      <c r="Q62" s="31"/>
      <c r="R62" s="31">
        <v>300117</v>
      </c>
      <c r="S62" s="32" t="str">
        <f t="shared" si="18"/>
        <v/>
      </c>
      <c r="T62" s="31"/>
      <c r="U62" s="31">
        <v>431343.5</v>
      </c>
      <c r="V62" s="32" t="str">
        <f t="shared" si="19"/>
        <v/>
      </c>
      <c r="W62" s="31"/>
      <c r="X62" s="31">
        <v>250346</v>
      </c>
      <c r="Y62" s="32" t="str">
        <f t="shared" si="20"/>
        <v/>
      </c>
      <c r="Z62" s="31" t="str">
        <f t="shared" si="0"/>
        <v/>
      </c>
      <c r="AA62" s="31">
        <f t="shared" si="1"/>
        <v>2302872.14</v>
      </c>
      <c r="AB62" s="32" t="str">
        <f t="shared" si="21"/>
        <v/>
      </c>
      <c r="AC62" s="31"/>
      <c r="AD62" s="31"/>
      <c r="AE62" s="32" t="str">
        <f t="shared" si="2"/>
        <v/>
      </c>
      <c r="AF62" s="32" t="s">
        <v>313</v>
      </c>
      <c r="AG62" s="31"/>
      <c r="AH62" s="31"/>
      <c r="AI62" s="32" t="str">
        <f t="shared" si="3"/>
        <v/>
      </c>
      <c r="AJ62" s="32" t="s">
        <v>313</v>
      </c>
      <c r="AK62" s="31"/>
      <c r="AL62" s="31"/>
      <c r="AM62" s="32" t="str">
        <f t="shared" si="4"/>
        <v/>
      </c>
      <c r="AN62" s="32" t="s">
        <v>313</v>
      </c>
      <c r="AO62" s="31"/>
      <c r="AP62" s="31"/>
      <c r="AQ62" s="32" t="str">
        <f t="shared" si="5"/>
        <v/>
      </c>
      <c r="AR62" s="32" t="s">
        <v>313</v>
      </c>
      <c r="AS62" s="31"/>
      <c r="AT62" s="31"/>
      <c r="AU62" s="32" t="str">
        <f t="shared" si="6"/>
        <v/>
      </c>
      <c r="AV62" s="32" t="s">
        <v>313</v>
      </c>
      <c r="AW62" s="31"/>
      <c r="AX62" s="31"/>
      <c r="AY62" s="32" t="str">
        <f t="shared" si="7"/>
        <v/>
      </c>
      <c r="AZ62" s="32" t="s">
        <v>313</v>
      </c>
    </row>
    <row r="63" spans="1:52" ht="34" customHeight="1">
      <c r="A63" s="28" t="s">
        <v>231</v>
      </c>
      <c r="B63" s="29" t="s">
        <v>321</v>
      </c>
      <c r="C63" s="29" t="s">
        <v>85</v>
      </c>
      <c r="D63" s="29" t="s">
        <v>79</v>
      </c>
      <c r="E63" s="29" t="s">
        <v>81</v>
      </c>
      <c r="F63" s="29" t="s">
        <v>316</v>
      </c>
      <c r="G63" s="30" t="s">
        <v>312</v>
      </c>
      <c r="H63" s="31"/>
      <c r="I63" s="31">
        <v>368835.14</v>
      </c>
      <c r="J63" s="32" t="str">
        <f t="shared" si="15"/>
        <v/>
      </c>
      <c r="K63" s="31"/>
      <c r="L63" s="31">
        <v>244130</v>
      </c>
      <c r="M63" s="32" t="str">
        <f t="shared" si="16"/>
        <v/>
      </c>
      <c r="N63" s="31"/>
      <c r="O63" s="31">
        <v>708100.5</v>
      </c>
      <c r="P63" s="32" t="str">
        <f t="shared" si="17"/>
        <v/>
      </c>
      <c r="Q63" s="31"/>
      <c r="R63" s="31">
        <v>300117</v>
      </c>
      <c r="S63" s="32" t="str">
        <f t="shared" si="18"/>
        <v/>
      </c>
      <c r="T63" s="31"/>
      <c r="U63" s="31">
        <v>431343.5</v>
      </c>
      <c r="V63" s="32" t="str">
        <f t="shared" si="19"/>
        <v/>
      </c>
      <c r="W63" s="31"/>
      <c r="X63" s="31">
        <v>250346</v>
      </c>
      <c r="Y63" s="32" t="str">
        <f t="shared" si="20"/>
        <v/>
      </c>
      <c r="Z63" s="31" t="str">
        <f t="shared" si="0"/>
        <v/>
      </c>
      <c r="AA63" s="31">
        <f t="shared" si="1"/>
        <v>2302872.14</v>
      </c>
      <c r="AB63" s="32" t="str">
        <f t="shared" si="21"/>
        <v/>
      </c>
      <c r="AC63" s="31"/>
      <c r="AD63" s="31"/>
      <c r="AE63" s="32" t="str">
        <f t="shared" si="2"/>
        <v/>
      </c>
      <c r="AF63" s="32" t="s">
        <v>313</v>
      </c>
      <c r="AG63" s="31"/>
      <c r="AH63" s="31"/>
      <c r="AI63" s="32" t="str">
        <f t="shared" si="3"/>
        <v/>
      </c>
      <c r="AJ63" s="32" t="s">
        <v>313</v>
      </c>
      <c r="AK63" s="31"/>
      <c r="AL63" s="31"/>
      <c r="AM63" s="32" t="str">
        <f t="shared" si="4"/>
        <v/>
      </c>
      <c r="AN63" s="32" t="s">
        <v>313</v>
      </c>
      <c r="AO63" s="31"/>
      <c r="AP63" s="31"/>
      <c r="AQ63" s="32" t="str">
        <f t="shared" si="5"/>
        <v/>
      </c>
      <c r="AR63" s="32" t="s">
        <v>313</v>
      </c>
      <c r="AS63" s="31"/>
      <c r="AT63" s="31"/>
      <c r="AU63" s="32" t="str">
        <f t="shared" si="6"/>
        <v/>
      </c>
      <c r="AV63" s="32" t="s">
        <v>313</v>
      </c>
      <c r="AW63" s="31"/>
      <c r="AX63" s="31"/>
      <c r="AY63" s="32" t="str">
        <f t="shared" si="7"/>
        <v/>
      </c>
      <c r="AZ63" s="32" t="s">
        <v>313</v>
      </c>
    </row>
    <row r="64" spans="1:52" ht="34" customHeight="1">
      <c r="A64" s="28" t="s">
        <v>231</v>
      </c>
      <c r="B64" s="29" t="s">
        <v>321</v>
      </c>
      <c r="C64" s="29" t="s">
        <v>85</v>
      </c>
      <c r="D64" s="29" t="s">
        <v>79</v>
      </c>
      <c r="E64" s="29" t="s">
        <v>82</v>
      </c>
      <c r="F64" s="29" t="s">
        <v>319</v>
      </c>
      <c r="G64" s="30" t="s">
        <v>312</v>
      </c>
      <c r="H64" s="31">
        <v>0</v>
      </c>
      <c r="I64" s="31">
        <v>368835.14</v>
      </c>
      <c r="J64" s="32">
        <f t="shared" si="15"/>
        <v>0</v>
      </c>
      <c r="K64" s="31">
        <v>0</v>
      </c>
      <c r="L64" s="31">
        <v>244130</v>
      </c>
      <c r="M64" s="32">
        <f t="shared" si="16"/>
        <v>0</v>
      </c>
      <c r="N64" s="31">
        <v>0</v>
      </c>
      <c r="O64" s="31">
        <v>708100.5</v>
      </c>
      <c r="P64" s="32">
        <f t="shared" si="17"/>
        <v>0</v>
      </c>
      <c r="Q64" s="31">
        <v>0</v>
      </c>
      <c r="R64" s="31">
        <v>300117</v>
      </c>
      <c r="S64" s="32">
        <f t="shared" si="18"/>
        <v>0</v>
      </c>
      <c r="T64" s="31">
        <v>0</v>
      </c>
      <c r="U64" s="31">
        <v>431343.5</v>
      </c>
      <c r="V64" s="32">
        <f t="shared" si="19"/>
        <v>0</v>
      </c>
      <c r="W64" s="31">
        <v>0</v>
      </c>
      <c r="X64" s="31">
        <v>250346</v>
      </c>
      <c r="Y64" s="32">
        <f t="shared" si="20"/>
        <v>0</v>
      </c>
      <c r="Z64" s="31">
        <f t="shared" si="0"/>
        <v>0</v>
      </c>
      <c r="AA64" s="31">
        <f t="shared" si="1"/>
        <v>2302872.14</v>
      </c>
      <c r="AB64" s="32">
        <f t="shared" si="21"/>
        <v>0</v>
      </c>
      <c r="AC64" s="31"/>
      <c r="AD64" s="31"/>
      <c r="AE64" s="32" t="str">
        <f t="shared" si="2"/>
        <v/>
      </c>
      <c r="AF64" s="32" t="s">
        <v>313</v>
      </c>
      <c r="AG64" s="31"/>
      <c r="AH64" s="31"/>
      <c r="AI64" s="32" t="str">
        <f t="shared" si="3"/>
        <v/>
      </c>
      <c r="AJ64" s="32" t="s">
        <v>313</v>
      </c>
      <c r="AK64" s="31"/>
      <c r="AL64" s="31"/>
      <c r="AM64" s="32" t="str">
        <f t="shared" si="4"/>
        <v/>
      </c>
      <c r="AN64" s="32" t="s">
        <v>313</v>
      </c>
      <c r="AO64" s="31"/>
      <c r="AP64" s="31"/>
      <c r="AQ64" s="32" t="str">
        <f t="shared" si="5"/>
        <v/>
      </c>
      <c r="AR64" s="32" t="s">
        <v>313</v>
      </c>
      <c r="AS64" s="31"/>
      <c r="AT64" s="31"/>
      <c r="AU64" s="32" t="str">
        <f t="shared" si="6"/>
        <v/>
      </c>
      <c r="AV64" s="32" t="s">
        <v>313</v>
      </c>
      <c r="AW64" s="31"/>
      <c r="AX64" s="31"/>
      <c r="AY64" s="32" t="str">
        <f t="shared" si="7"/>
        <v/>
      </c>
      <c r="AZ64" s="32" t="s">
        <v>313</v>
      </c>
    </row>
    <row r="65" spans="1:52" ht="34" customHeight="1">
      <c r="A65" s="28" t="s">
        <v>231</v>
      </c>
      <c r="B65" s="29" t="s">
        <v>321</v>
      </c>
      <c r="C65" s="29" t="s">
        <v>85</v>
      </c>
      <c r="D65" s="29" t="s">
        <v>90</v>
      </c>
      <c r="E65" s="29" t="s">
        <v>90</v>
      </c>
      <c r="F65" s="29" t="s">
        <v>316</v>
      </c>
      <c r="G65" s="30" t="s">
        <v>312</v>
      </c>
      <c r="H65" s="31"/>
      <c r="I65" s="31">
        <v>368835.14</v>
      </c>
      <c r="J65" s="32" t="str">
        <f t="shared" si="15"/>
        <v/>
      </c>
      <c r="K65" s="31"/>
      <c r="L65" s="31">
        <v>244130</v>
      </c>
      <c r="M65" s="32" t="str">
        <f t="shared" si="16"/>
        <v/>
      </c>
      <c r="N65" s="31"/>
      <c r="O65" s="31">
        <v>708100.5</v>
      </c>
      <c r="P65" s="32" t="str">
        <f t="shared" si="17"/>
        <v/>
      </c>
      <c r="Q65" s="31"/>
      <c r="R65" s="31">
        <v>300117</v>
      </c>
      <c r="S65" s="32" t="str">
        <f t="shared" si="18"/>
        <v/>
      </c>
      <c r="T65" s="31"/>
      <c r="U65" s="31">
        <v>431343.5</v>
      </c>
      <c r="V65" s="32" t="str">
        <f t="shared" si="19"/>
        <v/>
      </c>
      <c r="W65" s="31"/>
      <c r="X65" s="31">
        <v>250346</v>
      </c>
      <c r="Y65" s="32" t="str">
        <f t="shared" si="20"/>
        <v/>
      </c>
      <c r="Z65" s="31" t="str">
        <f t="shared" si="0"/>
        <v/>
      </c>
      <c r="AA65" s="31">
        <f t="shared" si="1"/>
        <v>2302872.14</v>
      </c>
      <c r="AB65" s="32" t="str">
        <f t="shared" si="21"/>
        <v/>
      </c>
      <c r="AC65" s="31"/>
      <c r="AD65" s="31"/>
      <c r="AE65" s="32" t="str">
        <f t="shared" si="2"/>
        <v/>
      </c>
      <c r="AF65" s="32" t="s">
        <v>313</v>
      </c>
      <c r="AG65" s="31"/>
      <c r="AH65" s="31"/>
      <c r="AI65" s="32" t="str">
        <f t="shared" si="3"/>
        <v/>
      </c>
      <c r="AJ65" s="32" t="s">
        <v>313</v>
      </c>
      <c r="AK65" s="31"/>
      <c r="AL65" s="31"/>
      <c r="AM65" s="32" t="str">
        <f t="shared" si="4"/>
        <v/>
      </c>
      <c r="AN65" s="32" t="s">
        <v>313</v>
      </c>
      <c r="AO65" s="31"/>
      <c r="AP65" s="31"/>
      <c r="AQ65" s="32" t="str">
        <f t="shared" si="5"/>
        <v/>
      </c>
      <c r="AR65" s="32" t="s">
        <v>313</v>
      </c>
      <c r="AS65" s="31"/>
      <c r="AT65" s="31"/>
      <c r="AU65" s="32" t="str">
        <f t="shared" si="6"/>
        <v/>
      </c>
      <c r="AV65" s="32" t="s">
        <v>313</v>
      </c>
      <c r="AW65" s="31"/>
      <c r="AX65" s="31"/>
      <c r="AY65" s="32" t="str">
        <f t="shared" si="7"/>
        <v/>
      </c>
      <c r="AZ65" s="32" t="s">
        <v>313</v>
      </c>
    </row>
    <row r="66" spans="1:52" ht="34" customHeight="1">
      <c r="A66" s="28" t="s">
        <v>231</v>
      </c>
      <c r="B66" s="29" t="s">
        <v>321</v>
      </c>
      <c r="C66" s="29" t="s">
        <v>85</v>
      </c>
      <c r="D66" s="29" t="s">
        <v>93</v>
      </c>
      <c r="E66" s="29" t="s">
        <v>143</v>
      </c>
      <c r="F66" s="29" t="s">
        <v>320</v>
      </c>
      <c r="G66" s="30" t="s">
        <v>312</v>
      </c>
      <c r="H66" s="31">
        <v>0</v>
      </c>
      <c r="I66" s="31">
        <v>368835.14</v>
      </c>
      <c r="J66" s="32">
        <f t="shared" si="15"/>
        <v>0</v>
      </c>
      <c r="K66" s="31">
        <v>0</v>
      </c>
      <c r="L66" s="31">
        <v>244130</v>
      </c>
      <c r="M66" s="32">
        <f t="shared" si="16"/>
        <v>0</v>
      </c>
      <c r="N66" s="31">
        <v>0</v>
      </c>
      <c r="O66" s="31">
        <v>708100.5</v>
      </c>
      <c r="P66" s="32">
        <f t="shared" si="17"/>
        <v>0</v>
      </c>
      <c r="Q66" s="31">
        <v>0</v>
      </c>
      <c r="R66" s="31">
        <v>300117</v>
      </c>
      <c r="S66" s="32">
        <f t="shared" si="18"/>
        <v>0</v>
      </c>
      <c r="T66" s="31">
        <v>0</v>
      </c>
      <c r="U66" s="31">
        <v>431343.5</v>
      </c>
      <c r="V66" s="32">
        <f t="shared" si="19"/>
        <v>0</v>
      </c>
      <c r="W66" s="31">
        <v>0</v>
      </c>
      <c r="X66" s="31">
        <v>250346</v>
      </c>
      <c r="Y66" s="32">
        <f t="shared" si="20"/>
        <v>0</v>
      </c>
      <c r="Z66" s="31">
        <f t="shared" si="0"/>
        <v>0</v>
      </c>
      <c r="AA66" s="31">
        <f t="shared" si="1"/>
        <v>2302872.14</v>
      </c>
      <c r="AB66" s="32">
        <f t="shared" si="21"/>
        <v>0</v>
      </c>
      <c r="AC66" s="31"/>
      <c r="AD66" s="31"/>
      <c r="AE66" s="32" t="str">
        <f t="shared" si="2"/>
        <v/>
      </c>
      <c r="AF66" s="32" t="s">
        <v>313</v>
      </c>
      <c r="AG66" s="31"/>
      <c r="AH66" s="31"/>
      <c r="AI66" s="32" t="str">
        <f t="shared" si="3"/>
        <v/>
      </c>
      <c r="AJ66" s="32" t="s">
        <v>313</v>
      </c>
      <c r="AK66" s="31"/>
      <c r="AL66" s="31"/>
      <c r="AM66" s="32" t="str">
        <f t="shared" si="4"/>
        <v/>
      </c>
      <c r="AN66" s="32" t="s">
        <v>313</v>
      </c>
      <c r="AO66" s="31"/>
      <c r="AP66" s="31"/>
      <c r="AQ66" s="32" t="str">
        <f t="shared" si="5"/>
        <v/>
      </c>
      <c r="AR66" s="32" t="s">
        <v>313</v>
      </c>
      <c r="AS66" s="31"/>
      <c r="AT66" s="31"/>
      <c r="AU66" s="32" t="str">
        <f t="shared" si="6"/>
        <v/>
      </c>
      <c r="AV66" s="32" t="s">
        <v>313</v>
      </c>
      <c r="AW66" s="31"/>
      <c r="AX66" s="31"/>
      <c r="AY66" s="32" t="str">
        <f t="shared" si="7"/>
        <v/>
      </c>
      <c r="AZ66" s="32" t="s">
        <v>313</v>
      </c>
    </row>
    <row r="67" spans="1:52" ht="34" customHeight="1">
      <c r="A67" s="28" t="s">
        <v>231</v>
      </c>
      <c r="B67" s="29" t="s">
        <v>321</v>
      </c>
      <c r="C67" s="29" t="s">
        <v>85</v>
      </c>
      <c r="D67" s="29" t="s">
        <v>152</v>
      </c>
      <c r="E67" s="29" t="s">
        <v>152</v>
      </c>
      <c r="F67" s="29" t="s">
        <v>316</v>
      </c>
      <c r="G67" s="30" t="s">
        <v>312</v>
      </c>
      <c r="H67" s="31"/>
      <c r="I67" s="31">
        <v>368835.14</v>
      </c>
      <c r="J67" s="32" t="str">
        <f t="shared" si="15"/>
        <v/>
      </c>
      <c r="K67" s="31"/>
      <c r="L67" s="31">
        <v>244130</v>
      </c>
      <c r="M67" s="32" t="str">
        <f t="shared" si="16"/>
        <v/>
      </c>
      <c r="N67" s="31"/>
      <c r="O67" s="31">
        <v>708100.5</v>
      </c>
      <c r="P67" s="32" t="str">
        <f t="shared" si="17"/>
        <v/>
      </c>
      <c r="Q67" s="31"/>
      <c r="R67" s="31">
        <v>300117</v>
      </c>
      <c r="S67" s="32" t="str">
        <f t="shared" si="18"/>
        <v/>
      </c>
      <c r="T67" s="31"/>
      <c r="U67" s="31">
        <v>431343.5</v>
      </c>
      <c r="V67" s="32" t="str">
        <f t="shared" si="19"/>
        <v/>
      </c>
      <c r="W67" s="31"/>
      <c r="X67" s="31">
        <v>250346</v>
      </c>
      <c r="Y67" s="32" t="str">
        <f t="shared" si="20"/>
        <v/>
      </c>
      <c r="Z67" s="31" t="str">
        <f t="shared" si="0"/>
        <v/>
      </c>
      <c r="AA67" s="31">
        <f t="shared" si="1"/>
        <v>2302872.14</v>
      </c>
      <c r="AB67" s="32" t="str">
        <f t="shared" si="21"/>
        <v/>
      </c>
      <c r="AC67" s="31"/>
      <c r="AD67" s="31"/>
      <c r="AE67" s="32" t="str">
        <f t="shared" si="2"/>
        <v/>
      </c>
      <c r="AF67" s="32" t="s">
        <v>313</v>
      </c>
      <c r="AG67" s="31"/>
      <c r="AH67" s="31"/>
      <c r="AI67" s="32" t="str">
        <f t="shared" si="3"/>
        <v/>
      </c>
      <c r="AJ67" s="32" t="s">
        <v>313</v>
      </c>
      <c r="AK67" s="31"/>
      <c r="AL67" s="31"/>
      <c r="AM67" s="32" t="str">
        <f t="shared" si="4"/>
        <v/>
      </c>
      <c r="AN67" s="32" t="s">
        <v>313</v>
      </c>
      <c r="AO67" s="31"/>
      <c r="AP67" s="31"/>
      <c r="AQ67" s="32" t="str">
        <f t="shared" si="5"/>
        <v/>
      </c>
      <c r="AR67" s="32" t="s">
        <v>313</v>
      </c>
      <c r="AS67" s="31"/>
      <c r="AT67" s="31"/>
      <c r="AU67" s="32" t="str">
        <f t="shared" si="6"/>
        <v/>
      </c>
      <c r="AV67" s="32" t="s">
        <v>313</v>
      </c>
      <c r="AW67" s="31"/>
      <c r="AX67" s="31"/>
      <c r="AY67" s="32" t="str">
        <f t="shared" si="7"/>
        <v/>
      </c>
      <c r="AZ67" s="32" t="s">
        <v>313</v>
      </c>
    </row>
    <row r="68" spans="1:52" ht="34" customHeight="1">
      <c r="A68" s="28" t="s">
        <v>231</v>
      </c>
      <c r="B68" s="29" t="s">
        <v>322</v>
      </c>
      <c r="C68" s="29" t="s">
        <v>46</v>
      </c>
      <c r="D68" s="29"/>
      <c r="E68" s="29" t="s">
        <v>46</v>
      </c>
      <c r="F68" s="29" t="s">
        <v>311</v>
      </c>
      <c r="G68" s="30" t="s">
        <v>312</v>
      </c>
      <c r="H68" s="31">
        <v>93546</v>
      </c>
      <c r="I68" s="31">
        <v>93546</v>
      </c>
      <c r="J68" s="32"/>
      <c r="K68" s="31">
        <v>0</v>
      </c>
      <c r="L68" s="31">
        <v>0</v>
      </c>
      <c r="M68" s="32"/>
      <c r="N68" s="31">
        <v>0</v>
      </c>
      <c r="O68" s="31">
        <v>0</v>
      </c>
      <c r="P68" s="32"/>
      <c r="Q68" s="31">
        <v>0</v>
      </c>
      <c r="R68" s="31">
        <v>0</v>
      </c>
      <c r="S68" s="32"/>
      <c r="T68" s="31">
        <v>0</v>
      </c>
      <c r="U68" s="31">
        <v>0</v>
      </c>
      <c r="V68" s="32"/>
      <c r="W68" s="31">
        <v>0</v>
      </c>
      <c r="X68" s="31">
        <v>0</v>
      </c>
      <c r="Y68" s="32"/>
      <c r="Z68" s="31">
        <f t="shared" si="0"/>
        <v>93546</v>
      </c>
      <c r="AA68" s="31">
        <f t="shared" si="1"/>
        <v>93546</v>
      </c>
      <c r="AB68" s="32"/>
      <c r="AC68" s="31"/>
      <c r="AD68" s="31"/>
      <c r="AE68" s="32" t="str">
        <f t="shared" si="2"/>
        <v/>
      </c>
      <c r="AF68" s="32" t="s">
        <v>313</v>
      </c>
      <c r="AG68" s="31"/>
      <c r="AH68" s="31"/>
      <c r="AI68" s="32" t="str">
        <f t="shared" si="3"/>
        <v/>
      </c>
      <c r="AJ68" s="32" t="s">
        <v>313</v>
      </c>
      <c r="AK68" s="31"/>
      <c r="AL68" s="31"/>
      <c r="AM68" s="32" t="str">
        <f t="shared" si="4"/>
        <v/>
      </c>
      <c r="AN68" s="32" t="s">
        <v>313</v>
      </c>
      <c r="AO68" s="31"/>
      <c r="AP68" s="31"/>
      <c r="AQ68" s="32" t="str">
        <f t="shared" si="5"/>
        <v/>
      </c>
      <c r="AR68" s="32" t="s">
        <v>313</v>
      </c>
      <c r="AS68" s="31"/>
      <c r="AT68" s="31"/>
      <c r="AU68" s="32" t="str">
        <f t="shared" si="6"/>
        <v/>
      </c>
      <c r="AV68" s="32" t="s">
        <v>313</v>
      </c>
      <c r="AW68" s="31"/>
      <c r="AX68" s="31"/>
      <c r="AY68" s="32" t="str">
        <f t="shared" si="7"/>
        <v/>
      </c>
      <c r="AZ68" s="32" t="s">
        <v>313</v>
      </c>
    </row>
    <row r="69" spans="1:52" ht="34" customHeight="1">
      <c r="A69" s="28" t="s">
        <v>231</v>
      </c>
      <c r="B69" s="29" t="s">
        <v>322</v>
      </c>
      <c r="C69" s="29" t="s">
        <v>121</v>
      </c>
      <c r="D69" s="29"/>
      <c r="E69" s="29" t="s">
        <v>125</v>
      </c>
      <c r="F69" s="29" t="s">
        <v>314</v>
      </c>
      <c r="G69" s="30" t="s">
        <v>312</v>
      </c>
      <c r="H69" s="31">
        <v>0</v>
      </c>
      <c r="I69" s="31">
        <v>93546</v>
      </c>
      <c r="J69" s="32">
        <f t="shared" ref="J69:J98" si="22">IF(H69="","",IFERROR(H69/I69,""))</f>
        <v>0</v>
      </c>
      <c r="K69" s="31">
        <v>0</v>
      </c>
      <c r="L69" s="31">
        <v>0</v>
      </c>
      <c r="M69" s="32" t="str">
        <f t="shared" ref="M69:M98" si="23">IF(K69="","",IFERROR(K69/L69,""))</f>
        <v/>
      </c>
      <c r="N69" s="31">
        <v>0</v>
      </c>
      <c r="O69" s="31">
        <v>0</v>
      </c>
      <c r="P69" s="32" t="str">
        <f t="shared" ref="P69:P98" si="24">IF(N69="","",IFERROR(N69/O69,""))</f>
        <v/>
      </c>
      <c r="Q69" s="31">
        <v>0</v>
      </c>
      <c r="R69" s="31">
        <v>0</v>
      </c>
      <c r="S69" s="32" t="str">
        <f t="shared" ref="S69:S98" si="25">IF(Q69="","",IFERROR(Q69/R69,""))</f>
        <v/>
      </c>
      <c r="T69" s="31">
        <v>0</v>
      </c>
      <c r="U69" s="31">
        <v>0</v>
      </c>
      <c r="V69" s="32" t="str">
        <f t="shared" ref="V69:V98" si="26">IF(T69="","",IFERROR(T69/U69,""))</f>
        <v/>
      </c>
      <c r="W69" s="31">
        <v>0</v>
      </c>
      <c r="X69" s="31">
        <v>0</v>
      </c>
      <c r="Y69" s="32" t="str">
        <f t="shared" ref="Y69:Y98" si="27">IF(W69="","",IFERROR(W69/X69,""))</f>
        <v/>
      </c>
      <c r="Z69" s="31">
        <f t="shared" si="0"/>
        <v>0</v>
      </c>
      <c r="AA69" s="31">
        <f t="shared" si="1"/>
        <v>93546</v>
      </c>
      <c r="AB69" s="32">
        <f t="shared" ref="AB69:AB98" si="28">IF(Z69="","",IFERROR(Z69/AA69,""))</f>
        <v>0</v>
      </c>
      <c r="AC69" s="31"/>
      <c r="AD69" s="31"/>
      <c r="AE69" s="32" t="str">
        <f t="shared" si="2"/>
        <v/>
      </c>
      <c r="AF69" s="32" t="s">
        <v>313</v>
      </c>
      <c r="AG69" s="31"/>
      <c r="AH69" s="31"/>
      <c r="AI69" s="32" t="str">
        <f t="shared" si="3"/>
        <v/>
      </c>
      <c r="AJ69" s="32" t="s">
        <v>313</v>
      </c>
      <c r="AK69" s="31"/>
      <c r="AL69" s="31"/>
      <c r="AM69" s="32" t="str">
        <f t="shared" si="4"/>
        <v/>
      </c>
      <c r="AN69" s="32" t="s">
        <v>313</v>
      </c>
      <c r="AO69" s="31"/>
      <c r="AP69" s="31"/>
      <c r="AQ69" s="32" t="str">
        <f t="shared" si="5"/>
        <v/>
      </c>
      <c r="AR69" s="32" t="s">
        <v>313</v>
      </c>
      <c r="AS69" s="31"/>
      <c r="AT69" s="31"/>
      <c r="AU69" s="32" t="str">
        <f t="shared" si="6"/>
        <v/>
      </c>
      <c r="AV69" s="32" t="s">
        <v>313</v>
      </c>
      <c r="AW69" s="31"/>
      <c r="AX69" s="31"/>
      <c r="AY69" s="32" t="str">
        <f t="shared" si="7"/>
        <v/>
      </c>
      <c r="AZ69" s="32" t="s">
        <v>313</v>
      </c>
    </row>
    <row r="70" spans="1:52" ht="34" customHeight="1">
      <c r="A70" s="28" t="s">
        <v>231</v>
      </c>
      <c r="B70" s="29" t="s">
        <v>322</v>
      </c>
      <c r="C70" s="29" t="s">
        <v>48</v>
      </c>
      <c r="D70" s="29"/>
      <c r="E70" s="29" t="s">
        <v>127</v>
      </c>
      <c r="F70" s="29" t="s">
        <v>315</v>
      </c>
      <c r="G70" s="30" t="s">
        <v>312</v>
      </c>
      <c r="H70" s="31">
        <v>80676</v>
      </c>
      <c r="I70" s="31">
        <v>93546</v>
      </c>
      <c r="J70" s="32">
        <f t="shared" si="22"/>
        <v>0.86242062728497215</v>
      </c>
      <c r="K70" s="31">
        <v>0</v>
      </c>
      <c r="L70" s="31">
        <v>0</v>
      </c>
      <c r="M70" s="32" t="str">
        <f t="shared" si="23"/>
        <v/>
      </c>
      <c r="N70" s="31">
        <v>0</v>
      </c>
      <c r="O70" s="31">
        <v>0</v>
      </c>
      <c r="P70" s="32" t="str">
        <f t="shared" si="24"/>
        <v/>
      </c>
      <c r="Q70" s="31">
        <v>0</v>
      </c>
      <c r="R70" s="31">
        <v>0</v>
      </c>
      <c r="S70" s="32" t="str">
        <f t="shared" si="25"/>
        <v/>
      </c>
      <c r="T70" s="31">
        <v>0</v>
      </c>
      <c r="U70" s="31">
        <v>0</v>
      </c>
      <c r="V70" s="32" t="str">
        <f t="shared" si="26"/>
        <v/>
      </c>
      <c r="W70" s="31">
        <v>0</v>
      </c>
      <c r="X70" s="31">
        <v>0</v>
      </c>
      <c r="Y70" s="32" t="str">
        <f t="shared" si="27"/>
        <v/>
      </c>
      <c r="Z70" s="31">
        <f t="shared" ref="Z70:Z133" si="29">IF(COUNT(H70,K70,N70,Q70,T70,W70)=0,"",SUM(H70,K70,N70,Q70,T70,W70))</f>
        <v>80676</v>
      </c>
      <c r="AA70" s="31">
        <f t="shared" ref="AA70:AA133" si="30">IF(COUNT(I70,L70,O70,R70,U70,X70)=0,"",SUM(I70,L70,O70,R70,U70,X70))</f>
        <v>93546</v>
      </c>
      <c r="AB70" s="32">
        <f t="shared" si="28"/>
        <v>0.86242062728497215</v>
      </c>
      <c r="AC70" s="31"/>
      <c r="AD70" s="31"/>
      <c r="AE70" s="32" t="str">
        <f t="shared" ref="AE70:AE133" si="31">IF(AC70="","",IFERROR(AC70/AD70,""))</f>
        <v/>
      </c>
      <c r="AF70" s="32" t="s">
        <v>313</v>
      </c>
      <c r="AG70" s="31"/>
      <c r="AH70" s="31"/>
      <c r="AI70" s="32" t="str">
        <f t="shared" ref="AI70:AI133" si="32">IF(AG70="","",IFERROR(AG70/AH70,""))</f>
        <v/>
      </c>
      <c r="AJ70" s="32" t="s">
        <v>313</v>
      </c>
      <c r="AK70" s="31"/>
      <c r="AL70" s="31"/>
      <c r="AM70" s="32" t="str">
        <f t="shared" ref="AM70:AM133" si="33">IF(AK70="","",IFERROR(AK70/AL70,""))</f>
        <v/>
      </c>
      <c r="AN70" s="32" t="s">
        <v>313</v>
      </c>
      <c r="AO70" s="31"/>
      <c r="AP70" s="31"/>
      <c r="AQ70" s="32" t="str">
        <f t="shared" ref="AQ70:AQ133" si="34">IF(AO70="","",IFERROR(AO70/AP70,""))</f>
        <v/>
      </c>
      <c r="AR70" s="32" t="s">
        <v>313</v>
      </c>
      <c r="AS70" s="31"/>
      <c r="AT70" s="31"/>
      <c r="AU70" s="32" t="str">
        <f t="shared" ref="AU70:AU133" si="35">IF(AS70="","",IFERROR(AS70/AT70,""))</f>
        <v/>
      </c>
      <c r="AV70" s="32" t="s">
        <v>313</v>
      </c>
      <c r="AW70" s="31"/>
      <c r="AX70" s="31"/>
      <c r="AY70" s="32" t="str">
        <f t="shared" ref="AY70:AY133" si="36">IF(AW70="","",IFERROR(AW70/AX70,""))</f>
        <v/>
      </c>
      <c r="AZ70" s="32" t="s">
        <v>313</v>
      </c>
    </row>
    <row r="71" spans="1:52" ht="34" customHeight="1">
      <c r="A71" s="28" t="s">
        <v>231</v>
      </c>
      <c r="B71" s="29" t="s">
        <v>322</v>
      </c>
      <c r="C71" s="29" t="s">
        <v>52</v>
      </c>
      <c r="D71" s="29" t="s">
        <v>54</v>
      </c>
      <c r="E71" s="29" t="s">
        <v>55</v>
      </c>
      <c r="F71" s="29" t="s">
        <v>130</v>
      </c>
      <c r="G71" s="30" t="s">
        <v>312</v>
      </c>
      <c r="H71" s="31">
        <v>0</v>
      </c>
      <c r="I71" s="31">
        <v>93546</v>
      </c>
      <c r="J71" s="32">
        <f t="shared" si="22"/>
        <v>0</v>
      </c>
      <c r="K71" s="31">
        <v>0</v>
      </c>
      <c r="L71" s="31">
        <v>0</v>
      </c>
      <c r="M71" s="32" t="str">
        <f t="shared" si="23"/>
        <v/>
      </c>
      <c r="N71" s="31">
        <v>0</v>
      </c>
      <c r="O71" s="31">
        <v>0</v>
      </c>
      <c r="P71" s="32" t="str">
        <f t="shared" si="24"/>
        <v/>
      </c>
      <c r="Q71" s="31">
        <v>0</v>
      </c>
      <c r="R71" s="31">
        <v>0</v>
      </c>
      <c r="S71" s="32" t="str">
        <f t="shared" si="25"/>
        <v/>
      </c>
      <c r="T71" s="31">
        <v>0</v>
      </c>
      <c r="U71" s="31">
        <v>0</v>
      </c>
      <c r="V71" s="32" t="str">
        <f t="shared" si="26"/>
        <v/>
      </c>
      <c r="W71" s="31">
        <v>0</v>
      </c>
      <c r="X71" s="31">
        <v>0</v>
      </c>
      <c r="Y71" s="32" t="str">
        <f t="shared" si="27"/>
        <v/>
      </c>
      <c r="Z71" s="31">
        <f t="shared" si="29"/>
        <v>0</v>
      </c>
      <c r="AA71" s="31">
        <f t="shared" si="30"/>
        <v>93546</v>
      </c>
      <c r="AB71" s="32">
        <f t="shared" si="28"/>
        <v>0</v>
      </c>
      <c r="AC71" s="31"/>
      <c r="AD71" s="31"/>
      <c r="AE71" s="32" t="str">
        <f t="shared" si="31"/>
        <v/>
      </c>
      <c r="AF71" s="32" t="s">
        <v>313</v>
      </c>
      <c r="AG71" s="31"/>
      <c r="AH71" s="31"/>
      <c r="AI71" s="32" t="str">
        <f t="shared" si="32"/>
        <v/>
      </c>
      <c r="AJ71" s="32" t="s">
        <v>313</v>
      </c>
      <c r="AK71" s="31"/>
      <c r="AL71" s="31"/>
      <c r="AM71" s="32" t="str">
        <f t="shared" si="33"/>
        <v/>
      </c>
      <c r="AN71" s="32" t="s">
        <v>313</v>
      </c>
      <c r="AO71" s="31"/>
      <c r="AP71" s="31"/>
      <c r="AQ71" s="32" t="str">
        <f t="shared" si="34"/>
        <v/>
      </c>
      <c r="AR71" s="32" t="s">
        <v>313</v>
      </c>
      <c r="AS71" s="31"/>
      <c r="AT71" s="31"/>
      <c r="AU71" s="32" t="str">
        <f t="shared" si="35"/>
        <v/>
      </c>
      <c r="AV71" s="32" t="s">
        <v>313</v>
      </c>
      <c r="AW71" s="31"/>
      <c r="AX71" s="31"/>
      <c r="AY71" s="32" t="str">
        <f t="shared" si="36"/>
        <v/>
      </c>
      <c r="AZ71" s="32" t="s">
        <v>313</v>
      </c>
    </row>
    <row r="72" spans="1:52" ht="34" customHeight="1">
      <c r="A72" s="28" t="s">
        <v>231</v>
      </c>
      <c r="B72" s="29" t="s">
        <v>322</v>
      </c>
      <c r="C72" s="29" t="s">
        <v>52</v>
      </c>
      <c r="D72" s="29" t="s">
        <v>54</v>
      </c>
      <c r="E72" s="29" t="s">
        <v>58</v>
      </c>
      <c r="F72" s="29" t="s">
        <v>316</v>
      </c>
      <c r="G72" s="30" t="s">
        <v>312</v>
      </c>
      <c r="H72" s="31"/>
      <c r="I72" s="31">
        <v>93546</v>
      </c>
      <c r="J72" s="32" t="str">
        <f t="shared" si="22"/>
        <v/>
      </c>
      <c r="K72" s="31"/>
      <c r="L72" s="31">
        <v>0</v>
      </c>
      <c r="M72" s="32" t="str">
        <f t="shared" si="23"/>
        <v/>
      </c>
      <c r="N72" s="31"/>
      <c r="O72" s="31">
        <v>0</v>
      </c>
      <c r="P72" s="32" t="str">
        <f t="shared" si="24"/>
        <v/>
      </c>
      <c r="Q72" s="31"/>
      <c r="R72" s="31">
        <v>0</v>
      </c>
      <c r="S72" s="32" t="str">
        <f t="shared" si="25"/>
        <v/>
      </c>
      <c r="T72" s="31"/>
      <c r="U72" s="31">
        <v>0</v>
      </c>
      <c r="V72" s="32" t="str">
        <f t="shared" si="26"/>
        <v/>
      </c>
      <c r="W72" s="31"/>
      <c r="X72" s="31">
        <v>0</v>
      </c>
      <c r="Y72" s="32" t="str">
        <f t="shared" si="27"/>
        <v/>
      </c>
      <c r="Z72" s="31" t="str">
        <f t="shared" si="29"/>
        <v/>
      </c>
      <c r="AA72" s="31">
        <f t="shared" si="30"/>
        <v>93546</v>
      </c>
      <c r="AB72" s="32" t="str">
        <f t="shared" si="28"/>
        <v/>
      </c>
      <c r="AC72" s="31"/>
      <c r="AD72" s="31"/>
      <c r="AE72" s="32" t="str">
        <f t="shared" si="31"/>
        <v/>
      </c>
      <c r="AF72" s="32" t="s">
        <v>313</v>
      </c>
      <c r="AG72" s="31"/>
      <c r="AH72" s="31"/>
      <c r="AI72" s="32" t="str">
        <f t="shared" si="32"/>
        <v/>
      </c>
      <c r="AJ72" s="32" t="s">
        <v>313</v>
      </c>
      <c r="AK72" s="31"/>
      <c r="AL72" s="31"/>
      <c r="AM72" s="32" t="str">
        <f t="shared" si="33"/>
        <v/>
      </c>
      <c r="AN72" s="32" t="s">
        <v>313</v>
      </c>
      <c r="AO72" s="31"/>
      <c r="AP72" s="31"/>
      <c r="AQ72" s="32" t="str">
        <f t="shared" si="34"/>
        <v/>
      </c>
      <c r="AR72" s="32" t="s">
        <v>313</v>
      </c>
      <c r="AS72" s="31"/>
      <c r="AT72" s="31"/>
      <c r="AU72" s="32" t="str">
        <f t="shared" si="35"/>
        <v/>
      </c>
      <c r="AV72" s="32" t="s">
        <v>313</v>
      </c>
      <c r="AW72" s="31"/>
      <c r="AX72" s="31"/>
      <c r="AY72" s="32" t="str">
        <f t="shared" si="36"/>
        <v/>
      </c>
      <c r="AZ72" s="32" t="s">
        <v>313</v>
      </c>
    </row>
    <row r="73" spans="1:52" ht="34" customHeight="1">
      <c r="A73" s="28" t="s">
        <v>231</v>
      </c>
      <c r="B73" s="29" t="s">
        <v>322</v>
      </c>
      <c r="C73" s="29" t="s">
        <v>52</v>
      </c>
      <c r="D73" s="29" t="s">
        <v>54</v>
      </c>
      <c r="E73" s="29" t="s">
        <v>59</v>
      </c>
      <c r="F73" s="29" t="s">
        <v>316</v>
      </c>
      <c r="G73" s="30" t="s">
        <v>312</v>
      </c>
      <c r="H73" s="31"/>
      <c r="I73" s="31">
        <v>93546</v>
      </c>
      <c r="J73" s="32" t="str">
        <f t="shared" si="22"/>
        <v/>
      </c>
      <c r="K73" s="31"/>
      <c r="L73" s="31">
        <v>0</v>
      </c>
      <c r="M73" s="32" t="str">
        <f t="shared" si="23"/>
        <v/>
      </c>
      <c r="N73" s="31"/>
      <c r="O73" s="31">
        <v>0</v>
      </c>
      <c r="P73" s="32" t="str">
        <f t="shared" si="24"/>
        <v/>
      </c>
      <c r="Q73" s="31"/>
      <c r="R73" s="31">
        <v>0</v>
      </c>
      <c r="S73" s="32" t="str">
        <f t="shared" si="25"/>
        <v/>
      </c>
      <c r="T73" s="31"/>
      <c r="U73" s="31">
        <v>0</v>
      </c>
      <c r="V73" s="32" t="str">
        <f t="shared" si="26"/>
        <v/>
      </c>
      <c r="W73" s="31"/>
      <c r="X73" s="31">
        <v>0</v>
      </c>
      <c r="Y73" s="32" t="str">
        <f t="shared" si="27"/>
        <v/>
      </c>
      <c r="Z73" s="31" t="str">
        <f t="shared" si="29"/>
        <v/>
      </c>
      <c r="AA73" s="31">
        <f t="shared" si="30"/>
        <v>93546</v>
      </c>
      <c r="AB73" s="32" t="str">
        <f t="shared" si="28"/>
        <v/>
      </c>
      <c r="AC73" s="31"/>
      <c r="AD73" s="31"/>
      <c r="AE73" s="32" t="str">
        <f t="shared" si="31"/>
        <v/>
      </c>
      <c r="AF73" s="32" t="s">
        <v>313</v>
      </c>
      <c r="AG73" s="31"/>
      <c r="AH73" s="31"/>
      <c r="AI73" s="32" t="str">
        <f t="shared" si="32"/>
        <v/>
      </c>
      <c r="AJ73" s="32" t="s">
        <v>313</v>
      </c>
      <c r="AK73" s="31"/>
      <c r="AL73" s="31"/>
      <c r="AM73" s="32" t="str">
        <f t="shared" si="33"/>
        <v/>
      </c>
      <c r="AN73" s="32" t="s">
        <v>313</v>
      </c>
      <c r="AO73" s="31"/>
      <c r="AP73" s="31"/>
      <c r="AQ73" s="32" t="str">
        <f t="shared" si="34"/>
        <v/>
      </c>
      <c r="AR73" s="32" t="s">
        <v>313</v>
      </c>
      <c r="AS73" s="31"/>
      <c r="AT73" s="31"/>
      <c r="AU73" s="32" t="str">
        <f t="shared" si="35"/>
        <v/>
      </c>
      <c r="AV73" s="32" t="s">
        <v>313</v>
      </c>
      <c r="AW73" s="31"/>
      <c r="AX73" s="31"/>
      <c r="AY73" s="32" t="str">
        <f t="shared" si="36"/>
        <v/>
      </c>
      <c r="AZ73" s="32" t="s">
        <v>313</v>
      </c>
    </row>
    <row r="74" spans="1:52" ht="34" customHeight="1">
      <c r="A74" s="28" t="s">
        <v>231</v>
      </c>
      <c r="B74" s="29" t="s">
        <v>322</v>
      </c>
      <c r="C74" s="29" t="s">
        <v>52</v>
      </c>
      <c r="D74" s="29" t="s">
        <v>54</v>
      </c>
      <c r="E74" s="29" t="s">
        <v>64</v>
      </c>
      <c r="F74" s="29" t="s">
        <v>133</v>
      </c>
      <c r="G74" s="30" t="s">
        <v>312</v>
      </c>
      <c r="H74" s="31">
        <v>0</v>
      </c>
      <c r="I74" s="31">
        <v>93546</v>
      </c>
      <c r="J74" s="32">
        <f t="shared" si="22"/>
        <v>0</v>
      </c>
      <c r="K74" s="31">
        <v>0</v>
      </c>
      <c r="L74" s="31">
        <v>0</v>
      </c>
      <c r="M74" s="32" t="str">
        <f t="shared" si="23"/>
        <v/>
      </c>
      <c r="N74" s="31">
        <v>0</v>
      </c>
      <c r="O74" s="31">
        <v>0</v>
      </c>
      <c r="P74" s="32" t="str">
        <f t="shared" si="24"/>
        <v/>
      </c>
      <c r="Q74" s="31">
        <v>0</v>
      </c>
      <c r="R74" s="31">
        <v>0</v>
      </c>
      <c r="S74" s="32" t="str">
        <f t="shared" si="25"/>
        <v/>
      </c>
      <c r="T74" s="31">
        <v>0</v>
      </c>
      <c r="U74" s="31">
        <v>0</v>
      </c>
      <c r="V74" s="32" t="str">
        <f t="shared" si="26"/>
        <v/>
      </c>
      <c r="W74" s="31">
        <v>0</v>
      </c>
      <c r="X74" s="31">
        <v>0</v>
      </c>
      <c r="Y74" s="32" t="str">
        <f t="shared" si="27"/>
        <v/>
      </c>
      <c r="Z74" s="31">
        <f t="shared" si="29"/>
        <v>0</v>
      </c>
      <c r="AA74" s="31">
        <f t="shared" si="30"/>
        <v>93546</v>
      </c>
      <c r="AB74" s="32">
        <f t="shared" si="28"/>
        <v>0</v>
      </c>
      <c r="AC74" s="31"/>
      <c r="AD74" s="31"/>
      <c r="AE74" s="32" t="str">
        <f t="shared" si="31"/>
        <v/>
      </c>
      <c r="AF74" s="32" t="s">
        <v>313</v>
      </c>
      <c r="AG74" s="31"/>
      <c r="AH74" s="31"/>
      <c r="AI74" s="32" t="str">
        <f t="shared" si="32"/>
        <v/>
      </c>
      <c r="AJ74" s="32" t="s">
        <v>313</v>
      </c>
      <c r="AK74" s="31"/>
      <c r="AL74" s="31"/>
      <c r="AM74" s="32" t="str">
        <f t="shared" si="33"/>
        <v/>
      </c>
      <c r="AN74" s="32" t="s">
        <v>313</v>
      </c>
      <c r="AO74" s="31"/>
      <c r="AP74" s="31"/>
      <c r="AQ74" s="32" t="str">
        <f t="shared" si="34"/>
        <v/>
      </c>
      <c r="AR74" s="32" t="s">
        <v>313</v>
      </c>
      <c r="AS74" s="31"/>
      <c r="AT74" s="31"/>
      <c r="AU74" s="32" t="str">
        <f t="shared" si="35"/>
        <v/>
      </c>
      <c r="AV74" s="32" t="s">
        <v>313</v>
      </c>
      <c r="AW74" s="31"/>
      <c r="AX74" s="31"/>
      <c r="AY74" s="32" t="str">
        <f t="shared" si="36"/>
        <v/>
      </c>
      <c r="AZ74" s="32" t="s">
        <v>313</v>
      </c>
    </row>
    <row r="75" spans="1:52" ht="34" customHeight="1">
      <c r="A75" s="28" t="s">
        <v>231</v>
      </c>
      <c r="B75" s="29" t="s">
        <v>322</v>
      </c>
      <c r="C75" s="29" t="s">
        <v>52</v>
      </c>
      <c r="D75" s="29" t="s">
        <v>54</v>
      </c>
      <c r="E75" s="29" t="s">
        <v>60</v>
      </c>
      <c r="F75" s="29" t="s">
        <v>316</v>
      </c>
      <c r="G75" s="30" t="s">
        <v>312</v>
      </c>
      <c r="H75" s="31"/>
      <c r="I75" s="31">
        <v>93546</v>
      </c>
      <c r="J75" s="32" t="str">
        <f t="shared" si="22"/>
        <v/>
      </c>
      <c r="K75" s="31"/>
      <c r="L75" s="31">
        <v>0</v>
      </c>
      <c r="M75" s="32" t="str">
        <f t="shared" si="23"/>
        <v/>
      </c>
      <c r="N75" s="31"/>
      <c r="O75" s="31">
        <v>0</v>
      </c>
      <c r="P75" s="32" t="str">
        <f t="shared" si="24"/>
        <v/>
      </c>
      <c r="Q75" s="31"/>
      <c r="R75" s="31">
        <v>0</v>
      </c>
      <c r="S75" s="32" t="str">
        <f t="shared" si="25"/>
        <v/>
      </c>
      <c r="T75" s="31"/>
      <c r="U75" s="31">
        <v>0</v>
      </c>
      <c r="V75" s="32" t="str">
        <f t="shared" si="26"/>
        <v/>
      </c>
      <c r="W75" s="31"/>
      <c r="X75" s="31">
        <v>0</v>
      </c>
      <c r="Y75" s="32" t="str">
        <f t="shared" si="27"/>
        <v/>
      </c>
      <c r="Z75" s="31" t="str">
        <f t="shared" si="29"/>
        <v/>
      </c>
      <c r="AA75" s="31">
        <f t="shared" si="30"/>
        <v>93546</v>
      </c>
      <c r="AB75" s="32" t="str">
        <f t="shared" si="28"/>
        <v/>
      </c>
      <c r="AC75" s="31"/>
      <c r="AD75" s="31"/>
      <c r="AE75" s="32" t="str">
        <f t="shared" si="31"/>
        <v/>
      </c>
      <c r="AF75" s="32" t="s">
        <v>313</v>
      </c>
      <c r="AG75" s="31"/>
      <c r="AH75" s="31"/>
      <c r="AI75" s="32" t="str">
        <f t="shared" si="32"/>
        <v/>
      </c>
      <c r="AJ75" s="32" t="s">
        <v>313</v>
      </c>
      <c r="AK75" s="31"/>
      <c r="AL75" s="31"/>
      <c r="AM75" s="32" t="str">
        <f t="shared" si="33"/>
        <v/>
      </c>
      <c r="AN75" s="32" t="s">
        <v>313</v>
      </c>
      <c r="AO75" s="31"/>
      <c r="AP75" s="31"/>
      <c r="AQ75" s="32" t="str">
        <f t="shared" si="34"/>
        <v/>
      </c>
      <c r="AR75" s="32" t="s">
        <v>313</v>
      </c>
      <c r="AS75" s="31"/>
      <c r="AT75" s="31"/>
      <c r="AU75" s="32" t="str">
        <f t="shared" si="35"/>
        <v/>
      </c>
      <c r="AV75" s="32" t="s">
        <v>313</v>
      </c>
      <c r="AW75" s="31"/>
      <c r="AX75" s="31"/>
      <c r="AY75" s="32" t="str">
        <f t="shared" si="36"/>
        <v/>
      </c>
      <c r="AZ75" s="32" t="s">
        <v>313</v>
      </c>
    </row>
    <row r="76" spans="1:52" ht="51" customHeight="1">
      <c r="A76" s="28" t="s">
        <v>231</v>
      </c>
      <c r="B76" s="29" t="s">
        <v>322</v>
      </c>
      <c r="C76" s="29" t="s">
        <v>52</v>
      </c>
      <c r="D76" s="29" t="s">
        <v>54</v>
      </c>
      <c r="E76" s="29" t="s">
        <v>61</v>
      </c>
      <c r="F76" s="29" t="s">
        <v>135</v>
      </c>
      <c r="G76" s="30" t="s">
        <v>312</v>
      </c>
      <c r="H76" s="31">
        <v>0</v>
      </c>
      <c r="I76" s="31">
        <v>93546</v>
      </c>
      <c r="J76" s="32">
        <f t="shared" si="22"/>
        <v>0</v>
      </c>
      <c r="K76" s="31">
        <v>0</v>
      </c>
      <c r="L76" s="31">
        <v>0</v>
      </c>
      <c r="M76" s="32" t="str">
        <f t="shared" si="23"/>
        <v/>
      </c>
      <c r="N76" s="31">
        <v>0</v>
      </c>
      <c r="O76" s="31">
        <v>0</v>
      </c>
      <c r="P76" s="32" t="str">
        <f t="shared" si="24"/>
        <v/>
      </c>
      <c r="Q76" s="31">
        <v>0</v>
      </c>
      <c r="R76" s="31">
        <v>0</v>
      </c>
      <c r="S76" s="32" t="str">
        <f t="shared" si="25"/>
        <v/>
      </c>
      <c r="T76" s="31">
        <v>0</v>
      </c>
      <c r="U76" s="31">
        <v>0</v>
      </c>
      <c r="V76" s="32" t="str">
        <f t="shared" si="26"/>
        <v/>
      </c>
      <c r="W76" s="31">
        <v>0</v>
      </c>
      <c r="X76" s="31">
        <v>0</v>
      </c>
      <c r="Y76" s="32" t="str">
        <f t="shared" si="27"/>
        <v/>
      </c>
      <c r="Z76" s="31">
        <f t="shared" si="29"/>
        <v>0</v>
      </c>
      <c r="AA76" s="31">
        <f t="shared" si="30"/>
        <v>93546</v>
      </c>
      <c r="AB76" s="32">
        <f t="shared" si="28"/>
        <v>0</v>
      </c>
      <c r="AC76" s="31"/>
      <c r="AD76" s="31"/>
      <c r="AE76" s="32" t="str">
        <f t="shared" si="31"/>
        <v/>
      </c>
      <c r="AF76" s="32" t="s">
        <v>313</v>
      </c>
      <c r="AG76" s="31"/>
      <c r="AH76" s="31"/>
      <c r="AI76" s="32" t="str">
        <f t="shared" si="32"/>
        <v/>
      </c>
      <c r="AJ76" s="32" t="s">
        <v>313</v>
      </c>
      <c r="AK76" s="31"/>
      <c r="AL76" s="31"/>
      <c r="AM76" s="32" t="str">
        <f t="shared" si="33"/>
        <v/>
      </c>
      <c r="AN76" s="32" t="s">
        <v>313</v>
      </c>
      <c r="AO76" s="31"/>
      <c r="AP76" s="31"/>
      <c r="AQ76" s="32" t="str">
        <f t="shared" si="34"/>
        <v/>
      </c>
      <c r="AR76" s="32" t="s">
        <v>313</v>
      </c>
      <c r="AS76" s="31"/>
      <c r="AT76" s="31"/>
      <c r="AU76" s="32" t="str">
        <f t="shared" si="35"/>
        <v/>
      </c>
      <c r="AV76" s="32" t="s">
        <v>313</v>
      </c>
      <c r="AW76" s="31"/>
      <c r="AX76" s="31"/>
      <c r="AY76" s="32" t="str">
        <f t="shared" si="36"/>
        <v/>
      </c>
      <c r="AZ76" s="32" t="s">
        <v>313</v>
      </c>
    </row>
    <row r="77" spans="1:52" ht="34" customHeight="1">
      <c r="A77" s="28" t="s">
        <v>231</v>
      </c>
      <c r="B77" s="29" t="s">
        <v>322</v>
      </c>
      <c r="C77" s="29" t="s">
        <v>52</v>
      </c>
      <c r="D77" s="29" t="s">
        <v>54</v>
      </c>
      <c r="E77" s="29" t="s">
        <v>62</v>
      </c>
      <c r="F77" s="29" t="s">
        <v>316</v>
      </c>
      <c r="G77" s="30" t="s">
        <v>312</v>
      </c>
      <c r="H77" s="31"/>
      <c r="I77" s="31">
        <v>93546</v>
      </c>
      <c r="J77" s="32" t="str">
        <f t="shared" si="22"/>
        <v/>
      </c>
      <c r="K77" s="31"/>
      <c r="L77" s="31">
        <v>0</v>
      </c>
      <c r="M77" s="32" t="str">
        <f t="shared" si="23"/>
        <v/>
      </c>
      <c r="N77" s="31"/>
      <c r="O77" s="31">
        <v>0</v>
      </c>
      <c r="P77" s="32" t="str">
        <f t="shared" si="24"/>
        <v/>
      </c>
      <c r="Q77" s="31"/>
      <c r="R77" s="31">
        <v>0</v>
      </c>
      <c r="S77" s="32" t="str">
        <f t="shared" si="25"/>
        <v/>
      </c>
      <c r="T77" s="31"/>
      <c r="U77" s="31">
        <v>0</v>
      </c>
      <c r="V77" s="32" t="str">
        <f t="shared" si="26"/>
        <v/>
      </c>
      <c r="W77" s="31"/>
      <c r="X77" s="31">
        <v>0</v>
      </c>
      <c r="Y77" s="32" t="str">
        <f t="shared" si="27"/>
        <v/>
      </c>
      <c r="Z77" s="31" t="str">
        <f t="shared" si="29"/>
        <v/>
      </c>
      <c r="AA77" s="31">
        <f t="shared" si="30"/>
        <v>93546</v>
      </c>
      <c r="AB77" s="32" t="str">
        <f t="shared" si="28"/>
        <v/>
      </c>
      <c r="AC77" s="31"/>
      <c r="AD77" s="31"/>
      <c r="AE77" s="32" t="str">
        <f t="shared" si="31"/>
        <v/>
      </c>
      <c r="AF77" s="32" t="s">
        <v>313</v>
      </c>
      <c r="AG77" s="31"/>
      <c r="AH77" s="31"/>
      <c r="AI77" s="32" t="str">
        <f t="shared" si="32"/>
        <v/>
      </c>
      <c r="AJ77" s="32" t="s">
        <v>313</v>
      </c>
      <c r="AK77" s="31"/>
      <c r="AL77" s="31"/>
      <c r="AM77" s="32" t="str">
        <f t="shared" si="33"/>
        <v/>
      </c>
      <c r="AN77" s="32" t="s">
        <v>313</v>
      </c>
      <c r="AO77" s="31"/>
      <c r="AP77" s="31"/>
      <c r="AQ77" s="32" t="str">
        <f t="shared" si="34"/>
        <v/>
      </c>
      <c r="AR77" s="32" t="s">
        <v>313</v>
      </c>
      <c r="AS77" s="31"/>
      <c r="AT77" s="31"/>
      <c r="AU77" s="32" t="str">
        <f t="shared" si="35"/>
        <v/>
      </c>
      <c r="AV77" s="32" t="s">
        <v>313</v>
      </c>
      <c r="AW77" s="31"/>
      <c r="AX77" s="31"/>
      <c r="AY77" s="32" t="str">
        <f t="shared" si="36"/>
        <v/>
      </c>
      <c r="AZ77" s="32" t="s">
        <v>313</v>
      </c>
    </row>
    <row r="78" spans="1:52" ht="34" customHeight="1">
      <c r="A78" s="28" t="s">
        <v>231</v>
      </c>
      <c r="B78" s="29" t="s">
        <v>322</v>
      </c>
      <c r="C78" s="29" t="s">
        <v>52</v>
      </c>
      <c r="D78" s="29" t="s">
        <v>54</v>
      </c>
      <c r="E78" s="29" t="s">
        <v>63</v>
      </c>
      <c r="F78" s="29" t="s">
        <v>316</v>
      </c>
      <c r="G78" s="30" t="s">
        <v>312</v>
      </c>
      <c r="H78" s="31"/>
      <c r="I78" s="31">
        <v>93546</v>
      </c>
      <c r="J78" s="32" t="str">
        <f t="shared" si="22"/>
        <v/>
      </c>
      <c r="K78" s="31"/>
      <c r="L78" s="31">
        <v>0</v>
      </c>
      <c r="M78" s="32" t="str">
        <f t="shared" si="23"/>
        <v/>
      </c>
      <c r="N78" s="31"/>
      <c r="O78" s="31">
        <v>0</v>
      </c>
      <c r="P78" s="32" t="str">
        <f t="shared" si="24"/>
        <v/>
      </c>
      <c r="Q78" s="31"/>
      <c r="R78" s="31">
        <v>0</v>
      </c>
      <c r="S78" s="32" t="str">
        <f t="shared" si="25"/>
        <v/>
      </c>
      <c r="T78" s="31"/>
      <c r="U78" s="31">
        <v>0</v>
      </c>
      <c r="V78" s="32" t="str">
        <f t="shared" si="26"/>
        <v/>
      </c>
      <c r="W78" s="31"/>
      <c r="X78" s="31">
        <v>0</v>
      </c>
      <c r="Y78" s="32" t="str">
        <f t="shared" si="27"/>
        <v/>
      </c>
      <c r="Z78" s="31" t="str">
        <f t="shared" si="29"/>
        <v/>
      </c>
      <c r="AA78" s="31">
        <f t="shared" si="30"/>
        <v>93546</v>
      </c>
      <c r="AB78" s="32" t="str">
        <f t="shared" si="28"/>
        <v/>
      </c>
      <c r="AC78" s="31"/>
      <c r="AD78" s="31"/>
      <c r="AE78" s="32" t="str">
        <f t="shared" si="31"/>
        <v/>
      </c>
      <c r="AF78" s="32" t="s">
        <v>313</v>
      </c>
      <c r="AG78" s="31"/>
      <c r="AH78" s="31"/>
      <c r="AI78" s="32" t="str">
        <f t="shared" si="32"/>
        <v/>
      </c>
      <c r="AJ78" s="32" t="s">
        <v>313</v>
      </c>
      <c r="AK78" s="31"/>
      <c r="AL78" s="31"/>
      <c r="AM78" s="32" t="str">
        <f t="shared" si="33"/>
        <v/>
      </c>
      <c r="AN78" s="32" t="s">
        <v>313</v>
      </c>
      <c r="AO78" s="31"/>
      <c r="AP78" s="31"/>
      <c r="AQ78" s="32" t="str">
        <f t="shared" si="34"/>
        <v/>
      </c>
      <c r="AR78" s="32" t="s">
        <v>313</v>
      </c>
      <c r="AS78" s="31"/>
      <c r="AT78" s="31"/>
      <c r="AU78" s="32" t="str">
        <f t="shared" si="35"/>
        <v/>
      </c>
      <c r="AV78" s="32" t="s">
        <v>313</v>
      </c>
      <c r="AW78" s="31"/>
      <c r="AX78" s="31"/>
      <c r="AY78" s="32" t="str">
        <f t="shared" si="36"/>
        <v/>
      </c>
      <c r="AZ78" s="32" t="s">
        <v>313</v>
      </c>
    </row>
    <row r="79" spans="1:52" ht="34" customHeight="1">
      <c r="A79" s="28" t="s">
        <v>231</v>
      </c>
      <c r="B79" s="29" t="s">
        <v>322</v>
      </c>
      <c r="C79" s="29" t="s">
        <v>52</v>
      </c>
      <c r="D79" s="29" t="s">
        <v>65</v>
      </c>
      <c r="E79" s="29" t="s">
        <v>66</v>
      </c>
      <c r="F79" s="29" t="s">
        <v>316</v>
      </c>
      <c r="G79" s="30" t="s">
        <v>312</v>
      </c>
      <c r="H79" s="31"/>
      <c r="I79" s="31">
        <v>93546</v>
      </c>
      <c r="J79" s="32" t="str">
        <f t="shared" si="22"/>
        <v/>
      </c>
      <c r="K79" s="31"/>
      <c r="L79" s="31">
        <v>0</v>
      </c>
      <c r="M79" s="32" t="str">
        <f t="shared" si="23"/>
        <v/>
      </c>
      <c r="N79" s="31"/>
      <c r="O79" s="31">
        <v>0</v>
      </c>
      <c r="P79" s="32" t="str">
        <f t="shared" si="24"/>
        <v/>
      </c>
      <c r="Q79" s="31"/>
      <c r="R79" s="31">
        <v>0</v>
      </c>
      <c r="S79" s="32" t="str">
        <f t="shared" si="25"/>
        <v/>
      </c>
      <c r="T79" s="31"/>
      <c r="U79" s="31">
        <v>0</v>
      </c>
      <c r="V79" s="32" t="str">
        <f t="shared" si="26"/>
        <v/>
      </c>
      <c r="W79" s="31"/>
      <c r="X79" s="31">
        <v>0</v>
      </c>
      <c r="Y79" s="32" t="str">
        <f t="shared" si="27"/>
        <v/>
      </c>
      <c r="Z79" s="31" t="str">
        <f t="shared" si="29"/>
        <v/>
      </c>
      <c r="AA79" s="31">
        <f t="shared" si="30"/>
        <v>93546</v>
      </c>
      <c r="AB79" s="32" t="str">
        <f t="shared" si="28"/>
        <v/>
      </c>
      <c r="AC79" s="31"/>
      <c r="AD79" s="31"/>
      <c r="AE79" s="32" t="str">
        <f t="shared" si="31"/>
        <v/>
      </c>
      <c r="AF79" s="32" t="s">
        <v>313</v>
      </c>
      <c r="AG79" s="31"/>
      <c r="AH79" s="31"/>
      <c r="AI79" s="32" t="str">
        <f t="shared" si="32"/>
        <v/>
      </c>
      <c r="AJ79" s="32" t="s">
        <v>313</v>
      </c>
      <c r="AK79" s="31"/>
      <c r="AL79" s="31"/>
      <c r="AM79" s="32" t="str">
        <f t="shared" si="33"/>
        <v/>
      </c>
      <c r="AN79" s="32" t="s">
        <v>313</v>
      </c>
      <c r="AO79" s="31"/>
      <c r="AP79" s="31"/>
      <c r="AQ79" s="32" t="str">
        <f t="shared" si="34"/>
        <v/>
      </c>
      <c r="AR79" s="32" t="s">
        <v>313</v>
      </c>
      <c r="AS79" s="31"/>
      <c r="AT79" s="31"/>
      <c r="AU79" s="32" t="str">
        <f t="shared" si="35"/>
        <v/>
      </c>
      <c r="AV79" s="32" t="s">
        <v>313</v>
      </c>
      <c r="AW79" s="31"/>
      <c r="AX79" s="31"/>
      <c r="AY79" s="32" t="str">
        <f t="shared" si="36"/>
        <v/>
      </c>
      <c r="AZ79" s="32" t="s">
        <v>313</v>
      </c>
    </row>
    <row r="80" spans="1:52" ht="34" customHeight="1">
      <c r="A80" s="28" t="s">
        <v>231</v>
      </c>
      <c r="B80" s="29" t="s">
        <v>322</v>
      </c>
      <c r="C80" s="29" t="s">
        <v>52</v>
      </c>
      <c r="D80" s="29" t="s">
        <v>65</v>
      </c>
      <c r="E80" s="29" t="s">
        <v>67</v>
      </c>
      <c r="F80" s="29" t="s">
        <v>316</v>
      </c>
      <c r="G80" s="30" t="s">
        <v>312</v>
      </c>
      <c r="H80" s="31"/>
      <c r="I80" s="31">
        <v>93546</v>
      </c>
      <c r="J80" s="32" t="str">
        <f t="shared" si="22"/>
        <v/>
      </c>
      <c r="K80" s="31"/>
      <c r="L80" s="31">
        <v>0</v>
      </c>
      <c r="M80" s="32" t="str">
        <f t="shared" si="23"/>
        <v/>
      </c>
      <c r="N80" s="31"/>
      <c r="O80" s="31">
        <v>0</v>
      </c>
      <c r="P80" s="32" t="str">
        <f t="shared" si="24"/>
        <v/>
      </c>
      <c r="Q80" s="31"/>
      <c r="R80" s="31">
        <v>0</v>
      </c>
      <c r="S80" s="32" t="str">
        <f t="shared" si="25"/>
        <v/>
      </c>
      <c r="T80" s="31"/>
      <c r="U80" s="31">
        <v>0</v>
      </c>
      <c r="V80" s="32" t="str">
        <f t="shared" si="26"/>
        <v/>
      </c>
      <c r="W80" s="31"/>
      <c r="X80" s="31">
        <v>0</v>
      </c>
      <c r="Y80" s="32" t="str">
        <f t="shared" si="27"/>
        <v/>
      </c>
      <c r="Z80" s="31" t="str">
        <f t="shared" si="29"/>
        <v/>
      </c>
      <c r="AA80" s="31">
        <f t="shared" si="30"/>
        <v>93546</v>
      </c>
      <c r="AB80" s="32" t="str">
        <f t="shared" si="28"/>
        <v/>
      </c>
      <c r="AC80" s="31"/>
      <c r="AD80" s="31"/>
      <c r="AE80" s="32" t="str">
        <f t="shared" si="31"/>
        <v/>
      </c>
      <c r="AF80" s="32" t="s">
        <v>313</v>
      </c>
      <c r="AG80" s="31"/>
      <c r="AH80" s="31"/>
      <c r="AI80" s="32" t="str">
        <f t="shared" si="32"/>
        <v/>
      </c>
      <c r="AJ80" s="32" t="s">
        <v>313</v>
      </c>
      <c r="AK80" s="31"/>
      <c r="AL80" s="31"/>
      <c r="AM80" s="32" t="str">
        <f t="shared" si="33"/>
        <v/>
      </c>
      <c r="AN80" s="32" t="s">
        <v>313</v>
      </c>
      <c r="AO80" s="31"/>
      <c r="AP80" s="31"/>
      <c r="AQ80" s="32" t="str">
        <f t="shared" si="34"/>
        <v/>
      </c>
      <c r="AR80" s="32" t="s">
        <v>313</v>
      </c>
      <c r="AS80" s="31"/>
      <c r="AT80" s="31"/>
      <c r="AU80" s="32" t="str">
        <f t="shared" si="35"/>
        <v/>
      </c>
      <c r="AV80" s="32" t="s">
        <v>313</v>
      </c>
      <c r="AW80" s="31"/>
      <c r="AX80" s="31"/>
      <c r="AY80" s="32" t="str">
        <f t="shared" si="36"/>
        <v/>
      </c>
      <c r="AZ80" s="32" t="s">
        <v>313</v>
      </c>
    </row>
    <row r="81" spans="1:52" ht="34" customHeight="1">
      <c r="A81" s="28" t="s">
        <v>231</v>
      </c>
      <c r="B81" s="29" t="s">
        <v>322</v>
      </c>
      <c r="C81" s="29" t="s">
        <v>52</v>
      </c>
      <c r="D81" s="29" t="s">
        <v>65</v>
      </c>
      <c r="E81" s="29" t="s">
        <v>68</v>
      </c>
      <c r="F81" s="29" t="s">
        <v>316</v>
      </c>
      <c r="G81" s="30" t="s">
        <v>312</v>
      </c>
      <c r="H81" s="31"/>
      <c r="I81" s="31">
        <v>93546</v>
      </c>
      <c r="J81" s="32" t="str">
        <f t="shared" si="22"/>
        <v/>
      </c>
      <c r="K81" s="31"/>
      <c r="L81" s="31">
        <v>0</v>
      </c>
      <c r="M81" s="32" t="str">
        <f t="shared" si="23"/>
        <v/>
      </c>
      <c r="N81" s="31"/>
      <c r="O81" s="31">
        <v>0</v>
      </c>
      <c r="P81" s="32" t="str">
        <f t="shared" si="24"/>
        <v/>
      </c>
      <c r="Q81" s="31"/>
      <c r="R81" s="31">
        <v>0</v>
      </c>
      <c r="S81" s="32" t="str">
        <f t="shared" si="25"/>
        <v/>
      </c>
      <c r="T81" s="31"/>
      <c r="U81" s="31">
        <v>0</v>
      </c>
      <c r="V81" s="32" t="str">
        <f t="shared" si="26"/>
        <v/>
      </c>
      <c r="W81" s="31"/>
      <c r="X81" s="31">
        <v>0</v>
      </c>
      <c r="Y81" s="32" t="str">
        <f t="shared" si="27"/>
        <v/>
      </c>
      <c r="Z81" s="31" t="str">
        <f t="shared" si="29"/>
        <v/>
      </c>
      <c r="AA81" s="31">
        <f t="shared" si="30"/>
        <v>93546</v>
      </c>
      <c r="AB81" s="32" t="str">
        <f t="shared" si="28"/>
        <v/>
      </c>
      <c r="AC81" s="31"/>
      <c r="AD81" s="31"/>
      <c r="AE81" s="32" t="str">
        <f t="shared" si="31"/>
        <v/>
      </c>
      <c r="AF81" s="32" t="s">
        <v>313</v>
      </c>
      <c r="AG81" s="31"/>
      <c r="AH81" s="31"/>
      <c r="AI81" s="32" t="str">
        <f t="shared" si="32"/>
        <v/>
      </c>
      <c r="AJ81" s="32" t="s">
        <v>313</v>
      </c>
      <c r="AK81" s="31"/>
      <c r="AL81" s="31"/>
      <c r="AM81" s="32" t="str">
        <f t="shared" si="33"/>
        <v/>
      </c>
      <c r="AN81" s="32" t="s">
        <v>313</v>
      </c>
      <c r="AO81" s="31"/>
      <c r="AP81" s="31"/>
      <c r="AQ81" s="32" t="str">
        <f t="shared" si="34"/>
        <v/>
      </c>
      <c r="AR81" s="32" t="s">
        <v>313</v>
      </c>
      <c r="AS81" s="31"/>
      <c r="AT81" s="31"/>
      <c r="AU81" s="32" t="str">
        <f t="shared" si="35"/>
        <v/>
      </c>
      <c r="AV81" s="32" t="s">
        <v>313</v>
      </c>
      <c r="AW81" s="31"/>
      <c r="AX81" s="31"/>
      <c r="AY81" s="32" t="str">
        <f t="shared" si="36"/>
        <v/>
      </c>
      <c r="AZ81" s="32" t="s">
        <v>313</v>
      </c>
    </row>
    <row r="82" spans="1:52" ht="34" customHeight="1">
      <c r="A82" s="28" t="s">
        <v>231</v>
      </c>
      <c r="B82" s="29" t="s">
        <v>322</v>
      </c>
      <c r="C82" s="29" t="s">
        <v>52</v>
      </c>
      <c r="D82" s="29" t="s">
        <v>65</v>
      </c>
      <c r="E82" s="29" t="s">
        <v>69</v>
      </c>
      <c r="F82" s="29" t="s">
        <v>316</v>
      </c>
      <c r="G82" s="30" t="s">
        <v>312</v>
      </c>
      <c r="H82" s="31"/>
      <c r="I82" s="31">
        <v>93546</v>
      </c>
      <c r="J82" s="32" t="str">
        <f t="shared" si="22"/>
        <v/>
      </c>
      <c r="K82" s="31"/>
      <c r="L82" s="31">
        <v>0</v>
      </c>
      <c r="M82" s="32" t="str">
        <f t="shared" si="23"/>
        <v/>
      </c>
      <c r="N82" s="31"/>
      <c r="O82" s="31">
        <v>0</v>
      </c>
      <c r="P82" s="32" t="str">
        <f t="shared" si="24"/>
        <v/>
      </c>
      <c r="Q82" s="31"/>
      <c r="R82" s="31">
        <v>0</v>
      </c>
      <c r="S82" s="32" t="str">
        <f t="shared" si="25"/>
        <v/>
      </c>
      <c r="T82" s="31"/>
      <c r="U82" s="31">
        <v>0</v>
      </c>
      <c r="V82" s="32" t="str">
        <f t="shared" si="26"/>
        <v/>
      </c>
      <c r="W82" s="31"/>
      <c r="X82" s="31">
        <v>0</v>
      </c>
      <c r="Y82" s="32" t="str">
        <f t="shared" si="27"/>
        <v/>
      </c>
      <c r="Z82" s="31" t="str">
        <f t="shared" si="29"/>
        <v/>
      </c>
      <c r="AA82" s="31">
        <f t="shared" si="30"/>
        <v>93546</v>
      </c>
      <c r="AB82" s="32" t="str">
        <f t="shared" si="28"/>
        <v/>
      </c>
      <c r="AC82" s="31"/>
      <c r="AD82" s="31"/>
      <c r="AE82" s="32" t="str">
        <f t="shared" si="31"/>
        <v/>
      </c>
      <c r="AF82" s="32" t="s">
        <v>313</v>
      </c>
      <c r="AG82" s="31"/>
      <c r="AH82" s="31"/>
      <c r="AI82" s="32" t="str">
        <f t="shared" si="32"/>
        <v/>
      </c>
      <c r="AJ82" s="32" t="s">
        <v>313</v>
      </c>
      <c r="AK82" s="31"/>
      <c r="AL82" s="31"/>
      <c r="AM82" s="32" t="str">
        <f t="shared" si="33"/>
        <v/>
      </c>
      <c r="AN82" s="32" t="s">
        <v>313</v>
      </c>
      <c r="AO82" s="31"/>
      <c r="AP82" s="31"/>
      <c r="AQ82" s="32" t="str">
        <f t="shared" si="34"/>
        <v/>
      </c>
      <c r="AR82" s="32" t="s">
        <v>313</v>
      </c>
      <c r="AS82" s="31"/>
      <c r="AT82" s="31"/>
      <c r="AU82" s="32" t="str">
        <f t="shared" si="35"/>
        <v/>
      </c>
      <c r="AV82" s="32" t="s">
        <v>313</v>
      </c>
      <c r="AW82" s="31"/>
      <c r="AX82" s="31"/>
      <c r="AY82" s="32" t="str">
        <f t="shared" si="36"/>
        <v/>
      </c>
      <c r="AZ82" s="32" t="s">
        <v>313</v>
      </c>
    </row>
    <row r="83" spans="1:52" ht="68" customHeight="1">
      <c r="A83" s="28" t="s">
        <v>231</v>
      </c>
      <c r="B83" s="29" t="s">
        <v>322</v>
      </c>
      <c r="C83" s="29" t="s">
        <v>52</v>
      </c>
      <c r="D83" s="29" t="s">
        <v>70</v>
      </c>
      <c r="E83" s="29" t="s">
        <v>73</v>
      </c>
      <c r="F83" s="29" t="s">
        <v>317</v>
      </c>
      <c r="G83" s="30" t="s">
        <v>312</v>
      </c>
      <c r="H83" s="31">
        <v>0</v>
      </c>
      <c r="I83" s="31">
        <v>93546</v>
      </c>
      <c r="J83" s="32">
        <f t="shared" si="22"/>
        <v>0</v>
      </c>
      <c r="K83" s="31">
        <v>0</v>
      </c>
      <c r="L83" s="31">
        <v>0</v>
      </c>
      <c r="M83" s="32" t="str">
        <f t="shared" si="23"/>
        <v/>
      </c>
      <c r="N83" s="31">
        <v>0</v>
      </c>
      <c r="O83" s="31">
        <v>0</v>
      </c>
      <c r="P83" s="32" t="str">
        <f t="shared" si="24"/>
        <v/>
      </c>
      <c r="Q83" s="31">
        <v>0</v>
      </c>
      <c r="R83" s="31">
        <v>0</v>
      </c>
      <c r="S83" s="32" t="str">
        <f t="shared" si="25"/>
        <v/>
      </c>
      <c r="T83" s="31">
        <v>0</v>
      </c>
      <c r="U83" s="31">
        <v>0</v>
      </c>
      <c r="V83" s="32" t="str">
        <f t="shared" si="26"/>
        <v/>
      </c>
      <c r="W83" s="31">
        <v>0</v>
      </c>
      <c r="X83" s="31">
        <v>0</v>
      </c>
      <c r="Y83" s="32" t="str">
        <f t="shared" si="27"/>
        <v/>
      </c>
      <c r="Z83" s="31">
        <f t="shared" si="29"/>
        <v>0</v>
      </c>
      <c r="AA83" s="31">
        <f t="shared" si="30"/>
        <v>93546</v>
      </c>
      <c r="AB83" s="32">
        <f t="shared" si="28"/>
        <v>0</v>
      </c>
      <c r="AC83" s="31"/>
      <c r="AD83" s="31"/>
      <c r="AE83" s="32" t="str">
        <f t="shared" si="31"/>
        <v/>
      </c>
      <c r="AF83" s="32" t="s">
        <v>313</v>
      </c>
      <c r="AG83" s="31"/>
      <c r="AH83" s="31"/>
      <c r="AI83" s="32" t="str">
        <f t="shared" si="32"/>
        <v/>
      </c>
      <c r="AJ83" s="32" t="s">
        <v>313</v>
      </c>
      <c r="AK83" s="31"/>
      <c r="AL83" s="31"/>
      <c r="AM83" s="32" t="str">
        <f t="shared" si="33"/>
        <v/>
      </c>
      <c r="AN83" s="32" t="s">
        <v>313</v>
      </c>
      <c r="AO83" s="31"/>
      <c r="AP83" s="31"/>
      <c r="AQ83" s="32" t="str">
        <f t="shared" si="34"/>
        <v/>
      </c>
      <c r="AR83" s="32" t="s">
        <v>313</v>
      </c>
      <c r="AS83" s="31"/>
      <c r="AT83" s="31"/>
      <c r="AU83" s="32" t="str">
        <f t="shared" si="35"/>
        <v/>
      </c>
      <c r="AV83" s="32" t="s">
        <v>313</v>
      </c>
      <c r="AW83" s="31"/>
      <c r="AX83" s="31"/>
      <c r="AY83" s="32" t="str">
        <f t="shared" si="36"/>
        <v/>
      </c>
      <c r="AZ83" s="32" t="s">
        <v>313</v>
      </c>
    </row>
    <row r="84" spans="1:52" ht="34" customHeight="1">
      <c r="A84" s="28" t="s">
        <v>231</v>
      </c>
      <c r="B84" s="29" t="s">
        <v>322</v>
      </c>
      <c r="C84" s="29" t="s">
        <v>52</v>
      </c>
      <c r="D84" s="29" t="s">
        <v>70</v>
      </c>
      <c r="E84" s="29" t="s">
        <v>71</v>
      </c>
      <c r="F84" s="29" t="s">
        <v>316</v>
      </c>
      <c r="G84" s="30" t="s">
        <v>312</v>
      </c>
      <c r="H84" s="31"/>
      <c r="I84" s="31">
        <v>93546</v>
      </c>
      <c r="J84" s="32" t="str">
        <f t="shared" si="22"/>
        <v/>
      </c>
      <c r="K84" s="31"/>
      <c r="L84" s="31">
        <v>0</v>
      </c>
      <c r="M84" s="32" t="str">
        <f t="shared" si="23"/>
        <v/>
      </c>
      <c r="N84" s="31"/>
      <c r="O84" s="31">
        <v>0</v>
      </c>
      <c r="P84" s="32" t="str">
        <f t="shared" si="24"/>
        <v/>
      </c>
      <c r="Q84" s="31"/>
      <c r="R84" s="31">
        <v>0</v>
      </c>
      <c r="S84" s="32" t="str">
        <f t="shared" si="25"/>
        <v/>
      </c>
      <c r="T84" s="31"/>
      <c r="U84" s="31">
        <v>0</v>
      </c>
      <c r="V84" s="32" t="str">
        <f t="shared" si="26"/>
        <v/>
      </c>
      <c r="W84" s="31"/>
      <c r="X84" s="31">
        <v>0</v>
      </c>
      <c r="Y84" s="32" t="str">
        <f t="shared" si="27"/>
        <v/>
      </c>
      <c r="Z84" s="31" t="str">
        <f t="shared" si="29"/>
        <v/>
      </c>
      <c r="AA84" s="31">
        <f t="shared" si="30"/>
        <v>93546</v>
      </c>
      <c r="AB84" s="32" t="str">
        <f t="shared" si="28"/>
        <v/>
      </c>
      <c r="AC84" s="31"/>
      <c r="AD84" s="31"/>
      <c r="AE84" s="32" t="str">
        <f t="shared" si="31"/>
        <v/>
      </c>
      <c r="AF84" s="32" t="s">
        <v>313</v>
      </c>
      <c r="AG84" s="31"/>
      <c r="AH84" s="31"/>
      <c r="AI84" s="32" t="str">
        <f t="shared" si="32"/>
        <v/>
      </c>
      <c r="AJ84" s="32" t="s">
        <v>313</v>
      </c>
      <c r="AK84" s="31"/>
      <c r="AL84" s="31"/>
      <c r="AM84" s="32" t="str">
        <f t="shared" si="33"/>
        <v/>
      </c>
      <c r="AN84" s="32" t="s">
        <v>313</v>
      </c>
      <c r="AO84" s="31"/>
      <c r="AP84" s="31"/>
      <c r="AQ84" s="32" t="str">
        <f t="shared" si="34"/>
        <v/>
      </c>
      <c r="AR84" s="32" t="s">
        <v>313</v>
      </c>
      <c r="AS84" s="31"/>
      <c r="AT84" s="31"/>
      <c r="AU84" s="32" t="str">
        <f t="shared" si="35"/>
        <v/>
      </c>
      <c r="AV84" s="32" t="s">
        <v>313</v>
      </c>
      <c r="AW84" s="31"/>
      <c r="AX84" s="31"/>
      <c r="AY84" s="32" t="str">
        <f t="shared" si="36"/>
        <v/>
      </c>
      <c r="AZ84" s="32" t="s">
        <v>313</v>
      </c>
    </row>
    <row r="85" spans="1:52" ht="34" customHeight="1">
      <c r="A85" s="28" t="s">
        <v>231</v>
      </c>
      <c r="B85" s="29" t="s">
        <v>322</v>
      </c>
      <c r="C85" s="29" t="s">
        <v>52</v>
      </c>
      <c r="D85" s="29" t="s">
        <v>70</v>
      </c>
      <c r="E85" s="29" t="s">
        <v>72</v>
      </c>
      <c r="F85" s="29" t="s">
        <v>316</v>
      </c>
      <c r="G85" s="30" t="s">
        <v>312</v>
      </c>
      <c r="H85" s="31"/>
      <c r="I85" s="31">
        <v>93546</v>
      </c>
      <c r="J85" s="32" t="str">
        <f t="shared" si="22"/>
        <v/>
      </c>
      <c r="K85" s="31"/>
      <c r="L85" s="31">
        <v>0</v>
      </c>
      <c r="M85" s="32" t="str">
        <f t="shared" si="23"/>
        <v/>
      </c>
      <c r="N85" s="31"/>
      <c r="O85" s="31">
        <v>0</v>
      </c>
      <c r="P85" s="32" t="str">
        <f t="shared" si="24"/>
        <v/>
      </c>
      <c r="Q85" s="31"/>
      <c r="R85" s="31">
        <v>0</v>
      </c>
      <c r="S85" s="32" t="str">
        <f t="shared" si="25"/>
        <v/>
      </c>
      <c r="T85" s="31"/>
      <c r="U85" s="31">
        <v>0</v>
      </c>
      <c r="V85" s="32" t="str">
        <f t="shared" si="26"/>
        <v/>
      </c>
      <c r="W85" s="31"/>
      <c r="X85" s="31">
        <v>0</v>
      </c>
      <c r="Y85" s="32" t="str">
        <f t="shared" si="27"/>
        <v/>
      </c>
      <c r="Z85" s="31" t="str">
        <f t="shared" si="29"/>
        <v/>
      </c>
      <c r="AA85" s="31">
        <f t="shared" si="30"/>
        <v>93546</v>
      </c>
      <c r="AB85" s="32" t="str">
        <f t="shared" si="28"/>
        <v/>
      </c>
      <c r="AC85" s="31"/>
      <c r="AD85" s="31"/>
      <c r="AE85" s="32" t="str">
        <f t="shared" si="31"/>
        <v/>
      </c>
      <c r="AF85" s="32" t="s">
        <v>313</v>
      </c>
      <c r="AG85" s="31"/>
      <c r="AH85" s="31"/>
      <c r="AI85" s="32" t="str">
        <f t="shared" si="32"/>
        <v/>
      </c>
      <c r="AJ85" s="32" t="s">
        <v>313</v>
      </c>
      <c r="AK85" s="31"/>
      <c r="AL85" s="31"/>
      <c r="AM85" s="32" t="str">
        <f t="shared" si="33"/>
        <v/>
      </c>
      <c r="AN85" s="32" t="s">
        <v>313</v>
      </c>
      <c r="AO85" s="31"/>
      <c r="AP85" s="31"/>
      <c r="AQ85" s="32" t="str">
        <f t="shared" si="34"/>
        <v/>
      </c>
      <c r="AR85" s="32" t="s">
        <v>313</v>
      </c>
      <c r="AS85" s="31"/>
      <c r="AT85" s="31"/>
      <c r="AU85" s="32" t="str">
        <f t="shared" si="35"/>
        <v/>
      </c>
      <c r="AV85" s="32" t="s">
        <v>313</v>
      </c>
      <c r="AW85" s="31"/>
      <c r="AX85" s="31"/>
      <c r="AY85" s="32" t="str">
        <f t="shared" si="36"/>
        <v/>
      </c>
      <c r="AZ85" s="32" t="s">
        <v>313</v>
      </c>
    </row>
    <row r="86" spans="1:52" ht="34" customHeight="1">
      <c r="A86" s="28" t="s">
        <v>231</v>
      </c>
      <c r="B86" s="29" t="s">
        <v>322</v>
      </c>
      <c r="C86" s="29" t="s">
        <v>52</v>
      </c>
      <c r="D86" s="29" t="s">
        <v>74</v>
      </c>
      <c r="E86" s="29" t="s">
        <v>75</v>
      </c>
      <c r="F86" s="29" t="s">
        <v>139</v>
      </c>
      <c r="G86" s="30" t="s">
        <v>312</v>
      </c>
      <c r="H86" s="31">
        <v>0</v>
      </c>
      <c r="I86" s="31">
        <v>93546</v>
      </c>
      <c r="J86" s="32">
        <f t="shared" si="22"/>
        <v>0</v>
      </c>
      <c r="K86" s="31">
        <v>0</v>
      </c>
      <c r="L86" s="31">
        <v>0</v>
      </c>
      <c r="M86" s="32" t="str">
        <f t="shared" si="23"/>
        <v/>
      </c>
      <c r="N86" s="31">
        <v>0</v>
      </c>
      <c r="O86" s="31">
        <v>0</v>
      </c>
      <c r="P86" s="32" t="str">
        <f t="shared" si="24"/>
        <v/>
      </c>
      <c r="Q86" s="31">
        <v>0</v>
      </c>
      <c r="R86" s="31">
        <v>0</v>
      </c>
      <c r="S86" s="32" t="str">
        <f t="shared" si="25"/>
        <v/>
      </c>
      <c r="T86" s="31">
        <v>0</v>
      </c>
      <c r="U86" s="31">
        <v>0</v>
      </c>
      <c r="V86" s="32" t="str">
        <f t="shared" si="26"/>
        <v/>
      </c>
      <c r="W86" s="31">
        <v>0</v>
      </c>
      <c r="X86" s="31">
        <v>0</v>
      </c>
      <c r="Y86" s="32" t="str">
        <f t="shared" si="27"/>
        <v/>
      </c>
      <c r="Z86" s="31">
        <f t="shared" si="29"/>
        <v>0</v>
      </c>
      <c r="AA86" s="31">
        <f t="shared" si="30"/>
        <v>93546</v>
      </c>
      <c r="AB86" s="32">
        <f t="shared" si="28"/>
        <v>0</v>
      </c>
      <c r="AC86" s="31"/>
      <c r="AD86" s="31"/>
      <c r="AE86" s="32" t="str">
        <f t="shared" si="31"/>
        <v/>
      </c>
      <c r="AF86" s="32" t="s">
        <v>313</v>
      </c>
      <c r="AG86" s="31"/>
      <c r="AH86" s="31"/>
      <c r="AI86" s="32" t="str">
        <f t="shared" si="32"/>
        <v/>
      </c>
      <c r="AJ86" s="32" t="s">
        <v>313</v>
      </c>
      <c r="AK86" s="31"/>
      <c r="AL86" s="31"/>
      <c r="AM86" s="32" t="str">
        <f t="shared" si="33"/>
        <v/>
      </c>
      <c r="AN86" s="32" t="s">
        <v>313</v>
      </c>
      <c r="AO86" s="31"/>
      <c r="AP86" s="31"/>
      <c r="AQ86" s="32" t="str">
        <f t="shared" si="34"/>
        <v/>
      </c>
      <c r="AR86" s="32" t="s">
        <v>313</v>
      </c>
      <c r="AS86" s="31"/>
      <c r="AT86" s="31"/>
      <c r="AU86" s="32" t="str">
        <f t="shared" si="35"/>
        <v/>
      </c>
      <c r="AV86" s="32" t="s">
        <v>313</v>
      </c>
      <c r="AW86" s="31"/>
      <c r="AX86" s="31"/>
      <c r="AY86" s="32" t="str">
        <f t="shared" si="36"/>
        <v/>
      </c>
      <c r="AZ86" s="32" t="s">
        <v>313</v>
      </c>
    </row>
    <row r="87" spans="1:52" ht="34" customHeight="1">
      <c r="A87" s="28" t="s">
        <v>231</v>
      </c>
      <c r="B87" s="29" t="s">
        <v>322</v>
      </c>
      <c r="C87" s="29" t="s">
        <v>52</v>
      </c>
      <c r="D87" s="29" t="s">
        <v>74</v>
      </c>
      <c r="E87" s="29" t="s">
        <v>76</v>
      </c>
      <c r="F87" s="29" t="s">
        <v>141</v>
      </c>
      <c r="G87" s="30" t="s">
        <v>312</v>
      </c>
      <c r="H87" s="31">
        <v>44.44</v>
      </c>
      <c r="I87" s="31">
        <v>93546</v>
      </c>
      <c r="J87" s="32">
        <f t="shared" si="22"/>
        <v>4.7506039809291683E-4</v>
      </c>
      <c r="K87" s="31">
        <v>0</v>
      </c>
      <c r="L87" s="31">
        <v>0</v>
      </c>
      <c r="M87" s="32" t="str">
        <f t="shared" si="23"/>
        <v/>
      </c>
      <c r="N87" s="31">
        <v>0</v>
      </c>
      <c r="O87" s="31">
        <v>0</v>
      </c>
      <c r="P87" s="32" t="str">
        <f t="shared" si="24"/>
        <v/>
      </c>
      <c r="Q87" s="31">
        <v>0</v>
      </c>
      <c r="R87" s="31">
        <v>0</v>
      </c>
      <c r="S87" s="32" t="str">
        <f t="shared" si="25"/>
        <v/>
      </c>
      <c r="T87" s="31">
        <v>0</v>
      </c>
      <c r="U87" s="31">
        <v>0</v>
      </c>
      <c r="V87" s="32" t="str">
        <f t="shared" si="26"/>
        <v/>
      </c>
      <c r="W87" s="31">
        <v>0</v>
      </c>
      <c r="X87" s="31">
        <v>0</v>
      </c>
      <c r="Y87" s="32" t="str">
        <f t="shared" si="27"/>
        <v/>
      </c>
      <c r="Z87" s="31">
        <f t="shared" si="29"/>
        <v>44.44</v>
      </c>
      <c r="AA87" s="31">
        <f t="shared" si="30"/>
        <v>93546</v>
      </c>
      <c r="AB87" s="32">
        <f t="shared" si="28"/>
        <v>4.7506039809291683E-4</v>
      </c>
      <c r="AC87" s="31"/>
      <c r="AD87" s="31"/>
      <c r="AE87" s="32" t="str">
        <f t="shared" si="31"/>
        <v/>
      </c>
      <c r="AF87" s="32" t="s">
        <v>313</v>
      </c>
      <c r="AG87" s="31"/>
      <c r="AH87" s="31"/>
      <c r="AI87" s="32" t="str">
        <f t="shared" si="32"/>
        <v/>
      </c>
      <c r="AJ87" s="32" t="s">
        <v>313</v>
      </c>
      <c r="AK87" s="31"/>
      <c r="AL87" s="31"/>
      <c r="AM87" s="32" t="str">
        <f t="shared" si="33"/>
        <v/>
      </c>
      <c r="AN87" s="32" t="s">
        <v>313</v>
      </c>
      <c r="AO87" s="31"/>
      <c r="AP87" s="31"/>
      <c r="AQ87" s="32" t="str">
        <f t="shared" si="34"/>
        <v/>
      </c>
      <c r="AR87" s="32" t="s">
        <v>313</v>
      </c>
      <c r="AS87" s="31"/>
      <c r="AT87" s="31"/>
      <c r="AU87" s="32" t="str">
        <f t="shared" si="35"/>
        <v/>
      </c>
      <c r="AV87" s="32" t="s">
        <v>313</v>
      </c>
      <c r="AW87" s="31"/>
      <c r="AX87" s="31"/>
      <c r="AY87" s="32" t="str">
        <f t="shared" si="36"/>
        <v/>
      </c>
      <c r="AZ87" s="32" t="s">
        <v>313</v>
      </c>
    </row>
    <row r="88" spans="1:52" ht="34" customHeight="1">
      <c r="A88" s="28" t="s">
        <v>231</v>
      </c>
      <c r="B88" s="29" t="s">
        <v>322</v>
      </c>
      <c r="C88" s="29" t="s">
        <v>52</v>
      </c>
      <c r="D88" s="29" t="s">
        <v>74</v>
      </c>
      <c r="E88" s="29" t="s">
        <v>77</v>
      </c>
      <c r="F88" s="29" t="s">
        <v>316</v>
      </c>
      <c r="G88" s="30" t="s">
        <v>312</v>
      </c>
      <c r="H88" s="31"/>
      <c r="I88" s="31">
        <v>93546</v>
      </c>
      <c r="J88" s="32" t="str">
        <f t="shared" si="22"/>
        <v/>
      </c>
      <c r="K88" s="31"/>
      <c r="L88" s="31">
        <v>0</v>
      </c>
      <c r="M88" s="32" t="str">
        <f t="shared" si="23"/>
        <v/>
      </c>
      <c r="N88" s="31"/>
      <c r="O88" s="31">
        <v>0</v>
      </c>
      <c r="P88" s="32" t="str">
        <f t="shared" si="24"/>
        <v/>
      </c>
      <c r="Q88" s="31"/>
      <c r="R88" s="31">
        <v>0</v>
      </c>
      <c r="S88" s="32" t="str">
        <f t="shared" si="25"/>
        <v/>
      </c>
      <c r="T88" s="31"/>
      <c r="U88" s="31">
        <v>0</v>
      </c>
      <c r="V88" s="32" t="str">
        <f t="shared" si="26"/>
        <v/>
      </c>
      <c r="W88" s="31"/>
      <c r="X88" s="31">
        <v>0</v>
      </c>
      <c r="Y88" s="32" t="str">
        <f t="shared" si="27"/>
        <v/>
      </c>
      <c r="Z88" s="31" t="str">
        <f t="shared" si="29"/>
        <v/>
      </c>
      <c r="AA88" s="31">
        <f t="shared" si="30"/>
        <v>93546</v>
      </c>
      <c r="AB88" s="32" t="str">
        <f t="shared" si="28"/>
        <v/>
      </c>
      <c r="AC88" s="31"/>
      <c r="AD88" s="31"/>
      <c r="AE88" s="32" t="str">
        <f t="shared" si="31"/>
        <v/>
      </c>
      <c r="AF88" s="32" t="s">
        <v>313</v>
      </c>
      <c r="AG88" s="31"/>
      <c r="AH88" s="31"/>
      <c r="AI88" s="32" t="str">
        <f t="shared" si="32"/>
        <v/>
      </c>
      <c r="AJ88" s="32" t="s">
        <v>313</v>
      </c>
      <c r="AK88" s="31"/>
      <c r="AL88" s="31"/>
      <c r="AM88" s="32" t="str">
        <f t="shared" si="33"/>
        <v/>
      </c>
      <c r="AN88" s="32" t="s">
        <v>313</v>
      </c>
      <c r="AO88" s="31"/>
      <c r="AP88" s="31"/>
      <c r="AQ88" s="32" t="str">
        <f t="shared" si="34"/>
        <v/>
      </c>
      <c r="AR88" s="32" t="s">
        <v>313</v>
      </c>
      <c r="AS88" s="31"/>
      <c r="AT88" s="31"/>
      <c r="AU88" s="32" t="str">
        <f t="shared" si="35"/>
        <v/>
      </c>
      <c r="AV88" s="32" t="s">
        <v>313</v>
      </c>
      <c r="AW88" s="31"/>
      <c r="AX88" s="31"/>
      <c r="AY88" s="32" t="str">
        <f t="shared" si="36"/>
        <v/>
      </c>
      <c r="AZ88" s="32" t="s">
        <v>313</v>
      </c>
    </row>
    <row r="89" spans="1:52" ht="34" customHeight="1">
      <c r="A89" s="28" t="s">
        <v>231</v>
      </c>
      <c r="B89" s="29" t="s">
        <v>322</v>
      </c>
      <c r="C89" s="29" t="s">
        <v>52</v>
      </c>
      <c r="D89" s="29" t="s">
        <v>74</v>
      </c>
      <c r="E89" s="29" t="s">
        <v>78</v>
      </c>
      <c r="F89" s="29" t="s">
        <v>144</v>
      </c>
      <c r="G89" s="30" t="s">
        <v>312</v>
      </c>
      <c r="H89" s="31">
        <v>0</v>
      </c>
      <c r="I89" s="31">
        <v>93546</v>
      </c>
      <c r="J89" s="32">
        <f t="shared" si="22"/>
        <v>0</v>
      </c>
      <c r="K89" s="31">
        <v>0</v>
      </c>
      <c r="L89" s="31">
        <v>0</v>
      </c>
      <c r="M89" s="32" t="str">
        <f t="shared" si="23"/>
        <v/>
      </c>
      <c r="N89" s="31">
        <v>0</v>
      </c>
      <c r="O89" s="31">
        <v>0</v>
      </c>
      <c r="P89" s="32" t="str">
        <f t="shared" si="24"/>
        <v/>
      </c>
      <c r="Q89" s="31">
        <v>0</v>
      </c>
      <c r="R89" s="31">
        <v>0</v>
      </c>
      <c r="S89" s="32" t="str">
        <f t="shared" si="25"/>
        <v/>
      </c>
      <c r="T89" s="31">
        <v>0</v>
      </c>
      <c r="U89" s="31">
        <v>0</v>
      </c>
      <c r="V89" s="32" t="str">
        <f t="shared" si="26"/>
        <v/>
      </c>
      <c r="W89" s="31">
        <v>0</v>
      </c>
      <c r="X89" s="31">
        <v>0</v>
      </c>
      <c r="Y89" s="32" t="str">
        <f t="shared" si="27"/>
        <v/>
      </c>
      <c r="Z89" s="31">
        <f t="shared" si="29"/>
        <v>0</v>
      </c>
      <c r="AA89" s="31">
        <f t="shared" si="30"/>
        <v>93546</v>
      </c>
      <c r="AB89" s="32">
        <f t="shared" si="28"/>
        <v>0</v>
      </c>
      <c r="AC89" s="31"/>
      <c r="AD89" s="31"/>
      <c r="AE89" s="32" t="str">
        <f t="shared" si="31"/>
        <v/>
      </c>
      <c r="AF89" s="32" t="s">
        <v>313</v>
      </c>
      <c r="AG89" s="31"/>
      <c r="AH89" s="31"/>
      <c r="AI89" s="32" t="str">
        <f t="shared" si="32"/>
        <v/>
      </c>
      <c r="AJ89" s="32" t="s">
        <v>313</v>
      </c>
      <c r="AK89" s="31"/>
      <c r="AL89" s="31"/>
      <c r="AM89" s="32" t="str">
        <f t="shared" si="33"/>
        <v/>
      </c>
      <c r="AN89" s="32" t="s">
        <v>313</v>
      </c>
      <c r="AO89" s="31"/>
      <c r="AP89" s="31"/>
      <c r="AQ89" s="32" t="str">
        <f t="shared" si="34"/>
        <v/>
      </c>
      <c r="AR89" s="32" t="s">
        <v>313</v>
      </c>
      <c r="AS89" s="31"/>
      <c r="AT89" s="31"/>
      <c r="AU89" s="32" t="str">
        <f t="shared" si="35"/>
        <v/>
      </c>
      <c r="AV89" s="32" t="s">
        <v>313</v>
      </c>
      <c r="AW89" s="31"/>
      <c r="AX89" s="31"/>
      <c r="AY89" s="32" t="str">
        <f t="shared" si="36"/>
        <v/>
      </c>
      <c r="AZ89" s="32" t="s">
        <v>313</v>
      </c>
    </row>
    <row r="90" spans="1:52" ht="34" customHeight="1">
      <c r="A90" s="28" t="s">
        <v>231</v>
      </c>
      <c r="B90" s="29" t="s">
        <v>322</v>
      </c>
      <c r="C90" s="29" t="s">
        <v>52</v>
      </c>
      <c r="D90" s="29" t="s">
        <v>79</v>
      </c>
      <c r="E90" s="29" t="s">
        <v>80</v>
      </c>
      <c r="F90" s="29" t="s">
        <v>318</v>
      </c>
      <c r="G90" s="30" t="s">
        <v>312</v>
      </c>
      <c r="H90" s="31">
        <v>0</v>
      </c>
      <c r="I90" s="31">
        <v>93546</v>
      </c>
      <c r="J90" s="32">
        <f t="shared" si="22"/>
        <v>0</v>
      </c>
      <c r="K90" s="31">
        <v>0</v>
      </c>
      <c r="L90" s="31">
        <v>0</v>
      </c>
      <c r="M90" s="32" t="str">
        <f t="shared" si="23"/>
        <v/>
      </c>
      <c r="N90" s="31">
        <v>0</v>
      </c>
      <c r="O90" s="31">
        <v>0</v>
      </c>
      <c r="P90" s="32" t="str">
        <f t="shared" si="24"/>
        <v/>
      </c>
      <c r="Q90" s="31">
        <v>0</v>
      </c>
      <c r="R90" s="31">
        <v>0</v>
      </c>
      <c r="S90" s="32" t="str">
        <f t="shared" si="25"/>
        <v/>
      </c>
      <c r="T90" s="31">
        <v>0</v>
      </c>
      <c r="U90" s="31">
        <v>0</v>
      </c>
      <c r="V90" s="32" t="str">
        <f t="shared" si="26"/>
        <v/>
      </c>
      <c r="W90" s="31">
        <v>0</v>
      </c>
      <c r="X90" s="31">
        <v>0</v>
      </c>
      <c r="Y90" s="32" t="str">
        <f t="shared" si="27"/>
        <v/>
      </c>
      <c r="Z90" s="31">
        <f t="shared" si="29"/>
        <v>0</v>
      </c>
      <c r="AA90" s="31">
        <f t="shared" si="30"/>
        <v>93546</v>
      </c>
      <c r="AB90" s="32">
        <f t="shared" si="28"/>
        <v>0</v>
      </c>
      <c r="AC90" s="31"/>
      <c r="AD90" s="31"/>
      <c r="AE90" s="32" t="str">
        <f t="shared" si="31"/>
        <v/>
      </c>
      <c r="AF90" s="32" t="s">
        <v>313</v>
      </c>
      <c r="AG90" s="31"/>
      <c r="AH90" s="31"/>
      <c r="AI90" s="32" t="str">
        <f t="shared" si="32"/>
        <v/>
      </c>
      <c r="AJ90" s="32" t="s">
        <v>313</v>
      </c>
      <c r="AK90" s="31"/>
      <c r="AL90" s="31"/>
      <c r="AM90" s="32" t="str">
        <f t="shared" si="33"/>
        <v/>
      </c>
      <c r="AN90" s="32" t="s">
        <v>313</v>
      </c>
      <c r="AO90" s="31"/>
      <c r="AP90" s="31"/>
      <c r="AQ90" s="32" t="str">
        <f t="shared" si="34"/>
        <v/>
      </c>
      <c r="AR90" s="32" t="s">
        <v>313</v>
      </c>
      <c r="AS90" s="31"/>
      <c r="AT90" s="31"/>
      <c r="AU90" s="32" t="str">
        <f t="shared" si="35"/>
        <v/>
      </c>
      <c r="AV90" s="32" t="s">
        <v>313</v>
      </c>
      <c r="AW90" s="31"/>
      <c r="AX90" s="31"/>
      <c r="AY90" s="32" t="str">
        <f t="shared" si="36"/>
        <v/>
      </c>
      <c r="AZ90" s="32" t="s">
        <v>313</v>
      </c>
    </row>
    <row r="91" spans="1:52" ht="34" customHeight="1">
      <c r="A91" s="28" t="s">
        <v>231</v>
      </c>
      <c r="B91" s="29" t="s">
        <v>322</v>
      </c>
      <c r="C91" s="29" t="s">
        <v>52</v>
      </c>
      <c r="D91" s="29" t="s">
        <v>79</v>
      </c>
      <c r="E91" s="29" t="s">
        <v>81</v>
      </c>
      <c r="F91" s="29" t="s">
        <v>316</v>
      </c>
      <c r="G91" s="30" t="s">
        <v>312</v>
      </c>
      <c r="H91" s="31"/>
      <c r="I91" s="31">
        <v>93546</v>
      </c>
      <c r="J91" s="32" t="str">
        <f t="shared" si="22"/>
        <v/>
      </c>
      <c r="K91" s="31"/>
      <c r="L91" s="31">
        <v>0</v>
      </c>
      <c r="M91" s="32" t="str">
        <f t="shared" si="23"/>
        <v/>
      </c>
      <c r="N91" s="31"/>
      <c r="O91" s="31">
        <v>0</v>
      </c>
      <c r="P91" s="32" t="str">
        <f t="shared" si="24"/>
        <v/>
      </c>
      <c r="Q91" s="31"/>
      <c r="R91" s="31">
        <v>0</v>
      </c>
      <c r="S91" s="32" t="str">
        <f t="shared" si="25"/>
        <v/>
      </c>
      <c r="T91" s="31"/>
      <c r="U91" s="31">
        <v>0</v>
      </c>
      <c r="V91" s="32" t="str">
        <f t="shared" si="26"/>
        <v/>
      </c>
      <c r="W91" s="31"/>
      <c r="X91" s="31">
        <v>0</v>
      </c>
      <c r="Y91" s="32" t="str">
        <f t="shared" si="27"/>
        <v/>
      </c>
      <c r="Z91" s="31" t="str">
        <f t="shared" si="29"/>
        <v/>
      </c>
      <c r="AA91" s="31">
        <f t="shared" si="30"/>
        <v>93546</v>
      </c>
      <c r="AB91" s="32" t="str">
        <f t="shared" si="28"/>
        <v/>
      </c>
      <c r="AC91" s="31"/>
      <c r="AD91" s="31"/>
      <c r="AE91" s="32" t="str">
        <f t="shared" si="31"/>
        <v/>
      </c>
      <c r="AF91" s="32" t="s">
        <v>313</v>
      </c>
      <c r="AG91" s="31"/>
      <c r="AH91" s="31"/>
      <c r="AI91" s="32" t="str">
        <f t="shared" si="32"/>
        <v/>
      </c>
      <c r="AJ91" s="32" t="s">
        <v>313</v>
      </c>
      <c r="AK91" s="31"/>
      <c r="AL91" s="31"/>
      <c r="AM91" s="32" t="str">
        <f t="shared" si="33"/>
        <v/>
      </c>
      <c r="AN91" s="32" t="s">
        <v>313</v>
      </c>
      <c r="AO91" s="31"/>
      <c r="AP91" s="31"/>
      <c r="AQ91" s="32" t="str">
        <f t="shared" si="34"/>
        <v/>
      </c>
      <c r="AR91" s="32" t="s">
        <v>313</v>
      </c>
      <c r="AS91" s="31"/>
      <c r="AT91" s="31"/>
      <c r="AU91" s="32" t="str">
        <f t="shared" si="35"/>
        <v/>
      </c>
      <c r="AV91" s="32" t="s">
        <v>313</v>
      </c>
      <c r="AW91" s="31"/>
      <c r="AX91" s="31"/>
      <c r="AY91" s="32" t="str">
        <f t="shared" si="36"/>
        <v/>
      </c>
      <c r="AZ91" s="32" t="s">
        <v>313</v>
      </c>
    </row>
    <row r="92" spans="1:52" ht="34" customHeight="1">
      <c r="A92" s="28" t="s">
        <v>231</v>
      </c>
      <c r="B92" s="29" t="s">
        <v>322</v>
      </c>
      <c r="C92" s="29" t="s">
        <v>52</v>
      </c>
      <c r="D92" s="29" t="s">
        <v>79</v>
      </c>
      <c r="E92" s="29" t="s">
        <v>82</v>
      </c>
      <c r="F92" s="29" t="s">
        <v>316</v>
      </c>
      <c r="G92" s="30" t="s">
        <v>312</v>
      </c>
      <c r="H92" s="31"/>
      <c r="I92" s="31">
        <v>93546</v>
      </c>
      <c r="J92" s="32" t="str">
        <f t="shared" si="22"/>
        <v/>
      </c>
      <c r="K92" s="31"/>
      <c r="L92" s="31">
        <v>0</v>
      </c>
      <c r="M92" s="32" t="str">
        <f t="shared" si="23"/>
        <v/>
      </c>
      <c r="N92" s="31"/>
      <c r="O92" s="31">
        <v>0</v>
      </c>
      <c r="P92" s="32" t="str">
        <f t="shared" si="24"/>
        <v/>
      </c>
      <c r="Q92" s="31"/>
      <c r="R92" s="31">
        <v>0</v>
      </c>
      <c r="S92" s="32" t="str">
        <f t="shared" si="25"/>
        <v/>
      </c>
      <c r="T92" s="31"/>
      <c r="U92" s="31">
        <v>0</v>
      </c>
      <c r="V92" s="32" t="str">
        <f t="shared" si="26"/>
        <v/>
      </c>
      <c r="W92" s="31"/>
      <c r="X92" s="31">
        <v>0</v>
      </c>
      <c r="Y92" s="32" t="str">
        <f t="shared" si="27"/>
        <v/>
      </c>
      <c r="Z92" s="31" t="str">
        <f t="shared" si="29"/>
        <v/>
      </c>
      <c r="AA92" s="31">
        <f t="shared" si="30"/>
        <v>93546</v>
      </c>
      <c r="AB92" s="32" t="str">
        <f t="shared" si="28"/>
        <v/>
      </c>
      <c r="AC92" s="31"/>
      <c r="AD92" s="31"/>
      <c r="AE92" s="32" t="str">
        <f t="shared" si="31"/>
        <v/>
      </c>
      <c r="AF92" s="32" t="s">
        <v>313</v>
      </c>
      <c r="AG92" s="31"/>
      <c r="AH92" s="31"/>
      <c r="AI92" s="32" t="str">
        <f t="shared" si="32"/>
        <v/>
      </c>
      <c r="AJ92" s="32" t="s">
        <v>313</v>
      </c>
      <c r="AK92" s="31"/>
      <c r="AL92" s="31"/>
      <c r="AM92" s="32" t="str">
        <f t="shared" si="33"/>
        <v/>
      </c>
      <c r="AN92" s="32" t="s">
        <v>313</v>
      </c>
      <c r="AO92" s="31"/>
      <c r="AP92" s="31"/>
      <c r="AQ92" s="32" t="str">
        <f t="shared" si="34"/>
        <v/>
      </c>
      <c r="AR92" s="32" t="s">
        <v>313</v>
      </c>
      <c r="AS92" s="31"/>
      <c r="AT92" s="31"/>
      <c r="AU92" s="32" t="str">
        <f t="shared" si="35"/>
        <v/>
      </c>
      <c r="AV92" s="32" t="s">
        <v>313</v>
      </c>
      <c r="AW92" s="31"/>
      <c r="AX92" s="31"/>
      <c r="AY92" s="32" t="str">
        <f t="shared" si="36"/>
        <v/>
      </c>
      <c r="AZ92" s="32" t="s">
        <v>313</v>
      </c>
    </row>
    <row r="93" spans="1:52" ht="34" customHeight="1">
      <c r="A93" s="28" t="s">
        <v>231</v>
      </c>
      <c r="B93" s="29" t="s">
        <v>322</v>
      </c>
      <c r="C93" s="29" t="s">
        <v>85</v>
      </c>
      <c r="D93" s="29" t="s">
        <v>79</v>
      </c>
      <c r="E93" s="29" t="s">
        <v>80</v>
      </c>
      <c r="F93" s="29" t="s">
        <v>316</v>
      </c>
      <c r="G93" s="30" t="s">
        <v>312</v>
      </c>
      <c r="H93" s="31"/>
      <c r="I93" s="31">
        <v>93546</v>
      </c>
      <c r="J93" s="32" t="str">
        <f t="shared" si="22"/>
        <v/>
      </c>
      <c r="K93" s="31"/>
      <c r="L93" s="31">
        <v>0</v>
      </c>
      <c r="M93" s="32" t="str">
        <f t="shared" si="23"/>
        <v/>
      </c>
      <c r="N93" s="31"/>
      <c r="O93" s="31">
        <v>0</v>
      </c>
      <c r="P93" s="32" t="str">
        <f t="shared" si="24"/>
        <v/>
      </c>
      <c r="Q93" s="31"/>
      <c r="R93" s="31">
        <v>0</v>
      </c>
      <c r="S93" s="32" t="str">
        <f t="shared" si="25"/>
        <v/>
      </c>
      <c r="T93" s="31"/>
      <c r="U93" s="31">
        <v>0</v>
      </c>
      <c r="V93" s="32" t="str">
        <f t="shared" si="26"/>
        <v/>
      </c>
      <c r="W93" s="31"/>
      <c r="X93" s="31">
        <v>0</v>
      </c>
      <c r="Y93" s="32" t="str">
        <f t="shared" si="27"/>
        <v/>
      </c>
      <c r="Z93" s="31" t="str">
        <f t="shared" si="29"/>
        <v/>
      </c>
      <c r="AA93" s="31">
        <f t="shared" si="30"/>
        <v>93546</v>
      </c>
      <c r="AB93" s="32" t="str">
        <f t="shared" si="28"/>
        <v/>
      </c>
      <c r="AC93" s="31"/>
      <c r="AD93" s="31"/>
      <c r="AE93" s="32" t="str">
        <f t="shared" si="31"/>
        <v/>
      </c>
      <c r="AF93" s="32" t="s">
        <v>313</v>
      </c>
      <c r="AG93" s="31"/>
      <c r="AH93" s="31"/>
      <c r="AI93" s="32" t="str">
        <f t="shared" si="32"/>
        <v/>
      </c>
      <c r="AJ93" s="32" t="s">
        <v>313</v>
      </c>
      <c r="AK93" s="31"/>
      <c r="AL93" s="31"/>
      <c r="AM93" s="32" t="str">
        <f t="shared" si="33"/>
        <v/>
      </c>
      <c r="AN93" s="32" t="s">
        <v>313</v>
      </c>
      <c r="AO93" s="31"/>
      <c r="AP93" s="31"/>
      <c r="AQ93" s="32" t="str">
        <f t="shared" si="34"/>
        <v/>
      </c>
      <c r="AR93" s="32" t="s">
        <v>313</v>
      </c>
      <c r="AS93" s="31"/>
      <c r="AT93" s="31"/>
      <c r="AU93" s="32" t="str">
        <f t="shared" si="35"/>
        <v/>
      </c>
      <c r="AV93" s="32" t="s">
        <v>313</v>
      </c>
      <c r="AW93" s="31"/>
      <c r="AX93" s="31"/>
      <c r="AY93" s="32" t="str">
        <f t="shared" si="36"/>
        <v/>
      </c>
      <c r="AZ93" s="32" t="s">
        <v>313</v>
      </c>
    </row>
    <row r="94" spans="1:52" ht="34" customHeight="1">
      <c r="A94" s="28" t="s">
        <v>231</v>
      </c>
      <c r="B94" s="29" t="s">
        <v>322</v>
      </c>
      <c r="C94" s="29" t="s">
        <v>85</v>
      </c>
      <c r="D94" s="29" t="s">
        <v>79</v>
      </c>
      <c r="E94" s="29" t="s">
        <v>81</v>
      </c>
      <c r="F94" s="29" t="s">
        <v>316</v>
      </c>
      <c r="G94" s="30" t="s">
        <v>312</v>
      </c>
      <c r="H94" s="31"/>
      <c r="I94" s="31">
        <v>93546</v>
      </c>
      <c r="J94" s="32" t="str">
        <f t="shared" si="22"/>
        <v/>
      </c>
      <c r="K94" s="31"/>
      <c r="L94" s="31">
        <v>0</v>
      </c>
      <c r="M94" s="32" t="str">
        <f t="shared" si="23"/>
        <v/>
      </c>
      <c r="N94" s="31"/>
      <c r="O94" s="31">
        <v>0</v>
      </c>
      <c r="P94" s="32" t="str">
        <f t="shared" si="24"/>
        <v/>
      </c>
      <c r="Q94" s="31"/>
      <c r="R94" s="31">
        <v>0</v>
      </c>
      <c r="S94" s="32" t="str">
        <f t="shared" si="25"/>
        <v/>
      </c>
      <c r="T94" s="31"/>
      <c r="U94" s="31">
        <v>0</v>
      </c>
      <c r="V94" s="32" t="str">
        <f t="shared" si="26"/>
        <v/>
      </c>
      <c r="W94" s="31"/>
      <c r="X94" s="31">
        <v>0</v>
      </c>
      <c r="Y94" s="32" t="str">
        <f t="shared" si="27"/>
        <v/>
      </c>
      <c r="Z94" s="31" t="str">
        <f t="shared" si="29"/>
        <v/>
      </c>
      <c r="AA94" s="31">
        <f t="shared" si="30"/>
        <v>93546</v>
      </c>
      <c r="AB94" s="32" t="str">
        <f t="shared" si="28"/>
        <v/>
      </c>
      <c r="AC94" s="31"/>
      <c r="AD94" s="31"/>
      <c r="AE94" s="32" t="str">
        <f t="shared" si="31"/>
        <v/>
      </c>
      <c r="AF94" s="32" t="s">
        <v>313</v>
      </c>
      <c r="AG94" s="31"/>
      <c r="AH94" s="31"/>
      <c r="AI94" s="32" t="str">
        <f t="shared" si="32"/>
        <v/>
      </c>
      <c r="AJ94" s="32" t="s">
        <v>313</v>
      </c>
      <c r="AK94" s="31"/>
      <c r="AL94" s="31"/>
      <c r="AM94" s="32" t="str">
        <f t="shared" si="33"/>
        <v/>
      </c>
      <c r="AN94" s="32" t="s">
        <v>313</v>
      </c>
      <c r="AO94" s="31"/>
      <c r="AP94" s="31"/>
      <c r="AQ94" s="32" t="str">
        <f t="shared" si="34"/>
        <v/>
      </c>
      <c r="AR94" s="32" t="s">
        <v>313</v>
      </c>
      <c r="AS94" s="31"/>
      <c r="AT94" s="31"/>
      <c r="AU94" s="32" t="str">
        <f t="shared" si="35"/>
        <v/>
      </c>
      <c r="AV94" s="32" t="s">
        <v>313</v>
      </c>
      <c r="AW94" s="31"/>
      <c r="AX94" s="31"/>
      <c r="AY94" s="32" t="str">
        <f t="shared" si="36"/>
        <v/>
      </c>
      <c r="AZ94" s="32" t="s">
        <v>313</v>
      </c>
    </row>
    <row r="95" spans="1:52" ht="34" customHeight="1">
      <c r="A95" s="28" t="s">
        <v>231</v>
      </c>
      <c r="B95" s="29" t="s">
        <v>322</v>
      </c>
      <c r="C95" s="29" t="s">
        <v>85</v>
      </c>
      <c r="D95" s="29" t="s">
        <v>79</v>
      </c>
      <c r="E95" s="29" t="s">
        <v>82</v>
      </c>
      <c r="F95" s="29" t="s">
        <v>319</v>
      </c>
      <c r="G95" s="30" t="s">
        <v>312</v>
      </c>
      <c r="H95" s="31">
        <v>0</v>
      </c>
      <c r="I95" s="31">
        <v>93546</v>
      </c>
      <c r="J95" s="32">
        <f t="shared" si="22"/>
        <v>0</v>
      </c>
      <c r="K95" s="31">
        <v>0</v>
      </c>
      <c r="L95" s="31">
        <v>0</v>
      </c>
      <c r="M95" s="32" t="str">
        <f t="shared" si="23"/>
        <v/>
      </c>
      <c r="N95" s="31">
        <v>0</v>
      </c>
      <c r="O95" s="31">
        <v>0</v>
      </c>
      <c r="P95" s="32" t="str">
        <f t="shared" si="24"/>
        <v/>
      </c>
      <c r="Q95" s="31">
        <v>0</v>
      </c>
      <c r="R95" s="31">
        <v>0</v>
      </c>
      <c r="S95" s="32" t="str">
        <f t="shared" si="25"/>
        <v/>
      </c>
      <c r="T95" s="31">
        <v>0</v>
      </c>
      <c r="U95" s="31">
        <v>0</v>
      </c>
      <c r="V95" s="32" t="str">
        <f t="shared" si="26"/>
        <v/>
      </c>
      <c r="W95" s="31">
        <v>0</v>
      </c>
      <c r="X95" s="31">
        <v>0</v>
      </c>
      <c r="Y95" s="32" t="str">
        <f t="shared" si="27"/>
        <v/>
      </c>
      <c r="Z95" s="31">
        <f t="shared" si="29"/>
        <v>0</v>
      </c>
      <c r="AA95" s="31">
        <f t="shared" si="30"/>
        <v>93546</v>
      </c>
      <c r="AB95" s="32">
        <f t="shared" si="28"/>
        <v>0</v>
      </c>
      <c r="AC95" s="31"/>
      <c r="AD95" s="31"/>
      <c r="AE95" s="32" t="str">
        <f t="shared" si="31"/>
        <v/>
      </c>
      <c r="AF95" s="32" t="s">
        <v>313</v>
      </c>
      <c r="AG95" s="31"/>
      <c r="AH95" s="31"/>
      <c r="AI95" s="32" t="str">
        <f t="shared" si="32"/>
        <v/>
      </c>
      <c r="AJ95" s="32" t="s">
        <v>313</v>
      </c>
      <c r="AK95" s="31"/>
      <c r="AL95" s="31"/>
      <c r="AM95" s="32" t="str">
        <f t="shared" si="33"/>
        <v/>
      </c>
      <c r="AN95" s="32" t="s">
        <v>313</v>
      </c>
      <c r="AO95" s="31"/>
      <c r="AP95" s="31"/>
      <c r="AQ95" s="32" t="str">
        <f t="shared" si="34"/>
        <v/>
      </c>
      <c r="AR95" s="32" t="s">
        <v>313</v>
      </c>
      <c r="AS95" s="31"/>
      <c r="AT95" s="31"/>
      <c r="AU95" s="32" t="str">
        <f t="shared" si="35"/>
        <v/>
      </c>
      <c r="AV95" s="32" t="s">
        <v>313</v>
      </c>
      <c r="AW95" s="31"/>
      <c r="AX95" s="31"/>
      <c r="AY95" s="32" t="str">
        <f t="shared" si="36"/>
        <v/>
      </c>
      <c r="AZ95" s="32" t="s">
        <v>313</v>
      </c>
    </row>
    <row r="96" spans="1:52" ht="34" customHeight="1">
      <c r="A96" s="28" t="s">
        <v>231</v>
      </c>
      <c r="B96" s="29" t="s">
        <v>322</v>
      </c>
      <c r="C96" s="29" t="s">
        <v>85</v>
      </c>
      <c r="D96" s="29" t="s">
        <v>90</v>
      </c>
      <c r="E96" s="29" t="s">
        <v>90</v>
      </c>
      <c r="F96" s="29" t="s">
        <v>316</v>
      </c>
      <c r="G96" s="30" t="s">
        <v>312</v>
      </c>
      <c r="H96" s="31"/>
      <c r="I96" s="31">
        <v>93546</v>
      </c>
      <c r="J96" s="32" t="str">
        <f t="shared" si="22"/>
        <v/>
      </c>
      <c r="K96" s="31"/>
      <c r="L96" s="31">
        <v>0</v>
      </c>
      <c r="M96" s="32" t="str">
        <f t="shared" si="23"/>
        <v/>
      </c>
      <c r="N96" s="31"/>
      <c r="O96" s="31">
        <v>0</v>
      </c>
      <c r="P96" s="32" t="str">
        <f t="shared" si="24"/>
        <v/>
      </c>
      <c r="Q96" s="31"/>
      <c r="R96" s="31">
        <v>0</v>
      </c>
      <c r="S96" s="32" t="str">
        <f t="shared" si="25"/>
        <v/>
      </c>
      <c r="T96" s="31"/>
      <c r="U96" s="31">
        <v>0</v>
      </c>
      <c r="V96" s="32" t="str">
        <f t="shared" si="26"/>
        <v/>
      </c>
      <c r="W96" s="31"/>
      <c r="X96" s="31">
        <v>0</v>
      </c>
      <c r="Y96" s="32" t="str">
        <f t="shared" si="27"/>
        <v/>
      </c>
      <c r="Z96" s="31" t="str">
        <f t="shared" si="29"/>
        <v/>
      </c>
      <c r="AA96" s="31">
        <f t="shared" si="30"/>
        <v>93546</v>
      </c>
      <c r="AB96" s="32" t="str">
        <f t="shared" si="28"/>
        <v/>
      </c>
      <c r="AC96" s="31"/>
      <c r="AD96" s="31"/>
      <c r="AE96" s="32" t="str">
        <f t="shared" si="31"/>
        <v/>
      </c>
      <c r="AF96" s="32" t="s">
        <v>313</v>
      </c>
      <c r="AG96" s="31"/>
      <c r="AH96" s="31"/>
      <c r="AI96" s="32" t="str">
        <f t="shared" si="32"/>
        <v/>
      </c>
      <c r="AJ96" s="32" t="s">
        <v>313</v>
      </c>
      <c r="AK96" s="31"/>
      <c r="AL96" s="31"/>
      <c r="AM96" s="32" t="str">
        <f t="shared" si="33"/>
        <v/>
      </c>
      <c r="AN96" s="32" t="s">
        <v>313</v>
      </c>
      <c r="AO96" s="31"/>
      <c r="AP96" s="31"/>
      <c r="AQ96" s="32" t="str">
        <f t="shared" si="34"/>
        <v/>
      </c>
      <c r="AR96" s="32" t="s">
        <v>313</v>
      </c>
      <c r="AS96" s="31"/>
      <c r="AT96" s="31"/>
      <c r="AU96" s="32" t="str">
        <f t="shared" si="35"/>
        <v/>
      </c>
      <c r="AV96" s="32" t="s">
        <v>313</v>
      </c>
      <c r="AW96" s="31"/>
      <c r="AX96" s="31"/>
      <c r="AY96" s="32" t="str">
        <f t="shared" si="36"/>
        <v/>
      </c>
      <c r="AZ96" s="32" t="s">
        <v>313</v>
      </c>
    </row>
    <row r="97" spans="1:52" ht="34" customHeight="1">
      <c r="A97" s="28" t="s">
        <v>231</v>
      </c>
      <c r="B97" s="29" t="s">
        <v>322</v>
      </c>
      <c r="C97" s="29" t="s">
        <v>85</v>
      </c>
      <c r="D97" s="29" t="s">
        <v>93</v>
      </c>
      <c r="E97" s="29" t="s">
        <v>143</v>
      </c>
      <c r="F97" s="29" t="s">
        <v>320</v>
      </c>
      <c r="G97" s="30" t="s">
        <v>312</v>
      </c>
      <c r="H97" s="31">
        <v>0</v>
      </c>
      <c r="I97" s="31">
        <v>93546</v>
      </c>
      <c r="J97" s="32">
        <f t="shared" si="22"/>
        <v>0</v>
      </c>
      <c r="K97" s="31">
        <v>0</v>
      </c>
      <c r="L97" s="31">
        <v>0</v>
      </c>
      <c r="M97" s="32" t="str">
        <f t="shared" si="23"/>
        <v/>
      </c>
      <c r="N97" s="31">
        <v>0</v>
      </c>
      <c r="O97" s="31">
        <v>0</v>
      </c>
      <c r="P97" s="32" t="str">
        <f t="shared" si="24"/>
        <v/>
      </c>
      <c r="Q97" s="31">
        <v>0</v>
      </c>
      <c r="R97" s="31">
        <v>0</v>
      </c>
      <c r="S97" s="32" t="str">
        <f t="shared" si="25"/>
        <v/>
      </c>
      <c r="T97" s="31">
        <v>0</v>
      </c>
      <c r="U97" s="31">
        <v>0</v>
      </c>
      <c r="V97" s="32" t="str">
        <f t="shared" si="26"/>
        <v/>
      </c>
      <c r="W97" s="31">
        <v>0</v>
      </c>
      <c r="X97" s="31">
        <v>0</v>
      </c>
      <c r="Y97" s="32" t="str">
        <f t="shared" si="27"/>
        <v/>
      </c>
      <c r="Z97" s="31">
        <f t="shared" si="29"/>
        <v>0</v>
      </c>
      <c r="AA97" s="31">
        <f t="shared" si="30"/>
        <v>93546</v>
      </c>
      <c r="AB97" s="32">
        <f t="shared" si="28"/>
        <v>0</v>
      </c>
      <c r="AC97" s="31"/>
      <c r="AD97" s="31"/>
      <c r="AE97" s="32" t="str">
        <f t="shared" si="31"/>
        <v/>
      </c>
      <c r="AF97" s="32" t="s">
        <v>313</v>
      </c>
      <c r="AG97" s="31"/>
      <c r="AH97" s="31"/>
      <c r="AI97" s="32" t="str">
        <f t="shared" si="32"/>
        <v/>
      </c>
      <c r="AJ97" s="32" t="s">
        <v>313</v>
      </c>
      <c r="AK97" s="31"/>
      <c r="AL97" s="31"/>
      <c r="AM97" s="32" t="str">
        <f t="shared" si="33"/>
        <v/>
      </c>
      <c r="AN97" s="32" t="s">
        <v>313</v>
      </c>
      <c r="AO97" s="31"/>
      <c r="AP97" s="31"/>
      <c r="AQ97" s="32" t="str">
        <f t="shared" si="34"/>
        <v/>
      </c>
      <c r="AR97" s="32" t="s">
        <v>313</v>
      </c>
      <c r="AS97" s="31"/>
      <c r="AT97" s="31"/>
      <c r="AU97" s="32" t="str">
        <f t="shared" si="35"/>
        <v/>
      </c>
      <c r="AV97" s="32" t="s">
        <v>313</v>
      </c>
      <c r="AW97" s="31"/>
      <c r="AX97" s="31"/>
      <c r="AY97" s="32" t="str">
        <f t="shared" si="36"/>
        <v/>
      </c>
      <c r="AZ97" s="32" t="s">
        <v>313</v>
      </c>
    </row>
    <row r="98" spans="1:52" ht="34" customHeight="1">
      <c r="A98" s="28" t="s">
        <v>231</v>
      </c>
      <c r="B98" s="29" t="s">
        <v>322</v>
      </c>
      <c r="C98" s="29" t="s">
        <v>85</v>
      </c>
      <c r="D98" s="29" t="s">
        <v>152</v>
      </c>
      <c r="E98" s="29" t="s">
        <v>152</v>
      </c>
      <c r="F98" s="29" t="s">
        <v>316</v>
      </c>
      <c r="G98" s="30" t="s">
        <v>312</v>
      </c>
      <c r="H98" s="31"/>
      <c r="I98" s="31">
        <v>93546</v>
      </c>
      <c r="J98" s="32" t="str">
        <f t="shared" si="22"/>
        <v/>
      </c>
      <c r="K98" s="31"/>
      <c r="L98" s="31">
        <v>0</v>
      </c>
      <c r="M98" s="32" t="str">
        <f t="shared" si="23"/>
        <v/>
      </c>
      <c r="N98" s="31"/>
      <c r="O98" s="31">
        <v>0</v>
      </c>
      <c r="P98" s="32" t="str">
        <f t="shared" si="24"/>
        <v/>
      </c>
      <c r="Q98" s="31"/>
      <c r="R98" s="31">
        <v>0</v>
      </c>
      <c r="S98" s="32" t="str">
        <f t="shared" si="25"/>
        <v/>
      </c>
      <c r="T98" s="31"/>
      <c r="U98" s="31">
        <v>0</v>
      </c>
      <c r="V98" s="32" t="str">
        <f t="shared" si="26"/>
        <v/>
      </c>
      <c r="W98" s="31"/>
      <c r="X98" s="31">
        <v>0</v>
      </c>
      <c r="Y98" s="32" t="str">
        <f t="shared" si="27"/>
        <v/>
      </c>
      <c r="Z98" s="31" t="str">
        <f t="shared" si="29"/>
        <v/>
      </c>
      <c r="AA98" s="31">
        <f t="shared" si="30"/>
        <v>93546</v>
      </c>
      <c r="AB98" s="32" t="str">
        <f t="shared" si="28"/>
        <v/>
      </c>
      <c r="AC98" s="31"/>
      <c r="AD98" s="31"/>
      <c r="AE98" s="32" t="str">
        <f t="shared" si="31"/>
        <v/>
      </c>
      <c r="AF98" s="32" t="s">
        <v>313</v>
      </c>
      <c r="AG98" s="31"/>
      <c r="AH98" s="31"/>
      <c r="AI98" s="32" t="str">
        <f t="shared" si="32"/>
        <v/>
      </c>
      <c r="AJ98" s="32" t="s">
        <v>313</v>
      </c>
      <c r="AK98" s="31"/>
      <c r="AL98" s="31"/>
      <c r="AM98" s="32" t="str">
        <f t="shared" si="33"/>
        <v/>
      </c>
      <c r="AN98" s="32" t="s">
        <v>313</v>
      </c>
      <c r="AO98" s="31"/>
      <c r="AP98" s="31"/>
      <c r="AQ98" s="32" t="str">
        <f t="shared" si="34"/>
        <v/>
      </c>
      <c r="AR98" s="32" t="s">
        <v>313</v>
      </c>
      <c r="AS98" s="31"/>
      <c r="AT98" s="31"/>
      <c r="AU98" s="32" t="str">
        <f t="shared" si="35"/>
        <v/>
      </c>
      <c r="AV98" s="32" t="s">
        <v>313</v>
      </c>
      <c r="AW98" s="31"/>
      <c r="AX98" s="31"/>
      <c r="AY98" s="32" t="str">
        <f t="shared" si="36"/>
        <v/>
      </c>
      <c r="AZ98" s="32" t="s">
        <v>313</v>
      </c>
    </row>
    <row r="99" spans="1:52" ht="34" customHeight="1">
      <c r="A99" s="28" t="s">
        <v>231</v>
      </c>
      <c r="B99" s="29" t="s">
        <v>323</v>
      </c>
      <c r="C99" s="29" t="s">
        <v>46</v>
      </c>
      <c r="D99" s="29"/>
      <c r="E99" s="29" t="s">
        <v>46</v>
      </c>
      <c r="F99" s="29" t="s">
        <v>311</v>
      </c>
      <c r="G99" s="30" t="s">
        <v>312</v>
      </c>
      <c r="H99" s="31">
        <v>81361.289999999994</v>
      </c>
      <c r="I99" s="31">
        <v>81361.289999999994</v>
      </c>
      <c r="J99" s="32"/>
      <c r="K99" s="31">
        <v>64333.06</v>
      </c>
      <c r="L99" s="31">
        <v>64333.06</v>
      </c>
      <c r="M99" s="32"/>
      <c r="N99" s="31">
        <v>81600.03</v>
      </c>
      <c r="O99" s="31">
        <v>81600.03</v>
      </c>
      <c r="P99" s="32"/>
      <c r="Q99" s="31">
        <v>60070.84</v>
      </c>
      <c r="R99" s="31">
        <v>60070.84</v>
      </c>
      <c r="S99" s="32"/>
      <c r="T99" s="31">
        <v>54218.32</v>
      </c>
      <c r="U99" s="31">
        <v>54218.32</v>
      </c>
      <c r="V99" s="32"/>
      <c r="W99" s="31">
        <v>15834.87</v>
      </c>
      <c r="X99" s="31">
        <v>15834.87</v>
      </c>
      <c r="Y99" s="32"/>
      <c r="Z99" s="31">
        <f t="shared" si="29"/>
        <v>357418.41</v>
      </c>
      <c r="AA99" s="31">
        <f t="shared" si="30"/>
        <v>357418.41</v>
      </c>
      <c r="AB99" s="32"/>
      <c r="AC99" s="31"/>
      <c r="AD99" s="31"/>
      <c r="AE99" s="32" t="str">
        <f t="shared" si="31"/>
        <v/>
      </c>
      <c r="AF99" s="32" t="s">
        <v>313</v>
      </c>
      <c r="AG99" s="31"/>
      <c r="AH99" s="31"/>
      <c r="AI99" s="32" t="str">
        <f t="shared" si="32"/>
        <v/>
      </c>
      <c r="AJ99" s="32" t="s">
        <v>313</v>
      </c>
      <c r="AK99" s="31"/>
      <c r="AL99" s="31"/>
      <c r="AM99" s="32" t="str">
        <f t="shared" si="33"/>
        <v/>
      </c>
      <c r="AN99" s="32" t="s">
        <v>313</v>
      </c>
      <c r="AO99" s="31"/>
      <c r="AP99" s="31"/>
      <c r="AQ99" s="32" t="str">
        <f t="shared" si="34"/>
        <v/>
      </c>
      <c r="AR99" s="32" t="s">
        <v>313</v>
      </c>
      <c r="AS99" s="31"/>
      <c r="AT99" s="31"/>
      <c r="AU99" s="32" t="str">
        <f t="shared" si="35"/>
        <v/>
      </c>
      <c r="AV99" s="32" t="s">
        <v>313</v>
      </c>
      <c r="AW99" s="31"/>
      <c r="AX99" s="31"/>
      <c r="AY99" s="32" t="str">
        <f t="shared" si="36"/>
        <v/>
      </c>
      <c r="AZ99" s="32" t="s">
        <v>313</v>
      </c>
    </row>
    <row r="100" spans="1:52" ht="34" customHeight="1">
      <c r="A100" s="28" t="s">
        <v>231</v>
      </c>
      <c r="B100" s="29" t="s">
        <v>323</v>
      </c>
      <c r="C100" s="29" t="s">
        <v>121</v>
      </c>
      <c r="D100" s="29"/>
      <c r="E100" s="29" t="s">
        <v>125</v>
      </c>
      <c r="F100" s="29" t="s">
        <v>314</v>
      </c>
      <c r="G100" s="30" t="s">
        <v>312</v>
      </c>
      <c r="H100" s="31">
        <v>0</v>
      </c>
      <c r="I100" s="31">
        <v>81361.289999999994</v>
      </c>
      <c r="J100" s="32">
        <f t="shared" ref="J100:J129" si="37">IF(H100="","",IFERROR(H100/I100,""))</f>
        <v>0</v>
      </c>
      <c r="K100" s="31">
        <v>0</v>
      </c>
      <c r="L100" s="31">
        <v>64333.06</v>
      </c>
      <c r="M100" s="32">
        <f t="shared" ref="M100:M129" si="38">IF(K100="","",IFERROR(K100/L100,""))</f>
        <v>0</v>
      </c>
      <c r="N100" s="31">
        <v>0</v>
      </c>
      <c r="O100" s="31">
        <v>81600.03</v>
      </c>
      <c r="P100" s="32">
        <f t="shared" ref="P100:P129" si="39">IF(N100="","",IFERROR(N100/O100,""))</f>
        <v>0</v>
      </c>
      <c r="Q100" s="31">
        <v>0</v>
      </c>
      <c r="R100" s="31">
        <v>60070.84</v>
      </c>
      <c r="S100" s="32">
        <f t="shared" ref="S100:S129" si="40">IF(Q100="","",IFERROR(Q100/R100,""))</f>
        <v>0</v>
      </c>
      <c r="T100" s="31">
        <v>0</v>
      </c>
      <c r="U100" s="31">
        <v>54218.32</v>
      </c>
      <c r="V100" s="32">
        <f t="shared" ref="V100:V129" si="41">IF(T100="","",IFERROR(T100/U100,""))</f>
        <v>0</v>
      </c>
      <c r="W100" s="31">
        <v>0</v>
      </c>
      <c r="X100" s="31">
        <v>15834.87</v>
      </c>
      <c r="Y100" s="32">
        <f t="shared" ref="Y100:Y129" si="42">IF(W100="","",IFERROR(W100/X100,""))</f>
        <v>0</v>
      </c>
      <c r="Z100" s="31">
        <f t="shared" si="29"/>
        <v>0</v>
      </c>
      <c r="AA100" s="31">
        <f t="shared" si="30"/>
        <v>357418.41</v>
      </c>
      <c r="AB100" s="32">
        <f t="shared" ref="AB100:AB129" si="43">IF(Z100="","",IFERROR(Z100/AA100,""))</f>
        <v>0</v>
      </c>
      <c r="AC100" s="31"/>
      <c r="AD100" s="31"/>
      <c r="AE100" s="32" t="str">
        <f t="shared" si="31"/>
        <v/>
      </c>
      <c r="AF100" s="32" t="s">
        <v>313</v>
      </c>
      <c r="AG100" s="31"/>
      <c r="AH100" s="31"/>
      <c r="AI100" s="32" t="str">
        <f t="shared" si="32"/>
        <v/>
      </c>
      <c r="AJ100" s="32" t="s">
        <v>313</v>
      </c>
      <c r="AK100" s="31"/>
      <c r="AL100" s="31"/>
      <c r="AM100" s="32" t="str">
        <f t="shared" si="33"/>
        <v/>
      </c>
      <c r="AN100" s="32" t="s">
        <v>313</v>
      </c>
      <c r="AO100" s="31"/>
      <c r="AP100" s="31"/>
      <c r="AQ100" s="32" t="str">
        <f t="shared" si="34"/>
        <v/>
      </c>
      <c r="AR100" s="32" t="s">
        <v>313</v>
      </c>
      <c r="AS100" s="31"/>
      <c r="AT100" s="31"/>
      <c r="AU100" s="32" t="str">
        <f t="shared" si="35"/>
        <v/>
      </c>
      <c r="AV100" s="32" t="s">
        <v>313</v>
      </c>
      <c r="AW100" s="31"/>
      <c r="AX100" s="31"/>
      <c r="AY100" s="32" t="str">
        <f t="shared" si="36"/>
        <v/>
      </c>
      <c r="AZ100" s="32" t="s">
        <v>313</v>
      </c>
    </row>
    <row r="101" spans="1:52" ht="34" customHeight="1">
      <c r="A101" s="28" t="s">
        <v>231</v>
      </c>
      <c r="B101" s="29" t="s">
        <v>323</v>
      </c>
      <c r="C101" s="29" t="s">
        <v>48</v>
      </c>
      <c r="D101" s="29"/>
      <c r="E101" s="29" t="s">
        <v>127</v>
      </c>
      <c r="F101" s="29" t="s">
        <v>315</v>
      </c>
      <c r="G101" s="30" t="s">
        <v>312</v>
      </c>
      <c r="H101" s="31">
        <v>67182</v>
      </c>
      <c r="I101" s="31">
        <v>81361.289999999994</v>
      </c>
      <c r="J101" s="32">
        <f t="shared" si="37"/>
        <v>0.82572437088939965</v>
      </c>
      <c r="K101" s="31">
        <v>53133</v>
      </c>
      <c r="L101" s="31">
        <v>64333.06</v>
      </c>
      <c r="M101" s="32">
        <f t="shared" si="38"/>
        <v>0.82590506343083947</v>
      </c>
      <c r="N101" s="31">
        <v>67428</v>
      </c>
      <c r="O101" s="31">
        <v>81600.03</v>
      </c>
      <c r="P101" s="32">
        <f t="shared" si="39"/>
        <v>0.82632322561646121</v>
      </c>
      <c r="Q101" s="31">
        <v>49446</v>
      </c>
      <c r="R101" s="31">
        <v>60070.84</v>
      </c>
      <c r="S101" s="32">
        <f t="shared" si="40"/>
        <v>0.82312816001907085</v>
      </c>
      <c r="T101" s="31">
        <v>45414</v>
      </c>
      <c r="U101" s="31">
        <v>54218.32</v>
      </c>
      <c r="V101" s="32">
        <f t="shared" si="41"/>
        <v>0.83761355940206184</v>
      </c>
      <c r="W101" s="31">
        <v>11925</v>
      </c>
      <c r="X101" s="31">
        <v>15834.87</v>
      </c>
      <c r="Y101" s="32">
        <f t="shared" si="42"/>
        <v>0.75308480587462978</v>
      </c>
      <c r="Z101" s="31">
        <f t="shared" si="29"/>
        <v>294528</v>
      </c>
      <c r="AA101" s="31">
        <f t="shared" si="30"/>
        <v>357418.41</v>
      </c>
      <c r="AB101" s="32">
        <f t="shared" si="43"/>
        <v>0.82404261157112757</v>
      </c>
      <c r="AC101" s="31"/>
      <c r="AD101" s="31"/>
      <c r="AE101" s="32" t="str">
        <f t="shared" si="31"/>
        <v/>
      </c>
      <c r="AF101" s="32" t="s">
        <v>313</v>
      </c>
      <c r="AG101" s="31"/>
      <c r="AH101" s="31"/>
      <c r="AI101" s="32" t="str">
        <f t="shared" si="32"/>
        <v/>
      </c>
      <c r="AJ101" s="32" t="s">
        <v>313</v>
      </c>
      <c r="AK101" s="31"/>
      <c r="AL101" s="31"/>
      <c r="AM101" s="32" t="str">
        <f t="shared" si="33"/>
        <v/>
      </c>
      <c r="AN101" s="32" t="s">
        <v>313</v>
      </c>
      <c r="AO101" s="31"/>
      <c r="AP101" s="31"/>
      <c r="AQ101" s="32" t="str">
        <f t="shared" si="34"/>
        <v/>
      </c>
      <c r="AR101" s="32" t="s">
        <v>313</v>
      </c>
      <c r="AS101" s="31"/>
      <c r="AT101" s="31"/>
      <c r="AU101" s="32" t="str">
        <f t="shared" si="35"/>
        <v/>
      </c>
      <c r="AV101" s="32" t="s">
        <v>313</v>
      </c>
      <c r="AW101" s="31"/>
      <c r="AX101" s="31"/>
      <c r="AY101" s="32" t="str">
        <f t="shared" si="36"/>
        <v/>
      </c>
      <c r="AZ101" s="32" t="s">
        <v>313</v>
      </c>
    </row>
    <row r="102" spans="1:52" ht="34" customHeight="1">
      <c r="A102" s="28" t="s">
        <v>231</v>
      </c>
      <c r="B102" s="29" t="s">
        <v>323</v>
      </c>
      <c r="C102" s="29" t="s">
        <v>52</v>
      </c>
      <c r="D102" s="29" t="s">
        <v>54</v>
      </c>
      <c r="E102" s="29" t="s">
        <v>55</v>
      </c>
      <c r="F102" s="29" t="s">
        <v>130</v>
      </c>
      <c r="G102" s="30" t="s">
        <v>312</v>
      </c>
      <c r="H102" s="31">
        <v>0</v>
      </c>
      <c r="I102" s="31">
        <v>81361.289999999994</v>
      </c>
      <c r="J102" s="32">
        <f t="shared" si="37"/>
        <v>0</v>
      </c>
      <c r="K102" s="31">
        <v>0</v>
      </c>
      <c r="L102" s="31">
        <v>64333.06</v>
      </c>
      <c r="M102" s="32">
        <f t="shared" si="38"/>
        <v>0</v>
      </c>
      <c r="N102" s="31">
        <v>0</v>
      </c>
      <c r="O102" s="31">
        <v>81600.03</v>
      </c>
      <c r="P102" s="32">
        <f t="shared" si="39"/>
        <v>0</v>
      </c>
      <c r="Q102" s="31">
        <v>0</v>
      </c>
      <c r="R102" s="31">
        <v>60070.84</v>
      </c>
      <c r="S102" s="32">
        <f t="shared" si="40"/>
        <v>0</v>
      </c>
      <c r="T102" s="31">
        <v>0</v>
      </c>
      <c r="U102" s="31">
        <v>54218.32</v>
      </c>
      <c r="V102" s="32">
        <f t="shared" si="41"/>
        <v>0</v>
      </c>
      <c r="W102" s="31">
        <v>0</v>
      </c>
      <c r="X102" s="31">
        <v>15834.87</v>
      </c>
      <c r="Y102" s="32">
        <f t="shared" si="42"/>
        <v>0</v>
      </c>
      <c r="Z102" s="31">
        <f t="shared" si="29"/>
        <v>0</v>
      </c>
      <c r="AA102" s="31">
        <f t="shared" si="30"/>
        <v>357418.41</v>
      </c>
      <c r="AB102" s="32">
        <f t="shared" si="43"/>
        <v>0</v>
      </c>
      <c r="AC102" s="31"/>
      <c r="AD102" s="31"/>
      <c r="AE102" s="32" t="str">
        <f t="shared" si="31"/>
        <v/>
      </c>
      <c r="AF102" s="32" t="s">
        <v>313</v>
      </c>
      <c r="AG102" s="31"/>
      <c r="AH102" s="31"/>
      <c r="AI102" s="32" t="str">
        <f t="shared" si="32"/>
        <v/>
      </c>
      <c r="AJ102" s="32" t="s">
        <v>313</v>
      </c>
      <c r="AK102" s="31"/>
      <c r="AL102" s="31"/>
      <c r="AM102" s="32" t="str">
        <f t="shared" si="33"/>
        <v/>
      </c>
      <c r="AN102" s="32" t="s">
        <v>313</v>
      </c>
      <c r="AO102" s="31"/>
      <c r="AP102" s="31"/>
      <c r="AQ102" s="32" t="str">
        <f t="shared" si="34"/>
        <v/>
      </c>
      <c r="AR102" s="32" t="s">
        <v>313</v>
      </c>
      <c r="AS102" s="31"/>
      <c r="AT102" s="31"/>
      <c r="AU102" s="32" t="str">
        <f t="shared" si="35"/>
        <v/>
      </c>
      <c r="AV102" s="32" t="s">
        <v>313</v>
      </c>
      <c r="AW102" s="31"/>
      <c r="AX102" s="31"/>
      <c r="AY102" s="32" t="str">
        <f t="shared" si="36"/>
        <v/>
      </c>
      <c r="AZ102" s="32" t="s">
        <v>313</v>
      </c>
    </row>
    <row r="103" spans="1:52" ht="34" customHeight="1">
      <c r="A103" s="28" t="s">
        <v>231</v>
      </c>
      <c r="B103" s="29" t="s">
        <v>323</v>
      </c>
      <c r="C103" s="29" t="s">
        <v>52</v>
      </c>
      <c r="D103" s="29" t="s">
        <v>54</v>
      </c>
      <c r="E103" s="29" t="s">
        <v>58</v>
      </c>
      <c r="F103" s="29" t="s">
        <v>316</v>
      </c>
      <c r="G103" s="30" t="s">
        <v>312</v>
      </c>
      <c r="H103" s="31"/>
      <c r="I103" s="31">
        <v>81361.289999999994</v>
      </c>
      <c r="J103" s="32" t="str">
        <f t="shared" si="37"/>
        <v/>
      </c>
      <c r="K103" s="31"/>
      <c r="L103" s="31">
        <v>64333.06</v>
      </c>
      <c r="M103" s="32" t="str">
        <f t="shared" si="38"/>
        <v/>
      </c>
      <c r="N103" s="31"/>
      <c r="O103" s="31">
        <v>81600.03</v>
      </c>
      <c r="P103" s="32" t="str">
        <f t="shared" si="39"/>
        <v/>
      </c>
      <c r="Q103" s="31"/>
      <c r="R103" s="31">
        <v>60070.84</v>
      </c>
      <c r="S103" s="32" t="str">
        <f t="shared" si="40"/>
        <v/>
      </c>
      <c r="T103" s="31"/>
      <c r="U103" s="31">
        <v>54218.32</v>
      </c>
      <c r="V103" s="32" t="str">
        <f t="shared" si="41"/>
        <v/>
      </c>
      <c r="W103" s="31"/>
      <c r="X103" s="31">
        <v>15834.87</v>
      </c>
      <c r="Y103" s="32" t="str">
        <f t="shared" si="42"/>
        <v/>
      </c>
      <c r="Z103" s="31" t="str">
        <f t="shared" si="29"/>
        <v/>
      </c>
      <c r="AA103" s="31">
        <f t="shared" si="30"/>
        <v>357418.41</v>
      </c>
      <c r="AB103" s="32" t="str">
        <f t="shared" si="43"/>
        <v/>
      </c>
      <c r="AC103" s="31"/>
      <c r="AD103" s="31"/>
      <c r="AE103" s="32" t="str">
        <f t="shared" si="31"/>
        <v/>
      </c>
      <c r="AF103" s="32" t="s">
        <v>313</v>
      </c>
      <c r="AG103" s="31"/>
      <c r="AH103" s="31"/>
      <c r="AI103" s="32" t="str">
        <f t="shared" si="32"/>
        <v/>
      </c>
      <c r="AJ103" s="32" t="s">
        <v>313</v>
      </c>
      <c r="AK103" s="31"/>
      <c r="AL103" s="31"/>
      <c r="AM103" s="32" t="str">
        <f t="shared" si="33"/>
        <v/>
      </c>
      <c r="AN103" s="32" t="s">
        <v>313</v>
      </c>
      <c r="AO103" s="31"/>
      <c r="AP103" s="31"/>
      <c r="AQ103" s="32" t="str">
        <f t="shared" si="34"/>
        <v/>
      </c>
      <c r="AR103" s="32" t="s">
        <v>313</v>
      </c>
      <c r="AS103" s="31"/>
      <c r="AT103" s="31"/>
      <c r="AU103" s="32" t="str">
        <f t="shared" si="35"/>
        <v/>
      </c>
      <c r="AV103" s="32" t="s">
        <v>313</v>
      </c>
      <c r="AW103" s="31"/>
      <c r="AX103" s="31"/>
      <c r="AY103" s="32" t="str">
        <f t="shared" si="36"/>
        <v/>
      </c>
      <c r="AZ103" s="32" t="s">
        <v>313</v>
      </c>
    </row>
    <row r="104" spans="1:52" ht="34" customHeight="1">
      <c r="A104" s="28" t="s">
        <v>231</v>
      </c>
      <c r="B104" s="29" t="s">
        <v>323</v>
      </c>
      <c r="C104" s="29" t="s">
        <v>52</v>
      </c>
      <c r="D104" s="29" t="s">
        <v>54</v>
      </c>
      <c r="E104" s="29" t="s">
        <v>59</v>
      </c>
      <c r="F104" s="29" t="s">
        <v>316</v>
      </c>
      <c r="G104" s="30" t="s">
        <v>312</v>
      </c>
      <c r="H104" s="31"/>
      <c r="I104" s="31">
        <v>81361.289999999994</v>
      </c>
      <c r="J104" s="32" t="str">
        <f t="shared" si="37"/>
        <v/>
      </c>
      <c r="K104" s="31"/>
      <c r="L104" s="31">
        <v>64333.06</v>
      </c>
      <c r="M104" s="32" t="str">
        <f t="shared" si="38"/>
        <v/>
      </c>
      <c r="N104" s="31"/>
      <c r="O104" s="31">
        <v>81600.03</v>
      </c>
      <c r="P104" s="32" t="str">
        <f t="shared" si="39"/>
        <v/>
      </c>
      <c r="Q104" s="31"/>
      <c r="R104" s="31">
        <v>60070.84</v>
      </c>
      <c r="S104" s="32" t="str">
        <f t="shared" si="40"/>
        <v/>
      </c>
      <c r="T104" s="31"/>
      <c r="U104" s="31">
        <v>54218.32</v>
      </c>
      <c r="V104" s="32" t="str">
        <f t="shared" si="41"/>
        <v/>
      </c>
      <c r="W104" s="31"/>
      <c r="X104" s="31">
        <v>15834.87</v>
      </c>
      <c r="Y104" s="32" t="str">
        <f t="shared" si="42"/>
        <v/>
      </c>
      <c r="Z104" s="31" t="str">
        <f t="shared" si="29"/>
        <v/>
      </c>
      <c r="AA104" s="31">
        <f t="shared" si="30"/>
        <v>357418.41</v>
      </c>
      <c r="AB104" s="32" t="str">
        <f t="shared" si="43"/>
        <v/>
      </c>
      <c r="AC104" s="31"/>
      <c r="AD104" s="31"/>
      <c r="AE104" s="32" t="str">
        <f t="shared" si="31"/>
        <v/>
      </c>
      <c r="AF104" s="32" t="s">
        <v>313</v>
      </c>
      <c r="AG104" s="31"/>
      <c r="AH104" s="31"/>
      <c r="AI104" s="32" t="str">
        <f t="shared" si="32"/>
        <v/>
      </c>
      <c r="AJ104" s="32" t="s">
        <v>313</v>
      </c>
      <c r="AK104" s="31"/>
      <c r="AL104" s="31"/>
      <c r="AM104" s="32" t="str">
        <f t="shared" si="33"/>
        <v/>
      </c>
      <c r="AN104" s="32" t="s">
        <v>313</v>
      </c>
      <c r="AO104" s="31"/>
      <c r="AP104" s="31"/>
      <c r="AQ104" s="32" t="str">
        <f t="shared" si="34"/>
        <v/>
      </c>
      <c r="AR104" s="32" t="s">
        <v>313</v>
      </c>
      <c r="AS104" s="31"/>
      <c r="AT104" s="31"/>
      <c r="AU104" s="32" t="str">
        <f t="shared" si="35"/>
        <v/>
      </c>
      <c r="AV104" s="32" t="s">
        <v>313</v>
      </c>
      <c r="AW104" s="31"/>
      <c r="AX104" s="31"/>
      <c r="AY104" s="32" t="str">
        <f t="shared" si="36"/>
        <v/>
      </c>
      <c r="AZ104" s="32" t="s">
        <v>313</v>
      </c>
    </row>
    <row r="105" spans="1:52" ht="34" customHeight="1">
      <c r="A105" s="28" t="s">
        <v>231</v>
      </c>
      <c r="B105" s="29" t="s">
        <v>323</v>
      </c>
      <c r="C105" s="29" t="s">
        <v>52</v>
      </c>
      <c r="D105" s="29" t="s">
        <v>54</v>
      </c>
      <c r="E105" s="29" t="s">
        <v>64</v>
      </c>
      <c r="F105" s="29" t="s">
        <v>133</v>
      </c>
      <c r="G105" s="30" t="s">
        <v>312</v>
      </c>
      <c r="H105" s="31">
        <v>0</v>
      </c>
      <c r="I105" s="31">
        <v>81361.289999999994</v>
      </c>
      <c r="J105" s="32">
        <f t="shared" si="37"/>
        <v>0</v>
      </c>
      <c r="K105" s="31">
        <v>0</v>
      </c>
      <c r="L105" s="31">
        <v>64333.06</v>
      </c>
      <c r="M105" s="32">
        <f t="shared" si="38"/>
        <v>0</v>
      </c>
      <c r="N105" s="31">
        <v>0</v>
      </c>
      <c r="O105" s="31">
        <v>81600.03</v>
      </c>
      <c r="P105" s="32">
        <f t="shared" si="39"/>
        <v>0</v>
      </c>
      <c r="Q105" s="31">
        <v>0</v>
      </c>
      <c r="R105" s="31">
        <v>60070.84</v>
      </c>
      <c r="S105" s="32">
        <f t="shared" si="40"/>
        <v>0</v>
      </c>
      <c r="T105" s="31">
        <v>0</v>
      </c>
      <c r="U105" s="31">
        <v>54218.32</v>
      </c>
      <c r="V105" s="32">
        <f t="shared" si="41"/>
        <v>0</v>
      </c>
      <c r="W105" s="31">
        <v>0</v>
      </c>
      <c r="X105" s="31">
        <v>15834.87</v>
      </c>
      <c r="Y105" s="32">
        <f t="shared" si="42"/>
        <v>0</v>
      </c>
      <c r="Z105" s="31">
        <f t="shared" si="29"/>
        <v>0</v>
      </c>
      <c r="AA105" s="31">
        <f t="shared" si="30"/>
        <v>357418.41</v>
      </c>
      <c r="AB105" s="32">
        <f t="shared" si="43"/>
        <v>0</v>
      </c>
      <c r="AC105" s="31"/>
      <c r="AD105" s="31"/>
      <c r="AE105" s="32" t="str">
        <f t="shared" si="31"/>
        <v/>
      </c>
      <c r="AF105" s="32" t="s">
        <v>313</v>
      </c>
      <c r="AG105" s="31"/>
      <c r="AH105" s="31"/>
      <c r="AI105" s="32" t="str">
        <f t="shared" si="32"/>
        <v/>
      </c>
      <c r="AJ105" s="32" t="s">
        <v>313</v>
      </c>
      <c r="AK105" s="31"/>
      <c r="AL105" s="31"/>
      <c r="AM105" s="32" t="str">
        <f t="shared" si="33"/>
        <v/>
      </c>
      <c r="AN105" s="32" t="s">
        <v>313</v>
      </c>
      <c r="AO105" s="31"/>
      <c r="AP105" s="31"/>
      <c r="AQ105" s="32" t="str">
        <f t="shared" si="34"/>
        <v/>
      </c>
      <c r="AR105" s="32" t="s">
        <v>313</v>
      </c>
      <c r="AS105" s="31"/>
      <c r="AT105" s="31"/>
      <c r="AU105" s="32" t="str">
        <f t="shared" si="35"/>
        <v/>
      </c>
      <c r="AV105" s="32" t="s">
        <v>313</v>
      </c>
      <c r="AW105" s="31"/>
      <c r="AX105" s="31"/>
      <c r="AY105" s="32" t="str">
        <f t="shared" si="36"/>
        <v/>
      </c>
      <c r="AZ105" s="32" t="s">
        <v>313</v>
      </c>
    </row>
    <row r="106" spans="1:52" ht="34" customHeight="1">
      <c r="A106" s="28" t="s">
        <v>231</v>
      </c>
      <c r="B106" s="29" t="s">
        <v>323</v>
      </c>
      <c r="C106" s="29" t="s">
        <v>52</v>
      </c>
      <c r="D106" s="29" t="s">
        <v>54</v>
      </c>
      <c r="E106" s="29" t="s">
        <v>60</v>
      </c>
      <c r="F106" s="29" t="s">
        <v>316</v>
      </c>
      <c r="G106" s="30" t="s">
        <v>312</v>
      </c>
      <c r="H106" s="31"/>
      <c r="I106" s="31">
        <v>81361.289999999994</v>
      </c>
      <c r="J106" s="32" t="str">
        <f t="shared" si="37"/>
        <v/>
      </c>
      <c r="K106" s="31"/>
      <c r="L106" s="31">
        <v>64333.06</v>
      </c>
      <c r="M106" s="32" t="str">
        <f t="shared" si="38"/>
        <v/>
      </c>
      <c r="N106" s="31"/>
      <c r="O106" s="31">
        <v>81600.03</v>
      </c>
      <c r="P106" s="32" t="str">
        <f t="shared" si="39"/>
        <v/>
      </c>
      <c r="Q106" s="31"/>
      <c r="R106" s="31">
        <v>60070.84</v>
      </c>
      <c r="S106" s="32" t="str">
        <f t="shared" si="40"/>
        <v/>
      </c>
      <c r="T106" s="31"/>
      <c r="U106" s="31">
        <v>54218.32</v>
      </c>
      <c r="V106" s="32" t="str">
        <f t="shared" si="41"/>
        <v/>
      </c>
      <c r="W106" s="31"/>
      <c r="X106" s="31">
        <v>15834.87</v>
      </c>
      <c r="Y106" s="32" t="str">
        <f t="shared" si="42"/>
        <v/>
      </c>
      <c r="Z106" s="31" t="str">
        <f t="shared" si="29"/>
        <v/>
      </c>
      <c r="AA106" s="31">
        <f t="shared" si="30"/>
        <v>357418.41</v>
      </c>
      <c r="AB106" s="32" t="str">
        <f t="shared" si="43"/>
        <v/>
      </c>
      <c r="AC106" s="31"/>
      <c r="AD106" s="31"/>
      <c r="AE106" s="32" t="str">
        <f t="shared" si="31"/>
        <v/>
      </c>
      <c r="AF106" s="32" t="s">
        <v>313</v>
      </c>
      <c r="AG106" s="31"/>
      <c r="AH106" s="31"/>
      <c r="AI106" s="32" t="str">
        <f t="shared" si="32"/>
        <v/>
      </c>
      <c r="AJ106" s="32" t="s">
        <v>313</v>
      </c>
      <c r="AK106" s="31"/>
      <c r="AL106" s="31"/>
      <c r="AM106" s="32" t="str">
        <f t="shared" si="33"/>
        <v/>
      </c>
      <c r="AN106" s="32" t="s">
        <v>313</v>
      </c>
      <c r="AO106" s="31"/>
      <c r="AP106" s="31"/>
      <c r="AQ106" s="32" t="str">
        <f t="shared" si="34"/>
        <v/>
      </c>
      <c r="AR106" s="32" t="s">
        <v>313</v>
      </c>
      <c r="AS106" s="31"/>
      <c r="AT106" s="31"/>
      <c r="AU106" s="32" t="str">
        <f t="shared" si="35"/>
        <v/>
      </c>
      <c r="AV106" s="32" t="s">
        <v>313</v>
      </c>
      <c r="AW106" s="31"/>
      <c r="AX106" s="31"/>
      <c r="AY106" s="32" t="str">
        <f t="shared" si="36"/>
        <v/>
      </c>
      <c r="AZ106" s="32" t="s">
        <v>313</v>
      </c>
    </row>
    <row r="107" spans="1:52" ht="51" customHeight="1">
      <c r="A107" s="28" t="s">
        <v>231</v>
      </c>
      <c r="B107" s="29" t="s">
        <v>323</v>
      </c>
      <c r="C107" s="29" t="s">
        <v>52</v>
      </c>
      <c r="D107" s="29" t="s">
        <v>54</v>
      </c>
      <c r="E107" s="29" t="s">
        <v>61</v>
      </c>
      <c r="F107" s="29" t="s">
        <v>135</v>
      </c>
      <c r="G107" s="30" t="s">
        <v>312</v>
      </c>
      <c r="H107" s="31">
        <v>0</v>
      </c>
      <c r="I107" s="31">
        <v>81361.289999999994</v>
      </c>
      <c r="J107" s="32">
        <f t="shared" si="37"/>
        <v>0</v>
      </c>
      <c r="K107" s="31">
        <v>0</v>
      </c>
      <c r="L107" s="31">
        <v>64333.06</v>
      </c>
      <c r="M107" s="32">
        <f t="shared" si="38"/>
        <v>0</v>
      </c>
      <c r="N107" s="31">
        <v>0</v>
      </c>
      <c r="O107" s="31">
        <v>81600.03</v>
      </c>
      <c r="P107" s="32">
        <f t="shared" si="39"/>
        <v>0</v>
      </c>
      <c r="Q107" s="31">
        <v>0</v>
      </c>
      <c r="R107" s="31">
        <v>60070.84</v>
      </c>
      <c r="S107" s="32">
        <f t="shared" si="40"/>
        <v>0</v>
      </c>
      <c r="T107" s="31">
        <v>0</v>
      </c>
      <c r="U107" s="31">
        <v>54218.32</v>
      </c>
      <c r="V107" s="32">
        <f t="shared" si="41"/>
        <v>0</v>
      </c>
      <c r="W107" s="31">
        <v>0</v>
      </c>
      <c r="X107" s="31">
        <v>15834.87</v>
      </c>
      <c r="Y107" s="32">
        <f t="shared" si="42"/>
        <v>0</v>
      </c>
      <c r="Z107" s="31">
        <f t="shared" si="29"/>
        <v>0</v>
      </c>
      <c r="AA107" s="31">
        <f t="shared" si="30"/>
        <v>357418.41</v>
      </c>
      <c r="AB107" s="32">
        <f t="shared" si="43"/>
        <v>0</v>
      </c>
      <c r="AC107" s="31"/>
      <c r="AD107" s="31"/>
      <c r="AE107" s="32" t="str">
        <f t="shared" si="31"/>
        <v/>
      </c>
      <c r="AF107" s="32" t="s">
        <v>313</v>
      </c>
      <c r="AG107" s="31"/>
      <c r="AH107" s="31"/>
      <c r="AI107" s="32" t="str">
        <f t="shared" si="32"/>
        <v/>
      </c>
      <c r="AJ107" s="32" t="s">
        <v>313</v>
      </c>
      <c r="AK107" s="31"/>
      <c r="AL107" s="31"/>
      <c r="AM107" s="32" t="str">
        <f t="shared" si="33"/>
        <v/>
      </c>
      <c r="AN107" s="32" t="s">
        <v>313</v>
      </c>
      <c r="AO107" s="31"/>
      <c r="AP107" s="31"/>
      <c r="AQ107" s="32" t="str">
        <f t="shared" si="34"/>
        <v/>
      </c>
      <c r="AR107" s="32" t="s">
        <v>313</v>
      </c>
      <c r="AS107" s="31"/>
      <c r="AT107" s="31"/>
      <c r="AU107" s="32" t="str">
        <f t="shared" si="35"/>
        <v/>
      </c>
      <c r="AV107" s="32" t="s">
        <v>313</v>
      </c>
      <c r="AW107" s="31"/>
      <c r="AX107" s="31"/>
      <c r="AY107" s="32" t="str">
        <f t="shared" si="36"/>
        <v/>
      </c>
      <c r="AZ107" s="32" t="s">
        <v>313</v>
      </c>
    </row>
    <row r="108" spans="1:52" ht="34" customHeight="1">
      <c r="A108" s="28" t="s">
        <v>231</v>
      </c>
      <c r="B108" s="29" t="s">
        <v>323</v>
      </c>
      <c r="C108" s="29" t="s">
        <v>52</v>
      </c>
      <c r="D108" s="29" t="s">
        <v>54</v>
      </c>
      <c r="E108" s="29" t="s">
        <v>62</v>
      </c>
      <c r="F108" s="29" t="s">
        <v>316</v>
      </c>
      <c r="G108" s="30" t="s">
        <v>312</v>
      </c>
      <c r="H108" s="31"/>
      <c r="I108" s="31">
        <v>81361.289999999994</v>
      </c>
      <c r="J108" s="32" t="str">
        <f t="shared" si="37"/>
        <v/>
      </c>
      <c r="K108" s="31"/>
      <c r="L108" s="31">
        <v>64333.06</v>
      </c>
      <c r="M108" s="32" t="str">
        <f t="shared" si="38"/>
        <v/>
      </c>
      <c r="N108" s="31"/>
      <c r="O108" s="31">
        <v>81600.03</v>
      </c>
      <c r="P108" s="32" t="str">
        <f t="shared" si="39"/>
        <v/>
      </c>
      <c r="Q108" s="31"/>
      <c r="R108" s="31">
        <v>60070.84</v>
      </c>
      <c r="S108" s="32" t="str">
        <f t="shared" si="40"/>
        <v/>
      </c>
      <c r="T108" s="31"/>
      <c r="U108" s="31">
        <v>54218.32</v>
      </c>
      <c r="V108" s="32" t="str">
        <f t="shared" si="41"/>
        <v/>
      </c>
      <c r="W108" s="31"/>
      <c r="X108" s="31">
        <v>15834.87</v>
      </c>
      <c r="Y108" s="32" t="str">
        <f t="shared" si="42"/>
        <v/>
      </c>
      <c r="Z108" s="31" t="str">
        <f t="shared" si="29"/>
        <v/>
      </c>
      <c r="AA108" s="31">
        <f t="shared" si="30"/>
        <v>357418.41</v>
      </c>
      <c r="AB108" s="32" t="str">
        <f t="shared" si="43"/>
        <v/>
      </c>
      <c r="AC108" s="31"/>
      <c r="AD108" s="31"/>
      <c r="AE108" s="32" t="str">
        <f t="shared" si="31"/>
        <v/>
      </c>
      <c r="AF108" s="32" t="s">
        <v>313</v>
      </c>
      <c r="AG108" s="31"/>
      <c r="AH108" s="31"/>
      <c r="AI108" s="32" t="str">
        <f t="shared" si="32"/>
        <v/>
      </c>
      <c r="AJ108" s="32" t="s">
        <v>313</v>
      </c>
      <c r="AK108" s="31"/>
      <c r="AL108" s="31"/>
      <c r="AM108" s="32" t="str">
        <f t="shared" si="33"/>
        <v/>
      </c>
      <c r="AN108" s="32" t="s">
        <v>313</v>
      </c>
      <c r="AO108" s="31"/>
      <c r="AP108" s="31"/>
      <c r="AQ108" s="32" t="str">
        <f t="shared" si="34"/>
        <v/>
      </c>
      <c r="AR108" s="32" t="s">
        <v>313</v>
      </c>
      <c r="AS108" s="31"/>
      <c r="AT108" s="31"/>
      <c r="AU108" s="32" t="str">
        <f t="shared" si="35"/>
        <v/>
      </c>
      <c r="AV108" s="32" t="s">
        <v>313</v>
      </c>
      <c r="AW108" s="31"/>
      <c r="AX108" s="31"/>
      <c r="AY108" s="32" t="str">
        <f t="shared" si="36"/>
        <v/>
      </c>
      <c r="AZ108" s="32" t="s">
        <v>313</v>
      </c>
    </row>
    <row r="109" spans="1:52" ht="34" customHeight="1">
      <c r="A109" s="28" t="s">
        <v>231</v>
      </c>
      <c r="B109" s="29" t="s">
        <v>323</v>
      </c>
      <c r="C109" s="29" t="s">
        <v>52</v>
      </c>
      <c r="D109" s="29" t="s">
        <v>54</v>
      </c>
      <c r="E109" s="29" t="s">
        <v>63</v>
      </c>
      <c r="F109" s="29" t="s">
        <v>316</v>
      </c>
      <c r="G109" s="30" t="s">
        <v>312</v>
      </c>
      <c r="H109" s="31"/>
      <c r="I109" s="31">
        <v>81361.289999999994</v>
      </c>
      <c r="J109" s="32" t="str">
        <f t="shared" si="37"/>
        <v/>
      </c>
      <c r="K109" s="31"/>
      <c r="L109" s="31">
        <v>64333.06</v>
      </c>
      <c r="M109" s="32" t="str">
        <f t="shared" si="38"/>
        <v/>
      </c>
      <c r="N109" s="31"/>
      <c r="O109" s="31">
        <v>81600.03</v>
      </c>
      <c r="P109" s="32" t="str">
        <f t="shared" si="39"/>
        <v/>
      </c>
      <c r="Q109" s="31"/>
      <c r="R109" s="31">
        <v>60070.84</v>
      </c>
      <c r="S109" s="32" t="str">
        <f t="shared" si="40"/>
        <v/>
      </c>
      <c r="T109" s="31"/>
      <c r="U109" s="31">
        <v>54218.32</v>
      </c>
      <c r="V109" s="32" t="str">
        <f t="shared" si="41"/>
        <v/>
      </c>
      <c r="W109" s="31"/>
      <c r="X109" s="31">
        <v>15834.87</v>
      </c>
      <c r="Y109" s="32" t="str">
        <f t="shared" si="42"/>
        <v/>
      </c>
      <c r="Z109" s="31" t="str">
        <f t="shared" si="29"/>
        <v/>
      </c>
      <c r="AA109" s="31">
        <f t="shared" si="30"/>
        <v>357418.41</v>
      </c>
      <c r="AB109" s="32" t="str">
        <f t="shared" si="43"/>
        <v/>
      </c>
      <c r="AC109" s="31"/>
      <c r="AD109" s="31"/>
      <c r="AE109" s="32" t="str">
        <f t="shared" si="31"/>
        <v/>
      </c>
      <c r="AF109" s="32" t="s">
        <v>313</v>
      </c>
      <c r="AG109" s="31"/>
      <c r="AH109" s="31"/>
      <c r="AI109" s="32" t="str">
        <f t="shared" si="32"/>
        <v/>
      </c>
      <c r="AJ109" s="32" t="s">
        <v>313</v>
      </c>
      <c r="AK109" s="31"/>
      <c r="AL109" s="31"/>
      <c r="AM109" s="32" t="str">
        <f t="shared" si="33"/>
        <v/>
      </c>
      <c r="AN109" s="32" t="s">
        <v>313</v>
      </c>
      <c r="AO109" s="31"/>
      <c r="AP109" s="31"/>
      <c r="AQ109" s="32" t="str">
        <f t="shared" si="34"/>
        <v/>
      </c>
      <c r="AR109" s="32" t="s">
        <v>313</v>
      </c>
      <c r="AS109" s="31"/>
      <c r="AT109" s="31"/>
      <c r="AU109" s="32" t="str">
        <f t="shared" si="35"/>
        <v/>
      </c>
      <c r="AV109" s="32" t="s">
        <v>313</v>
      </c>
      <c r="AW109" s="31"/>
      <c r="AX109" s="31"/>
      <c r="AY109" s="32" t="str">
        <f t="shared" si="36"/>
        <v/>
      </c>
      <c r="AZ109" s="32" t="s">
        <v>313</v>
      </c>
    </row>
    <row r="110" spans="1:52" ht="34" customHeight="1">
      <c r="A110" s="28" t="s">
        <v>231</v>
      </c>
      <c r="B110" s="29" t="s">
        <v>323</v>
      </c>
      <c r="C110" s="29" t="s">
        <v>52</v>
      </c>
      <c r="D110" s="29" t="s">
        <v>65</v>
      </c>
      <c r="E110" s="29" t="s">
        <v>66</v>
      </c>
      <c r="F110" s="29" t="s">
        <v>316</v>
      </c>
      <c r="G110" s="30" t="s">
        <v>312</v>
      </c>
      <c r="H110" s="31"/>
      <c r="I110" s="31">
        <v>81361.289999999994</v>
      </c>
      <c r="J110" s="32" t="str">
        <f t="shared" si="37"/>
        <v/>
      </c>
      <c r="K110" s="31"/>
      <c r="L110" s="31">
        <v>64333.06</v>
      </c>
      <c r="M110" s="32" t="str">
        <f t="shared" si="38"/>
        <v/>
      </c>
      <c r="N110" s="31"/>
      <c r="O110" s="31">
        <v>81600.03</v>
      </c>
      <c r="P110" s="32" t="str">
        <f t="shared" si="39"/>
        <v/>
      </c>
      <c r="Q110" s="31"/>
      <c r="R110" s="31">
        <v>60070.84</v>
      </c>
      <c r="S110" s="32" t="str">
        <f t="shared" si="40"/>
        <v/>
      </c>
      <c r="T110" s="31"/>
      <c r="U110" s="31">
        <v>54218.32</v>
      </c>
      <c r="V110" s="32" t="str">
        <f t="shared" si="41"/>
        <v/>
      </c>
      <c r="W110" s="31"/>
      <c r="X110" s="31">
        <v>15834.87</v>
      </c>
      <c r="Y110" s="32" t="str">
        <f t="shared" si="42"/>
        <v/>
      </c>
      <c r="Z110" s="31" t="str">
        <f t="shared" si="29"/>
        <v/>
      </c>
      <c r="AA110" s="31">
        <f t="shared" si="30"/>
        <v>357418.41</v>
      </c>
      <c r="AB110" s="32" t="str">
        <f t="shared" si="43"/>
        <v/>
      </c>
      <c r="AC110" s="31"/>
      <c r="AD110" s="31"/>
      <c r="AE110" s="32" t="str">
        <f t="shared" si="31"/>
        <v/>
      </c>
      <c r="AF110" s="32" t="s">
        <v>313</v>
      </c>
      <c r="AG110" s="31"/>
      <c r="AH110" s="31"/>
      <c r="AI110" s="32" t="str">
        <f t="shared" si="32"/>
        <v/>
      </c>
      <c r="AJ110" s="32" t="s">
        <v>313</v>
      </c>
      <c r="AK110" s="31"/>
      <c r="AL110" s="31"/>
      <c r="AM110" s="32" t="str">
        <f t="shared" si="33"/>
        <v/>
      </c>
      <c r="AN110" s="32" t="s">
        <v>313</v>
      </c>
      <c r="AO110" s="31"/>
      <c r="AP110" s="31"/>
      <c r="AQ110" s="32" t="str">
        <f t="shared" si="34"/>
        <v/>
      </c>
      <c r="AR110" s="32" t="s">
        <v>313</v>
      </c>
      <c r="AS110" s="31"/>
      <c r="AT110" s="31"/>
      <c r="AU110" s="32" t="str">
        <f t="shared" si="35"/>
        <v/>
      </c>
      <c r="AV110" s="32" t="s">
        <v>313</v>
      </c>
      <c r="AW110" s="31"/>
      <c r="AX110" s="31"/>
      <c r="AY110" s="32" t="str">
        <f t="shared" si="36"/>
        <v/>
      </c>
      <c r="AZ110" s="32" t="s">
        <v>313</v>
      </c>
    </row>
    <row r="111" spans="1:52" ht="34" customHeight="1">
      <c r="A111" s="28" t="s">
        <v>231</v>
      </c>
      <c r="B111" s="29" t="s">
        <v>323</v>
      </c>
      <c r="C111" s="29" t="s">
        <v>52</v>
      </c>
      <c r="D111" s="29" t="s">
        <v>65</v>
      </c>
      <c r="E111" s="29" t="s">
        <v>67</v>
      </c>
      <c r="F111" s="29" t="s">
        <v>316</v>
      </c>
      <c r="G111" s="30" t="s">
        <v>312</v>
      </c>
      <c r="H111" s="31"/>
      <c r="I111" s="31">
        <v>81361.289999999994</v>
      </c>
      <c r="J111" s="32" t="str">
        <f t="shared" si="37"/>
        <v/>
      </c>
      <c r="K111" s="31"/>
      <c r="L111" s="31">
        <v>64333.06</v>
      </c>
      <c r="M111" s="32" t="str">
        <f t="shared" si="38"/>
        <v/>
      </c>
      <c r="N111" s="31"/>
      <c r="O111" s="31">
        <v>81600.03</v>
      </c>
      <c r="P111" s="32" t="str">
        <f t="shared" si="39"/>
        <v/>
      </c>
      <c r="Q111" s="31"/>
      <c r="R111" s="31">
        <v>60070.84</v>
      </c>
      <c r="S111" s="32" t="str">
        <f t="shared" si="40"/>
        <v/>
      </c>
      <c r="T111" s="31"/>
      <c r="U111" s="31">
        <v>54218.32</v>
      </c>
      <c r="V111" s="32" t="str">
        <f t="shared" si="41"/>
        <v/>
      </c>
      <c r="W111" s="31"/>
      <c r="X111" s="31">
        <v>15834.87</v>
      </c>
      <c r="Y111" s="32" t="str">
        <f t="shared" si="42"/>
        <v/>
      </c>
      <c r="Z111" s="31" t="str">
        <f t="shared" si="29"/>
        <v/>
      </c>
      <c r="AA111" s="31">
        <f t="shared" si="30"/>
        <v>357418.41</v>
      </c>
      <c r="AB111" s="32" t="str">
        <f t="shared" si="43"/>
        <v/>
      </c>
      <c r="AC111" s="31"/>
      <c r="AD111" s="31"/>
      <c r="AE111" s="32" t="str">
        <f t="shared" si="31"/>
        <v/>
      </c>
      <c r="AF111" s="32" t="s">
        <v>313</v>
      </c>
      <c r="AG111" s="31"/>
      <c r="AH111" s="31"/>
      <c r="AI111" s="32" t="str">
        <f t="shared" si="32"/>
        <v/>
      </c>
      <c r="AJ111" s="32" t="s">
        <v>313</v>
      </c>
      <c r="AK111" s="31"/>
      <c r="AL111" s="31"/>
      <c r="AM111" s="32" t="str">
        <f t="shared" si="33"/>
        <v/>
      </c>
      <c r="AN111" s="32" t="s">
        <v>313</v>
      </c>
      <c r="AO111" s="31"/>
      <c r="AP111" s="31"/>
      <c r="AQ111" s="32" t="str">
        <f t="shared" si="34"/>
        <v/>
      </c>
      <c r="AR111" s="32" t="s">
        <v>313</v>
      </c>
      <c r="AS111" s="31"/>
      <c r="AT111" s="31"/>
      <c r="AU111" s="32" t="str">
        <f t="shared" si="35"/>
        <v/>
      </c>
      <c r="AV111" s="32" t="s">
        <v>313</v>
      </c>
      <c r="AW111" s="31"/>
      <c r="AX111" s="31"/>
      <c r="AY111" s="32" t="str">
        <f t="shared" si="36"/>
        <v/>
      </c>
      <c r="AZ111" s="32" t="s">
        <v>313</v>
      </c>
    </row>
    <row r="112" spans="1:52" ht="34" customHeight="1">
      <c r="A112" s="28" t="s">
        <v>231</v>
      </c>
      <c r="B112" s="29" t="s">
        <v>323</v>
      </c>
      <c r="C112" s="29" t="s">
        <v>52</v>
      </c>
      <c r="D112" s="29" t="s">
        <v>65</v>
      </c>
      <c r="E112" s="29" t="s">
        <v>68</v>
      </c>
      <c r="F112" s="29" t="s">
        <v>316</v>
      </c>
      <c r="G112" s="30" t="s">
        <v>312</v>
      </c>
      <c r="H112" s="31"/>
      <c r="I112" s="31">
        <v>81361.289999999994</v>
      </c>
      <c r="J112" s="32" t="str">
        <f t="shared" si="37"/>
        <v/>
      </c>
      <c r="K112" s="31"/>
      <c r="L112" s="31">
        <v>64333.06</v>
      </c>
      <c r="M112" s="32" t="str">
        <f t="shared" si="38"/>
        <v/>
      </c>
      <c r="N112" s="31"/>
      <c r="O112" s="31">
        <v>81600.03</v>
      </c>
      <c r="P112" s="32" t="str">
        <f t="shared" si="39"/>
        <v/>
      </c>
      <c r="Q112" s="31"/>
      <c r="R112" s="31">
        <v>60070.84</v>
      </c>
      <c r="S112" s="32" t="str">
        <f t="shared" si="40"/>
        <v/>
      </c>
      <c r="T112" s="31"/>
      <c r="U112" s="31">
        <v>54218.32</v>
      </c>
      <c r="V112" s="32" t="str">
        <f t="shared" si="41"/>
        <v/>
      </c>
      <c r="W112" s="31"/>
      <c r="X112" s="31">
        <v>15834.87</v>
      </c>
      <c r="Y112" s="32" t="str">
        <f t="shared" si="42"/>
        <v/>
      </c>
      <c r="Z112" s="31" t="str">
        <f t="shared" si="29"/>
        <v/>
      </c>
      <c r="AA112" s="31">
        <f t="shared" si="30"/>
        <v>357418.41</v>
      </c>
      <c r="AB112" s="32" t="str">
        <f t="shared" si="43"/>
        <v/>
      </c>
      <c r="AC112" s="31"/>
      <c r="AD112" s="31"/>
      <c r="AE112" s="32" t="str">
        <f t="shared" si="31"/>
        <v/>
      </c>
      <c r="AF112" s="32" t="s">
        <v>313</v>
      </c>
      <c r="AG112" s="31"/>
      <c r="AH112" s="31"/>
      <c r="AI112" s="32" t="str">
        <f t="shared" si="32"/>
        <v/>
      </c>
      <c r="AJ112" s="32" t="s">
        <v>313</v>
      </c>
      <c r="AK112" s="31"/>
      <c r="AL112" s="31"/>
      <c r="AM112" s="32" t="str">
        <f t="shared" si="33"/>
        <v/>
      </c>
      <c r="AN112" s="32" t="s">
        <v>313</v>
      </c>
      <c r="AO112" s="31"/>
      <c r="AP112" s="31"/>
      <c r="AQ112" s="32" t="str">
        <f t="shared" si="34"/>
        <v/>
      </c>
      <c r="AR112" s="32" t="s">
        <v>313</v>
      </c>
      <c r="AS112" s="31"/>
      <c r="AT112" s="31"/>
      <c r="AU112" s="32" t="str">
        <f t="shared" si="35"/>
        <v/>
      </c>
      <c r="AV112" s="32" t="s">
        <v>313</v>
      </c>
      <c r="AW112" s="31"/>
      <c r="AX112" s="31"/>
      <c r="AY112" s="32" t="str">
        <f t="shared" si="36"/>
        <v/>
      </c>
      <c r="AZ112" s="32" t="s">
        <v>313</v>
      </c>
    </row>
    <row r="113" spans="1:52" ht="34" customHeight="1">
      <c r="A113" s="28" t="s">
        <v>231</v>
      </c>
      <c r="B113" s="29" t="s">
        <v>323</v>
      </c>
      <c r="C113" s="29" t="s">
        <v>52</v>
      </c>
      <c r="D113" s="29" t="s">
        <v>65</v>
      </c>
      <c r="E113" s="29" t="s">
        <v>69</v>
      </c>
      <c r="F113" s="29" t="s">
        <v>316</v>
      </c>
      <c r="G113" s="30" t="s">
        <v>312</v>
      </c>
      <c r="H113" s="31"/>
      <c r="I113" s="31">
        <v>81361.289999999994</v>
      </c>
      <c r="J113" s="32" t="str">
        <f t="shared" si="37"/>
        <v/>
      </c>
      <c r="K113" s="31"/>
      <c r="L113" s="31">
        <v>64333.06</v>
      </c>
      <c r="M113" s="32" t="str">
        <f t="shared" si="38"/>
        <v/>
      </c>
      <c r="N113" s="31"/>
      <c r="O113" s="31">
        <v>81600.03</v>
      </c>
      <c r="P113" s="32" t="str">
        <f t="shared" si="39"/>
        <v/>
      </c>
      <c r="Q113" s="31"/>
      <c r="R113" s="31">
        <v>60070.84</v>
      </c>
      <c r="S113" s="32" t="str">
        <f t="shared" si="40"/>
        <v/>
      </c>
      <c r="T113" s="31"/>
      <c r="U113" s="31">
        <v>54218.32</v>
      </c>
      <c r="V113" s="32" t="str">
        <f t="shared" si="41"/>
        <v/>
      </c>
      <c r="W113" s="31"/>
      <c r="X113" s="31">
        <v>15834.87</v>
      </c>
      <c r="Y113" s="32" t="str">
        <f t="shared" si="42"/>
        <v/>
      </c>
      <c r="Z113" s="31" t="str">
        <f t="shared" si="29"/>
        <v/>
      </c>
      <c r="AA113" s="31">
        <f t="shared" si="30"/>
        <v>357418.41</v>
      </c>
      <c r="AB113" s="32" t="str">
        <f t="shared" si="43"/>
        <v/>
      </c>
      <c r="AC113" s="31"/>
      <c r="AD113" s="31"/>
      <c r="AE113" s="32" t="str">
        <f t="shared" si="31"/>
        <v/>
      </c>
      <c r="AF113" s="32" t="s">
        <v>313</v>
      </c>
      <c r="AG113" s="31"/>
      <c r="AH113" s="31"/>
      <c r="AI113" s="32" t="str">
        <f t="shared" si="32"/>
        <v/>
      </c>
      <c r="AJ113" s="32" t="s">
        <v>313</v>
      </c>
      <c r="AK113" s="31"/>
      <c r="AL113" s="31"/>
      <c r="AM113" s="32" t="str">
        <f t="shared" si="33"/>
        <v/>
      </c>
      <c r="AN113" s="32" t="s">
        <v>313</v>
      </c>
      <c r="AO113" s="31"/>
      <c r="AP113" s="31"/>
      <c r="AQ113" s="32" t="str">
        <f t="shared" si="34"/>
        <v/>
      </c>
      <c r="AR113" s="32" t="s">
        <v>313</v>
      </c>
      <c r="AS113" s="31"/>
      <c r="AT113" s="31"/>
      <c r="AU113" s="32" t="str">
        <f t="shared" si="35"/>
        <v/>
      </c>
      <c r="AV113" s="32" t="s">
        <v>313</v>
      </c>
      <c r="AW113" s="31"/>
      <c r="AX113" s="31"/>
      <c r="AY113" s="32" t="str">
        <f t="shared" si="36"/>
        <v/>
      </c>
      <c r="AZ113" s="32" t="s">
        <v>313</v>
      </c>
    </row>
    <row r="114" spans="1:52" ht="68" customHeight="1">
      <c r="A114" s="28" t="s">
        <v>231</v>
      </c>
      <c r="B114" s="29" t="s">
        <v>323</v>
      </c>
      <c r="C114" s="29" t="s">
        <v>52</v>
      </c>
      <c r="D114" s="29" t="s">
        <v>70</v>
      </c>
      <c r="E114" s="29" t="s">
        <v>73</v>
      </c>
      <c r="F114" s="29" t="s">
        <v>317</v>
      </c>
      <c r="G114" s="30" t="s">
        <v>312</v>
      </c>
      <c r="H114" s="31">
        <v>0</v>
      </c>
      <c r="I114" s="31">
        <v>81361.289999999994</v>
      </c>
      <c r="J114" s="32">
        <f t="shared" si="37"/>
        <v>0</v>
      </c>
      <c r="K114" s="31">
        <v>0</v>
      </c>
      <c r="L114" s="31">
        <v>64333.06</v>
      </c>
      <c r="M114" s="32">
        <f t="shared" si="38"/>
        <v>0</v>
      </c>
      <c r="N114" s="31">
        <v>0</v>
      </c>
      <c r="O114" s="31">
        <v>81600.03</v>
      </c>
      <c r="P114" s="32">
        <f t="shared" si="39"/>
        <v>0</v>
      </c>
      <c r="Q114" s="31">
        <v>0</v>
      </c>
      <c r="R114" s="31">
        <v>60070.84</v>
      </c>
      <c r="S114" s="32">
        <f t="shared" si="40"/>
        <v>0</v>
      </c>
      <c r="T114" s="31">
        <v>0</v>
      </c>
      <c r="U114" s="31">
        <v>54218.32</v>
      </c>
      <c r="V114" s="32">
        <f t="shared" si="41"/>
        <v>0</v>
      </c>
      <c r="W114" s="31">
        <v>0</v>
      </c>
      <c r="X114" s="31">
        <v>15834.87</v>
      </c>
      <c r="Y114" s="32">
        <f t="shared" si="42"/>
        <v>0</v>
      </c>
      <c r="Z114" s="31">
        <f t="shared" si="29"/>
        <v>0</v>
      </c>
      <c r="AA114" s="31">
        <f t="shared" si="30"/>
        <v>357418.41</v>
      </c>
      <c r="AB114" s="32">
        <f t="shared" si="43"/>
        <v>0</v>
      </c>
      <c r="AC114" s="31"/>
      <c r="AD114" s="31"/>
      <c r="AE114" s="32" t="str">
        <f t="shared" si="31"/>
        <v/>
      </c>
      <c r="AF114" s="32" t="s">
        <v>313</v>
      </c>
      <c r="AG114" s="31"/>
      <c r="AH114" s="31"/>
      <c r="AI114" s="32" t="str">
        <f t="shared" si="32"/>
        <v/>
      </c>
      <c r="AJ114" s="32" t="s">
        <v>313</v>
      </c>
      <c r="AK114" s="31"/>
      <c r="AL114" s="31"/>
      <c r="AM114" s="32" t="str">
        <f t="shared" si="33"/>
        <v/>
      </c>
      <c r="AN114" s="32" t="s">
        <v>313</v>
      </c>
      <c r="AO114" s="31"/>
      <c r="AP114" s="31"/>
      <c r="AQ114" s="32" t="str">
        <f t="shared" si="34"/>
        <v/>
      </c>
      <c r="AR114" s="32" t="s">
        <v>313</v>
      </c>
      <c r="AS114" s="31"/>
      <c r="AT114" s="31"/>
      <c r="AU114" s="32" t="str">
        <f t="shared" si="35"/>
        <v/>
      </c>
      <c r="AV114" s="32" t="s">
        <v>313</v>
      </c>
      <c r="AW114" s="31"/>
      <c r="AX114" s="31"/>
      <c r="AY114" s="32" t="str">
        <f t="shared" si="36"/>
        <v/>
      </c>
      <c r="AZ114" s="32" t="s">
        <v>313</v>
      </c>
    </row>
    <row r="115" spans="1:52" ht="34" customHeight="1">
      <c r="A115" s="28" t="s">
        <v>231</v>
      </c>
      <c r="B115" s="29" t="s">
        <v>323</v>
      </c>
      <c r="C115" s="29" t="s">
        <v>52</v>
      </c>
      <c r="D115" s="29" t="s">
        <v>70</v>
      </c>
      <c r="E115" s="29" t="s">
        <v>71</v>
      </c>
      <c r="F115" s="29" t="s">
        <v>316</v>
      </c>
      <c r="G115" s="30" t="s">
        <v>312</v>
      </c>
      <c r="H115" s="31"/>
      <c r="I115" s="31">
        <v>81361.289999999994</v>
      </c>
      <c r="J115" s="32" t="str">
        <f t="shared" si="37"/>
        <v/>
      </c>
      <c r="K115" s="31"/>
      <c r="L115" s="31">
        <v>64333.06</v>
      </c>
      <c r="M115" s="32" t="str">
        <f t="shared" si="38"/>
        <v/>
      </c>
      <c r="N115" s="31"/>
      <c r="O115" s="31">
        <v>81600.03</v>
      </c>
      <c r="P115" s="32" t="str">
        <f t="shared" si="39"/>
        <v/>
      </c>
      <c r="Q115" s="31"/>
      <c r="R115" s="31">
        <v>60070.84</v>
      </c>
      <c r="S115" s="32" t="str">
        <f t="shared" si="40"/>
        <v/>
      </c>
      <c r="T115" s="31"/>
      <c r="U115" s="31">
        <v>54218.32</v>
      </c>
      <c r="V115" s="32" t="str">
        <f t="shared" si="41"/>
        <v/>
      </c>
      <c r="W115" s="31"/>
      <c r="X115" s="31">
        <v>15834.87</v>
      </c>
      <c r="Y115" s="32" t="str">
        <f t="shared" si="42"/>
        <v/>
      </c>
      <c r="Z115" s="31" t="str">
        <f t="shared" si="29"/>
        <v/>
      </c>
      <c r="AA115" s="31">
        <f t="shared" si="30"/>
        <v>357418.41</v>
      </c>
      <c r="AB115" s="32" t="str">
        <f t="shared" si="43"/>
        <v/>
      </c>
      <c r="AC115" s="31"/>
      <c r="AD115" s="31"/>
      <c r="AE115" s="32" t="str">
        <f t="shared" si="31"/>
        <v/>
      </c>
      <c r="AF115" s="32" t="s">
        <v>313</v>
      </c>
      <c r="AG115" s="31"/>
      <c r="AH115" s="31"/>
      <c r="AI115" s="32" t="str">
        <f t="shared" si="32"/>
        <v/>
      </c>
      <c r="AJ115" s="32" t="s">
        <v>313</v>
      </c>
      <c r="AK115" s="31"/>
      <c r="AL115" s="31"/>
      <c r="AM115" s="32" t="str">
        <f t="shared" si="33"/>
        <v/>
      </c>
      <c r="AN115" s="32" t="s">
        <v>313</v>
      </c>
      <c r="AO115" s="31"/>
      <c r="AP115" s="31"/>
      <c r="AQ115" s="32" t="str">
        <f t="shared" si="34"/>
        <v/>
      </c>
      <c r="AR115" s="32" t="s">
        <v>313</v>
      </c>
      <c r="AS115" s="31"/>
      <c r="AT115" s="31"/>
      <c r="AU115" s="32" t="str">
        <f t="shared" si="35"/>
        <v/>
      </c>
      <c r="AV115" s="32" t="s">
        <v>313</v>
      </c>
      <c r="AW115" s="31"/>
      <c r="AX115" s="31"/>
      <c r="AY115" s="32" t="str">
        <f t="shared" si="36"/>
        <v/>
      </c>
      <c r="AZ115" s="32" t="s">
        <v>313</v>
      </c>
    </row>
    <row r="116" spans="1:52" ht="34" customHeight="1">
      <c r="A116" s="28" t="s">
        <v>231</v>
      </c>
      <c r="B116" s="29" t="s">
        <v>323</v>
      </c>
      <c r="C116" s="29" t="s">
        <v>52</v>
      </c>
      <c r="D116" s="29" t="s">
        <v>70</v>
      </c>
      <c r="E116" s="29" t="s">
        <v>72</v>
      </c>
      <c r="F116" s="29" t="s">
        <v>316</v>
      </c>
      <c r="G116" s="30" t="s">
        <v>312</v>
      </c>
      <c r="H116" s="31"/>
      <c r="I116" s="31">
        <v>81361.289999999994</v>
      </c>
      <c r="J116" s="32" t="str">
        <f t="shared" si="37"/>
        <v/>
      </c>
      <c r="K116" s="31"/>
      <c r="L116" s="31">
        <v>64333.06</v>
      </c>
      <c r="M116" s="32" t="str">
        <f t="shared" si="38"/>
        <v/>
      </c>
      <c r="N116" s="31"/>
      <c r="O116" s="31">
        <v>81600.03</v>
      </c>
      <c r="P116" s="32" t="str">
        <f t="shared" si="39"/>
        <v/>
      </c>
      <c r="Q116" s="31"/>
      <c r="R116" s="31">
        <v>60070.84</v>
      </c>
      <c r="S116" s="32" t="str">
        <f t="shared" si="40"/>
        <v/>
      </c>
      <c r="T116" s="31"/>
      <c r="U116" s="31">
        <v>54218.32</v>
      </c>
      <c r="V116" s="32" t="str">
        <f t="shared" si="41"/>
        <v/>
      </c>
      <c r="W116" s="31"/>
      <c r="X116" s="31">
        <v>15834.87</v>
      </c>
      <c r="Y116" s="32" t="str">
        <f t="shared" si="42"/>
        <v/>
      </c>
      <c r="Z116" s="31" t="str">
        <f t="shared" si="29"/>
        <v/>
      </c>
      <c r="AA116" s="31">
        <f t="shared" si="30"/>
        <v>357418.41</v>
      </c>
      <c r="AB116" s="32" t="str">
        <f t="shared" si="43"/>
        <v/>
      </c>
      <c r="AC116" s="31"/>
      <c r="AD116" s="31"/>
      <c r="AE116" s="32" t="str">
        <f t="shared" si="31"/>
        <v/>
      </c>
      <c r="AF116" s="32" t="s">
        <v>313</v>
      </c>
      <c r="AG116" s="31"/>
      <c r="AH116" s="31"/>
      <c r="AI116" s="32" t="str">
        <f t="shared" si="32"/>
        <v/>
      </c>
      <c r="AJ116" s="32" t="s">
        <v>313</v>
      </c>
      <c r="AK116" s="31"/>
      <c r="AL116" s="31"/>
      <c r="AM116" s="32" t="str">
        <f t="shared" si="33"/>
        <v/>
      </c>
      <c r="AN116" s="32" t="s">
        <v>313</v>
      </c>
      <c r="AO116" s="31"/>
      <c r="AP116" s="31"/>
      <c r="AQ116" s="32" t="str">
        <f t="shared" si="34"/>
        <v/>
      </c>
      <c r="AR116" s="32" t="s">
        <v>313</v>
      </c>
      <c r="AS116" s="31"/>
      <c r="AT116" s="31"/>
      <c r="AU116" s="32" t="str">
        <f t="shared" si="35"/>
        <v/>
      </c>
      <c r="AV116" s="32" t="s">
        <v>313</v>
      </c>
      <c r="AW116" s="31"/>
      <c r="AX116" s="31"/>
      <c r="AY116" s="32" t="str">
        <f t="shared" si="36"/>
        <v/>
      </c>
      <c r="AZ116" s="32" t="s">
        <v>313</v>
      </c>
    </row>
    <row r="117" spans="1:52" ht="34" customHeight="1">
      <c r="A117" s="28" t="s">
        <v>231</v>
      </c>
      <c r="B117" s="29" t="s">
        <v>323</v>
      </c>
      <c r="C117" s="29" t="s">
        <v>52</v>
      </c>
      <c r="D117" s="29" t="s">
        <v>74</v>
      </c>
      <c r="E117" s="29" t="s">
        <v>75</v>
      </c>
      <c r="F117" s="29" t="s">
        <v>139</v>
      </c>
      <c r="G117" s="30" t="s">
        <v>312</v>
      </c>
      <c r="H117" s="31">
        <v>2293.5</v>
      </c>
      <c r="I117" s="31">
        <v>81361.289999999994</v>
      </c>
      <c r="J117" s="32">
        <f t="shared" si="37"/>
        <v>2.8189081072829601E-2</v>
      </c>
      <c r="K117" s="31">
        <v>2019.6</v>
      </c>
      <c r="L117" s="31">
        <v>64333.06</v>
      </c>
      <c r="M117" s="32">
        <f t="shared" si="38"/>
        <v>3.1392879493063131E-2</v>
      </c>
      <c r="N117" s="31">
        <v>2308.3000000000002</v>
      </c>
      <c r="O117" s="31">
        <v>81600.03</v>
      </c>
      <c r="P117" s="32">
        <f t="shared" si="39"/>
        <v>2.8287979796085862E-2</v>
      </c>
      <c r="Q117" s="31">
        <v>1684.3</v>
      </c>
      <c r="R117" s="31">
        <v>60070.84</v>
      </c>
      <c r="S117" s="32">
        <f t="shared" si="40"/>
        <v>2.8038562470576407E-2</v>
      </c>
      <c r="T117" s="31">
        <v>1966.6</v>
      </c>
      <c r="U117" s="31">
        <v>54218.32</v>
      </c>
      <c r="V117" s="32">
        <f t="shared" si="41"/>
        <v>3.6271872680673244E-2</v>
      </c>
      <c r="W117" s="31">
        <v>602.5</v>
      </c>
      <c r="X117" s="31">
        <v>15834.87</v>
      </c>
      <c r="Y117" s="32">
        <f t="shared" si="42"/>
        <v>3.8048938829305198E-2</v>
      </c>
      <c r="Z117" s="31">
        <f t="shared" si="29"/>
        <v>10874.800000000001</v>
      </c>
      <c r="AA117" s="31">
        <f t="shared" si="30"/>
        <v>357418.41</v>
      </c>
      <c r="AB117" s="32">
        <f t="shared" si="43"/>
        <v>3.0425964907627456E-2</v>
      </c>
      <c r="AC117" s="31"/>
      <c r="AD117" s="31"/>
      <c r="AE117" s="32" t="str">
        <f t="shared" si="31"/>
        <v/>
      </c>
      <c r="AF117" s="32" t="s">
        <v>313</v>
      </c>
      <c r="AG117" s="31"/>
      <c r="AH117" s="31"/>
      <c r="AI117" s="32" t="str">
        <f t="shared" si="32"/>
        <v/>
      </c>
      <c r="AJ117" s="32" t="s">
        <v>313</v>
      </c>
      <c r="AK117" s="31"/>
      <c r="AL117" s="31"/>
      <c r="AM117" s="32" t="str">
        <f t="shared" si="33"/>
        <v/>
      </c>
      <c r="AN117" s="32" t="s">
        <v>313</v>
      </c>
      <c r="AO117" s="31"/>
      <c r="AP117" s="31"/>
      <c r="AQ117" s="32" t="str">
        <f t="shared" si="34"/>
        <v/>
      </c>
      <c r="AR117" s="32" t="s">
        <v>313</v>
      </c>
      <c r="AS117" s="31"/>
      <c r="AT117" s="31"/>
      <c r="AU117" s="32" t="str">
        <f t="shared" si="35"/>
        <v/>
      </c>
      <c r="AV117" s="32" t="s">
        <v>313</v>
      </c>
      <c r="AW117" s="31"/>
      <c r="AX117" s="31"/>
      <c r="AY117" s="32" t="str">
        <f t="shared" si="36"/>
        <v/>
      </c>
      <c r="AZ117" s="32" t="s">
        <v>313</v>
      </c>
    </row>
    <row r="118" spans="1:52" ht="34" customHeight="1">
      <c r="A118" s="28" t="s">
        <v>231</v>
      </c>
      <c r="B118" s="29" t="s">
        <v>323</v>
      </c>
      <c r="C118" s="29" t="s">
        <v>52</v>
      </c>
      <c r="D118" s="29" t="s">
        <v>74</v>
      </c>
      <c r="E118" s="29" t="s">
        <v>76</v>
      </c>
      <c r="F118" s="29" t="s">
        <v>141</v>
      </c>
      <c r="G118" s="30" t="s">
        <v>312</v>
      </c>
      <c r="H118" s="31">
        <v>855.79417999999998</v>
      </c>
      <c r="I118" s="31">
        <v>81361.289999999994</v>
      </c>
      <c r="J118" s="32">
        <f t="shared" si="37"/>
        <v>1.0518444090549696E-2</v>
      </c>
      <c r="K118" s="31">
        <v>580.4582439802</v>
      </c>
      <c r="L118" s="31">
        <v>64333.06</v>
      </c>
      <c r="M118" s="32">
        <f t="shared" si="38"/>
        <v>9.0227053396838269E-3</v>
      </c>
      <c r="N118" s="31">
        <v>658.73</v>
      </c>
      <c r="O118" s="31">
        <v>81600.03</v>
      </c>
      <c r="P118" s="32">
        <f t="shared" si="39"/>
        <v>8.0726686007345835E-3</v>
      </c>
      <c r="Q118" s="31">
        <v>510.54</v>
      </c>
      <c r="R118" s="31">
        <v>60070.84</v>
      </c>
      <c r="S118" s="32">
        <f t="shared" si="40"/>
        <v>8.4989655546684559E-3</v>
      </c>
      <c r="T118" s="31">
        <v>643.72</v>
      </c>
      <c r="U118" s="31">
        <v>54218.32</v>
      </c>
      <c r="V118" s="32">
        <f t="shared" si="41"/>
        <v>1.1872739693889446E-2</v>
      </c>
      <c r="W118" s="31">
        <v>201.37</v>
      </c>
      <c r="X118" s="31">
        <v>15834.87</v>
      </c>
      <c r="Y118" s="32">
        <f t="shared" si="42"/>
        <v>1.2716871057356327E-2</v>
      </c>
      <c r="Z118" s="31">
        <f t="shared" si="29"/>
        <v>3450.6124239802002</v>
      </c>
      <c r="AA118" s="31">
        <f t="shared" si="30"/>
        <v>357418.41</v>
      </c>
      <c r="AB118" s="32">
        <f t="shared" si="43"/>
        <v>9.6542660574764471E-3</v>
      </c>
      <c r="AC118" s="31"/>
      <c r="AD118" s="31"/>
      <c r="AE118" s="32" t="str">
        <f t="shared" si="31"/>
        <v/>
      </c>
      <c r="AF118" s="32" t="s">
        <v>313</v>
      </c>
      <c r="AG118" s="31"/>
      <c r="AH118" s="31"/>
      <c r="AI118" s="32" t="str">
        <f t="shared" si="32"/>
        <v/>
      </c>
      <c r="AJ118" s="32" t="s">
        <v>313</v>
      </c>
      <c r="AK118" s="31"/>
      <c r="AL118" s="31"/>
      <c r="AM118" s="32" t="str">
        <f t="shared" si="33"/>
        <v/>
      </c>
      <c r="AN118" s="32" t="s">
        <v>313</v>
      </c>
      <c r="AO118" s="31"/>
      <c r="AP118" s="31"/>
      <c r="AQ118" s="32" t="str">
        <f t="shared" si="34"/>
        <v/>
      </c>
      <c r="AR118" s="32" t="s">
        <v>313</v>
      </c>
      <c r="AS118" s="31"/>
      <c r="AT118" s="31"/>
      <c r="AU118" s="32" t="str">
        <f t="shared" si="35"/>
        <v/>
      </c>
      <c r="AV118" s="32" t="s">
        <v>313</v>
      </c>
      <c r="AW118" s="31"/>
      <c r="AX118" s="31"/>
      <c r="AY118" s="32" t="str">
        <f t="shared" si="36"/>
        <v/>
      </c>
      <c r="AZ118" s="32" t="s">
        <v>313</v>
      </c>
    </row>
    <row r="119" spans="1:52" ht="34" customHeight="1">
      <c r="A119" s="28" t="s">
        <v>231</v>
      </c>
      <c r="B119" s="29" t="s">
        <v>323</v>
      </c>
      <c r="C119" s="29" t="s">
        <v>52</v>
      </c>
      <c r="D119" s="29" t="s">
        <v>74</v>
      </c>
      <c r="E119" s="29" t="s">
        <v>77</v>
      </c>
      <c r="F119" s="29" t="s">
        <v>316</v>
      </c>
      <c r="G119" s="30" t="s">
        <v>312</v>
      </c>
      <c r="H119" s="31"/>
      <c r="I119" s="31">
        <v>81361.289999999994</v>
      </c>
      <c r="J119" s="32" t="str">
        <f t="shared" si="37"/>
        <v/>
      </c>
      <c r="K119" s="31"/>
      <c r="L119" s="31">
        <v>64333.06</v>
      </c>
      <c r="M119" s="32" t="str">
        <f t="shared" si="38"/>
        <v/>
      </c>
      <c r="N119" s="31"/>
      <c r="O119" s="31">
        <v>81600.03</v>
      </c>
      <c r="P119" s="32" t="str">
        <f t="shared" si="39"/>
        <v/>
      </c>
      <c r="Q119" s="31"/>
      <c r="R119" s="31">
        <v>60070.84</v>
      </c>
      <c r="S119" s="32" t="str">
        <f t="shared" si="40"/>
        <v/>
      </c>
      <c r="T119" s="31"/>
      <c r="U119" s="31">
        <v>54218.32</v>
      </c>
      <c r="V119" s="32" t="str">
        <f t="shared" si="41"/>
        <v/>
      </c>
      <c r="W119" s="31"/>
      <c r="X119" s="31">
        <v>15834.87</v>
      </c>
      <c r="Y119" s="32" t="str">
        <f t="shared" si="42"/>
        <v/>
      </c>
      <c r="Z119" s="31" t="str">
        <f t="shared" si="29"/>
        <v/>
      </c>
      <c r="AA119" s="31">
        <f t="shared" si="30"/>
        <v>357418.41</v>
      </c>
      <c r="AB119" s="32" t="str">
        <f t="shared" si="43"/>
        <v/>
      </c>
      <c r="AC119" s="31"/>
      <c r="AD119" s="31"/>
      <c r="AE119" s="32" t="str">
        <f t="shared" si="31"/>
        <v/>
      </c>
      <c r="AF119" s="32" t="s">
        <v>313</v>
      </c>
      <c r="AG119" s="31"/>
      <c r="AH119" s="31"/>
      <c r="AI119" s="32" t="str">
        <f t="shared" si="32"/>
        <v/>
      </c>
      <c r="AJ119" s="32" t="s">
        <v>313</v>
      </c>
      <c r="AK119" s="31"/>
      <c r="AL119" s="31"/>
      <c r="AM119" s="32" t="str">
        <f t="shared" si="33"/>
        <v/>
      </c>
      <c r="AN119" s="32" t="s">
        <v>313</v>
      </c>
      <c r="AO119" s="31"/>
      <c r="AP119" s="31"/>
      <c r="AQ119" s="32" t="str">
        <f t="shared" si="34"/>
        <v/>
      </c>
      <c r="AR119" s="32" t="s">
        <v>313</v>
      </c>
      <c r="AS119" s="31"/>
      <c r="AT119" s="31"/>
      <c r="AU119" s="32" t="str">
        <f t="shared" si="35"/>
        <v/>
      </c>
      <c r="AV119" s="32" t="s">
        <v>313</v>
      </c>
      <c r="AW119" s="31"/>
      <c r="AX119" s="31"/>
      <c r="AY119" s="32" t="str">
        <f t="shared" si="36"/>
        <v/>
      </c>
      <c r="AZ119" s="32" t="s">
        <v>313</v>
      </c>
    </row>
    <row r="120" spans="1:52" ht="34" customHeight="1">
      <c r="A120" s="28" t="s">
        <v>231</v>
      </c>
      <c r="B120" s="29" t="s">
        <v>323</v>
      </c>
      <c r="C120" s="29" t="s">
        <v>52</v>
      </c>
      <c r="D120" s="29" t="s">
        <v>74</v>
      </c>
      <c r="E120" s="29" t="s">
        <v>78</v>
      </c>
      <c r="F120" s="29" t="s">
        <v>144</v>
      </c>
      <c r="G120" s="30" t="s">
        <v>312</v>
      </c>
      <c r="H120" s="31">
        <v>0</v>
      </c>
      <c r="I120" s="31">
        <v>81361.289999999994</v>
      </c>
      <c r="J120" s="32">
        <f t="shared" si="37"/>
        <v>0</v>
      </c>
      <c r="K120" s="31">
        <v>0</v>
      </c>
      <c r="L120" s="31">
        <v>64333.06</v>
      </c>
      <c r="M120" s="32">
        <f t="shared" si="38"/>
        <v>0</v>
      </c>
      <c r="N120" s="31">
        <v>0</v>
      </c>
      <c r="O120" s="31">
        <v>81600.03</v>
      </c>
      <c r="P120" s="32">
        <f t="shared" si="39"/>
        <v>0</v>
      </c>
      <c r="Q120" s="31">
        <v>0</v>
      </c>
      <c r="R120" s="31">
        <v>60070.84</v>
      </c>
      <c r="S120" s="32">
        <f t="shared" si="40"/>
        <v>0</v>
      </c>
      <c r="T120" s="31">
        <v>0</v>
      </c>
      <c r="U120" s="31">
        <v>54218.32</v>
      </c>
      <c r="V120" s="32">
        <f t="shared" si="41"/>
        <v>0</v>
      </c>
      <c r="W120" s="31">
        <v>0</v>
      </c>
      <c r="X120" s="31">
        <v>15834.87</v>
      </c>
      <c r="Y120" s="32">
        <f t="shared" si="42"/>
        <v>0</v>
      </c>
      <c r="Z120" s="31">
        <f t="shared" si="29"/>
        <v>0</v>
      </c>
      <c r="AA120" s="31">
        <f t="shared" si="30"/>
        <v>357418.41</v>
      </c>
      <c r="AB120" s="32">
        <f t="shared" si="43"/>
        <v>0</v>
      </c>
      <c r="AC120" s="31"/>
      <c r="AD120" s="31"/>
      <c r="AE120" s="32" t="str">
        <f t="shared" si="31"/>
        <v/>
      </c>
      <c r="AF120" s="32" t="s">
        <v>313</v>
      </c>
      <c r="AG120" s="31"/>
      <c r="AH120" s="31"/>
      <c r="AI120" s="32" t="str">
        <f t="shared" si="32"/>
        <v/>
      </c>
      <c r="AJ120" s="32" t="s">
        <v>313</v>
      </c>
      <c r="AK120" s="31"/>
      <c r="AL120" s="31"/>
      <c r="AM120" s="32" t="str">
        <f t="shared" si="33"/>
        <v/>
      </c>
      <c r="AN120" s="32" t="s">
        <v>313</v>
      </c>
      <c r="AO120" s="31"/>
      <c r="AP120" s="31"/>
      <c r="AQ120" s="32" t="str">
        <f t="shared" si="34"/>
        <v/>
      </c>
      <c r="AR120" s="32" t="s">
        <v>313</v>
      </c>
      <c r="AS120" s="31"/>
      <c r="AT120" s="31"/>
      <c r="AU120" s="32" t="str">
        <f t="shared" si="35"/>
        <v/>
      </c>
      <c r="AV120" s="32" t="s">
        <v>313</v>
      </c>
      <c r="AW120" s="31"/>
      <c r="AX120" s="31"/>
      <c r="AY120" s="32" t="str">
        <f t="shared" si="36"/>
        <v/>
      </c>
      <c r="AZ120" s="32" t="s">
        <v>313</v>
      </c>
    </row>
    <row r="121" spans="1:52" ht="34" customHeight="1">
      <c r="A121" s="28" t="s">
        <v>231</v>
      </c>
      <c r="B121" s="29" t="s">
        <v>323</v>
      </c>
      <c r="C121" s="29" t="s">
        <v>52</v>
      </c>
      <c r="D121" s="29" t="s">
        <v>79</v>
      </c>
      <c r="E121" s="29" t="s">
        <v>80</v>
      </c>
      <c r="F121" s="29" t="s">
        <v>318</v>
      </c>
      <c r="G121" s="30" t="s">
        <v>312</v>
      </c>
      <c r="H121" s="31">
        <v>0</v>
      </c>
      <c r="I121" s="31">
        <v>81361.289999999994</v>
      </c>
      <c r="J121" s="32">
        <f t="shared" si="37"/>
        <v>0</v>
      </c>
      <c r="K121" s="31">
        <v>-5.5297277867793996E-10</v>
      </c>
      <c r="L121" s="31">
        <v>64333.06</v>
      </c>
      <c r="M121" s="32">
        <f t="shared" si="38"/>
        <v>-8.5954683125276487E-15</v>
      </c>
      <c r="N121" s="31">
        <v>0</v>
      </c>
      <c r="O121" s="31">
        <v>81600.03</v>
      </c>
      <c r="P121" s="32">
        <f t="shared" si="39"/>
        <v>0</v>
      </c>
      <c r="Q121" s="31">
        <v>0</v>
      </c>
      <c r="R121" s="31">
        <v>60070.84</v>
      </c>
      <c r="S121" s="32">
        <f t="shared" si="40"/>
        <v>0</v>
      </c>
      <c r="T121" s="31">
        <v>0</v>
      </c>
      <c r="U121" s="31">
        <v>54218.32</v>
      </c>
      <c r="V121" s="32">
        <f t="shared" si="41"/>
        <v>0</v>
      </c>
      <c r="W121" s="31">
        <v>0</v>
      </c>
      <c r="X121" s="31">
        <v>15834.87</v>
      </c>
      <c r="Y121" s="32">
        <f t="shared" si="42"/>
        <v>0</v>
      </c>
      <c r="Z121" s="31">
        <f t="shared" si="29"/>
        <v>-5.5297277867793996E-10</v>
      </c>
      <c r="AA121" s="31">
        <f t="shared" si="30"/>
        <v>357418.41</v>
      </c>
      <c r="AB121" s="32">
        <f t="shared" si="43"/>
        <v>-1.5471300951675656E-15</v>
      </c>
      <c r="AC121" s="31"/>
      <c r="AD121" s="31"/>
      <c r="AE121" s="32" t="str">
        <f t="shared" si="31"/>
        <v/>
      </c>
      <c r="AF121" s="32" t="s">
        <v>313</v>
      </c>
      <c r="AG121" s="31"/>
      <c r="AH121" s="31"/>
      <c r="AI121" s="32" t="str">
        <f t="shared" si="32"/>
        <v/>
      </c>
      <c r="AJ121" s="32" t="s">
        <v>313</v>
      </c>
      <c r="AK121" s="31"/>
      <c r="AL121" s="31"/>
      <c r="AM121" s="32" t="str">
        <f t="shared" si="33"/>
        <v/>
      </c>
      <c r="AN121" s="32" t="s">
        <v>313</v>
      </c>
      <c r="AO121" s="31"/>
      <c r="AP121" s="31"/>
      <c r="AQ121" s="32" t="str">
        <f t="shared" si="34"/>
        <v/>
      </c>
      <c r="AR121" s="32" t="s">
        <v>313</v>
      </c>
      <c r="AS121" s="31"/>
      <c r="AT121" s="31"/>
      <c r="AU121" s="32" t="str">
        <f t="shared" si="35"/>
        <v/>
      </c>
      <c r="AV121" s="32" t="s">
        <v>313</v>
      </c>
      <c r="AW121" s="31"/>
      <c r="AX121" s="31"/>
      <c r="AY121" s="32" t="str">
        <f t="shared" si="36"/>
        <v/>
      </c>
      <c r="AZ121" s="32" t="s">
        <v>313</v>
      </c>
    </row>
    <row r="122" spans="1:52" ht="34" customHeight="1">
      <c r="A122" s="28" t="s">
        <v>231</v>
      </c>
      <c r="B122" s="29" t="s">
        <v>323</v>
      </c>
      <c r="C122" s="29" t="s">
        <v>52</v>
      </c>
      <c r="D122" s="29" t="s">
        <v>79</v>
      </c>
      <c r="E122" s="29" t="s">
        <v>81</v>
      </c>
      <c r="F122" s="29" t="s">
        <v>316</v>
      </c>
      <c r="G122" s="30" t="s">
        <v>312</v>
      </c>
      <c r="H122" s="31"/>
      <c r="I122" s="31">
        <v>81361.289999999994</v>
      </c>
      <c r="J122" s="32" t="str">
        <f t="shared" si="37"/>
        <v/>
      </c>
      <c r="K122" s="31"/>
      <c r="L122" s="31">
        <v>64333.06</v>
      </c>
      <c r="M122" s="32" t="str">
        <f t="shared" si="38"/>
        <v/>
      </c>
      <c r="N122" s="31"/>
      <c r="O122" s="31">
        <v>81600.03</v>
      </c>
      <c r="P122" s="32" t="str">
        <f t="shared" si="39"/>
        <v/>
      </c>
      <c r="Q122" s="31"/>
      <c r="R122" s="31">
        <v>60070.84</v>
      </c>
      <c r="S122" s="32" t="str">
        <f t="shared" si="40"/>
        <v/>
      </c>
      <c r="T122" s="31"/>
      <c r="U122" s="31">
        <v>54218.32</v>
      </c>
      <c r="V122" s="32" t="str">
        <f t="shared" si="41"/>
        <v/>
      </c>
      <c r="W122" s="31"/>
      <c r="X122" s="31">
        <v>15834.87</v>
      </c>
      <c r="Y122" s="32" t="str">
        <f t="shared" si="42"/>
        <v/>
      </c>
      <c r="Z122" s="31" t="str">
        <f t="shared" si="29"/>
        <v/>
      </c>
      <c r="AA122" s="31">
        <f t="shared" si="30"/>
        <v>357418.41</v>
      </c>
      <c r="AB122" s="32" t="str">
        <f t="shared" si="43"/>
        <v/>
      </c>
      <c r="AC122" s="31"/>
      <c r="AD122" s="31"/>
      <c r="AE122" s="32" t="str">
        <f t="shared" si="31"/>
        <v/>
      </c>
      <c r="AF122" s="32" t="s">
        <v>313</v>
      </c>
      <c r="AG122" s="31"/>
      <c r="AH122" s="31"/>
      <c r="AI122" s="32" t="str">
        <f t="shared" si="32"/>
        <v/>
      </c>
      <c r="AJ122" s="32" t="s">
        <v>313</v>
      </c>
      <c r="AK122" s="31"/>
      <c r="AL122" s="31"/>
      <c r="AM122" s="32" t="str">
        <f t="shared" si="33"/>
        <v/>
      </c>
      <c r="AN122" s="32" t="s">
        <v>313</v>
      </c>
      <c r="AO122" s="31"/>
      <c r="AP122" s="31"/>
      <c r="AQ122" s="32" t="str">
        <f t="shared" si="34"/>
        <v/>
      </c>
      <c r="AR122" s="32" t="s">
        <v>313</v>
      </c>
      <c r="AS122" s="31"/>
      <c r="AT122" s="31"/>
      <c r="AU122" s="32" t="str">
        <f t="shared" si="35"/>
        <v/>
      </c>
      <c r="AV122" s="32" t="s">
        <v>313</v>
      </c>
      <c r="AW122" s="31"/>
      <c r="AX122" s="31"/>
      <c r="AY122" s="32" t="str">
        <f t="shared" si="36"/>
        <v/>
      </c>
      <c r="AZ122" s="32" t="s">
        <v>313</v>
      </c>
    </row>
    <row r="123" spans="1:52" ht="34" customHeight="1">
      <c r="A123" s="28" t="s">
        <v>231</v>
      </c>
      <c r="B123" s="29" t="s">
        <v>323</v>
      </c>
      <c r="C123" s="29" t="s">
        <v>52</v>
      </c>
      <c r="D123" s="29" t="s">
        <v>79</v>
      </c>
      <c r="E123" s="29" t="s">
        <v>82</v>
      </c>
      <c r="F123" s="29" t="s">
        <v>316</v>
      </c>
      <c r="G123" s="30" t="s">
        <v>312</v>
      </c>
      <c r="H123" s="31"/>
      <c r="I123" s="31">
        <v>81361.289999999994</v>
      </c>
      <c r="J123" s="32" t="str">
        <f t="shared" si="37"/>
        <v/>
      </c>
      <c r="K123" s="31"/>
      <c r="L123" s="31">
        <v>64333.06</v>
      </c>
      <c r="M123" s="32" t="str">
        <f t="shared" si="38"/>
        <v/>
      </c>
      <c r="N123" s="31"/>
      <c r="O123" s="31">
        <v>81600.03</v>
      </c>
      <c r="P123" s="32" t="str">
        <f t="shared" si="39"/>
        <v/>
      </c>
      <c r="Q123" s="31"/>
      <c r="R123" s="31">
        <v>60070.84</v>
      </c>
      <c r="S123" s="32" t="str">
        <f t="shared" si="40"/>
        <v/>
      </c>
      <c r="T123" s="31"/>
      <c r="U123" s="31">
        <v>54218.32</v>
      </c>
      <c r="V123" s="32" t="str">
        <f t="shared" si="41"/>
        <v/>
      </c>
      <c r="W123" s="31"/>
      <c r="X123" s="31">
        <v>15834.87</v>
      </c>
      <c r="Y123" s="32" t="str">
        <f t="shared" si="42"/>
        <v/>
      </c>
      <c r="Z123" s="31" t="str">
        <f t="shared" si="29"/>
        <v/>
      </c>
      <c r="AA123" s="31">
        <f t="shared" si="30"/>
        <v>357418.41</v>
      </c>
      <c r="AB123" s="32" t="str">
        <f t="shared" si="43"/>
        <v/>
      </c>
      <c r="AC123" s="31"/>
      <c r="AD123" s="31"/>
      <c r="AE123" s="32" t="str">
        <f t="shared" si="31"/>
        <v/>
      </c>
      <c r="AF123" s="32" t="s">
        <v>313</v>
      </c>
      <c r="AG123" s="31"/>
      <c r="AH123" s="31"/>
      <c r="AI123" s="32" t="str">
        <f t="shared" si="32"/>
        <v/>
      </c>
      <c r="AJ123" s="32" t="s">
        <v>313</v>
      </c>
      <c r="AK123" s="31"/>
      <c r="AL123" s="31"/>
      <c r="AM123" s="32" t="str">
        <f t="shared" si="33"/>
        <v/>
      </c>
      <c r="AN123" s="32" t="s">
        <v>313</v>
      </c>
      <c r="AO123" s="31"/>
      <c r="AP123" s="31"/>
      <c r="AQ123" s="32" t="str">
        <f t="shared" si="34"/>
        <v/>
      </c>
      <c r="AR123" s="32" t="s">
        <v>313</v>
      </c>
      <c r="AS123" s="31"/>
      <c r="AT123" s="31"/>
      <c r="AU123" s="32" t="str">
        <f t="shared" si="35"/>
        <v/>
      </c>
      <c r="AV123" s="32" t="s">
        <v>313</v>
      </c>
      <c r="AW123" s="31"/>
      <c r="AX123" s="31"/>
      <c r="AY123" s="32" t="str">
        <f t="shared" si="36"/>
        <v/>
      </c>
      <c r="AZ123" s="32" t="s">
        <v>313</v>
      </c>
    </row>
    <row r="124" spans="1:52" ht="34" customHeight="1">
      <c r="A124" s="28" t="s">
        <v>231</v>
      </c>
      <c r="B124" s="29" t="s">
        <v>323</v>
      </c>
      <c r="C124" s="29" t="s">
        <v>85</v>
      </c>
      <c r="D124" s="29" t="s">
        <v>79</v>
      </c>
      <c r="E124" s="29" t="s">
        <v>80</v>
      </c>
      <c r="F124" s="29" t="s">
        <v>316</v>
      </c>
      <c r="G124" s="30" t="s">
        <v>312</v>
      </c>
      <c r="H124" s="31"/>
      <c r="I124" s="31">
        <v>81361.289999999994</v>
      </c>
      <c r="J124" s="32" t="str">
        <f t="shared" si="37"/>
        <v/>
      </c>
      <c r="K124" s="31"/>
      <c r="L124" s="31">
        <v>64333.06</v>
      </c>
      <c r="M124" s="32" t="str">
        <f t="shared" si="38"/>
        <v/>
      </c>
      <c r="N124" s="31"/>
      <c r="O124" s="31">
        <v>81600.03</v>
      </c>
      <c r="P124" s="32" t="str">
        <f t="shared" si="39"/>
        <v/>
      </c>
      <c r="Q124" s="31"/>
      <c r="R124" s="31">
        <v>60070.84</v>
      </c>
      <c r="S124" s="32" t="str">
        <f t="shared" si="40"/>
        <v/>
      </c>
      <c r="T124" s="31"/>
      <c r="U124" s="31">
        <v>54218.32</v>
      </c>
      <c r="V124" s="32" t="str">
        <f t="shared" si="41"/>
        <v/>
      </c>
      <c r="W124" s="31"/>
      <c r="X124" s="31">
        <v>15834.87</v>
      </c>
      <c r="Y124" s="32" t="str">
        <f t="shared" si="42"/>
        <v/>
      </c>
      <c r="Z124" s="31" t="str">
        <f t="shared" si="29"/>
        <v/>
      </c>
      <c r="AA124" s="31">
        <f t="shared" si="30"/>
        <v>357418.41</v>
      </c>
      <c r="AB124" s="32" t="str">
        <f t="shared" si="43"/>
        <v/>
      </c>
      <c r="AC124" s="31"/>
      <c r="AD124" s="31"/>
      <c r="AE124" s="32" t="str">
        <f t="shared" si="31"/>
        <v/>
      </c>
      <c r="AF124" s="32" t="s">
        <v>313</v>
      </c>
      <c r="AG124" s="31"/>
      <c r="AH124" s="31"/>
      <c r="AI124" s="32" t="str">
        <f t="shared" si="32"/>
        <v/>
      </c>
      <c r="AJ124" s="32" t="s">
        <v>313</v>
      </c>
      <c r="AK124" s="31"/>
      <c r="AL124" s="31"/>
      <c r="AM124" s="32" t="str">
        <f t="shared" si="33"/>
        <v/>
      </c>
      <c r="AN124" s="32" t="s">
        <v>313</v>
      </c>
      <c r="AO124" s="31"/>
      <c r="AP124" s="31"/>
      <c r="AQ124" s="32" t="str">
        <f t="shared" si="34"/>
        <v/>
      </c>
      <c r="AR124" s="32" t="s">
        <v>313</v>
      </c>
      <c r="AS124" s="31"/>
      <c r="AT124" s="31"/>
      <c r="AU124" s="32" t="str">
        <f t="shared" si="35"/>
        <v/>
      </c>
      <c r="AV124" s="32" t="s">
        <v>313</v>
      </c>
      <c r="AW124" s="31"/>
      <c r="AX124" s="31"/>
      <c r="AY124" s="32" t="str">
        <f t="shared" si="36"/>
        <v/>
      </c>
      <c r="AZ124" s="32" t="s">
        <v>313</v>
      </c>
    </row>
    <row r="125" spans="1:52" ht="34" customHeight="1">
      <c r="A125" s="28" t="s">
        <v>231</v>
      </c>
      <c r="B125" s="29" t="s">
        <v>323</v>
      </c>
      <c r="C125" s="29" t="s">
        <v>85</v>
      </c>
      <c r="D125" s="29" t="s">
        <v>79</v>
      </c>
      <c r="E125" s="29" t="s">
        <v>81</v>
      </c>
      <c r="F125" s="29" t="s">
        <v>316</v>
      </c>
      <c r="G125" s="30" t="s">
        <v>312</v>
      </c>
      <c r="H125" s="31"/>
      <c r="I125" s="31">
        <v>81361.289999999994</v>
      </c>
      <c r="J125" s="32" t="str">
        <f t="shared" si="37"/>
        <v/>
      </c>
      <c r="K125" s="31"/>
      <c r="L125" s="31">
        <v>64333.06</v>
      </c>
      <c r="M125" s="32" t="str">
        <f t="shared" si="38"/>
        <v/>
      </c>
      <c r="N125" s="31"/>
      <c r="O125" s="31">
        <v>81600.03</v>
      </c>
      <c r="P125" s="32" t="str">
        <f t="shared" si="39"/>
        <v/>
      </c>
      <c r="Q125" s="31"/>
      <c r="R125" s="31">
        <v>60070.84</v>
      </c>
      <c r="S125" s="32" t="str">
        <f t="shared" si="40"/>
        <v/>
      </c>
      <c r="T125" s="31"/>
      <c r="U125" s="31">
        <v>54218.32</v>
      </c>
      <c r="V125" s="32" t="str">
        <f t="shared" si="41"/>
        <v/>
      </c>
      <c r="W125" s="31"/>
      <c r="X125" s="31">
        <v>15834.87</v>
      </c>
      <c r="Y125" s="32" t="str">
        <f t="shared" si="42"/>
        <v/>
      </c>
      <c r="Z125" s="31" t="str">
        <f t="shared" si="29"/>
        <v/>
      </c>
      <c r="AA125" s="31">
        <f t="shared" si="30"/>
        <v>357418.41</v>
      </c>
      <c r="AB125" s="32" t="str">
        <f t="shared" si="43"/>
        <v/>
      </c>
      <c r="AC125" s="31"/>
      <c r="AD125" s="31"/>
      <c r="AE125" s="32" t="str">
        <f t="shared" si="31"/>
        <v/>
      </c>
      <c r="AF125" s="32" t="s">
        <v>313</v>
      </c>
      <c r="AG125" s="31"/>
      <c r="AH125" s="31"/>
      <c r="AI125" s="32" t="str">
        <f t="shared" si="32"/>
        <v/>
      </c>
      <c r="AJ125" s="32" t="s">
        <v>313</v>
      </c>
      <c r="AK125" s="31"/>
      <c r="AL125" s="31"/>
      <c r="AM125" s="32" t="str">
        <f t="shared" si="33"/>
        <v/>
      </c>
      <c r="AN125" s="32" t="s">
        <v>313</v>
      </c>
      <c r="AO125" s="31"/>
      <c r="AP125" s="31"/>
      <c r="AQ125" s="32" t="str">
        <f t="shared" si="34"/>
        <v/>
      </c>
      <c r="AR125" s="32" t="s">
        <v>313</v>
      </c>
      <c r="AS125" s="31"/>
      <c r="AT125" s="31"/>
      <c r="AU125" s="32" t="str">
        <f t="shared" si="35"/>
        <v/>
      </c>
      <c r="AV125" s="32" t="s">
        <v>313</v>
      </c>
      <c r="AW125" s="31"/>
      <c r="AX125" s="31"/>
      <c r="AY125" s="32" t="str">
        <f t="shared" si="36"/>
        <v/>
      </c>
      <c r="AZ125" s="32" t="s">
        <v>313</v>
      </c>
    </row>
    <row r="126" spans="1:52" ht="34" customHeight="1">
      <c r="A126" s="28" t="s">
        <v>231</v>
      </c>
      <c r="B126" s="29" t="s">
        <v>323</v>
      </c>
      <c r="C126" s="29" t="s">
        <v>85</v>
      </c>
      <c r="D126" s="29" t="s">
        <v>79</v>
      </c>
      <c r="E126" s="29" t="s">
        <v>82</v>
      </c>
      <c r="F126" s="29" t="s">
        <v>319</v>
      </c>
      <c r="G126" s="30" t="s">
        <v>312</v>
      </c>
      <c r="H126" s="31">
        <v>0</v>
      </c>
      <c r="I126" s="31">
        <v>81361.289999999994</v>
      </c>
      <c r="J126" s="32">
        <f t="shared" si="37"/>
        <v>0</v>
      </c>
      <c r="K126" s="31">
        <v>0</v>
      </c>
      <c r="L126" s="31">
        <v>64333.06</v>
      </c>
      <c r="M126" s="32">
        <f t="shared" si="38"/>
        <v>0</v>
      </c>
      <c r="N126" s="31">
        <v>0</v>
      </c>
      <c r="O126" s="31">
        <v>81600.03</v>
      </c>
      <c r="P126" s="32">
        <f t="shared" si="39"/>
        <v>0</v>
      </c>
      <c r="Q126" s="31">
        <v>0</v>
      </c>
      <c r="R126" s="31">
        <v>60070.84</v>
      </c>
      <c r="S126" s="32">
        <f t="shared" si="40"/>
        <v>0</v>
      </c>
      <c r="T126" s="31">
        <v>0</v>
      </c>
      <c r="U126" s="31">
        <v>54218.32</v>
      </c>
      <c r="V126" s="32">
        <f t="shared" si="41"/>
        <v>0</v>
      </c>
      <c r="W126" s="31">
        <v>0</v>
      </c>
      <c r="X126" s="31">
        <v>15834.87</v>
      </c>
      <c r="Y126" s="32">
        <f t="shared" si="42"/>
        <v>0</v>
      </c>
      <c r="Z126" s="31">
        <f t="shared" si="29"/>
        <v>0</v>
      </c>
      <c r="AA126" s="31">
        <f t="shared" si="30"/>
        <v>357418.41</v>
      </c>
      <c r="AB126" s="32">
        <f t="shared" si="43"/>
        <v>0</v>
      </c>
      <c r="AC126" s="31"/>
      <c r="AD126" s="31"/>
      <c r="AE126" s="32" t="str">
        <f t="shared" si="31"/>
        <v/>
      </c>
      <c r="AF126" s="32" t="s">
        <v>313</v>
      </c>
      <c r="AG126" s="31"/>
      <c r="AH126" s="31"/>
      <c r="AI126" s="32" t="str">
        <f t="shared" si="32"/>
        <v/>
      </c>
      <c r="AJ126" s="32" t="s">
        <v>313</v>
      </c>
      <c r="AK126" s="31"/>
      <c r="AL126" s="31"/>
      <c r="AM126" s="32" t="str">
        <f t="shared" si="33"/>
        <v/>
      </c>
      <c r="AN126" s="32" t="s">
        <v>313</v>
      </c>
      <c r="AO126" s="31"/>
      <c r="AP126" s="31"/>
      <c r="AQ126" s="32" t="str">
        <f t="shared" si="34"/>
        <v/>
      </c>
      <c r="AR126" s="32" t="s">
        <v>313</v>
      </c>
      <c r="AS126" s="31"/>
      <c r="AT126" s="31"/>
      <c r="AU126" s="32" t="str">
        <f t="shared" si="35"/>
        <v/>
      </c>
      <c r="AV126" s="32" t="s">
        <v>313</v>
      </c>
      <c r="AW126" s="31"/>
      <c r="AX126" s="31"/>
      <c r="AY126" s="32" t="str">
        <f t="shared" si="36"/>
        <v/>
      </c>
      <c r="AZ126" s="32" t="s">
        <v>313</v>
      </c>
    </row>
    <row r="127" spans="1:52" ht="34" customHeight="1">
      <c r="A127" s="28" t="s">
        <v>231</v>
      </c>
      <c r="B127" s="29" t="s">
        <v>323</v>
      </c>
      <c r="C127" s="29" t="s">
        <v>85</v>
      </c>
      <c r="D127" s="29" t="s">
        <v>90</v>
      </c>
      <c r="E127" s="29" t="s">
        <v>90</v>
      </c>
      <c r="F127" s="29" t="s">
        <v>316</v>
      </c>
      <c r="G127" s="30" t="s">
        <v>312</v>
      </c>
      <c r="H127" s="31"/>
      <c r="I127" s="31">
        <v>81361.289999999994</v>
      </c>
      <c r="J127" s="32" t="str">
        <f t="shared" si="37"/>
        <v/>
      </c>
      <c r="K127" s="31"/>
      <c r="L127" s="31">
        <v>64333.06</v>
      </c>
      <c r="M127" s="32" t="str">
        <f t="shared" si="38"/>
        <v/>
      </c>
      <c r="N127" s="31"/>
      <c r="O127" s="31">
        <v>81600.03</v>
      </c>
      <c r="P127" s="32" t="str">
        <f t="shared" si="39"/>
        <v/>
      </c>
      <c r="Q127" s="31"/>
      <c r="R127" s="31">
        <v>60070.84</v>
      </c>
      <c r="S127" s="32" t="str">
        <f t="shared" si="40"/>
        <v/>
      </c>
      <c r="T127" s="31"/>
      <c r="U127" s="31">
        <v>54218.32</v>
      </c>
      <c r="V127" s="32" t="str">
        <f t="shared" si="41"/>
        <v/>
      </c>
      <c r="W127" s="31"/>
      <c r="X127" s="31">
        <v>15834.87</v>
      </c>
      <c r="Y127" s="32" t="str">
        <f t="shared" si="42"/>
        <v/>
      </c>
      <c r="Z127" s="31" t="str">
        <f t="shared" si="29"/>
        <v/>
      </c>
      <c r="AA127" s="31">
        <f t="shared" si="30"/>
        <v>357418.41</v>
      </c>
      <c r="AB127" s="32" t="str">
        <f t="shared" si="43"/>
        <v/>
      </c>
      <c r="AC127" s="31"/>
      <c r="AD127" s="31"/>
      <c r="AE127" s="32" t="str">
        <f t="shared" si="31"/>
        <v/>
      </c>
      <c r="AF127" s="32" t="s">
        <v>313</v>
      </c>
      <c r="AG127" s="31"/>
      <c r="AH127" s="31"/>
      <c r="AI127" s="32" t="str">
        <f t="shared" si="32"/>
        <v/>
      </c>
      <c r="AJ127" s="32" t="s">
        <v>313</v>
      </c>
      <c r="AK127" s="31"/>
      <c r="AL127" s="31"/>
      <c r="AM127" s="32" t="str">
        <f t="shared" si="33"/>
        <v/>
      </c>
      <c r="AN127" s="32" t="s">
        <v>313</v>
      </c>
      <c r="AO127" s="31"/>
      <c r="AP127" s="31"/>
      <c r="AQ127" s="32" t="str">
        <f t="shared" si="34"/>
        <v/>
      </c>
      <c r="AR127" s="32" t="s">
        <v>313</v>
      </c>
      <c r="AS127" s="31"/>
      <c r="AT127" s="31"/>
      <c r="AU127" s="32" t="str">
        <f t="shared" si="35"/>
        <v/>
      </c>
      <c r="AV127" s="32" t="s">
        <v>313</v>
      </c>
      <c r="AW127" s="31"/>
      <c r="AX127" s="31"/>
      <c r="AY127" s="32" t="str">
        <f t="shared" si="36"/>
        <v/>
      </c>
      <c r="AZ127" s="32" t="s">
        <v>313</v>
      </c>
    </row>
    <row r="128" spans="1:52" ht="34" customHeight="1">
      <c r="A128" s="28" t="s">
        <v>231</v>
      </c>
      <c r="B128" s="29" t="s">
        <v>323</v>
      </c>
      <c r="C128" s="29" t="s">
        <v>85</v>
      </c>
      <c r="D128" s="29" t="s">
        <v>93</v>
      </c>
      <c r="E128" s="29" t="s">
        <v>143</v>
      </c>
      <c r="F128" s="29" t="s">
        <v>320</v>
      </c>
      <c r="G128" s="30" t="s">
        <v>312</v>
      </c>
      <c r="H128" s="31">
        <v>0</v>
      </c>
      <c r="I128" s="31">
        <v>81361.289999999994</v>
      </c>
      <c r="J128" s="32">
        <f t="shared" si="37"/>
        <v>0</v>
      </c>
      <c r="K128" s="31">
        <v>0</v>
      </c>
      <c r="L128" s="31">
        <v>64333.06</v>
      </c>
      <c r="M128" s="32">
        <f t="shared" si="38"/>
        <v>0</v>
      </c>
      <c r="N128" s="31">
        <v>0</v>
      </c>
      <c r="O128" s="31">
        <v>81600.03</v>
      </c>
      <c r="P128" s="32">
        <f t="shared" si="39"/>
        <v>0</v>
      </c>
      <c r="Q128" s="31">
        <v>0</v>
      </c>
      <c r="R128" s="31">
        <v>60070.84</v>
      </c>
      <c r="S128" s="32">
        <f t="shared" si="40"/>
        <v>0</v>
      </c>
      <c r="T128" s="31">
        <v>0</v>
      </c>
      <c r="U128" s="31">
        <v>54218.32</v>
      </c>
      <c r="V128" s="32">
        <f t="shared" si="41"/>
        <v>0</v>
      </c>
      <c r="W128" s="31">
        <v>0</v>
      </c>
      <c r="X128" s="31">
        <v>15834.87</v>
      </c>
      <c r="Y128" s="32">
        <f t="shared" si="42"/>
        <v>0</v>
      </c>
      <c r="Z128" s="31">
        <f t="shared" si="29"/>
        <v>0</v>
      </c>
      <c r="AA128" s="31">
        <f t="shared" si="30"/>
        <v>357418.41</v>
      </c>
      <c r="AB128" s="32">
        <f t="shared" si="43"/>
        <v>0</v>
      </c>
      <c r="AC128" s="31"/>
      <c r="AD128" s="31"/>
      <c r="AE128" s="32" t="str">
        <f t="shared" si="31"/>
        <v/>
      </c>
      <c r="AF128" s="32" t="s">
        <v>313</v>
      </c>
      <c r="AG128" s="31"/>
      <c r="AH128" s="31"/>
      <c r="AI128" s="32" t="str">
        <f t="shared" si="32"/>
        <v/>
      </c>
      <c r="AJ128" s="32" t="s">
        <v>313</v>
      </c>
      <c r="AK128" s="31"/>
      <c r="AL128" s="31"/>
      <c r="AM128" s="32" t="str">
        <f t="shared" si="33"/>
        <v/>
      </c>
      <c r="AN128" s="32" t="s">
        <v>313</v>
      </c>
      <c r="AO128" s="31"/>
      <c r="AP128" s="31"/>
      <c r="AQ128" s="32" t="str">
        <f t="shared" si="34"/>
        <v/>
      </c>
      <c r="AR128" s="32" t="s">
        <v>313</v>
      </c>
      <c r="AS128" s="31"/>
      <c r="AT128" s="31"/>
      <c r="AU128" s="32" t="str">
        <f t="shared" si="35"/>
        <v/>
      </c>
      <c r="AV128" s="32" t="s">
        <v>313</v>
      </c>
      <c r="AW128" s="31"/>
      <c r="AX128" s="31"/>
      <c r="AY128" s="32" t="str">
        <f t="shared" si="36"/>
        <v/>
      </c>
      <c r="AZ128" s="32" t="s">
        <v>313</v>
      </c>
    </row>
    <row r="129" spans="1:52" ht="34" customHeight="1">
      <c r="A129" s="28" t="s">
        <v>231</v>
      </c>
      <c r="B129" s="29" t="s">
        <v>323</v>
      </c>
      <c r="C129" s="29" t="s">
        <v>85</v>
      </c>
      <c r="D129" s="29" t="s">
        <v>152</v>
      </c>
      <c r="E129" s="29" t="s">
        <v>152</v>
      </c>
      <c r="F129" s="29" t="s">
        <v>316</v>
      </c>
      <c r="G129" s="30" t="s">
        <v>312</v>
      </c>
      <c r="H129" s="31"/>
      <c r="I129" s="31">
        <v>81361.289999999994</v>
      </c>
      <c r="J129" s="32" t="str">
        <f t="shared" si="37"/>
        <v/>
      </c>
      <c r="K129" s="31"/>
      <c r="L129" s="31">
        <v>64333.06</v>
      </c>
      <c r="M129" s="32" t="str">
        <f t="shared" si="38"/>
        <v/>
      </c>
      <c r="N129" s="31"/>
      <c r="O129" s="31">
        <v>81600.03</v>
      </c>
      <c r="P129" s="32" t="str">
        <f t="shared" si="39"/>
        <v/>
      </c>
      <c r="Q129" s="31"/>
      <c r="R129" s="31">
        <v>60070.84</v>
      </c>
      <c r="S129" s="32" t="str">
        <f t="shared" si="40"/>
        <v/>
      </c>
      <c r="T129" s="31"/>
      <c r="U129" s="31">
        <v>54218.32</v>
      </c>
      <c r="V129" s="32" t="str">
        <f t="shared" si="41"/>
        <v/>
      </c>
      <c r="W129" s="31"/>
      <c r="X129" s="31">
        <v>15834.87</v>
      </c>
      <c r="Y129" s="32" t="str">
        <f t="shared" si="42"/>
        <v/>
      </c>
      <c r="Z129" s="31" t="str">
        <f t="shared" si="29"/>
        <v/>
      </c>
      <c r="AA129" s="31">
        <f t="shared" si="30"/>
        <v>357418.41</v>
      </c>
      <c r="AB129" s="32" t="str">
        <f t="shared" si="43"/>
        <v/>
      </c>
      <c r="AC129" s="31"/>
      <c r="AD129" s="31"/>
      <c r="AE129" s="32" t="str">
        <f t="shared" si="31"/>
        <v/>
      </c>
      <c r="AF129" s="32" t="s">
        <v>313</v>
      </c>
      <c r="AG129" s="31"/>
      <c r="AH129" s="31"/>
      <c r="AI129" s="32" t="str">
        <f t="shared" si="32"/>
        <v/>
      </c>
      <c r="AJ129" s="32" t="s">
        <v>313</v>
      </c>
      <c r="AK129" s="31"/>
      <c r="AL129" s="31"/>
      <c r="AM129" s="32" t="str">
        <f t="shared" si="33"/>
        <v/>
      </c>
      <c r="AN129" s="32" t="s">
        <v>313</v>
      </c>
      <c r="AO129" s="31"/>
      <c r="AP129" s="31"/>
      <c r="AQ129" s="32" t="str">
        <f t="shared" si="34"/>
        <v/>
      </c>
      <c r="AR129" s="32" t="s">
        <v>313</v>
      </c>
      <c r="AS129" s="31"/>
      <c r="AT129" s="31"/>
      <c r="AU129" s="32" t="str">
        <f t="shared" si="35"/>
        <v/>
      </c>
      <c r="AV129" s="32" t="s">
        <v>313</v>
      </c>
      <c r="AW129" s="31"/>
      <c r="AX129" s="31"/>
      <c r="AY129" s="32" t="str">
        <f t="shared" si="36"/>
        <v/>
      </c>
      <c r="AZ129" s="32" t="s">
        <v>313</v>
      </c>
    </row>
    <row r="130" spans="1:52" ht="34" customHeight="1">
      <c r="A130" s="28" t="s">
        <v>231</v>
      </c>
      <c r="B130" s="29" t="s">
        <v>324</v>
      </c>
      <c r="C130" s="29" t="s">
        <v>46</v>
      </c>
      <c r="D130" s="29"/>
      <c r="E130" s="29" t="s">
        <v>46</v>
      </c>
      <c r="F130" s="29" t="s">
        <v>311</v>
      </c>
      <c r="G130" s="30" t="s">
        <v>312</v>
      </c>
      <c r="H130" s="31">
        <v>419988</v>
      </c>
      <c r="I130" s="31">
        <v>419988</v>
      </c>
      <c r="J130" s="32"/>
      <c r="K130" s="31">
        <v>135897</v>
      </c>
      <c r="L130" s="31">
        <v>135897</v>
      </c>
      <c r="M130" s="32"/>
      <c r="N130" s="31">
        <v>414768</v>
      </c>
      <c r="O130" s="31">
        <v>414768</v>
      </c>
      <c r="P130" s="32"/>
      <c r="Q130" s="31">
        <v>267462.59999999998</v>
      </c>
      <c r="R130" s="31">
        <v>267462.59999999998</v>
      </c>
      <c r="S130" s="32"/>
      <c r="T130" s="31">
        <v>407837.04</v>
      </c>
      <c r="U130" s="31">
        <v>407837.04</v>
      </c>
      <c r="V130" s="32"/>
      <c r="W130" s="31">
        <v>347835</v>
      </c>
      <c r="X130" s="31">
        <v>347835</v>
      </c>
      <c r="Y130" s="32"/>
      <c r="Z130" s="31">
        <f t="shared" si="29"/>
        <v>1993787.6400000001</v>
      </c>
      <c r="AA130" s="31">
        <f t="shared" si="30"/>
        <v>1993787.6400000001</v>
      </c>
      <c r="AB130" s="32"/>
      <c r="AC130" s="31"/>
      <c r="AD130" s="31"/>
      <c r="AE130" s="32" t="str">
        <f t="shared" si="31"/>
        <v/>
      </c>
      <c r="AF130" s="32" t="s">
        <v>313</v>
      </c>
      <c r="AG130" s="31"/>
      <c r="AH130" s="31"/>
      <c r="AI130" s="32" t="str">
        <f t="shared" si="32"/>
        <v/>
      </c>
      <c r="AJ130" s="32" t="s">
        <v>313</v>
      </c>
      <c r="AK130" s="31"/>
      <c r="AL130" s="31"/>
      <c r="AM130" s="32" t="str">
        <f t="shared" si="33"/>
        <v/>
      </c>
      <c r="AN130" s="32" t="s">
        <v>313</v>
      </c>
      <c r="AO130" s="31"/>
      <c r="AP130" s="31"/>
      <c r="AQ130" s="32" t="str">
        <f t="shared" si="34"/>
        <v/>
      </c>
      <c r="AR130" s="32" t="s">
        <v>313</v>
      </c>
      <c r="AS130" s="31"/>
      <c r="AT130" s="31"/>
      <c r="AU130" s="32" t="str">
        <f t="shared" si="35"/>
        <v/>
      </c>
      <c r="AV130" s="32" t="s">
        <v>313</v>
      </c>
      <c r="AW130" s="31"/>
      <c r="AX130" s="31"/>
      <c r="AY130" s="32" t="str">
        <f t="shared" si="36"/>
        <v/>
      </c>
      <c r="AZ130" s="32" t="s">
        <v>313</v>
      </c>
    </row>
    <row r="131" spans="1:52" ht="34" customHeight="1">
      <c r="A131" s="28" t="s">
        <v>231</v>
      </c>
      <c r="B131" s="29" t="s">
        <v>324</v>
      </c>
      <c r="C131" s="29" t="s">
        <v>121</v>
      </c>
      <c r="D131" s="29"/>
      <c r="E131" s="29" t="s">
        <v>125</v>
      </c>
      <c r="F131" s="29" t="s">
        <v>314</v>
      </c>
      <c r="G131" s="30" t="s">
        <v>312</v>
      </c>
      <c r="H131" s="31">
        <v>0</v>
      </c>
      <c r="I131" s="31">
        <v>419988</v>
      </c>
      <c r="J131" s="32">
        <f t="shared" ref="J131:J160" si="44">IF(H131="","",IFERROR(H131/I131,""))</f>
        <v>0</v>
      </c>
      <c r="K131" s="31">
        <v>0</v>
      </c>
      <c r="L131" s="31">
        <v>135897</v>
      </c>
      <c r="M131" s="32">
        <f t="shared" ref="M131:M160" si="45">IF(K131="","",IFERROR(K131/L131,""))</f>
        <v>0</v>
      </c>
      <c r="N131" s="31">
        <v>0</v>
      </c>
      <c r="O131" s="31">
        <v>414768</v>
      </c>
      <c r="P131" s="32">
        <f t="shared" ref="P131:P160" si="46">IF(N131="","",IFERROR(N131/O131,""))</f>
        <v>0</v>
      </c>
      <c r="Q131" s="31">
        <v>0</v>
      </c>
      <c r="R131" s="31">
        <v>267462.59999999998</v>
      </c>
      <c r="S131" s="32">
        <f t="shared" ref="S131:S160" si="47">IF(Q131="","",IFERROR(Q131/R131,""))</f>
        <v>0</v>
      </c>
      <c r="T131" s="31">
        <v>0</v>
      </c>
      <c r="U131" s="31">
        <v>407837.04</v>
      </c>
      <c r="V131" s="32">
        <f t="shared" ref="V131:V160" si="48">IF(T131="","",IFERROR(T131/U131,""))</f>
        <v>0</v>
      </c>
      <c r="W131" s="31">
        <v>0</v>
      </c>
      <c r="X131" s="31">
        <v>347835</v>
      </c>
      <c r="Y131" s="32">
        <f t="shared" ref="Y131:Y160" si="49">IF(W131="","",IFERROR(W131/X131,""))</f>
        <v>0</v>
      </c>
      <c r="Z131" s="31">
        <f t="shared" si="29"/>
        <v>0</v>
      </c>
      <c r="AA131" s="31">
        <f t="shared" si="30"/>
        <v>1993787.6400000001</v>
      </c>
      <c r="AB131" s="32">
        <f t="shared" ref="AB131:AB160" si="50">IF(Z131="","",IFERROR(Z131/AA131,""))</f>
        <v>0</v>
      </c>
      <c r="AC131" s="31"/>
      <c r="AD131" s="31"/>
      <c r="AE131" s="32" t="str">
        <f t="shared" si="31"/>
        <v/>
      </c>
      <c r="AF131" s="32" t="s">
        <v>313</v>
      </c>
      <c r="AG131" s="31"/>
      <c r="AH131" s="31"/>
      <c r="AI131" s="32" t="str">
        <f t="shared" si="32"/>
        <v/>
      </c>
      <c r="AJ131" s="32" t="s">
        <v>313</v>
      </c>
      <c r="AK131" s="31"/>
      <c r="AL131" s="31"/>
      <c r="AM131" s="32" t="str">
        <f t="shared" si="33"/>
        <v/>
      </c>
      <c r="AN131" s="32" t="s">
        <v>313</v>
      </c>
      <c r="AO131" s="31"/>
      <c r="AP131" s="31"/>
      <c r="AQ131" s="32" t="str">
        <f t="shared" si="34"/>
        <v/>
      </c>
      <c r="AR131" s="32" t="s">
        <v>313</v>
      </c>
      <c r="AS131" s="31"/>
      <c r="AT131" s="31"/>
      <c r="AU131" s="32" t="str">
        <f t="shared" si="35"/>
        <v/>
      </c>
      <c r="AV131" s="32" t="s">
        <v>313</v>
      </c>
      <c r="AW131" s="31"/>
      <c r="AX131" s="31"/>
      <c r="AY131" s="32" t="str">
        <f t="shared" si="36"/>
        <v/>
      </c>
      <c r="AZ131" s="32" t="s">
        <v>313</v>
      </c>
    </row>
    <row r="132" spans="1:52" ht="34" customHeight="1">
      <c r="A132" s="28" t="s">
        <v>231</v>
      </c>
      <c r="B132" s="29" t="s">
        <v>324</v>
      </c>
      <c r="C132" s="29" t="s">
        <v>48</v>
      </c>
      <c r="D132" s="29"/>
      <c r="E132" s="29" t="s">
        <v>127</v>
      </c>
      <c r="F132" s="29" t="s">
        <v>315</v>
      </c>
      <c r="G132" s="30" t="s">
        <v>312</v>
      </c>
      <c r="H132" s="31">
        <v>368640</v>
      </c>
      <c r="I132" s="31">
        <v>419988</v>
      </c>
      <c r="J132" s="32">
        <f t="shared" si="44"/>
        <v>0.87773936398182806</v>
      </c>
      <c r="K132" s="31">
        <v>120096</v>
      </c>
      <c r="L132" s="31">
        <v>135897</v>
      </c>
      <c r="M132" s="32">
        <f t="shared" si="45"/>
        <v>0.88372811761849046</v>
      </c>
      <c r="N132" s="31">
        <v>364932</v>
      </c>
      <c r="O132" s="31">
        <v>414768</v>
      </c>
      <c r="P132" s="32">
        <f t="shared" si="46"/>
        <v>0.87984608262932529</v>
      </c>
      <c r="Q132" s="31">
        <v>218960</v>
      </c>
      <c r="R132" s="31">
        <v>267462.59999999998</v>
      </c>
      <c r="S132" s="32">
        <f t="shared" si="47"/>
        <v>0.81865651496695246</v>
      </c>
      <c r="T132" s="31">
        <v>348768</v>
      </c>
      <c r="U132" s="31">
        <v>407837.04</v>
      </c>
      <c r="V132" s="32">
        <f t="shared" si="48"/>
        <v>0.85516509241043925</v>
      </c>
      <c r="W132" s="31">
        <v>293400</v>
      </c>
      <c r="X132" s="31">
        <v>347835</v>
      </c>
      <c r="Y132" s="32">
        <f t="shared" si="49"/>
        <v>0.84350338522575363</v>
      </c>
      <c r="Z132" s="31">
        <f t="shared" si="29"/>
        <v>1714796</v>
      </c>
      <c r="AA132" s="31">
        <f t="shared" si="30"/>
        <v>1993787.6400000001</v>
      </c>
      <c r="AB132" s="32">
        <f t="shared" si="50"/>
        <v>0.86006953077510295</v>
      </c>
      <c r="AC132" s="31"/>
      <c r="AD132" s="31"/>
      <c r="AE132" s="32" t="str">
        <f t="shared" si="31"/>
        <v/>
      </c>
      <c r="AF132" s="32" t="s">
        <v>313</v>
      </c>
      <c r="AG132" s="31"/>
      <c r="AH132" s="31"/>
      <c r="AI132" s="32" t="str">
        <f t="shared" si="32"/>
        <v/>
      </c>
      <c r="AJ132" s="32" t="s">
        <v>313</v>
      </c>
      <c r="AK132" s="31"/>
      <c r="AL132" s="31"/>
      <c r="AM132" s="32" t="str">
        <f t="shared" si="33"/>
        <v/>
      </c>
      <c r="AN132" s="32" t="s">
        <v>313</v>
      </c>
      <c r="AO132" s="31"/>
      <c r="AP132" s="31"/>
      <c r="AQ132" s="32" t="str">
        <f t="shared" si="34"/>
        <v/>
      </c>
      <c r="AR132" s="32" t="s">
        <v>313</v>
      </c>
      <c r="AS132" s="31"/>
      <c r="AT132" s="31"/>
      <c r="AU132" s="32" t="str">
        <f t="shared" si="35"/>
        <v/>
      </c>
      <c r="AV132" s="32" t="s">
        <v>313</v>
      </c>
      <c r="AW132" s="31"/>
      <c r="AX132" s="31"/>
      <c r="AY132" s="32" t="str">
        <f t="shared" si="36"/>
        <v/>
      </c>
      <c r="AZ132" s="32" t="s">
        <v>313</v>
      </c>
    </row>
    <row r="133" spans="1:52" ht="34" customHeight="1">
      <c r="A133" s="28" t="s">
        <v>231</v>
      </c>
      <c r="B133" s="29" t="s">
        <v>324</v>
      </c>
      <c r="C133" s="29" t="s">
        <v>52</v>
      </c>
      <c r="D133" s="29" t="s">
        <v>54</v>
      </c>
      <c r="E133" s="29" t="s">
        <v>55</v>
      </c>
      <c r="F133" s="29" t="s">
        <v>130</v>
      </c>
      <c r="G133" s="30" t="s">
        <v>312</v>
      </c>
      <c r="H133" s="31">
        <v>0</v>
      </c>
      <c r="I133" s="31">
        <v>419988</v>
      </c>
      <c r="J133" s="32">
        <f t="shared" si="44"/>
        <v>0</v>
      </c>
      <c r="K133" s="31">
        <v>0</v>
      </c>
      <c r="L133" s="31">
        <v>135897</v>
      </c>
      <c r="M133" s="32">
        <f t="shared" si="45"/>
        <v>0</v>
      </c>
      <c r="N133" s="31">
        <v>0</v>
      </c>
      <c r="O133" s="31">
        <v>414768</v>
      </c>
      <c r="P133" s="32">
        <f t="shared" si="46"/>
        <v>0</v>
      </c>
      <c r="Q133" s="31">
        <v>0</v>
      </c>
      <c r="R133" s="31">
        <v>267462.59999999998</v>
      </c>
      <c r="S133" s="32">
        <f t="shared" si="47"/>
        <v>0</v>
      </c>
      <c r="T133" s="31">
        <v>0</v>
      </c>
      <c r="U133" s="31">
        <v>407837.04</v>
      </c>
      <c r="V133" s="32">
        <f t="shared" si="48"/>
        <v>0</v>
      </c>
      <c r="W133" s="31">
        <v>0</v>
      </c>
      <c r="X133" s="31">
        <v>347835</v>
      </c>
      <c r="Y133" s="32">
        <f t="shared" si="49"/>
        <v>0</v>
      </c>
      <c r="Z133" s="31">
        <f t="shared" si="29"/>
        <v>0</v>
      </c>
      <c r="AA133" s="31">
        <f t="shared" si="30"/>
        <v>1993787.6400000001</v>
      </c>
      <c r="AB133" s="32">
        <f t="shared" si="50"/>
        <v>0</v>
      </c>
      <c r="AC133" s="31"/>
      <c r="AD133" s="31"/>
      <c r="AE133" s="32" t="str">
        <f t="shared" si="31"/>
        <v/>
      </c>
      <c r="AF133" s="32" t="s">
        <v>313</v>
      </c>
      <c r="AG133" s="31"/>
      <c r="AH133" s="31"/>
      <c r="AI133" s="32" t="str">
        <f t="shared" si="32"/>
        <v/>
      </c>
      <c r="AJ133" s="32" t="s">
        <v>313</v>
      </c>
      <c r="AK133" s="31"/>
      <c r="AL133" s="31"/>
      <c r="AM133" s="32" t="str">
        <f t="shared" si="33"/>
        <v/>
      </c>
      <c r="AN133" s="32" t="s">
        <v>313</v>
      </c>
      <c r="AO133" s="31"/>
      <c r="AP133" s="31"/>
      <c r="AQ133" s="32" t="str">
        <f t="shared" si="34"/>
        <v/>
      </c>
      <c r="AR133" s="32" t="s">
        <v>313</v>
      </c>
      <c r="AS133" s="31"/>
      <c r="AT133" s="31"/>
      <c r="AU133" s="32" t="str">
        <f t="shared" si="35"/>
        <v/>
      </c>
      <c r="AV133" s="32" t="s">
        <v>313</v>
      </c>
      <c r="AW133" s="31"/>
      <c r="AX133" s="31"/>
      <c r="AY133" s="32" t="str">
        <f t="shared" si="36"/>
        <v/>
      </c>
      <c r="AZ133" s="32" t="s">
        <v>313</v>
      </c>
    </row>
    <row r="134" spans="1:52" ht="34" customHeight="1">
      <c r="A134" s="28" t="s">
        <v>231</v>
      </c>
      <c r="B134" s="29" t="s">
        <v>324</v>
      </c>
      <c r="C134" s="29" t="s">
        <v>52</v>
      </c>
      <c r="D134" s="29" t="s">
        <v>54</v>
      </c>
      <c r="E134" s="29" t="s">
        <v>58</v>
      </c>
      <c r="F134" s="29" t="s">
        <v>316</v>
      </c>
      <c r="G134" s="30" t="s">
        <v>312</v>
      </c>
      <c r="H134" s="31"/>
      <c r="I134" s="31">
        <v>419988</v>
      </c>
      <c r="J134" s="32" t="str">
        <f t="shared" si="44"/>
        <v/>
      </c>
      <c r="K134" s="31"/>
      <c r="L134" s="31">
        <v>135897</v>
      </c>
      <c r="M134" s="32" t="str">
        <f t="shared" si="45"/>
        <v/>
      </c>
      <c r="N134" s="31"/>
      <c r="O134" s="31">
        <v>414768</v>
      </c>
      <c r="P134" s="32" t="str">
        <f t="shared" si="46"/>
        <v/>
      </c>
      <c r="Q134" s="31"/>
      <c r="R134" s="31">
        <v>267462.59999999998</v>
      </c>
      <c r="S134" s="32" t="str">
        <f t="shared" si="47"/>
        <v/>
      </c>
      <c r="T134" s="31"/>
      <c r="U134" s="31">
        <v>407837.04</v>
      </c>
      <c r="V134" s="32" t="str">
        <f t="shared" si="48"/>
        <v/>
      </c>
      <c r="W134" s="31"/>
      <c r="X134" s="31">
        <v>347835</v>
      </c>
      <c r="Y134" s="32" t="str">
        <f t="shared" si="49"/>
        <v/>
      </c>
      <c r="Z134" s="31" t="str">
        <f t="shared" ref="Z134:Z197" si="51">IF(COUNT(H134,K134,N134,Q134,T134,W134)=0,"",SUM(H134,K134,N134,Q134,T134,W134))</f>
        <v/>
      </c>
      <c r="AA134" s="31">
        <f t="shared" ref="AA134:AA197" si="52">IF(COUNT(I134,L134,O134,R134,U134,X134)=0,"",SUM(I134,L134,O134,R134,U134,X134))</f>
        <v>1993787.6400000001</v>
      </c>
      <c r="AB134" s="32" t="str">
        <f t="shared" si="50"/>
        <v/>
      </c>
      <c r="AC134" s="31"/>
      <c r="AD134" s="31"/>
      <c r="AE134" s="32" t="str">
        <f t="shared" ref="AE134:AE197" si="53">IF(AC134="","",IFERROR(AC134/AD134,""))</f>
        <v/>
      </c>
      <c r="AF134" s="32" t="s">
        <v>313</v>
      </c>
      <c r="AG134" s="31"/>
      <c r="AH134" s="31"/>
      <c r="AI134" s="32" t="str">
        <f t="shared" ref="AI134:AI197" si="54">IF(AG134="","",IFERROR(AG134/AH134,""))</f>
        <v/>
      </c>
      <c r="AJ134" s="32" t="s">
        <v>313</v>
      </c>
      <c r="AK134" s="31"/>
      <c r="AL134" s="31"/>
      <c r="AM134" s="32" t="str">
        <f t="shared" ref="AM134:AM197" si="55">IF(AK134="","",IFERROR(AK134/AL134,""))</f>
        <v/>
      </c>
      <c r="AN134" s="32" t="s">
        <v>313</v>
      </c>
      <c r="AO134" s="31"/>
      <c r="AP134" s="31"/>
      <c r="AQ134" s="32" t="str">
        <f t="shared" ref="AQ134:AQ197" si="56">IF(AO134="","",IFERROR(AO134/AP134,""))</f>
        <v/>
      </c>
      <c r="AR134" s="32" t="s">
        <v>313</v>
      </c>
      <c r="AS134" s="31"/>
      <c r="AT134" s="31"/>
      <c r="AU134" s="32" t="str">
        <f t="shared" ref="AU134:AU197" si="57">IF(AS134="","",IFERROR(AS134/AT134,""))</f>
        <v/>
      </c>
      <c r="AV134" s="32" t="s">
        <v>313</v>
      </c>
      <c r="AW134" s="31"/>
      <c r="AX134" s="31"/>
      <c r="AY134" s="32" t="str">
        <f t="shared" ref="AY134:AY197" si="58">IF(AW134="","",IFERROR(AW134/AX134,""))</f>
        <v/>
      </c>
      <c r="AZ134" s="32" t="s">
        <v>313</v>
      </c>
    </row>
    <row r="135" spans="1:52" ht="34" customHeight="1">
      <c r="A135" s="28" t="s">
        <v>231</v>
      </c>
      <c r="B135" s="29" t="s">
        <v>324</v>
      </c>
      <c r="C135" s="29" t="s">
        <v>52</v>
      </c>
      <c r="D135" s="29" t="s">
        <v>54</v>
      </c>
      <c r="E135" s="29" t="s">
        <v>59</v>
      </c>
      <c r="F135" s="29" t="s">
        <v>316</v>
      </c>
      <c r="G135" s="30" t="s">
        <v>312</v>
      </c>
      <c r="H135" s="31"/>
      <c r="I135" s="31">
        <v>419988</v>
      </c>
      <c r="J135" s="32" t="str">
        <f t="shared" si="44"/>
        <v/>
      </c>
      <c r="K135" s="31"/>
      <c r="L135" s="31">
        <v>135897</v>
      </c>
      <c r="M135" s="32" t="str">
        <f t="shared" si="45"/>
        <v/>
      </c>
      <c r="N135" s="31"/>
      <c r="O135" s="31">
        <v>414768</v>
      </c>
      <c r="P135" s="32" t="str">
        <f t="shared" si="46"/>
        <v/>
      </c>
      <c r="Q135" s="31"/>
      <c r="R135" s="31">
        <v>267462.59999999998</v>
      </c>
      <c r="S135" s="32" t="str">
        <f t="shared" si="47"/>
        <v/>
      </c>
      <c r="T135" s="31"/>
      <c r="U135" s="31">
        <v>407837.04</v>
      </c>
      <c r="V135" s="32" t="str">
        <f t="shared" si="48"/>
        <v/>
      </c>
      <c r="W135" s="31"/>
      <c r="X135" s="31">
        <v>347835</v>
      </c>
      <c r="Y135" s="32" t="str">
        <f t="shared" si="49"/>
        <v/>
      </c>
      <c r="Z135" s="31" t="str">
        <f t="shared" si="51"/>
        <v/>
      </c>
      <c r="AA135" s="31">
        <f t="shared" si="52"/>
        <v>1993787.6400000001</v>
      </c>
      <c r="AB135" s="32" t="str">
        <f t="shared" si="50"/>
        <v/>
      </c>
      <c r="AC135" s="31"/>
      <c r="AD135" s="31"/>
      <c r="AE135" s="32" t="str">
        <f t="shared" si="53"/>
        <v/>
      </c>
      <c r="AF135" s="32" t="s">
        <v>313</v>
      </c>
      <c r="AG135" s="31"/>
      <c r="AH135" s="31"/>
      <c r="AI135" s="32" t="str">
        <f t="shared" si="54"/>
        <v/>
      </c>
      <c r="AJ135" s="32" t="s">
        <v>313</v>
      </c>
      <c r="AK135" s="31"/>
      <c r="AL135" s="31"/>
      <c r="AM135" s="32" t="str">
        <f t="shared" si="55"/>
        <v/>
      </c>
      <c r="AN135" s="32" t="s">
        <v>313</v>
      </c>
      <c r="AO135" s="31"/>
      <c r="AP135" s="31"/>
      <c r="AQ135" s="32" t="str">
        <f t="shared" si="56"/>
        <v/>
      </c>
      <c r="AR135" s="32" t="s">
        <v>313</v>
      </c>
      <c r="AS135" s="31"/>
      <c r="AT135" s="31"/>
      <c r="AU135" s="32" t="str">
        <f t="shared" si="57"/>
        <v/>
      </c>
      <c r="AV135" s="32" t="s">
        <v>313</v>
      </c>
      <c r="AW135" s="31"/>
      <c r="AX135" s="31"/>
      <c r="AY135" s="32" t="str">
        <f t="shared" si="58"/>
        <v/>
      </c>
      <c r="AZ135" s="32" t="s">
        <v>313</v>
      </c>
    </row>
    <row r="136" spans="1:52" ht="34" customHeight="1">
      <c r="A136" s="28" t="s">
        <v>231</v>
      </c>
      <c r="B136" s="29" t="s">
        <v>324</v>
      </c>
      <c r="C136" s="29" t="s">
        <v>52</v>
      </c>
      <c r="D136" s="29" t="s">
        <v>54</v>
      </c>
      <c r="E136" s="29" t="s">
        <v>64</v>
      </c>
      <c r="F136" s="29" t="s">
        <v>133</v>
      </c>
      <c r="G136" s="30" t="s">
        <v>312</v>
      </c>
      <c r="H136" s="31">
        <v>0</v>
      </c>
      <c r="I136" s="31">
        <v>419988</v>
      </c>
      <c r="J136" s="32">
        <f t="shared" si="44"/>
        <v>0</v>
      </c>
      <c r="K136" s="31">
        <v>0</v>
      </c>
      <c r="L136" s="31">
        <v>135897</v>
      </c>
      <c r="M136" s="32">
        <f t="shared" si="45"/>
        <v>0</v>
      </c>
      <c r="N136" s="31">
        <v>0</v>
      </c>
      <c r="O136" s="31">
        <v>414768</v>
      </c>
      <c r="P136" s="32">
        <f t="shared" si="46"/>
        <v>0</v>
      </c>
      <c r="Q136" s="31">
        <v>0</v>
      </c>
      <c r="R136" s="31">
        <v>267462.59999999998</v>
      </c>
      <c r="S136" s="32">
        <f t="shared" si="47"/>
        <v>0</v>
      </c>
      <c r="T136" s="31">
        <v>0</v>
      </c>
      <c r="U136" s="31">
        <v>407837.04</v>
      </c>
      <c r="V136" s="32">
        <f t="shared" si="48"/>
        <v>0</v>
      </c>
      <c r="W136" s="31">
        <v>0</v>
      </c>
      <c r="X136" s="31">
        <v>347835</v>
      </c>
      <c r="Y136" s="32">
        <f t="shared" si="49"/>
        <v>0</v>
      </c>
      <c r="Z136" s="31">
        <f t="shared" si="51"/>
        <v>0</v>
      </c>
      <c r="AA136" s="31">
        <f t="shared" si="52"/>
        <v>1993787.6400000001</v>
      </c>
      <c r="AB136" s="32">
        <f t="shared" si="50"/>
        <v>0</v>
      </c>
      <c r="AC136" s="31"/>
      <c r="AD136" s="31"/>
      <c r="AE136" s="32" t="str">
        <f t="shared" si="53"/>
        <v/>
      </c>
      <c r="AF136" s="32" t="s">
        <v>313</v>
      </c>
      <c r="AG136" s="31"/>
      <c r="AH136" s="31"/>
      <c r="AI136" s="32" t="str">
        <f t="shared" si="54"/>
        <v/>
      </c>
      <c r="AJ136" s="32" t="s">
        <v>313</v>
      </c>
      <c r="AK136" s="31"/>
      <c r="AL136" s="31"/>
      <c r="AM136" s="32" t="str">
        <f t="shared" si="55"/>
        <v/>
      </c>
      <c r="AN136" s="32" t="s">
        <v>313</v>
      </c>
      <c r="AO136" s="31"/>
      <c r="AP136" s="31"/>
      <c r="AQ136" s="32" t="str">
        <f t="shared" si="56"/>
        <v/>
      </c>
      <c r="AR136" s="32" t="s">
        <v>313</v>
      </c>
      <c r="AS136" s="31"/>
      <c r="AT136" s="31"/>
      <c r="AU136" s="32" t="str">
        <f t="shared" si="57"/>
        <v/>
      </c>
      <c r="AV136" s="32" t="s">
        <v>313</v>
      </c>
      <c r="AW136" s="31"/>
      <c r="AX136" s="31"/>
      <c r="AY136" s="32" t="str">
        <f t="shared" si="58"/>
        <v/>
      </c>
      <c r="AZ136" s="32" t="s">
        <v>313</v>
      </c>
    </row>
    <row r="137" spans="1:52" ht="34" customHeight="1">
      <c r="A137" s="28" t="s">
        <v>231</v>
      </c>
      <c r="B137" s="29" t="s">
        <v>324</v>
      </c>
      <c r="C137" s="29" t="s">
        <v>52</v>
      </c>
      <c r="D137" s="29" t="s">
        <v>54</v>
      </c>
      <c r="E137" s="29" t="s">
        <v>60</v>
      </c>
      <c r="F137" s="29" t="s">
        <v>316</v>
      </c>
      <c r="G137" s="30" t="s">
        <v>312</v>
      </c>
      <c r="H137" s="31"/>
      <c r="I137" s="31">
        <v>419988</v>
      </c>
      <c r="J137" s="32" t="str">
        <f t="shared" si="44"/>
        <v/>
      </c>
      <c r="K137" s="31"/>
      <c r="L137" s="31">
        <v>135897</v>
      </c>
      <c r="M137" s="32" t="str">
        <f t="shared" si="45"/>
        <v/>
      </c>
      <c r="N137" s="31"/>
      <c r="O137" s="31">
        <v>414768</v>
      </c>
      <c r="P137" s="32" t="str">
        <f t="shared" si="46"/>
        <v/>
      </c>
      <c r="Q137" s="31"/>
      <c r="R137" s="31">
        <v>267462.59999999998</v>
      </c>
      <c r="S137" s="32" t="str">
        <f t="shared" si="47"/>
        <v/>
      </c>
      <c r="T137" s="31"/>
      <c r="U137" s="31">
        <v>407837.04</v>
      </c>
      <c r="V137" s="32" t="str">
        <f t="shared" si="48"/>
        <v/>
      </c>
      <c r="W137" s="31"/>
      <c r="X137" s="31">
        <v>347835</v>
      </c>
      <c r="Y137" s="32" t="str">
        <f t="shared" si="49"/>
        <v/>
      </c>
      <c r="Z137" s="31" t="str">
        <f t="shared" si="51"/>
        <v/>
      </c>
      <c r="AA137" s="31">
        <f t="shared" si="52"/>
        <v>1993787.6400000001</v>
      </c>
      <c r="AB137" s="32" t="str">
        <f t="shared" si="50"/>
        <v/>
      </c>
      <c r="AC137" s="31"/>
      <c r="AD137" s="31"/>
      <c r="AE137" s="32" t="str">
        <f t="shared" si="53"/>
        <v/>
      </c>
      <c r="AF137" s="32" t="s">
        <v>313</v>
      </c>
      <c r="AG137" s="31"/>
      <c r="AH137" s="31"/>
      <c r="AI137" s="32" t="str">
        <f t="shared" si="54"/>
        <v/>
      </c>
      <c r="AJ137" s="32" t="s">
        <v>313</v>
      </c>
      <c r="AK137" s="31"/>
      <c r="AL137" s="31"/>
      <c r="AM137" s="32" t="str">
        <f t="shared" si="55"/>
        <v/>
      </c>
      <c r="AN137" s="32" t="s">
        <v>313</v>
      </c>
      <c r="AO137" s="31"/>
      <c r="AP137" s="31"/>
      <c r="AQ137" s="32" t="str">
        <f t="shared" si="56"/>
        <v/>
      </c>
      <c r="AR137" s="32" t="s">
        <v>313</v>
      </c>
      <c r="AS137" s="31"/>
      <c r="AT137" s="31"/>
      <c r="AU137" s="32" t="str">
        <f t="shared" si="57"/>
        <v/>
      </c>
      <c r="AV137" s="32" t="s">
        <v>313</v>
      </c>
      <c r="AW137" s="31"/>
      <c r="AX137" s="31"/>
      <c r="AY137" s="32" t="str">
        <f t="shared" si="58"/>
        <v/>
      </c>
      <c r="AZ137" s="32" t="s">
        <v>313</v>
      </c>
    </row>
    <row r="138" spans="1:52" ht="51" customHeight="1">
      <c r="A138" s="28" t="s">
        <v>231</v>
      </c>
      <c r="B138" s="29" t="s">
        <v>324</v>
      </c>
      <c r="C138" s="29" t="s">
        <v>52</v>
      </c>
      <c r="D138" s="29" t="s">
        <v>54</v>
      </c>
      <c r="E138" s="29" t="s">
        <v>61</v>
      </c>
      <c r="F138" s="29" t="s">
        <v>135</v>
      </c>
      <c r="G138" s="30" t="s">
        <v>312</v>
      </c>
      <c r="H138" s="31">
        <v>0</v>
      </c>
      <c r="I138" s="31">
        <v>419988</v>
      </c>
      <c r="J138" s="32">
        <f t="shared" si="44"/>
        <v>0</v>
      </c>
      <c r="K138" s="31">
        <v>0</v>
      </c>
      <c r="L138" s="31">
        <v>135897</v>
      </c>
      <c r="M138" s="32">
        <f t="shared" si="45"/>
        <v>0</v>
      </c>
      <c r="N138" s="31">
        <v>0</v>
      </c>
      <c r="O138" s="31">
        <v>414768</v>
      </c>
      <c r="P138" s="32">
        <f t="shared" si="46"/>
        <v>0</v>
      </c>
      <c r="Q138" s="31">
        <v>0</v>
      </c>
      <c r="R138" s="31">
        <v>267462.59999999998</v>
      </c>
      <c r="S138" s="32">
        <f t="shared" si="47"/>
        <v>0</v>
      </c>
      <c r="T138" s="31">
        <v>0</v>
      </c>
      <c r="U138" s="31">
        <v>407837.04</v>
      </c>
      <c r="V138" s="32">
        <f t="shared" si="48"/>
        <v>0</v>
      </c>
      <c r="W138" s="31">
        <v>0</v>
      </c>
      <c r="X138" s="31">
        <v>347835</v>
      </c>
      <c r="Y138" s="32">
        <f t="shared" si="49"/>
        <v>0</v>
      </c>
      <c r="Z138" s="31">
        <f t="shared" si="51"/>
        <v>0</v>
      </c>
      <c r="AA138" s="31">
        <f t="shared" si="52"/>
        <v>1993787.6400000001</v>
      </c>
      <c r="AB138" s="32">
        <f t="shared" si="50"/>
        <v>0</v>
      </c>
      <c r="AC138" s="31"/>
      <c r="AD138" s="31"/>
      <c r="AE138" s="32" t="str">
        <f t="shared" si="53"/>
        <v/>
      </c>
      <c r="AF138" s="32" t="s">
        <v>313</v>
      </c>
      <c r="AG138" s="31"/>
      <c r="AH138" s="31"/>
      <c r="AI138" s="32" t="str">
        <f t="shared" si="54"/>
        <v/>
      </c>
      <c r="AJ138" s="32" t="s">
        <v>313</v>
      </c>
      <c r="AK138" s="31"/>
      <c r="AL138" s="31"/>
      <c r="AM138" s="32" t="str">
        <f t="shared" si="55"/>
        <v/>
      </c>
      <c r="AN138" s="32" t="s">
        <v>313</v>
      </c>
      <c r="AO138" s="31"/>
      <c r="AP138" s="31"/>
      <c r="AQ138" s="32" t="str">
        <f t="shared" si="56"/>
        <v/>
      </c>
      <c r="AR138" s="32" t="s">
        <v>313</v>
      </c>
      <c r="AS138" s="31"/>
      <c r="AT138" s="31"/>
      <c r="AU138" s="32" t="str">
        <f t="shared" si="57"/>
        <v/>
      </c>
      <c r="AV138" s="32" t="s">
        <v>313</v>
      </c>
      <c r="AW138" s="31"/>
      <c r="AX138" s="31"/>
      <c r="AY138" s="32" t="str">
        <f t="shared" si="58"/>
        <v/>
      </c>
      <c r="AZ138" s="32" t="s">
        <v>313</v>
      </c>
    </row>
    <row r="139" spans="1:52" ht="34" customHeight="1">
      <c r="A139" s="28" t="s">
        <v>231</v>
      </c>
      <c r="B139" s="29" t="s">
        <v>324</v>
      </c>
      <c r="C139" s="29" t="s">
        <v>52</v>
      </c>
      <c r="D139" s="29" t="s">
        <v>54</v>
      </c>
      <c r="E139" s="29" t="s">
        <v>62</v>
      </c>
      <c r="F139" s="29" t="s">
        <v>316</v>
      </c>
      <c r="G139" s="30" t="s">
        <v>312</v>
      </c>
      <c r="H139" s="31"/>
      <c r="I139" s="31">
        <v>419988</v>
      </c>
      <c r="J139" s="32" t="str">
        <f t="shared" si="44"/>
        <v/>
      </c>
      <c r="K139" s="31"/>
      <c r="L139" s="31">
        <v>135897</v>
      </c>
      <c r="M139" s="32" t="str">
        <f t="shared" si="45"/>
        <v/>
      </c>
      <c r="N139" s="31"/>
      <c r="O139" s="31">
        <v>414768</v>
      </c>
      <c r="P139" s="32" t="str">
        <f t="shared" si="46"/>
        <v/>
      </c>
      <c r="Q139" s="31"/>
      <c r="R139" s="31">
        <v>267462.59999999998</v>
      </c>
      <c r="S139" s="32" t="str">
        <f t="shared" si="47"/>
        <v/>
      </c>
      <c r="T139" s="31"/>
      <c r="U139" s="31">
        <v>407837.04</v>
      </c>
      <c r="V139" s="32" t="str">
        <f t="shared" si="48"/>
        <v/>
      </c>
      <c r="W139" s="31"/>
      <c r="X139" s="31">
        <v>347835</v>
      </c>
      <c r="Y139" s="32" t="str">
        <f t="shared" si="49"/>
        <v/>
      </c>
      <c r="Z139" s="31" t="str">
        <f t="shared" si="51"/>
        <v/>
      </c>
      <c r="AA139" s="31">
        <f t="shared" si="52"/>
        <v>1993787.6400000001</v>
      </c>
      <c r="AB139" s="32" t="str">
        <f t="shared" si="50"/>
        <v/>
      </c>
      <c r="AC139" s="31"/>
      <c r="AD139" s="31"/>
      <c r="AE139" s="32" t="str">
        <f t="shared" si="53"/>
        <v/>
      </c>
      <c r="AF139" s="32" t="s">
        <v>313</v>
      </c>
      <c r="AG139" s="31"/>
      <c r="AH139" s="31"/>
      <c r="AI139" s="32" t="str">
        <f t="shared" si="54"/>
        <v/>
      </c>
      <c r="AJ139" s="32" t="s">
        <v>313</v>
      </c>
      <c r="AK139" s="31"/>
      <c r="AL139" s="31"/>
      <c r="AM139" s="32" t="str">
        <f t="shared" si="55"/>
        <v/>
      </c>
      <c r="AN139" s="32" t="s">
        <v>313</v>
      </c>
      <c r="AO139" s="31"/>
      <c r="AP139" s="31"/>
      <c r="AQ139" s="32" t="str">
        <f t="shared" si="56"/>
        <v/>
      </c>
      <c r="AR139" s="32" t="s">
        <v>313</v>
      </c>
      <c r="AS139" s="31"/>
      <c r="AT139" s="31"/>
      <c r="AU139" s="32" t="str">
        <f t="shared" si="57"/>
        <v/>
      </c>
      <c r="AV139" s="32" t="s">
        <v>313</v>
      </c>
      <c r="AW139" s="31"/>
      <c r="AX139" s="31"/>
      <c r="AY139" s="32" t="str">
        <f t="shared" si="58"/>
        <v/>
      </c>
      <c r="AZ139" s="32" t="s">
        <v>313</v>
      </c>
    </row>
    <row r="140" spans="1:52" ht="34" customHeight="1">
      <c r="A140" s="28" t="s">
        <v>231</v>
      </c>
      <c r="B140" s="29" t="s">
        <v>324</v>
      </c>
      <c r="C140" s="29" t="s">
        <v>52</v>
      </c>
      <c r="D140" s="29" t="s">
        <v>54</v>
      </c>
      <c r="E140" s="29" t="s">
        <v>63</v>
      </c>
      <c r="F140" s="29" t="s">
        <v>316</v>
      </c>
      <c r="G140" s="30" t="s">
        <v>312</v>
      </c>
      <c r="H140" s="31"/>
      <c r="I140" s="31">
        <v>419988</v>
      </c>
      <c r="J140" s="32" t="str">
        <f t="shared" si="44"/>
        <v/>
      </c>
      <c r="K140" s="31"/>
      <c r="L140" s="31">
        <v>135897</v>
      </c>
      <c r="M140" s="32" t="str">
        <f t="shared" si="45"/>
        <v/>
      </c>
      <c r="N140" s="31"/>
      <c r="O140" s="31">
        <v>414768</v>
      </c>
      <c r="P140" s="32" t="str">
        <f t="shared" si="46"/>
        <v/>
      </c>
      <c r="Q140" s="31"/>
      <c r="R140" s="31">
        <v>267462.59999999998</v>
      </c>
      <c r="S140" s="32" t="str">
        <f t="shared" si="47"/>
        <v/>
      </c>
      <c r="T140" s="31"/>
      <c r="U140" s="31">
        <v>407837.04</v>
      </c>
      <c r="V140" s="32" t="str">
        <f t="shared" si="48"/>
        <v/>
      </c>
      <c r="W140" s="31"/>
      <c r="X140" s="31">
        <v>347835</v>
      </c>
      <c r="Y140" s="32" t="str">
        <f t="shared" si="49"/>
        <v/>
      </c>
      <c r="Z140" s="31" t="str">
        <f t="shared" si="51"/>
        <v/>
      </c>
      <c r="AA140" s="31">
        <f t="shared" si="52"/>
        <v>1993787.6400000001</v>
      </c>
      <c r="AB140" s="32" t="str">
        <f t="shared" si="50"/>
        <v/>
      </c>
      <c r="AC140" s="31"/>
      <c r="AD140" s="31"/>
      <c r="AE140" s="32" t="str">
        <f t="shared" si="53"/>
        <v/>
      </c>
      <c r="AF140" s="32" t="s">
        <v>313</v>
      </c>
      <c r="AG140" s="31"/>
      <c r="AH140" s="31"/>
      <c r="AI140" s="32" t="str">
        <f t="shared" si="54"/>
        <v/>
      </c>
      <c r="AJ140" s="32" t="s">
        <v>313</v>
      </c>
      <c r="AK140" s="31"/>
      <c r="AL140" s="31"/>
      <c r="AM140" s="32" t="str">
        <f t="shared" si="55"/>
        <v/>
      </c>
      <c r="AN140" s="32" t="s">
        <v>313</v>
      </c>
      <c r="AO140" s="31"/>
      <c r="AP140" s="31"/>
      <c r="AQ140" s="32" t="str">
        <f t="shared" si="56"/>
        <v/>
      </c>
      <c r="AR140" s="32" t="s">
        <v>313</v>
      </c>
      <c r="AS140" s="31"/>
      <c r="AT140" s="31"/>
      <c r="AU140" s="32" t="str">
        <f t="shared" si="57"/>
        <v/>
      </c>
      <c r="AV140" s="32" t="s">
        <v>313</v>
      </c>
      <c r="AW140" s="31"/>
      <c r="AX140" s="31"/>
      <c r="AY140" s="32" t="str">
        <f t="shared" si="58"/>
        <v/>
      </c>
      <c r="AZ140" s="32" t="s">
        <v>313</v>
      </c>
    </row>
    <row r="141" spans="1:52" ht="34" customHeight="1">
      <c r="A141" s="28" t="s">
        <v>231</v>
      </c>
      <c r="B141" s="29" t="s">
        <v>324</v>
      </c>
      <c r="C141" s="29" t="s">
        <v>52</v>
      </c>
      <c r="D141" s="29" t="s">
        <v>65</v>
      </c>
      <c r="E141" s="29" t="s">
        <v>66</v>
      </c>
      <c r="F141" s="29" t="s">
        <v>316</v>
      </c>
      <c r="G141" s="30" t="s">
        <v>312</v>
      </c>
      <c r="H141" s="31"/>
      <c r="I141" s="31">
        <v>419988</v>
      </c>
      <c r="J141" s="32" t="str">
        <f t="shared" si="44"/>
        <v/>
      </c>
      <c r="K141" s="31"/>
      <c r="L141" s="31">
        <v>135897</v>
      </c>
      <c r="M141" s="32" t="str">
        <f t="shared" si="45"/>
        <v/>
      </c>
      <c r="N141" s="31"/>
      <c r="O141" s="31">
        <v>414768</v>
      </c>
      <c r="P141" s="32" t="str">
        <f t="shared" si="46"/>
        <v/>
      </c>
      <c r="Q141" s="31"/>
      <c r="R141" s="31">
        <v>267462.59999999998</v>
      </c>
      <c r="S141" s="32" t="str">
        <f t="shared" si="47"/>
        <v/>
      </c>
      <c r="T141" s="31"/>
      <c r="U141" s="31">
        <v>407837.04</v>
      </c>
      <c r="V141" s="32" t="str">
        <f t="shared" si="48"/>
        <v/>
      </c>
      <c r="W141" s="31"/>
      <c r="X141" s="31">
        <v>347835</v>
      </c>
      <c r="Y141" s="32" t="str">
        <f t="shared" si="49"/>
        <v/>
      </c>
      <c r="Z141" s="31" t="str">
        <f t="shared" si="51"/>
        <v/>
      </c>
      <c r="AA141" s="31">
        <f t="shared" si="52"/>
        <v>1993787.6400000001</v>
      </c>
      <c r="AB141" s="32" t="str">
        <f t="shared" si="50"/>
        <v/>
      </c>
      <c r="AC141" s="31"/>
      <c r="AD141" s="31"/>
      <c r="AE141" s="32" t="str">
        <f t="shared" si="53"/>
        <v/>
      </c>
      <c r="AF141" s="32" t="s">
        <v>313</v>
      </c>
      <c r="AG141" s="31"/>
      <c r="AH141" s="31"/>
      <c r="AI141" s="32" t="str">
        <f t="shared" si="54"/>
        <v/>
      </c>
      <c r="AJ141" s="32" t="s">
        <v>313</v>
      </c>
      <c r="AK141" s="31"/>
      <c r="AL141" s="31"/>
      <c r="AM141" s="32" t="str">
        <f t="shared" si="55"/>
        <v/>
      </c>
      <c r="AN141" s="32" t="s">
        <v>313</v>
      </c>
      <c r="AO141" s="31"/>
      <c r="AP141" s="31"/>
      <c r="AQ141" s="32" t="str">
        <f t="shared" si="56"/>
        <v/>
      </c>
      <c r="AR141" s="32" t="s">
        <v>313</v>
      </c>
      <c r="AS141" s="31"/>
      <c r="AT141" s="31"/>
      <c r="AU141" s="32" t="str">
        <f t="shared" si="57"/>
        <v/>
      </c>
      <c r="AV141" s="32" t="s">
        <v>313</v>
      </c>
      <c r="AW141" s="31"/>
      <c r="AX141" s="31"/>
      <c r="AY141" s="32" t="str">
        <f t="shared" si="58"/>
        <v/>
      </c>
      <c r="AZ141" s="32" t="s">
        <v>313</v>
      </c>
    </row>
    <row r="142" spans="1:52" ht="34" customHeight="1">
      <c r="A142" s="28" t="s">
        <v>231</v>
      </c>
      <c r="B142" s="29" t="s">
        <v>324</v>
      </c>
      <c r="C142" s="29" t="s">
        <v>52</v>
      </c>
      <c r="D142" s="29" t="s">
        <v>65</v>
      </c>
      <c r="E142" s="29" t="s">
        <v>67</v>
      </c>
      <c r="F142" s="29" t="s">
        <v>316</v>
      </c>
      <c r="G142" s="30" t="s">
        <v>312</v>
      </c>
      <c r="H142" s="31"/>
      <c r="I142" s="31">
        <v>419988</v>
      </c>
      <c r="J142" s="32" t="str">
        <f t="shared" si="44"/>
        <v/>
      </c>
      <c r="K142" s="31"/>
      <c r="L142" s="31">
        <v>135897</v>
      </c>
      <c r="M142" s="32" t="str">
        <f t="shared" si="45"/>
        <v/>
      </c>
      <c r="N142" s="31"/>
      <c r="O142" s="31">
        <v>414768</v>
      </c>
      <c r="P142" s="32" t="str">
        <f t="shared" si="46"/>
        <v/>
      </c>
      <c r="Q142" s="31"/>
      <c r="R142" s="31">
        <v>267462.59999999998</v>
      </c>
      <c r="S142" s="32" t="str">
        <f t="shared" si="47"/>
        <v/>
      </c>
      <c r="T142" s="31"/>
      <c r="U142" s="31">
        <v>407837.04</v>
      </c>
      <c r="V142" s="32" t="str">
        <f t="shared" si="48"/>
        <v/>
      </c>
      <c r="W142" s="31"/>
      <c r="X142" s="31">
        <v>347835</v>
      </c>
      <c r="Y142" s="32" t="str">
        <f t="shared" si="49"/>
        <v/>
      </c>
      <c r="Z142" s="31" t="str">
        <f t="shared" si="51"/>
        <v/>
      </c>
      <c r="AA142" s="31">
        <f t="shared" si="52"/>
        <v>1993787.6400000001</v>
      </c>
      <c r="AB142" s="32" t="str">
        <f t="shared" si="50"/>
        <v/>
      </c>
      <c r="AC142" s="31"/>
      <c r="AD142" s="31"/>
      <c r="AE142" s="32" t="str">
        <f t="shared" si="53"/>
        <v/>
      </c>
      <c r="AF142" s="32" t="s">
        <v>313</v>
      </c>
      <c r="AG142" s="31"/>
      <c r="AH142" s="31"/>
      <c r="AI142" s="32" t="str">
        <f t="shared" si="54"/>
        <v/>
      </c>
      <c r="AJ142" s="32" t="s">
        <v>313</v>
      </c>
      <c r="AK142" s="31"/>
      <c r="AL142" s="31"/>
      <c r="AM142" s="32" t="str">
        <f t="shared" si="55"/>
        <v/>
      </c>
      <c r="AN142" s="32" t="s">
        <v>313</v>
      </c>
      <c r="AO142" s="31"/>
      <c r="AP142" s="31"/>
      <c r="AQ142" s="32" t="str">
        <f t="shared" si="56"/>
        <v/>
      </c>
      <c r="AR142" s="32" t="s">
        <v>313</v>
      </c>
      <c r="AS142" s="31"/>
      <c r="AT142" s="31"/>
      <c r="AU142" s="32" t="str">
        <f t="shared" si="57"/>
        <v/>
      </c>
      <c r="AV142" s="32" t="s">
        <v>313</v>
      </c>
      <c r="AW142" s="31"/>
      <c r="AX142" s="31"/>
      <c r="AY142" s="32" t="str">
        <f t="shared" si="58"/>
        <v/>
      </c>
      <c r="AZ142" s="32" t="s">
        <v>313</v>
      </c>
    </row>
    <row r="143" spans="1:52" ht="34" customHeight="1">
      <c r="A143" s="28" t="s">
        <v>231</v>
      </c>
      <c r="B143" s="29" t="s">
        <v>324</v>
      </c>
      <c r="C143" s="29" t="s">
        <v>52</v>
      </c>
      <c r="D143" s="29" t="s">
        <v>65</v>
      </c>
      <c r="E143" s="29" t="s">
        <v>68</v>
      </c>
      <c r="F143" s="29" t="s">
        <v>316</v>
      </c>
      <c r="G143" s="30" t="s">
        <v>312</v>
      </c>
      <c r="H143" s="31"/>
      <c r="I143" s="31">
        <v>419988</v>
      </c>
      <c r="J143" s="32" t="str">
        <f t="shared" si="44"/>
        <v/>
      </c>
      <c r="K143" s="31"/>
      <c r="L143" s="31">
        <v>135897</v>
      </c>
      <c r="M143" s="32" t="str">
        <f t="shared" si="45"/>
        <v/>
      </c>
      <c r="N143" s="31"/>
      <c r="O143" s="31">
        <v>414768</v>
      </c>
      <c r="P143" s="32" t="str">
        <f t="shared" si="46"/>
        <v/>
      </c>
      <c r="Q143" s="31"/>
      <c r="R143" s="31">
        <v>267462.59999999998</v>
      </c>
      <c r="S143" s="32" t="str">
        <f t="shared" si="47"/>
        <v/>
      </c>
      <c r="T143" s="31"/>
      <c r="U143" s="31">
        <v>407837.04</v>
      </c>
      <c r="V143" s="32" t="str">
        <f t="shared" si="48"/>
        <v/>
      </c>
      <c r="W143" s="31"/>
      <c r="X143" s="31">
        <v>347835</v>
      </c>
      <c r="Y143" s="32" t="str">
        <f t="shared" si="49"/>
        <v/>
      </c>
      <c r="Z143" s="31" t="str">
        <f t="shared" si="51"/>
        <v/>
      </c>
      <c r="AA143" s="31">
        <f t="shared" si="52"/>
        <v>1993787.6400000001</v>
      </c>
      <c r="AB143" s="32" t="str">
        <f t="shared" si="50"/>
        <v/>
      </c>
      <c r="AC143" s="31"/>
      <c r="AD143" s="31"/>
      <c r="AE143" s="32" t="str">
        <f t="shared" si="53"/>
        <v/>
      </c>
      <c r="AF143" s="32" t="s">
        <v>313</v>
      </c>
      <c r="AG143" s="31"/>
      <c r="AH143" s="31"/>
      <c r="AI143" s="32" t="str">
        <f t="shared" si="54"/>
        <v/>
      </c>
      <c r="AJ143" s="32" t="s">
        <v>313</v>
      </c>
      <c r="AK143" s="31"/>
      <c r="AL143" s="31"/>
      <c r="AM143" s="32" t="str">
        <f t="shared" si="55"/>
        <v/>
      </c>
      <c r="AN143" s="32" t="s">
        <v>313</v>
      </c>
      <c r="AO143" s="31"/>
      <c r="AP143" s="31"/>
      <c r="AQ143" s="32" t="str">
        <f t="shared" si="56"/>
        <v/>
      </c>
      <c r="AR143" s="32" t="s">
        <v>313</v>
      </c>
      <c r="AS143" s="31"/>
      <c r="AT143" s="31"/>
      <c r="AU143" s="32" t="str">
        <f t="shared" si="57"/>
        <v/>
      </c>
      <c r="AV143" s="32" t="s">
        <v>313</v>
      </c>
      <c r="AW143" s="31"/>
      <c r="AX143" s="31"/>
      <c r="AY143" s="32" t="str">
        <f t="shared" si="58"/>
        <v/>
      </c>
      <c r="AZ143" s="32" t="s">
        <v>313</v>
      </c>
    </row>
    <row r="144" spans="1:52" ht="34" customHeight="1">
      <c r="A144" s="28" t="s">
        <v>231</v>
      </c>
      <c r="B144" s="29" t="s">
        <v>324</v>
      </c>
      <c r="C144" s="29" t="s">
        <v>52</v>
      </c>
      <c r="D144" s="29" t="s">
        <v>65</v>
      </c>
      <c r="E144" s="29" t="s">
        <v>69</v>
      </c>
      <c r="F144" s="29" t="s">
        <v>316</v>
      </c>
      <c r="G144" s="30" t="s">
        <v>312</v>
      </c>
      <c r="H144" s="31"/>
      <c r="I144" s="31">
        <v>419988</v>
      </c>
      <c r="J144" s="32" t="str">
        <f t="shared" si="44"/>
        <v/>
      </c>
      <c r="K144" s="31"/>
      <c r="L144" s="31">
        <v>135897</v>
      </c>
      <c r="M144" s="32" t="str">
        <f t="shared" si="45"/>
        <v/>
      </c>
      <c r="N144" s="31"/>
      <c r="O144" s="31">
        <v>414768</v>
      </c>
      <c r="P144" s="32" t="str">
        <f t="shared" si="46"/>
        <v/>
      </c>
      <c r="Q144" s="31"/>
      <c r="R144" s="31">
        <v>267462.59999999998</v>
      </c>
      <c r="S144" s="32" t="str">
        <f t="shared" si="47"/>
        <v/>
      </c>
      <c r="T144" s="31"/>
      <c r="U144" s="31">
        <v>407837.04</v>
      </c>
      <c r="V144" s="32" t="str">
        <f t="shared" si="48"/>
        <v/>
      </c>
      <c r="W144" s="31"/>
      <c r="X144" s="31">
        <v>347835</v>
      </c>
      <c r="Y144" s="32" t="str">
        <f t="shared" si="49"/>
        <v/>
      </c>
      <c r="Z144" s="31" t="str">
        <f t="shared" si="51"/>
        <v/>
      </c>
      <c r="AA144" s="31">
        <f t="shared" si="52"/>
        <v>1993787.6400000001</v>
      </c>
      <c r="AB144" s="32" t="str">
        <f t="shared" si="50"/>
        <v/>
      </c>
      <c r="AC144" s="31"/>
      <c r="AD144" s="31"/>
      <c r="AE144" s="32" t="str">
        <f t="shared" si="53"/>
        <v/>
      </c>
      <c r="AF144" s="32" t="s">
        <v>313</v>
      </c>
      <c r="AG144" s="31"/>
      <c r="AH144" s="31"/>
      <c r="AI144" s="32" t="str">
        <f t="shared" si="54"/>
        <v/>
      </c>
      <c r="AJ144" s="32" t="s">
        <v>313</v>
      </c>
      <c r="AK144" s="31"/>
      <c r="AL144" s="31"/>
      <c r="AM144" s="32" t="str">
        <f t="shared" si="55"/>
        <v/>
      </c>
      <c r="AN144" s="32" t="s">
        <v>313</v>
      </c>
      <c r="AO144" s="31"/>
      <c r="AP144" s="31"/>
      <c r="AQ144" s="32" t="str">
        <f t="shared" si="56"/>
        <v/>
      </c>
      <c r="AR144" s="32" t="s">
        <v>313</v>
      </c>
      <c r="AS144" s="31"/>
      <c r="AT144" s="31"/>
      <c r="AU144" s="32" t="str">
        <f t="shared" si="57"/>
        <v/>
      </c>
      <c r="AV144" s="32" t="s">
        <v>313</v>
      </c>
      <c r="AW144" s="31"/>
      <c r="AX144" s="31"/>
      <c r="AY144" s="32" t="str">
        <f t="shared" si="58"/>
        <v/>
      </c>
      <c r="AZ144" s="32" t="s">
        <v>313</v>
      </c>
    </row>
    <row r="145" spans="1:52" ht="68" customHeight="1">
      <c r="A145" s="28" t="s">
        <v>231</v>
      </c>
      <c r="B145" s="29" t="s">
        <v>324</v>
      </c>
      <c r="C145" s="29" t="s">
        <v>52</v>
      </c>
      <c r="D145" s="29" t="s">
        <v>70</v>
      </c>
      <c r="E145" s="29" t="s">
        <v>73</v>
      </c>
      <c r="F145" s="29" t="s">
        <v>317</v>
      </c>
      <c r="G145" s="30" t="s">
        <v>312</v>
      </c>
      <c r="H145" s="31">
        <v>0</v>
      </c>
      <c r="I145" s="31">
        <v>419988</v>
      </c>
      <c r="J145" s="32">
        <f t="shared" si="44"/>
        <v>0</v>
      </c>
      <c r="K145" s="31">
        <v>0</v>
      </c>
      <c r="L145" s="31">
        <v>135897</v>
      </c>
      <c r="M145" s="32">
        <f t="shared" si="45"/>
        <v>0</v>
      </c>
      <c r="N145" s="31">
        <v>0</v>
      </c>
      <c r="O145" s="31">
        <v>414768</v>
      </c>
      <c r="P145" s="32">
        <f t="shared" si="46"/>
        <v>0</v>
      </c>
      <c r="Q145" s="31">
        <v>0</v>
      </c>
      <c r="R145" s="31">
        <v>267462.59999999998</v>
      </c>
      <c r="S145" s="32">
        <f t="shared" si="47"/>
        <v>0</v>
      </c>
      <c r="T145" s="31">
        <v>0</v>
      </c>
      <c r="U145" s="31">
        <v>407837.04</v>
      </c>
      <c r="V145" s="32">
        <f t="shared" si="48"/>
        <v>0</v>
      </c>
      <c r="W145" s="31">
        <v>0</v>
      </c>
      <c r="X145" s="31">
        <v>347835</v>
      </c>
      <c r="Y145" s="32">
        <f t="shared" si="49"/>
        <v>0</v>
      </c>
      <c r="Z145" s="31">
        <f t="shared" si="51"/>
        <v>0</v>
      </c>
      <c r="AA145" s="31">
        <f t="shared" si="52"/>
        <v>1993787.6400000001</v>
      </c>
      <c r="AB145" s="32">
        <f t="shared" si="50"/>
        <v>0</v>
      </c>
      <c r="AC145" s="31"/>
      <c r="AD145" s="31"/>
      <c r="AE145" s="32" t="str">
        <f t="shared" si="53"/>
        <v/>
      </c>
      <c r="AF145" s="32" t="s">
        <v>313</v>
      </c>
      <c r="AG145" s="31"/>
      <c r="AH145" s="31"/>
      <c r="AI145" s="32" t="str">
        <f t="shared" si="54"/>
        <v/>
      </c>
      <c r="AJ145" s="32" t="s">
        <v>313</v>
      </c>
      <c r="AK145" s="31"/>
      <c r="AL145" s="31"/>
      <c r="AM145" s="32" t="str">
        <f t="shared" si="55"/>
        <v/>
      </c>
      <c r="AN145" s="32" t="s">
        <v>313</v>
      </c>
      <c r="AO145" s="31"/>
      <c r="AP145" s="31"/>
      <c r="AQ145" s="32" t="str">
        <f t="shared" si="56"/>
        <v/>
      </c>
      <c r="AR145" s="32" t="s">
        <v>313</v>
      </c>
      <c r="AS145" s="31"/>
      <c r="AT145" s="31"/>
      <c r="AU145" s="32" t="str">
        <f t="shared" si="57"/>
        <v/>
      </c>
      <c r="AV145" s="32" t="s">
        <v>313</v>
      </c>
      <c r="AW145" s="31"/>
      <c r="AX145" s="31"/>
      <c r="AY145" s="32" t="str">
        <f t="shared" si="58"/>
        <v/>
      </c>
      <c r="AZ145" s="32" t="s">
        <v>313</v>
      </c>
    </row>
    <row r="146" spans="1:52" ht="34" customHeight="1">
      <c r="A146" s="28" t="s">
        <v>231</v>
      </c>
      <c r="B146" s="29" t="s">
        <v>324</v>
      </c>
      <c r="C146" s="29" t="s">
        <v>52</v>
      </c>
      <c r="D146" s="29" t="s">
        <v>70</v>
      </c>
      <c r="E146" s="29" t="s">
        <v>71</v>
      </c>
      <c r="F146" s="29" t="s">
        <v>316</v>
      </c>
      <c r="G146" s="30" t="s">
        <v>312</v>
      </c>
      <c r="H146" s="31"/>
      <c r="I146" s="31">
        <v>419988</v>
      </c>
      <c r="J146" s="32" t="str">
        <f t="shared" si="44"/>
        <v/>
      </c>
      <c r="K146" s="31"/>
      <c r="L146" s="31">
        <v>135897</v>
      </c>
      <c r="M146" s="32" t="str">
        <f t="shared" si="45"/>
        <v/>
      </c>
      <c r="N146" s="31"/>
      <c r="O146" s="31">
        <v>414768</v>
      </c>
      <c r="P146" s="32" t="str">
        <f t="shared" si="46"/>
        <v/>
      </c>
      <c r="Q146" s="31"/>
      <c r="R146" s="31">
        <v>267462.59999999998</v>
      </c>
      <c r="S146" s="32" t="str">
        <f t="shared" si="47"/>
        <v/>
      </c>
      <c r="T146" s="31"/>
      <c r="U146" s="31">
        <v>407837.04</v>
      </c>
      <c r="V146" s="32" t="str">
        <f t="shared" si="48"/>
        <v/>
      </c>
      <c r="W146" s="31"/>
      <c r="X146" s="31">
        <v>347835</v>
      </c>
      <c r="Y146" s="32" t="str">
        <f t="shared" si="49"/>
        <v/>
      </c>
      <c r="Z146" s="31" t="str">
        <f t="shared" si="51"/>
        <v/>
      </c>
      <c r="AA146" s="31">
        <f t="shared" si="52"/>
        <v>1993787.6400000001</v>
      </c>
      <c r="AB146" s="32" t="str">
        <f t="shared" si="50"/>
        <v/>
      </c>
      <c r="AC146" s="31"/>
      <c r="AD146" s="31"/>
      <c r="AE146" s="32" t="str">
        <f t="shared" si="53"/>
        <v/>
      </c>
      <c r="AF146" s="32" t="s">
        <v>313</v>
      </c>
      <c r="AG146" s="31"/>
      <c r="AH146" s="31"/>
      <c r="AI146" s="32" t="str">
        <f t="shared" si="54"/>
        <v/>
      </c>
      <c r="AJ146" s="32" t="s">
        <v>313</v>
      </c>
      <c r="AK146" s="31"/>
      <c r="AL146" s="31"/>
      <c r="AM146" s="32" t="str">
        <f t="shared" si="55"/>
        <v/>
      </c>
      <c r="AN146" s="32" t="s">
        <v>313</v>
      </c>
      <c r="AO146" s="31"/>
      <c r="AP146" s="31"/>
      <c r="AQ146" s="32" t="str">
        <f t="shared" si="56"/>
        <v/>
      </c>
      <c r="AR146" s="32" t="s">
        <v>313</v>
      </c>
      <c r="AS146" s="31"/>
      <c r="AT146" s="31"/>
      <c r="AU146" s="32" t="str">
        <f t="shared" si="57"/>
        <v/>
      </c>
      <c r="AV146" s="32" t="s">
        <v>313</v>
      </c>
      <c r="AW146" s="31"/>
      <c r="AX146" s="31"/>
      <c r="AY146" s="32" t="str">
        <f t="shared" si="58"/>
        <v/>
      </c>
      <c r="AZ146" s="32" t="s">
        <v>313</v>
      </c>
    </row>
    <row r="147" spans="1:52" ht="34" customHeight="1">
      <c r="A147" s="28" t="s">
        <v>231</v>
      </c>
      <c r="B147" s="29" t="s">
        <v>324</v>
      </c>
      <c r="C147" s="29" t="s">
        <v>52</v>
      </c>
      <c r="D147" s="29" t="s">
        <v>70</v>
      </c>
      <c r="E147" s="29" t="s">
        <v>72</v>
      </c>
      <c r="F147" s="29" t="s">
        <v>316</v>
      </c>
      <c r="G147" s="30" t="s">
        <v>312</v>
      </c>
      <c r="H147" s="31"/>
      <c r="I147" s="31">
        <v>419988</v>
      </c>
      <c r="J147" s="32" t="str">
        <f t="shared" si="44"/>
        <v/>
      </c>
      <c r="K147" s="31"/>
      <c r="L147" s="31">
        <v>135897</v>
      </c>
      <c r="M147" s="32" t="str">
        <f t="shared" si="45"/>
        <v/>
      </c>
      <c r="N147" s="31"/>
      <c r="O147" s="31">
        <v>414768</v>
      </c>
      <c r="P147" s="32" t="str">
        <f t="shared" si="46"/>
        <v/>
      </c>
      <c r="Q147" s="31"/>
      <c r="R147" s="31">
        <v>267462.59999999998</v>
      </c>
      <c r="S147" s="32" t="str">
        <f t="shared" si="47"/>
        <v/>
      </c>
      <c r="T147" s="31"/>
      <c r="U147" s="31">
        <v>407837.04</v>
      </c>
      <c r="V147" s="32" t="str">
        <f t="shared" si="48"/>
        <v/>
      </c>
      <c r="W147" s="31"/>
      <c r="X147" s="31">
        <v>347835</v>
      </c>
      <c r="Y147" s="32" t="str">
        <f t="shared" si="49"/>
        <v/>
      </c>
      <c r="Z147" s="31" t="str">
        <f t="shared" si="51"/>
        <v/>
      </c>
      <c r="AA147" s="31">
        <f t="shared" si="52"/>
        <v>1993787.6400000001</v>
      </c>
      <c r="AB147" s="32" t="str">
        <f t="shared" si="50"/>
        <v/>
      </c>
      <c r="AC147" s="31"/>
      <c r="AD147" s="31"/>
      <c r="AE147" s="32" t="str">
        <f t="shared" si="53"/>
        <v/>
      </c>
      <c r="AF147" s="32" t="s">
        <v>313</v>
      </c>
      <c r="AG147" s="31"/>
      <c r="AH147" s="31"/>
      <c r="AI147" s="32" t="str">
        <f t="shared" si="54"/>
        <v/>
      </c>
      <c r="AJ147" s="32" t="s">
        <v>313</v>
      </c>
      <c r="AK147" s="31"/>
      <c r="AL147" s="31"/>
      <c r="AM147" s="32" t="str">
        <f t="shared" si="55"/>
        <v/>
      </c>
      <c r="AN147" s="32" t="s">
        <v>313</v>
      </c>
      <c r="AO147" s="31"/>
      <c r="AP147" s="31"/>
      <c r="AQ147" s="32" t="str">
        <f t="shared" si="56"/>
        <v/>
      </c>
      <c r="AR147" s="32" t="s">
        <v>313</v>
      </c>
      <c r="AS147" s="31"/>
      <c r="AT147" s="31"/>
      <c r="AU147" s="32" t="str">
        <f t="shared" si="57"/>
        <v/>
      </c>
      <c r="AV147" s="32" t="s">
        <v>313</v>
      </c>
      <c r="AW147" s="31"/>
      <c r="AX147" s="31"/>
      <c r="AY147" s="32" t="str">
        <f t="shared" si="58"/>
        <v/>
      </c>
      <c r="AZ147" s="32" t="s">
        <v>313</v>
      </c>
    </row>
    <row r="148" spans="1:52" ht="34" customHeight="1">
      <c r="A148" s="28" t="s">
        <v>231</v>
      </c>
      <c r="B148" s="29" t="s">
        <v>324</v>
      </c>
      <c r="C148" s="29" t="s">
        <v>52</v>
      </c>
      <c r="D148" s="29" t="s">
        <v>74</v>
      </c>
      <c r="E148" s="29" t="s">
        <v>75</v>
      </c>
      <c r="F148" s="29" t="s">
        <v>139</v>
      </c>
      <c r="G148" s="30" t="s">
        <v>312</v>
      </c>
      <c r="H148" s="31">
        <v>0</v>
      </c>
      <c r="I148" s="31">
        <v>419988</v>
      </c>
      <c r="J148" s="32">
        <f t="shared" si="44"/>
        <v>0</v>
      </c>
      <c r="K148" s="31">
        <v>0</v>
      </c>
      <c r="L148" s="31">
        <v>135897</v>
      </c>
      <c r="M148" s="32">
        <f t="shared" si="45"/>
        <v>0</v>
      </c>
      <c r="N148" s="31">
        <v>0</v>
      </c>
      <c r="O148" s="31">
        <v>414768</v>
      </c>
      <c r="P148" s="32">
        <f t="shared" si="46"/>
        <v>0</v>
      </c>
      <c r="Q148" s="31">
        <v>0</v>
      </c>
      <c r="R148" s="31">
        <v>267462.59999999998</v>
      </c>
      <c r="S148" s="32">
        <f t="shared" si="47"/>
        <v>0</v>
      </c>
      <c r="T148" s="31">
        <v>0</v>
      </c>
      <c r="U148" s="31">
        <v>407837.04</v>
      </c>
      <c r="V148" s="32">
        <f t="shared" si="48"/>
        <v>0</v>
      </c>
      <c r="W148" s="31">
        <v>0</v>
      </c>
      <c r="X148" s="31">
        <v>347835</v>
      </c>
      <c r="Y148" s="32">
        <f t="shared" si="49"/>
        <v>0</v>
      </c>
      <c r="Z148" s="31">
        <f t="shared" si="51"/>
        <v>0</v>
      </c>
      <c r="AA148" s="31">
        <f t="shared" si="52"/>
        <v>1993787.6400000001</v>
      </c>
      <c r="AB148" s="32">
        <f t="shared" si="50"/>
        <v>0</v>
      </c>
      <c r="AC148" s="31"/>
      <c r="AD148" s="31"/>
      <c r="AE148" s="32" t="str">
        <f t="shared" si="53"/>
        <v/>
      </c>
      <c r="AF148" s="32" t="s">
        <v>313</v>
      </c>
      <c r="AG148" s="31"/>
      <c r="AH148" s="31"/>
      <c r="AI148" s="32" t="str">
        <f t="shared" si="54"/>
        <v/>
      </c>
      <c r="AJ148" s="32" t="s">
        <v>313</v>
      </c>
      <c r="AK148" s="31"/>
      <c r="AL148" s="31"/>
      <c r="AM148" s="32" t="str">
        <f t="shared" si="55"/>
        <v/>
      </c>
      <c r="AN148" s="32" t="s">
        <v>313</v>
      </c>
      <c r="AO148" s="31"/>
      <c r="AP148" s="31"/>
      <c r="AQ148" s="32" t="str">
        <f t="shared" si="56"/>
        <v/>
      </c>
      <c r="AR148" s="32" t="s">
        <v>313</v>
      </c>
      <c r="AS148" s="31"/>
      <c r="AT148" s="31"/>
      <c r="AU148" s="32" t="str">
        <f t="shared" si="57"/>
        <v/>
      </c>
      <c r="AV148" s="32" t="s">
        <v>313</v>
      </c>
      <c r="AW148" s="31"/>
      <c r="AX148" s="31"/>
      <c r="AY148" s="32" t="str">
        <f t="shared" si="58"/>
        <v/>
      </c>
      <c r="AZ148" s="32" t="s">
        <v>313</v>
      </c>
    </row>
    <row r="149" spans="1:52" ht="34" customHeight="1">
      <c r="A149" s="28" t="s">
        <v>231</v>
      </c>
      <c r="B149" s="29" t="s">
        <v>324</v>
      </c>
      <c r="C149" s="29" t="s">
        <v>52</v>
      </c>
      <c r="D149" s="29" t="s">
        <v>74</v>
      </c>
      <c r="E149" s="29" t="s">
        <v>76</v>
      </c>
      <c r="F149" s="29" t="s">
        <v>141</v>
      </c>
      <c r="G149" s="30" t="s">
        <v>312</v>
      </c>
      <c r="H149" s="31">
        <v>230.19</v>
      </c>
      <c r="I149" s="31">
        <v>419988</v>
      </c>
      <c r="J149" s="32">
        <f t="shared" si="44"/>
        <v>5.480870882025201E-4</v>
      </c>
      <c r="K149" s="31">
        <v>4.93</v>
      </c>
      <c r="L149" s="31">
        <v>135897</v>
      </c>
      <c r="M149" s="32">
        <f t="shared" si="45"/>
        <v>3.6277474852277824E-5</v>
      </c>
      <c r="N149" s="31">
        <v>242.91</v>
      </c>
      <c r="O149" s="31">
        <v>414768</v>
      </c>
      <c r="P149" s="32">
        <f t="shared" si="46"/>
        <v>5.8565270223353779E-4</v>
      </c>
      <c r="Q149" s="31">
        <v>145.54</v>
      </c>
      <c r="R149" s="31">
        <v>267462.59999999998</v>
      </c>
      <c r="S149" s="32">
        <f t="shared" si="47"/>
        <v>5.4415084576310861E-4</v>
      </c>
      <c r="T149" s="31">
        <v>188.17</v>
      </c>
      <c r="U149" s="31">
        <v>407837.04</v>
      </c>
      <c r="V149" s="32">
        <f t="shared" si="48"/>
        <v>4.6138526309429865E-4</v>
      </c>
      <c r="W149" s="31">
        <v>191.94</v>
      </c>
      <c r="X149" s="31">
        <v>347835</v>
      </c>
      <c r="Y149" s="32">
        <f t="shared" si="49"/>
        <v>5.5181335978265556E-4</v>
      </c>
      <c r="Z149" s="31">
        <f t="shared" si="51"/>
        <v>1003.6799999999998</v>
      </c>
      <c r="AA149" s="31">
        <f t="shared" si="52"/>
        <v>1993787.6400000001</v>
      </c>
      <c r="AB149" s="32">
        <f t="shared" si="50"/>
        <v>5.0340366238803638E-4</v>
      </c>
      <c r="AC149" s="31"/>
      <c r="AD149" s="31"/>
      <c r="AE149" s="32" t="str">
        <f t="shared" si="53"/>
        <v/>
      </c>
      <c r="AF149" s="32" t="s">
        <v>313</v>
      </c>
      <c r="AG149" s="31"/>
      <c r="AH149" s="31"/>
      <c r="AI149" s="32" t="str">
        <f t="shared" si="54"/>
        <v/>
      </c>
      <c r="AJ149" s="32" t="s">
        <v>313</v>
      </c>
      <c r="AK149" s="31"/>
      <c r="AL149" s="31"/>
      <c r="AM149" s="32" t="str">
        <f t="shared" si="55"/>
        <v/>
      </c>
      <c r="AN149" s="32" t="s">
        <v>313</v>
      </c>
      <c r="AO149" s="31"/>
      <c r="AP149" s="31"/>
      <c r="AQ149" s="32" t="str">
        <f t="shared" si="56"/>
        <v/>
      </c>
      <c r="AR149" s="32" t="s">
        <v>313</v>
      </c>
      <c r="AS149" s="31"/>
      <c r="AT149" s="31"/>
      <c r="AU149" s="32" t="str">
        <f t="shared" si="57"/>
        <v/>
      </c>
      <c r="AV149" s="32" t="s">
        <v>313</v>
      </c>
      <c r="AW149" s="31"/>
      <c r="AX149" s="31"/>
      <c r="AY149" s="32" t="str">
        <f t="shared" si="58"/>
        <v/>
      </c>
      <c r="AZ149" s="32" t="s">
        <v>313</v>
      </c>
    </row>
    <row r="150" spans="1:52" ht="34" customHeight="1">
      <c r="A150" s="28" t="s">
        <v>231</v>
      </c>
      <c r="B150" s="29" t="s">
        <v>324</v>
      </c>
      <c r="C150" s="29" t="s">
        <v>52</v>
      </c>
      <c r="D150" s="29" t="s">
        <v>74</v>
      </c>
      <c r="E150" s="29" t="s">
        <v>77</v>
      </c>
      <c r="F150" s="29" t="s">
        <v>316</v>
      </c>
      <c r="G150" s="30" t="s">
        <v>312</v>
      </c>
      <c r="H150" s="31"/>
      <c r="I150" s="31">
        <v>419988</v>
      </c>
      <c r="J150" s="32" t="str">
        <f t="shared" si="44"/>
        <v/>
      </c>
      <c r="K150" s="31"/>
      <c r="L150" s="31">
        <v>135897</v>
      </c>
      <c r="M150" s="32" t="str">
        <f t="shared" si="45"/>
        <v/>
      </c>
      <c r="N150" s="31"/>
      <c r="O150" s="31">
        <v>414768</v>
      </c>
      <c r="P150" s="32" t="str">
        <f t="shared" si="46"/>
        <v/>
      </c>
      <c r="Q150" s="31"/>
      <c r="R150" s="31">
        <v>267462.59999999998</v>
      </c>
      <c r="S150" s="32" t="str">
        <f t="shared" si="47"/>
        <v/>
      </c>
      <c r="T150" s="31"/>
      <c r="U150" s="31">
        <v>407837.04</v>
      </c>
      <c r="V150" s="32" t="str">
        <f t="shared" si="48"/>
        <v/>
      </c>
      <c r="W150" s="31"/>
      <c r="X150" s="31">
        <v>347835</v>
      </c>
      <c r="Y150" s="32" t="str">
        <f t="shared" si="49"/>
        <v/>
      </c>
      <c r="Z150" s="31" t="str">
        <f t="shared" si="51"/>
        <v/>
      </c>
      <c r="AA150" s="31">
        <f t="shared" si="52"/>
        <v>1993787.6400000001</v>
      </c>
      <c r="AB150" s="32" t="str">
        <f t="shared" si="50"/>
        <v/>
      </c>
      <c r="AC150" s="31"/>
      <c r="AD150" s="31"/>
      <c r="AE150" s="32" t="str">
        <f t="shared" si="53"/>
        <v/>
      </c>
      <c r="AF150" s="32" t="s">
        <v>313</v>
      </c>
      <c r="AG150" s="31"/>
      <c r="AH150" s="31"/>
      <c r="AI150" s="32" t="str">
        <f t="shared" si="54"/>
        <v/>
      </c>
      <c r="AJ150" s="32" t="s">
        <v>313</v>
      </c>
      <c r="AK150" s="31"/>
      <c r="AL150" s="31"/>
      <c r="AM150" s="32" t="str">
        <f t="shared" si="55"/>
        <v/>
      </c>
      <c r="AN150" s="32" t="s">
        <v>313</v>
      </c>
      <c r="AO150" s="31"/>
      <c r="AP150" s="31"/>
      <c r="AQ150" s="32" t="str">
        <f t="shared" si="56"/>
        <v/>
      </c>
      <c r="AR150" s="32" t="s">
        <v>313</v>
      </c>
      <c r="AS150" s="31"/>
      <c r="AT150" s="31"/>
      <c r="AU150" s="32" t="str">
        <f t="shared" si="57"/>
        <v/>
      </c>
      <c r="AV150" s="32" t="s">
        <v>313</v>
      </c>
      <c r="AW150" s="31"/>
      <c r="AX150" s="31"/>
      <c r="AY150" s="32" t="str">
        <f t="shared" si="58"/>
        <v/>
      </c>
      <c r="AZ150" s="32" t="s">
        <v>313</v>
      </c>
    </row>
    <row r="151" spans="1:52" ht="34" customHeight="1">
      <c r="A151" s="28" t="s">
        <v>231</v>
      </c>
      <c r="B151" s="29" t="s">
        <v>324</v>
      </c>
      <c r="C151" s="29" t="s">
        <v>52</v>
      </c>
      <c r="D151" s="29" t="s">
        <v>74</v>
      </c>
      <c r="E151" s="29" t="s">
        <v>78</v>
      </c>
      <c r="F151" s="29" t="s">
        <v>144</v>
      </c>
      <c r="G151" s="30" t="s">
        <v>312</v>
      </c>
      <c r="H151" s="31">
        <v>0</v>
      </c>
      <c r="I151" s="31">
        <v>419988</v>
      </c>
      <c r="J151" s="32">
        <f t="shared" si="44"/>
        <v>0</v>
      </c>
      <c r="K151" s="31">
        <v>0</v>
      </c>
      <c r="L151" s="31">
        <v>135897</v>
      </c>
      <c r="M151" s="32">
        <f t="shared" si="45"/>
        <v>0</v>
      </c>
      <c r="N151" s="31">
        <v>0</v>
      </c>
      <c r="O151" s="31">
        <v>414768</v>
      </c>
      <c r="P151" s="32">
        <f t="shared" si="46"/>
        <v>0</v>
      </c>
      <c r="Q151" s="31">
        <v>0</v>
      </c>
      <c r="R151" s="31">
        <v>267462.59999999998</v>
      </c>
      <c r="S151" s="32">
        <f t="shared" si="47"/>
        <v>0</v>
      </c>
      <c r="T151" s="31">
        <v>0</v>
      </c>
      <c r="U151" s="31">
        <v>407837.04</v>
      </c>
      <c r="V151" s="32">
        <f t="shared" si="48"/>
        <v>0</v>
      </c>
      <c r="W151" s="31">
        <v>0</v>
      </c>
      <c r="X151" s="31">
        <v>347835</v>
      </c>
      <c r="Y151" s="32">
        <f t="shared" si="49"/>
        <v>0</v>
      </c>
      <c r="Z151" s="31">
        <f t="shared" si="51"/>
        <v>0</v>
      </c>
      <c r="AA151" s="31">
        <f t="shared" si="52"/>
        <v>1993787.6400000001</v>
      </c>
      <c r="AB151" s="32">
        <f t="shared" si="50"/>
        <v>0</v>
      </c>
      <c r="AC151" s="31"/>
      <c r="AD151" s="31"/>
      <c r="AE151" s="32" t="str">
        <f t="shared" si="53"/>
        <v/>
      </c>
      <c r="AF151" s="32" t="s">
        <v>313</v>
      </c>
      <c r="AG151" s="31"/>
      <c r="AH151" s="31"/>
      <c r="AI151" s="32" t="str">
        <f t="shared" si="54"/>
        <v/>
      </c>
      <c r="AJ151" s="32" t="s">
        <v>313</v>
      </c>
      <c r="AK151" s="31"/>
      <c r="AL151" s="31"/>
      <c r="AM151" s="32" t="str">
        <f t="shared" si="55"/>
        <v/>
      </c>
      <c r="AN151" s="32" t="s">
        <v>313</v>
      </c>
      <c r="AO151" s="31"/>
      <c r="AP151" s="31"/>
      <c r="AQ151" s="32" t="str">
        <f t="shared" si="56"/>
        <v/>
      </c>
      <c r="AR151" s="32" t="s">
        <v>313</v>
      </c>
      <c r="AS151" s="31"/>
      <c r="AT151" s="31"/>
      <c r="AU151" s="32" t="str">
        <f t="shared" si="57"/>
        <v/>
      </c>
      <c r="AV151" s="32" t="s">
        <v>313</v>
      </c>
      <c r="AW151" s="31"/>
      <c r="AX151" s="31"/>
      <c r="AY151" s="32" t="str">
        <f t="shared" si="58"/>
        <v/>
      </c>
      <c r="AZ151" s="32" t="s">
        <v>313</v>
      </c>
    </row>
    <row r="152" spans="1:52" ht="34" customHeight="1">
      <c r="A152" s="28" t="s">
        <v>231</v>
      </c>
      <c r="B152" s="29" t="s">
        <v>324</v>
      </c>
      <c r="C152" s="29" t="s">
        <v>52</v>
      </c>
      <c r="D152" s="29" t="s">
        <v>79</v>
      </c>
      <c r="E152" s="29" t="s">
        <v>80</v>
      </c>
      <c r="F152" s="29" t="s">
        <v>318</v>
      </c>
      <c r="G152" s="30" t="s">
        <v>312</v>
      </c>
      <c r="H152" s="31">
        <v>0</v>
      </c>
      <c r="I152" s="31">
        <v>419988</v>
      </c>
      <c r="J152" s="32">
        <f t="shared" si="44"/>
        <v>0</v>
      </c>
      <c r="K152" s="31">
        <v>0</v>
      </c>
      <c r="L152" s="31">
        <v>135897</v>
      </c>
      <c r="M152" s="32">
        <f t="shared" si="45"/>
        <v>0</v>
      </c>
      <c r="N152" s="31">
        <v>0</v>
      </c>
      <c r="O152" s="31">
        <v>414768</v>
      </c>
      <c r="P152" s="32">
        <f t="shared" si="46"/>
        <v>0</v>
      </c>
      <c r="Q152" s="31">
        <v>0</v>
      </c>
      <c r="R152" s="31">
        <v>267462.59999999998</v>
      </c>
      <c r="S152" s="32">
        <f t="shared" si="47"/>
        <v>0</v>
      </c>
      <c r="T152" s="31">
        <v>0</v>
      </c>
      <c r="U152" s="31">
        <v>407837.04</v>
      </c>
      <c r="V152" s="32">
        <f t="shared" si="48"/>
        <v>0</v>
      </c>
      <c r="W152" s="31">
        <v>0</v>
      </c>
      <c r="X152" s="31">
        <v>347835</v>
      </c>
      <c r="Y152" s="32">
        <f t="shared" si="49"/>
        <v>0</v>
      </c>
      <c r="Z152" s="31">
        <f t="shared" si="51"/>
        <v>0</v>
      </c>
      <c r="AA152" s="31">
        <f t="shared" si="52"/>
        <v>1993787.6400000001</v>
      </c>
      <c r="AB152" s="32">
        <f t="shared" si="50"/>
        <v>0</v>
      </c>
      <c r="AC152" s="31"/>
      <c r="AD152" s="31"/>
      <c r="AE152" s="32" t="str">
        <f t="shared" si="53"/>
        <v/>
      </c>
      <c r="AF152" s="32" t="s">
        <v>313</v>
      </c>
      <c r="AG152" s="31"/>
      <c r="AH152" s="31"/>
      <c r="AI152" s="32" t="str">
        <f t="shared" si="54"/>
        <v/>
      </c>
      <c r="AJ152" s="32" t="s">
        <v>313</v>
      </c>
      <c r="AK152" s="31"/>
      <c r="AL152" s="31"/>
      <c r="AM152" s="32" t="str">
        <f t="shared" si="55"/>
        <v/>
      </c>
      <c r="AN152" s="32" t="s">
        <v>313</v>
      </c>
      <c r="AO152" s="31"/>
      <c r="AP152" s="31"/>
      <c r="AQ152" s="32" t="str">
        <f t="shared" si="56"/>
        <v/>
      </c>
      <c r="AR152" s="32" t="s">
        <v>313</v>
      </c>
      <c r="AS152" s="31"/>
      <c r="AT152" s="31"/>
      <c r="AU152" s="32" t="str">
        <f t="shared" si="57"/>
        <v/>
      </c>
      <c r="AV152" s="32" t="s">
        <v>313</v>
      </c>
      <c r="AW152" s="31"/>
      <c r="AX152" s="31"/>
      <c r="AY152" s="32" t="str">
        <f t="shared" si="58"/>
        <v/>
      </c>
      <c r="AZ152" s="32" t="s">
        <v>313</v>
      </c>
    </row>
    <row r="153" spans="1:52" ht="34" customHeight="1">
      <c r="A153" s="28" t="s">
        <v>231</v>
      </c>
      <c r="B153" s="29" t="s">
        <v>324</v>
      </c>
      <c r="C153" s="29" t="s">
        <v>52</v>
      </c>
      <c r="D153" s="29" t="s">
        <v>79</v>
      </c>
      <c r="E153" s="29" t="s">
        <v>81</v>
      </c>
      <c r="F153" s="29" t="s">
        <v>316</v>
      </c>
      <c r="G153" s="30" t="s">
        <v>312</v>
      </c>
      <c r="H153" s="31"/>
      <c r="I153" s="31">
        <v>419988</v>
      </c>
      <c r="J153" s="32" t="str">
        <f t="shared" si="44"/>
        <v/>
      </c>
      <c r="K153" s="31"/>
      <c r="L153" s="31">
        <v>135897</v>
      </c>
      <c r="M153" s="32" t="str">
        <f t="shared" si="45"/>
        <v/>
      </c>
      <c r="N153" s="31"/>
      <c r="O153" s="31">
        <v>414768</v>
      </c>
      <c r="P153" s="32" t="str">
        <f t="shared" si="46"/>
        <v/>
      </c>
      <c r="Q153" s="31"/>
      <c r="R153" s="31">
        <v>267462.59999999998</v>
      </c>
      <c r="S153" s="32" t="str">
        <f t="shared" si="47"/>
        <v/>
      </c>
      <c r="T153" s="31"/>
      <c r="U153" s="31">
        <v>407837.04</v>
      </c>
      <c r="V153" s="32" t="str">
        <f t="shared" si="48"/>
        <v/>
      </c>
      <c r="W153" s="31"/>
      <c r="X153" s="31">
        <v>347835</v>
      </c>
      <c r="Y153" s="32" t="str">
        <f t="shared" si="49"/>
        <v/>
      </c>
      <c r="Z153" s="31" t="str">
        <f t="shared" si="51"/>
        <v/>
      </c>
      <c r="AA153" s="31">
        <f t="shared" si="52"/>
        <v>1993787.6400000001</v>
      </c>
      <c r="AB153" s="32" t="str">
        <f t="shared" si="50"/>
        <v/>
      </c>
      <c r="AC153" s="31"/>
      <c r="AD153" s="31"/>
      <c r="AE153" s="32" t="str">
        <f t="shared" si="53"/>
        <v/>
      </c>
      <c r="AF153" s="32" t="s">
        <v>313</v>
      </c>
      <c r="AG153" s="31"/>
      <c r="AH153" s="31"/>
      <c r="AI153" s="32" t="str">
        <f t="shared" si="54"/>
        <v/>
      </c>
      <c r="AJ153" s="32" t="s">
        <v>313</v>
      </c>
      <c r="AK153" s="31"/>
      <c r="AL153" s="31"/>
      <c r="AM153" s="32" t="str">
        <f t="shared" si="55"/>
        <v/>
      </c>
      <c r="AN153" s="32" t="s">
        <v>313</v>
      </c>
      <c r="AO153" s="31"/>
      <c r="AP153" s="31"/>
      <c r="AQ153" s="32" t="str">
        <f t="shared" si="56"/>
        <v/>
      </c>
      <c r="AR153" s="32" t="s">
        <v>313</v>
      </c>
      <c r="AS153" s="31"/>
      <c r="AT153" s="31"/>
      <c r="AU153" s="32" t="str">
        <f t="shared" si="57"/>
        <v/>
      </c>
      <c r="AV153" s="32" t="s">
        <v>313</v>
      </c>
      <c r="AW153" s="31"/>
      <c r="AX153" s="31"/>
      <c r="AY153" s="32" t="str">
        <f t="shared" si="58"/>
        <v/>
      </c>
      <c r="AZ153" s="32" t="s">
        <v>313</v>
      </c>
    </row>
    <row r="154" spans="1:52" ht="34" customHeight="1">
      <c r="A154" s="28" t="s">
        <v>231</v>
      </c>
      <c r="B154" s="29" t="s">
        <v>324</v>
      </c>
      <c r="C154" s="29" t="s">
        <v>52</v>
      </c>
      <c r="D154" s="29" t="s">
        <v>79</v>
      </c>
      <c r="E154" s="29" t="s">
        <v>82</v>
      </c>
      <c r="F154" s="29" t="s">
        <v>316</v>
      </c>
      <c r="G154" s="30" t="s">
        <v>312</v>
      </c>
      <c r="H154" s="31"/>
      <c r="I154" s="31">
        <v>419988</v>
      </c>
      <c r="J154" s="32" t="str">
        <f t="shared" si="44"/>
        <v/>
      </c>
      <c r="K154" s="31"/>
      <c r="L154" s="31">
        <v>135897</v>
      </c>
      <c r="M154" s="32" t="str">
        <f t="shared" si="45"/>
        <v/>
      </c>
      <c r="N154" s="31"/>
      <c r="O154" s="31">
        <v>414768</v>
      </c>
      <c r="P154" s="32" t="str">
        <f t="shared" si="46"/>
        <v/>
      </c>
      <c r="Q154" s="31"/>
      <c r="R154" s="31">
        <v>267462.59999999998</v>
      </c>
      <c r="S154" s="32" t="str">
        <f t="shared" si="47"/>
        <v/>
      </c>
      <c r="T154" s="31"/>
      <c r="U154" s="31">
        <v>407837.04</v>
      </c>
      <c r="V154" s="32" t="str">
        <f t="shared" si="48"/>
        <v/>
      </c>
      <c r="W154" s="31"/>
      <c r="X154" s="31">
        <v>347835</v>
      </c>
      <c r="Y154" s="32" t="str">
        <f t="shared" si="49"/>
        <v/>
      </c>
      <c r="Z154" s="31" t="str">
        <f t="shared" si="51"/>
        <v/>
      </c>
      <c r="AA154" s="31">
        <f t="shared" si="52"/>
        <v>1993787.6400000001</v>
      </c>
      <c r="AB154" s="32" t="str">
        <f t="shared" si="50"/>
        <v/>
      </c>
      <c r="AC154" s="31"/>
      <c r="AD154" s="31"/>
      <c r="AE154" s="32" t="str">
        <f t="shared" si="53"/>
        <v/>
      </c>
      <c r="AF154" s="32" t="s">
        <v>313</v>
      </c>
      <c r="AG154" s="31"/>
      <c r="AH154" s="31"/>
      <c r="AI154" s="32" t="str">
        <f t="shared" si="54"/>
        <v/>
      </c>
      <c r="AJ154" s="32" t="s">
        <v>313</v>
      </c>
      <c r="AK154" s="31"/>
      <c r="AL154" s="31"/>
      <c r="AM154" s="32" t="str">
        <f t="shared" si="55"/>
        <v/>
      </c>
      <c r="AN154" s="32" t="s">
        <v>313</v>
      </c>
      <c r="AO154" s="31"/>
      <c r="AP154" s="31"/>
      <c r="AQ154" s="32" t="str">
        <f t="shared" si="56"/>
        <v/>
      </c>
      <c r="AR154" s="32" t="s">
        <v>313</v>
      </c>
      <c r="AS154" s="31"/>
      <c r="AT154" s="31"/>
      <c r="AU154" s="32" t="str">
        <f t="shared" si="57"/>
        <v/>
      </c>
      <c r="AV154" s="32" t="s">
        <v>313</v>
      </c>
      <c r="AW154" s="31"/>
      <c r="AX154" s="31"/>
      <c r="AY154" s="32" t="str">
        <f t="shared" si="58"/>
        <v/>
      </c>
      <c r="AZ154" s="32" t="s">
        <v>313</v>
      </c>
    </row>
    <row r="155" spans="1:52" ht="34" customHeight="1">
      <c r="A155" s="28" t="s">
        <v>231</v>
      </c>
      <c r="B155" s="29" t="s">
        <v>324</v>
      </c>
      <c r="C155" s="29" t="s">
        <v>85</v>
      </c>
      <c r="D155" s="29" t="s">
        <v>79</v>
      </c>
      <c r="E155" s="29" t="s">
        <v>80</v>
      </c>
      <c r="F155" s="29" t="s">
        <v>316</v>
      </c>
      <c r="G155" s="30" t="s">
        <v>312</v>
      </c>
      <c r="H155" s="31"/>
      <c r="I155" s="31">
        <v>419988</v>
      </c>
      <c r="J155" s="32" t="str">
        <f t="shared" si="44"/>
        <v/>
      </c>
      <c r="K155" s="31"/>
      <c r="L155" s="31">
        <v>135897</v>
      </c>
      <c r="M155" s="32" t="str">
        <f t="shared" si="45"/>
        <v/>
      </c>
      <c r="N155" s="31"/>
      <c r="O155" s="31">
        <v>414768</v>
      </c>
      <c r="P155" s="32" t="str">
        <f t="shared" si="46"/>
        <v/>
      </c>
      <c r="Q155" s="31"/>
      <c r="R155" s="31">
        <v>267462.59999999998</v>
      </c>
      <c r="S155" s="32" t="str">
        <f t="shared" si="47"/>
        <v/>
      </c>
      <c r="T155" s="31"/>
      <c r="U155" s="31">
        <v>407837.04</v>
      </c>
      <c r="V155" s="32" t="str">
        <f t="shared" si="48"/>
        <v/>
      </c>
      <c r="W155" s="31"/>
      <c r="X155" s="31">
        <v>347835</v>
      </c>
      <c r="Y155" s="32" t="str">
        <f t="shared" si="49"/>
        <v/>
      </c>
      <c r="Z155" s="31" t="str">
        <f t="shared" si="51"/>
        <v/>
      </c>
      <c r="AA155" s="31">
        <f t="shared" si="52"/>
        <v>1993787.6400000001</v>
      </c>
      <c r="AB155" s="32" t="str">
        <f t="shared" si="50"/>
        <v/>
      </c>
      <c r="AC155" s="31"/>
      <c r="AD155" s="31"/>
      <c r="AE155" s="32" t="str">
        <f t="shared" si="53"/>
        <v/>
      </c>
      <c r="AF155" s="32" t="s">
        <v>313</v>
      </c>
      <c r="AG155" s="31"/>
      <c r="AH155" s="31"/>
      <c r="AI155" s="32" t="str">
        <f t="shared" si="54"/>
        <v/>
      </c>
      <c r="AJ155" s="32" t="s">
        <v>313</v>
      </c>
      <c r="AK155" s="31"/>
      <c r="AL155" s="31"/>
      <c r="AM155" s="32" t="str">
        <f t="shared" si="55"/>
        <v/>
      </c>
      <c r="AN155" s="32" t="s">
        <v>313</v>
      </c>
      <c r="AO155" s="31"/>
      <c r="AP155" s="31"/>
      <c r="AQ155" s="32" t="str">
        <f t="shared" si="56"/>
        <v/>
      </c>
      <c r="AR155" s="32" t="s">
        <v>313</v>
      </c>
      <c r="AS155" s="31"/>
      <c r="AT155" s="31"/>
      <c r="AU155" s="32" t="str">
        <f t="shared" si="57"/>
        <v/>
      </c>
      <c r="AV155" s="32" t="s">
        <v>313</v>
      </c>
      <c r="AW155" s="31"/>
      <c r="AX155" s="31"/>
      <c r="AY155" s="32" t="str">
        <f t="shared" si="58"/>
        <v/>
      </c>
      <c r="AZ155" s="32" t="s">
        <v>313</v>
      </c>
    </row>
    <row r="156" spans="1:52" ht="34" customHeight="1">
      <c r="A156" s="28" t="s">
        <v>231</v>
      </c>
      <c r="B156" s="29" t="s">
        <v>324</v>
      </c>
      <c r="C156" s="29" t="s">
        <v>85</v>
      </c>
      <c r="D156" s="29" t="s">
        <v>79</v>
      </c>
      <c r="E156" s="29" t="s">
        <v>81</v>
      </c>
      <c r="F156" s="29" t="s">
        <v>316</v>
      </c>
      <c r="G156" s="30" t="s">
        <v>312</v>
      </c>
      <c r="H156" s="31"/>
      <c r="I156" s="31">
        <v>419988</v>
      </c>
      <c r="J156" s="32" t="str">
        <f t="shared" si="44"/>
        <v/>
      </c>
      <c r="K156" s="31"/>
      <c r="L156" s="31">
        <v>135897</v>
      </c>
      <c r="M156" s="32" t="str">
        <f t="shared" si="45"/>
        <v/>
      </c>
      <c r="N156" s="31"/>
      <c r="O156" s="31">
        <v>414768</v>
      </c>
      <c r="P156" s="32" t="str">
        <f t="shared" si="46"/>
        <v/>
      </c>
      <c r="Q156" s="31"/>
      <c r="R156" s="31">
        <v>267462.59999999998</v>
      </c>
      <c r="S156" s="32" t="str">
        <f t="shared" si="47"/>
        <v/>
      </c>
      <c r="T156" s="31"/>
      <c r="U156" s="31">
        <v>407837.04</v>
      </c>
      <c r="V156" s="32" t="str">
        <f t="shared" si="48"/>
        <v/>
      </c>
      <c r="W156" s="31"/>
      <c r="X156" s="31">
        <v>347835</v>
      </c>
      <c r="Y156" s="32" t="str">
        <f t="shared" si="49"/>
        <v/>
      </c>
      <c r="Z156" s="31" t="str">
        <f t="shared" si="51"/>
        <v/>
      </c>
      <c r="AA156" s="31">
        <f t="shared" si="52"/>
        <v>1993787.6400000001</v>
      </c>
      <c r="AB156" s="32" t="str">
        <f t="shared" si="50"/>
        <v/>
      </c>
      <c r="AC156" s="31"/>
      <c r="AD156" s="31"/>
      <c r="AE156" s="32" t="str">
        <f t="shared" si="53"/>
        <v/>
      </c>
      <c r="AF156" s="32" t="s">
        <v>313</v>
      </c>
      <c r="AG156" s="31"/>
      <c r="AH156" s="31"/>
      <c r="AI156" s="32" t="str">
        <f t="shared" si="54"/>
        <v/>
      </c>
      <c r="AJ156" s="32" t="s">
        <v>313</v>
      </c>
      <c r="AK156" s="31"/>
      <c r="AL156" s="31"/>
      <c r="AM156" s="32" t="str">
        <f t="shared" si="55"/>
        <v/>
      </c>
      <c r="AN156" s="32" t="s">
        <v>313</v>
      </c>
      <c r="AO156" s="31"/>
      <c r="AP156" s="31"/>
      <c r="AQ156" s="32" t="str">
        <f t="shared" si="56"/>
        <v/>
      </c>
      <c r="AR156" s="32" t="s">
        <v>313</v>
      </c>
      <c r="AS156" s="31"/>
      <c r="AT156" s="31"/>
      <c r="AU156" s="32" t="str">
        <f t="shared" si="57"/>
        <v/>
      </c>
      <c r="AV156" s="32" t="s">
        <v>313</v>
      </c>
      <c r="AW156" s="31"/>
      <c r="AX156" s="31"/>
      <c r="AY156" s="32" t="str">
        <f t="shared" si="58"/>
        <v/>
      </c>
      <c r="AZ156" s="32" t="s">
        <v>313</v>
      </c>
    </row>
    <row r="157" spans="1:52" ht="34" customHeight="1">
      <c r="A157" s="28" t="s">
        <v>231</v>
      </c>
      <c r="B157" s="29" t="s">
        <v>324</v>
      </c>
      <c r="C157" s="29" t="s">
        <v>85</v>
      </c>
      <c r="D157" s="29" t="s">
        <v>79</v>
      </c>
      <c r="E157" s="29" t="s">
        <v>82</v>
      </c>
      <c r="F157" s="29" t="s">
        <v>319</v>
      </c>
      <c r="G157" s="30" t="s">
        <v>312</v>
      </c>
      <c r="H157" s="31">
        <v>0</v>
      </c>
      <c r="I157" s="31">
        <v>419988</v>
      </c>
      <c r="J157" s="32">
        <f t="shared" si="44"/>
        <v>0</v>
      </c>
      <c r="K157" s="31">
        <v>0</v>
      </c>
      <c r="L157" s="31">
        <v>135897</v>
      </c>
      <c r="M157" s="32">
        <f t="shared" si="45"/>
        <v>0</v>
      </c>
      <c r="N157" s="31">
        <v>0</v>
      </c>
      <c r="O157" s="31">
        <v>414768</v>
      </c>
      <c r="P157" s="32">
        <f t="shared" si="46"/>
        <v>0</v>
      </c>
      <c r="Q157" s="31">
        <v>0</v>
      </c>
      <c r="R157" s="31">
        <v>267462.59999999998</v>
      </c>
      <c r="S157" s="32">
        <f t="shared" si="47"/>
        <v>0</v>
      </c>
      <c r="T157" s="31">
        <v>0</v>
      </c>
      <c r="U157" s="31">
        <v>407837.04</v>
      </c>
      <c r="V157" s="32">
        <f t="shared" si="48"/>
        <v>0</v>
      </c>
      <c r="W157" s="31">
        <v>0</v>
      </c>
      <c r="X157" s="31">
        <v>347835</v>
      </c>
      <c r="Y157" s="32">
        <f t="shared" si="49"/>
        <v>0</v>
      </c>
      <c r="Z157" s="31">
        <f t="shared" si="51"/>
        <v>0</v>
      </c>
      <c r="AA157" s="31">
        <f t="shared" si="52"/>
        <v>1993787.6400000001</v>
      </c>
      <c r="AB157" s="32">
        <f t="shared" si="50"/>
        <v>0</v>
      </c>
      <c r="AC157" s="31"/>
      <c r="AD157" s="31"/>
      <c r="AE157" s="32" t="str">
        <f t="shared" si="53"/>
        <v/>
      </c>
      <c r="AF157" s="32" t="s">
        <v>313</v>
      </c>
      <c r="AG157" s="31"/>
      <c r="AH157" s="31"/>
      <c r="AI157" s="32" t="str">
        <f t="shared" si="54"/>
        <v/>
      </c>
      <c r="AJ157" s="32" t="s">
        <v>313</v>
      </c>
      <c r="AK157" s="31"/>
      <c r="AL157" s="31"/>
      <c r="AM157" s="32" t="str">
        <f t="shared" si="55"/>
        <v/>
      </c>
      <c r="AN157" s="32" t="s">
        <v>313</v>
      </c>
      <c r="AO157" s="31"/>
      <c r="AP157" s="31"/>
      <c r="AQ157" s="32" t="str">
        <f t="shared" si="56"/>
        <v/>
      </c>
      <c r="AR157" s="32" t="s">
        <v>313</v>
      </c>
      <c r="AS157" s="31"/>
      <c r="AT157" s="31"/>
      <c r="AU157" s="32" t="str">
        <f t="shared" si="57"/>
        <v/>
      </c>
      <c r="AV157" s="32" t="s">
        <v>313</v>
      </c>
      <c r="AW157" s="31"/>
      <c r="AX157" s="31"/>
      <c r="AY157" s="32" t="str">
        <f t="shared" si="58"/>
        <v/>
      </c>
      <c r="AZ157" s="32" t="s">
        <v>313</v>
      </c>
    </row>
    <row r="158" spans="1:52" ht="34" customHeight="1">
      <c r="A158" s="28" t="s">
        <v>231</v>
      </c>
      <c r="B158" s="29" t="s">
        <v>324</v>
      </c>
      <c r="C158" s="29" t="s">
        <v>85</v>
      </c>
      <c r="D158" s="29" t="s">
        <v>90</v>
      </c>
      <c r="E158" s="29" t="s">
        <v>90</v>
      </c>
      <c r="F158" s="29" t="s">
        <v>316</v>
      </c>
      <c r="G158" s="30" t="s">
        <v>312</v>
      </c>
      <c r="H158" s="31"/>
      <c r="I158" s="31">
        <v>419988</v>
      </c>
      <c r="J158" s="32" t="str">
        <f t="shared" si="44"/>
        <v/>
      </c>
      <c r="K158" s="31"/>
      <c r="L158" s="31">
        <v>135897</v>
      </c>
      <c r="M158" s="32" t="str">
        <f t="shared" si="45"/>
        <v/>
      </c>
      <c r="N158" s="31"/>
      <c r="O158" s="31">
        <v>414768</v>
      </c>
      <c r="P158" s="32" t="str">
        <f t="shared" si="46"/>
        <v/>
      </c>
      <c r="Q158" s="31"/>
      <c r="R158" s="31">
        <v>267462.59999999998</v>
      </c>
      <c r="S158" s="32" t="str">
        <f t="shared" si="47"/>
        <v/>
      </c>
      <c r="T158" s="31"/>
      <c r="U158" s="31">
        <v>407837.04</v>
      </c>
      <c r="V158" s="32" t="str">
        <f t="shared" si="48"/>
        <v/>
      </c>
      <c r="W158" s="31"/>
      <c r="X158" s="31">
        <v>347835</v>
      </c>
      <c r="Y158" s="32" t="str">
        <f t="shared" si="49"/>
        <v/>
      </c>
      <c r="Z158" s="31" t="str">
        <f t="shared" si="51"/>
        <v/>
      </c>
      <c r="AA158" s="31">
        <f t="shared" si="52"/>
        <v>1993787.6400000001</v>
      </c>
      <c r="AB158" s="32" t="str">
        <f t="shared" si="50"/>
        <v/>
      </c>
      <c r="AC158" s="31"/>
      <c r="AD158" s="31"/>
      <c r="AE158" s="32" t="str">
        <f t="shared" si="53"/>
        <v/>
      </c>
      <c r="AF158" s="32" t="s">
        <v>313</v>
      </c>
      <c r="AG158" s="31"/>
      <c r="AH158" s="31"/>
      <c r="AI158" s="32" t="str">
        <f t="shared" si="54"/>
        <v/>
      </c>
      <c r="AJ158" s="32" t="s">
        <v>313</v>
      </c>
      <c r="AK158" s="31"/>
      <c r="AL158" s="31"/>
      <c r="AM158" s="32" t="str">
        <f t="shared" si="55"/>
        <v/>
      </c>
      <c r="AN158" s="32" t="s">
        <v>313</v>
      </c>
      <c r="AO158" s="31"/>
      <c r="AP158" s="31"/>
      <c r="AQ158" s="32" t="str">
        <f t="shared" si="56"/>
        <v/>
      </c>
      <c r="AR158" s="32" t="s">
        <v>313</v>
      </c>
      <c r="AS158" s="31"/>
      <c r="AT158" s="31"/>
      <c r="AU158" s="32" t="str">
        <f t="shared" si="57"/>
        <v/>
      </c>
      <c r="AV158" s="32" t="s">
        <v>313</v>
      </c>
      <c r="AW158" s="31"/>
      <c r="AX158" s="31"/>
      <c r="AY158" s="32" t="str">
        <f t="shared" si="58"/>
        <v/>
      </c>
      <c r="AZ158" s="32" t="s">
        <v>313</v>
      </c>
    </row>
    <row r="159" spans="1:52" ht="34" customHeight="1">
      <c r="A159" s="28" t="s">
        <v>231</v>
      </c>
      <c r="B159" s="29" t="s">
        <v>324</v>
      </c>
      <c r="C159" s="29" t="s">
        <v>85</v>
      </c>
      <c r="D159" s="29" t="s">
        <v>93</v>
      </c>
      <c r="E159" s="29" t="s">
        <v>143</v>
      </c>
      <c r="F159" s="29" t="s">
        <v>320</v>
      </c>
      <c r="G159" s="30" t="s">
        <v>312</v>
      </c>
      <c r="H159" s="31">
        <v>0</v>
      </c>
      <c r="I159" s="31">
        <v>419988</v>
      </c>
      <c r="J159" s="32">
        <f t="shared" si="44"/>
        <v>0</v>
      </c>
      <c r="K159" s="31">
        <v>0</v>
      </c>
      <c r="L159" s="31">
        <v>135897</v>
      </c>
      <c r="M159" s="32">
        <f t="shared" si="45"/>
        <v>0</v>
      </c>
      <c r="N159" s="31">
        <v>0</v>
      </c>
      <c r="O159" s="31">
        <v>414768</v>
      </c>
      <c r="P159" s="32">
        <f t="shared" si="46"/>
        <v>0</v>
      </c>
      <c r="Q159" s="31">
        <v>0</v>
      </c>
      <c r="R159" s="31">
        <v>267462.59999999998</v>
      </c>
      <c r="S159" s="32">
        <f t="shared" si="47"/>
        <v>0</v>
      </c>
      <c r="T159" s="31">
        <v>0</v>
      </c>
      <c r="U159" s="31">
        <v>407837.04</v>
      </c>
      <c r="V159" s="32">
        <f t="shared" si="48"/>
        <v>0</v>
      </c>
      <c r="W159" s="31">
        <v>0</v>
      </c>
      <c r="X159" s="31">
        <v>347835</v>
      </c>
      <c r="Y159" s="32">
        <f t="shared" si="49"/>
        <v>0</v>
      </c>
      <c r="Z159" s="31">
        <f t="shared" si="51"/>
        <v>0</v>
      </c>
      <c r="AA159" s="31">
        <f t="shared" si="52"/>
        <v>1993787.6400000001</v>
      </c>
      <c r="AB159" s="32">
        <f t="shared" si="50"/>
        <v>0</v>
      </c>
      <c r="AC159" s="31"/>
      <c r="AD159" s="31"/>
      <c r="AE159" s="32" t="str">
        <f t="shared" si="53"/>
        <v/>
      </c>
      <c r="AF159" s="32" t="s">
        <v>313</v>
      </c>
      <c r="AG159" s="31"/>
      <c r="AH159" s="31"/>
      <c r="AI159" s="32" t="str">
        <f t="shared" si="54"/>
        <v/>
      </c>
      <c r="AJ159" s="32" t="s">
        <v>313</v>
      </c>
      <c r="AK159" s="31"/>
      <c r="AL159" s="31"/>
      <c r="AM159" s="32" t="str">
        <f t="shared" si="55"/>
        <v/>
      </c>
      <c r="AN159" s="32" t="s">
        <v>313</v>
      </c>
      <c r="AO159" s="31"/>
      <c r="AP159" s="31"/>
      <c r="AQ159" s="32" t="str">
        <f t="shared" si="56"/>
        <v/>
      </c>
      <c r="AR159" s="32" t="s">
        <v>313</v>
      </c>
      <c r="AS159" s="31"/>
      <c r="AT159" s="31"/>
      <c r="AU159" s="32" t="str">
        <f t="shared" si="57"/>
        <v/>
      </c>
      <c r="AV159" s="32" t="s">
        <v>313</v>
      </c>
      <c r="AW159" s="31"/>
      <c r="AX159" s="31"/>
      <c r="AY159" s="32" t="str">
        <f t="shared" si="58"/>
        <v/>
      </c>
      <c r="AZ159" s="32" t="s">
        <v>313</v>
      </c>
    </row>
    <row r="160" spans="1:52" ht="34" customHeight="1">
      <c r="A160" s="28" t="s">
        <v>231</v>
      </c>
      <c r="B160" s="29" t="s">
        <v>324</v>
      </c>
      <c r="C160" s="29" t="s">
        <v>85</v>
      </c>
      <c r="D160" s="29" t="s">
        <v>152</v>
      </c>
      <c r="E160" s="29" t="s">
        <v>152</v>
      </c>
      <c r="F160" s="29" t="s">
        <v>316</v>
      </c>
      <c r="G160" s="30" t="s">
        <v>312</v>
      </c>
      <c r="H160" s="31"/>
      <c r="I160" s="31">
        <v>419988</v>
      </c>
      <c r="J160" s="32" t="str">
        <f t="shared" si="44"/>
        <v/>
      </c>
      <c r="K160" s="31"/>
      <c r="L160" s="31">
        <v>135897</v>
      </c>
      <c r="M160" s="32" t="str">
        <f t="shared" si="45"/>
        <v/>
      </c>
      <c r="N160" s="31"/>
      <c r="O160" s="31">
        <v>414768</v>
      </c>
      <c r="P160" s="32" t="str">
        <f t="shared" si="46"/>
        <v/>
      </c>
      <c r="Q160" s="31"/>
      <c r="R160" s="31">
        <v>267462.59999999998</v>
      </c>
      <c r="S160" s="32" t="str">
        <f t="shared" si="47"/>
        <v/>
      </c>
      <c r="T160" s="31"/>
      <c r="U160" s="31">
        <v>407837.04</v>
      </c>
      <c r="V160" s="32" t="str">
        <f t="shared" si="48"/>
        <v/>
      </c>
      <c r="W160" s="31"/>
      <c r="X160" s="31">
        <v>347835</v>
      </c>
      <c r="Y160" s="32" t="str">
        <f t="shared" si="49"/>
        <v/>
      </c>
      <c r="Z160" s="31" t="str">
        <f t="shared" si="51"/>
        <v/>
      </c>
      <c r="AA160" s="31">
        <f t="shared" si="52"/>
        <v>1993787.6400000001</v>
      </c>
      <c r="AB160" s="32" t="str">
        <f t="shared" si="50"/>
        <v/>
      </c>
      <c r="AC160" s="31"/>
      <c r="AD160" s="31"/>
      <c r="AE160" s="32" t="str">
        <f t="shared" si="53"/>
        <v/>
      </c>
      <c r="AF160" s="32" t="s">
        <v>313</v>
      </c>
      <c r="AG160" s="31"/>
      <c r="AH160" s="31"/>
      <c r="AI160" s="32" t="str">
        <f t="shared" si="54"/>
        <v/>
      </c>
      <c r="AJ160" s="32" t="s">
        <v>313</v>
      </c>
      <c r="AK160" s="31"/>
      <c r="AL160" s="31"/>
      <c r="AM160" s="32" t="str">
        <f t="shared" si="55"/>
        <v/>
      </c>
      <c r="AN160" s="32" t="s">
        <v>313</v>
      </c>
      <c r="AO160" s="31"/>
      <c r="AP160" s="31"/>
      <c r="AQ160" s="32" t="str">
        <f t="shared" si="56"/>
        <v/>
      </c>
      <c r="AR160" s="32" t="s">
        <v>313</v>
      </c>
      <c r="AS160" s="31"/>
      <c r="AT160" s="31"/>
      <c r="AU160" s="32" t="str">
        <f t="shared" si="57"/>
        <v/>
      </c>
      <c r="AV160" s="32" t="s">
        <v>313</v>
      </c>
      <c r="AW160" s="31"/>
      <c r="AX160" s="31"/>
      <c r="AY160" s="32" t="str">
        <f t="shared" si="58"/>
        <v/>
      </c>
      <c r="AZ160" s="32" t="s">
        <v>313</v>
      </c>
    </row>
    <row r="161" spans="1:52" ht="34" customHeight="1">
      <c r="A161" s="28" t="s">
        <v>231</v>
      </c>
      <c r="B161" s="29" t="s">
        <v>325</v>
      </c>
      <c r="C161" s="29" t="s">
        <v>46</v>
      </c>
      <c r="D161" s="29"/>
      <c r="E161" s="29" t="s">
        <v>46</v>
      </c>
      <c r="F161" s="29" t="s">
        <v>311</v>
      </c>
      <c r="G161" s="30" t="s">
        <v>312</v>
      </c>
      <c r="H161" s="31">
        <v>478496.29</v>
      </c>
      <c r="I161" s="31">
        <v>478496.29</v>
      </c>
      <c r="J161" s="32"/>
      <c r="K161" s="31">
        <v>369749.4</v>
      </c>
      <c r="L161" s="31">
        <v>369749.4</v>
      </c>
      <c r="M161" s="32"/>
      <c r="N161" s="31">
        <v>653394.54</v>
      </c>
      <c r="O161" s="31">
        <v>653394.54</v>
      </c>
      <c r="P161" s="32"/>
      <c r="Q161" s="31">
        <v>620730.5</v>
      </c>
      <c r="R161" s="31">
        <v>620730.5</v>
      </c>
      <c r="S161" s="32"/>
      <c r="T161" s="31">
        <v>730820.45</v>
      </c>
      <c r="U161" s="31">
        <v>730820.45</v>
      </c>
      <c r="V161" s="32"/>
      <c r="W161" s="31">
        <v>765800.63</v>
      </c>
      <c r="X161" s="31">
        <v>765800.63</v>
      </c>
      <c r="Y161" s="32"/>
      <c r="Z161" s="31">
        <f t="shared" si="51"/>
        <v>3618991.8099999996</v>
      </c>
      <c r="AA161" s="31">
        <f t="shared" si="52"/>
        <v>3618991.8099999996</v>
      </c>
      <c r="AB161" s="32"/>
      <c r="AC161" s="31"/>
      <c r="AD161" s="31"/>
      <c r="AE161" s="32" t="str">
        <f t="shared" si="53"/>
        <v/>
      </c>
      <c r="AF161" s="32" t="s">
        <v>313</v>
      </c>
      <c r="AG161" s="31"/>
      <c r="AH161" s="31"/>
      <c r="AI161" s="32" t="str">
        <f t="shared" si="54"/>
        <v/>
      </c>
      <c r="AJ161" s="32" t="s">
        <v>313</v>
      </c>
      <c r="AK161" s="31"/>
      <c r="AL161" s="31"/>
      <c r="AM161" s="32" t="str">
        <f t="shared" si="55"/>
        <v/>
      </c>
      <c r="AN161" s="32" t="s">
        <v>313</v>
      </c>
      <c r="AO161" s="31"/>
      <c r="AP161" s="31"/>
      <c r="AQ161" s="32" t="str">
        <f t="shared" si="56"/>
        <v/>
      </c>
      <c r="AR161" s="32" t="s">
        <v>313</v>
      </c>
      <c r="AS161" s="31"/>
      <c r="AT161" s="31"/>
      <c r="AU161" s="32" t="str">
        <f t="shared" si="57"/>
        <v/>
      </c>
      <c r="AV161" s="32" t="s">
        <v>313</v>
      </c>
      <c r="AW161" s="31"/>
      <c r="AX161" s="31"/>
      <c r="AY161" s="32" t="str">
        <f t="shared" si="58"/>
        <v/>
      </c>
      <c r="AZ161" s="32" t="s">
        <v>313</v>
      </c>
    </row>
    <row r="162" spans="1:52" ht="34" customHeight="1">
      <c r="A162" s="28" t="s">
        <v>231</v>
      </c>
      <c r="B162" s="29" t="s">
        <v>325</v>
      </c>
      <c r="C162" s="29" t="s">
        <v>121</v>
      </c>
      <c r="D162" s="29"/>
      <c r="E162" s="29" t="s">
        <v>125</v>
      </c>
      <c r="F162" s="29" t="s">
        <v>314</v>
      </c>
      <c r="G162" s="30" t="s">
        <v>312</v>
      </c>
      <c r="H162" s="31">
        <v>0</v>
      </c>
      <c r="I162" s="31">
        <v>478496.29</v>
      </c>
      <c r="J162" s="32">
        <f t="shared" ref="J162:J191" si="59">IF(H162="","",IFERROR(H162/I162,""))</f>
        <v>0</v>
      </c>
      <c r="K162" s="31">
        <v>0</v>
      </c>
      <c r="L162" s="31">
        <v>369749.4</v>
      </c>
      <c r="M162" s="32">
        <f t="shared" ref="M162:M191" si="60">IF(K162="","",IFERROR(K162/L162,""))</f>
        <v>0</v>
      </c>
      <c r="N162" s="31">
        <v>0</v>
      </c>
      <c r="O162" s="31">
        <v>653394.54</v>
      </c>
      <c r="P162" s="32">
        <f t="shared" ref="P162:P191" si="61">IF(N162="","",IFERROR(N162/O162,""))</f>
        <v>0</v>
      </c>
      <c r="Q162" s="31">
        <v>0</v>
      </c>
      <c r="R162" s="31">
        <v>620730.5</v>
      </c>
      <c r="S162" s="32">
        <f t="shared" ref="S162:S191" si="62">IF(Q162="","",IFERROR(Q162/R162,""))</f>
        <v>0</v>
      </c>
      <c r="T162" s="31">
        <v>0</v>
      </c>
      <c r="U162" s="31">
        <v>730820.45</v>
      </c>
      <c r="V162" s="32">
        <f t="shared" ref="V162:V191" si="63">IF(T162="","",IFERROR(T162/U162,""))</f>
        <v>0</v>
      </c>
      <c r="W162" s="31">
        <v>0</v>
      </c>
      <c r="X162" s="31">
        <v>765800.63</v>
      </c>
      <c r="Y162" s="32">
        <f t="shared" ref="Y162:Y191" si="64">IF(W162="","",IFERROR(W162/X162,""))</f>
        <v>0</v>
      </c>
      <c r="Z162" s="31">
        <f t="shared" si="51"/>
        <v>0</v>
      </c>
      <c r="AA162" s="31">
        <f t="shared" si="52"/>
        <v>3618991.8099999996</v>
      </c>
      <c r="AB162" s="32">
        <f t="shared" ref="AB162:AB191" si="65">IF(Z162="","",IFERROR(Z162/AA162,""))</f>
        <v>0</v>
      </c>
      <c r="AC162" s="31"/>
      <c r="AD162" s="31"/>
      <c r="AE162" s="32" t="str">
        <f t="shared" si="53"/>
        <v/>
      </c>
      <c r="AF162" s="32" t="s">
        <v>313</v>
      </c>
      <c r="AG162" s="31"/>
      <c r="AH162" s="31"/>
      <c r="AI162" s="32" t="str">
        <f t="shared" si="54"/>
        <v/>
      </c>
      <c r="AJ162" s="32" t="s">
        <v>313</v>
      </c>
      <c r="AK162" s="31"/>
      <c r="AL162" s="31"/>
      <c r="AM162" s="32" t="str">
        <f t="shared" si="55"/>
        <v/>
      </c>
      <c r="AN162" s="32" t="s">
        <v>313</v>
      </c>
      <c r="AO162" s="31"/>
      <c r="AP162" s="31"/>
      <c r="AQ162" s="32" t="str">
        <f t="shared" si="56"/>
        <v/>
      </c>
      <c r="AR162" s="32" t="s">
        <v>313</v>
      </c>
      <c r="AS162" s="31"/>
      <c r="AT162" s="31"/>
      <c r="AU162" s="32" t="str">
        <f t="shared" si="57"/>
        <v/>
      </c>
      <c r="AV162" s="32" t="s">
        <v>313</v>
      </c>
      <c r="AW162" s="31"/>
      <c r="AX162" s="31"/>
      <c r="AY162" s="32" t="str">
        <f t="shared" si="58"/>
        <v/>
      </c>
      <c r="AZ162" s="32" t="s">
        <v>313</v>
      </c>
    </row>
    <row r="163" spans="1:52" ht="34" customHeight="1">
      <c r="A163" s="28" t="s">
        <v>231</v>
      </c>
      <c r="B163" s="29" t="s">
        <v>325</v>
      </c>
      <c r="C163" s="29" t="s">
        <v>48</v>
      </c>
      <c r="D163" s="29"/>
      <c r="E163" s="29" t="s">
        <v>127</v>
      </c>
      <c r="F163" s="29" t="s">
        <v>315</v>
      </c>
      <c r="G163" s="30" t="s">
        <v>312</v>
      </c>
      <c r="H163" s="31">
        <v>354154</v>
      </c>
      <c r="I163" s="31">
        <v>478496.29</v>
      </c>
      <c r="J163" s="32">
        <f t="shared" si="59"/>
        <v>0.74013948990074718</v>
      </c>
      <c r="K163" s="31">
        <v>266266.43</v>
      </c>
      <c r="L163" s="31">
        <v>369749.4</v>
      </c>
      <c r="M163" s="32">
        <f t="shared" si="60"/>
        <v>0.72012673989464204</v>
      </c>
      <c r="N163" s="31">
        <v>485495.51</v>
      </c>
      <c r="O163" s="31">
        <v>653394.54</v>
      </c>
      <c r="P163" s="32">
        <f t="shared" si="61"/>
        <v>0.74303576212926414</v>
      </c>
      <c r="Q163" s="31">
        <v>460299</v>
      </c>
      <c r="R163" s="31">
        <v>620730.5</v>
      </c>
      <c r="S163" s="32">
        <f t="shared" si="62"/>
        <v>0.74154403561610072</v>
      </c>
      <c r="T163" s="31">
        <v>544601.30000000005</v>
      </c>
      <c r="U163" s="31">
        <v>730820.45</v>
      </c>
      <c r="V163" s="32">
        <f t="shared" si="63"/>
        <v>0.74519165411969535</v>
      </c>
      <c r="W163" s="31">
        <v>568656.4</v>
      </c>
      <c r="X163" s="31">
        <v>765800.63</v>
      </c>
      <c r="Y163" s="32">
        <f t="shared" si="64"/>
        <v>0.74256454973143604</v>
      </c>
      <c r="Z163" s="31">
        <f t="shared" si="51"/>
        <v>2679472.64</v>
      </c>
      <c r="AA163" s="31">
        <f t="shared" si="52"/>
        <v>3618991.8099999996</v>
      </c>
      <c r="AB163" s="32">
        <f t="shared" si="65"/>
        <v>0.74039201542155475</v>
      </c>
      <c r="AC163" s="31"/>
      <c r="AD163" s="31"/>
      <c r="AE163" s="32" t="str">
        <f t="shared" si="53"/>
        <v/>
      </c>
      <c r="AF163" s="32" t="s">
        <v>313</v>
      </c>
      <c r="AG163" s="31"/>
      <c r="AH163" s="31"/>
      <c r="AI163" s="32" t="str">
        <f t="shared" si="54"/>
        <v/>
      </c>
      <c r="AJ163" s="32" t="s">
        <v>313</v>
      </c>
      <c r="AK163" s="31"/>
      <c r="AL163" s="31"/>
      <c r="AM163" s="32" t="str">
        <f t="shared" si="55"/>
        <v/>
      </c>
      <c r="AN163" s="32" t="s">
        <v>313</v>
      </c>
      <c r="AO163" s="31"/>
      <c r="AP163" s="31"/>
      <c r="AQ163" s="32" t="str">
        <f t="shared" si="56"/>
        <v/>
      </c>
      <c r="AR163" s="32" t="s">
        <v>313</v>
      </c>
      <c r="AS163" s="31"/>
      <c r="AT163" s="31"/>
      <c r="AU163" s="32" t="str">
        <f t="shared" si="57"/>
        <v/>
      </c>
      <c r="AV163" s="32" t="s">
        <v>313</v>
      </c>
      <c r="AW163" s="31"/>
      <c r="AX163" s="31"/>
      <c r="AY163" s="32" t="str">
        <f t="shared" si="58"/>
        <v/>
      </c>
      <c r="AZ163" s="32" t="s">
        <v>313</v>
      </c>
    </row>
    <row r="164" spans="1:52" ht="34" customHeight="1">
      <c r="A164" s="28" t="s">
        <v>231</v>
      </c>
      <c r="B164" s="29" t="s">
        <v>325</v>
      </c>
      <c r="C164" s="29" t="s">
        <v>52</v>
      </c>
      <c r="D164" s="29" t="s">
        <v>54</v>
      </c>
      <c r="E164" s="29" t="s">
        <v>55</v>
      </c>
      <c r="F164" s="29" t="s">
        <v>130</v>
      </c>
      <c r="G164" s="30" t="s">
        <v>312</v>
      </c>
      <c r="H164" s="31">
        <v>0</v>
      </c>
      <c r="I164" s="31">
        <v>478496.29</v>
      </c>
      <c r="J164" s="32">
        <f t="shared" si="59"/>
        <v>0</v>
      </c>
      <c r="K164" s="31">
        <v>0</v>
      </c>
      <c r="L164" s="31">
        <v>369749.4</v>
      </c>
      <c r="M164" s="32">
        <f t="shared" si="60"/>
        <v>0</v>
      </c>
      <c r="N164" s="31">
        <v>0</v>
      </c>
      <c r="O164" s="31">
        <v>653394.54</v>
      </c>
      <c r="P164" s="32">
        <f t="shared" si="61"/>
        <v>0</v>
      </c>
      <c r="Q164" s="31">
        <v>0</v>
      </c>
      <c r="R164" s="31">
        <v>620730.5</v>
      </c>
      <c r="S164" s="32">
        <f t="shared" si="62"/>
        <v>0</v>
      </c>
      <c r="T164" s="31">
        <v>0</v>
      </c>
      <c r="U164" s="31">
        <v>730820.45</v>
      </c>
      <c r="V164" s="32">
        <f t="shared" si="63"/>
        <v>0</v>
      </c>
      <c r="W164" s="31">
        <v>0</v>
      </c>
      <c r="X164" s="31">
        <v>765800.63</v>
      </c>
      <c r="Y164" s="32">
        <f t="shared" si="64"/>
        <v>0</v>
      </c>
      <c r="Z164" s="31">
        <f t="shared" si="51"/>
        <v>0</v>
      </c>
      <c r="AA164" s="31">
        <f t="shared" si="52"/>
        <v>3618991.8099999996</v>
      </c>
      <c r="AB164" s="32">
        <f t="shared" si="65"/>
        <v>0</v>
      </c>
      <c r="AC164" s="31"/>
      <c r="AD164" s="31"/>
      <c r="AE164" s="32" t="str">
        <f t="shared" si="53"/>
        <v/>
      </c>
      <c r="AF164" s="32" t="s">
        <v>313</v>
      </c>
      <c r="AG164" s="31"/>
      <c r="AH164" s="31"/>
      <c r="AI164" s="32" t="str">
        <f t="shared" si="54"/>
        <v/>
      </c>
      <c r="AJ164" s="32" t="s">
        <v>313</v>
      </c>
      <c r="AK164" s="31"/>
      <c r="AL164" s="31"/>
      <c r="AM164" s="32" t="str">
        <f t="shared" si="55"/>
        <v/>
      </c>
      <c r="AN164" s="32" t="s">
        <v>313</v>
      </c>
      <c r="AO164" s="31"/>
      <c r="AP164" s="31"/>
      <c r="AQ164" s="32" t="str">
        <f t="shared" si="56"/>
        <v/>
      </c>
      <c r="AR164" s="32" t="s">
        <v>313</v>
      </c>
      <c r="AS164" s="31"/>
      <c r="AT164" s="31"/>
      <c r="AU164" s="32" t="str">
        <f t="shared" si="57"/>
        <v/>
      </c>
      <c r="AV164" s="32" t="s">
        <v>313</v>
      </c>
      <c r="AW164" s="31"/>
      <c r="AX164" s="31"/>
      <c r="AY164" s="32" t="str">
        <f t="shared" si="58"/>
        <v/>
      </c>
      <c r="AZ164" s="32" t="s">
        <v>313</v>
      </c>
    </row>
    <row r="165" spans="1:52" ht="34" customHeight="1">
      <c r="A165" s="28" t="s">
        <v>231</v>
      </c>
      <c r="B165" s="29" t="s">
        <v>325</v>
      </c>
      <c r="C165" s="29" t="s">
        <v>52</v>
      </c>
      <c r="D165" s="29" t="s">
        <v>54</v>
      </c>
      <c r="E165" s="29" t="s">
        <v>58</v>
      </c>
      <c r="F165" s="29" t="s">
        <v>316</v>
      </c>
      <c r="G165" s="30" t="s">
        <v>312</v>
      </c>
      <c r="H165" s="31"/>
      <c r="I165" s="31">
        <v>478496.29</v>
      </c>
      <c r="J165" s="32" t="str">
        <f t="shared" si="59"/>
        <v/>
      </c>
      <c r="K165" s="31"/>
      <c r="L165" s="31">
        <v>369749.4</v>
      </c>
      <c r="M165" s="32" t="str">
        <f t="shared" si="60"/>
        <v/>
      </c>
      <c r="N165" s="31"/>
      <c r="O165" s="31">
        <v>653394.54</v>
      </c>
      <c r="P165" s="32" t="str">
        <f t="shared" si="61"/>
        <v/>
      </c>
      <c r="Q165" s="31"/>
      <c r="R165" s="31">
        <v>620730.5</v>
      </c>
      <c r="S165" s="32" t="str">
        <f t="shared" si="62"/>
        <v/>
      </c>
      <c r="T165" s="31"/>
      <c r="U165" s="31">
        <v>730820.45</v>
      </c>
      <c r="V165" s="32" t="str">
        <f t="shared" si="63"/>
        <v/>
      </c>
      <c r="W165" s="31"/>
      <c r="X165" s="31">
        <v>765800.63</v>
      </c>
      <c r="Y165" s="32" t="str">
        <f t="shared" si="64"/>
        <v/>
      </c>
      <c r="Z165" s="31" t="str">
        <f t="shared" si="51"/>
        <v/>
      </c>
      <c r="AA165" s="31">
        <f t="shared" si="52"/>
        <v>3618991.8099999996</v>
      </c>
      <c r="AB165" s="32" t="str">
        <f t="shared" si="65"/>
        <v/>
      </c>
      <c r="AC165" s="31"/>
      <c r="AD165" s="31"/>
      <c r="AE165" s="32" t="str">
        <f t="shared" si="53"/>
        <v/>
      </c>
      <c r="AF165" s="32" t="s">
        <v>313</v>
      </c>
      <c r="AG165" s="31"/>
      <c r="AH165" s="31"/>
      <c r="AI165" s="32" t="str">
        <f t="shared" si="54"/>
        <v/>
      </c>
      <c r="AJ165" s="32" t="s">
        <v>313</v>
      </c>
      <c r="AK165" s="31"/>
      <c r="AL165" s="31"/>
      <c r="AM165" s="32" t="str">
        <f t="shared" si="55"/>
        <v/>
      </c>
      <c r="AN165" s="32" t="s">
        <v>313</v>
      </c>
      <c r="AO165" s="31"/>
      <c r="AP165" s="31"/>
      <c r="AQ165" s="32" t="str">
        <f t="shared" si="56"/>
        <v/>
      </c>
      <c r="AR165" s="32" t="s">
        <v>313</v>
      </c>
      <c r="AS165" s="31"/>
      <c r="AT165" s="31"/>
      <c r="AU165" s="32" t="str">
        <f t="shared" si="57"/>
        <v/>
      </c>
      <c r="AV165" s="32" t="s">
        <v>313</v>
      </c>
      <c r="AW165" s="31"/>
      <c r="AX165" s="31"/>
      <c r="AY165" s="32" t="str">
        <f t="shared" si="58"/>
        <v/>
      </c>
      <c r="AZ165" s="32" t="s">
        <v>313</v>
      </c>
    </row>
    <row r="166" spans="1:52" ht="34" customHeight="1">
      <c r="A166" s="28" t="s">
        <v>231</v>
      </c>
      <c r="B166" s="29" t="s">
        <v>325</v>
      </c>
      <c r="C166" s="29" t="s">
        <v>52</v>
      </c>
      <c r="D166" s="29" t="s">
        <v>54</v>
      </c>
      <c r="E166" s="29" t="s">
        <v>59</v>
      </c>
      <c r="F166" s="29" t="s">
        <v>316</v>
      </c>
      <c r="G166" s="30" t="s">
        <v>312</v>
      </c>
      <c r="H166" s="31"/>
      <c r="I166" s="31">
        <v>478496.29</v>
      </c>
      <c r="J166" s="32" t="str">
        <f t="shared" si="59"/>
        <v/>
      </c>
      <c r="K166" s="31"/>
      <c r="L166" s="31">
        <v>369749.4</v>
      </c>
      <c r="M166" s="32" t="str">
        <f t="shared" si="60"/>
        <v/>
      </c>
      <c r="N166" s="31"/>
      <c r="O166" s="31">
        <v>653394.54</v>
      </c>
      <c r="P166" s="32" t="str">
        <f t="shared" si="61"/>
        <v/>
      </c>
      <c r="Q166" s="31"/>
      <c r="R166" s="31">
        <v>620730.5</v>
      </c>
      <c r="S166" s="32" t="str">
        <f t="shared" si="62"/>
        <v/>
      </c>
      <c r="T166" s="31"/>
      <c r="U166" s="31">
        <v>730820.45</v>
      </c>
      <c r="V166" s="32" t="str">
        <f t="shared" si="63"/>
        <v/>
      </c>
      <c r="W166" s="31"/>
      <c r="X166" s="31">
        <v>765800.63</v>
      </c>
      <c r="Y166" s="32" t="str">
        <f t="shared" si="64"/>
        <v/>
      </c>
      <c r="Z166" s="31" t="str">
        <f t="shared" si="51"/>
        <v/>
      </c>
      <c r="AA166" s="31">
        <f t="shared" si="52"/>
        <v>3618991.8099999996</v>
      </c>
      <c r="AB166" s="32" t="str">
        <f t="shared" si="65"/>
        <v/>
      </c>
      <c r="AC166" s="31"/>
      <c r="AD166" s="31"/>
      <c r="AE166" s="32" t="str">
        <f t="shared" si="53"/>
        <v/>
      </c>
      <c r="AF166" s="32" t="s">
        <v>313</v>
      </c>
      <c r="AG166" s="31"/>
      <c r="AH166" s="31"/>
      <c r="AI166" s="32" t="str">
        <f t="shared" si="54"/>
        <v/>
      </c>
      <c r="AJ166" s="32" t="s">
        <v>313</v>
      </c>
      <c r="AK166" s="31"/>
      <c r="AL166" s="31"/>
      <c r="AM166" s="32" t="str">
        <f t="shared" si="55"/>
        <v/>
      </c>
      <c r="AN166" s="32" t="s">
        <v>313</v>
      </c>
      <c r="AO166" s="31"/>
      <c r="AP166" s="31"/>
      <c r="AQ166" s="32" t="str">
        <f t="shared" si="56"/>
        <v/>
      </c>
      <c r="AR166" s="32" t="s">
        <v>313</v>
      </c>
      <c r="AS166" s="31"/>
      <c r="AT166" s="31"/>
      <c r="AU166" s="32" t="str">
        <f t="shared" si="57"/>
        <v/>
      </c>
      <c r="AV166" s="32" t="s">
        <v>313</v>
      </c>
      <c r="AW166" s="31"/>
      <c r="AX166" s="31"/>
      <c r="AY166" s="32" t="str">
        <f t="shared" si="58"/>
        <v/>
      </c>
      <c r="AZ166" s="32" t="s">
        <v>313</v>
      </c>
    </row>
    <row r="167" spans="1:52" ht="34" customHeight="1">
      <c r="A167" s="28" t="s">
        <v>231</v>
      </c>
      <c r="B167" s="29" t="s">
        <v>325</v>
      </c>
      <c r="C167" s="29" t="s">
        <v>52</v>
      </c>
      <c r="D167" s="29" t="s">
        <v>54</v>
      </c>
      <c r="E167" s="29" t="s">
        <v>64</v>
      </c>
      <c r="F167" s="29" t="s">
        <v>133</v>
      </c>
      <c r="G167" s="30" t="s">
        <v>312</v>
      </c>
      <c r="H167" s="31">
        <v>0</v>
      </c>
      <c r="I167" s="31">
        <v>478496.29</v>
      </c>
      <c r="J167" s="32">
        <f t="shared" si="59"/>
        <v>0</v>
      </c>
      <c r="K167" s="31">
        <v>0</v>
      </c>
      <c r="L167" s="31">
        <v>369749.4</v>
      </c>
      <c r="M167" s="32">
        <f t="shared" si="60"/>
        <v>0</v>
      </c>
      <c r="N167" s="31">
        <v>0</v>
      </c>
      <c r="O167" s="31">
        <v>653394.54</v>
      </c>
      <c r="P167" s="32">
        <f t="shared" si="61"/>
        <v>0</v>
      </c>
      <c r="Q167" s="31">
        <v>0</v>
      </c>
      <c r="R167" s="31">
        <v>620730.5</v>
      </c>
      <c r="S167" s="32">
        <f t="shared" si="62"/>
        <v>0</v>
      </c>
      <c r="T167" s="31">
        <v>0</v>
      </c>
      <c r="U167" s="31">
        <v>730820.45</v>
      </c>
      <c r="V167" s="32">
        <f t="shared" si="63"/>
        <v>0</v>
      </c>
      <c r="W167" s="31">
        <v>0</v>
      </c>
      <c r="X167" s="31">
        <v>765800.63</v>
      </c>
      <c r="Y167" s="32">
        <f t="shared" si="64"/>
        <v>0</v>
      </c>
      <c r="Z167" s="31">
        <f t="shared" si="51"/>
        <v>0</v>
      </c>
      <c r="AA167" s="31">
        <f t="shared" si="52"/>
        <v>3618991.8099999996</v>
      </c>
      <c r="AB167" s="32">
        <f t="shared" si="65"/>
        <v>0</v>
      </c>
      <c r="AC167" s="31"/>
      <c r="AD167" s="31"/>
      <c r="AE167" s="32" t="str">
        <f t="shared" si="53"/>
        <v/>
      </c>
      <c r="AF167" s="32" t="s">
        <v>313</v>
      </c>
      <c r="AG167" s="31"/>
      <c r="AH167" s="31"/>
      <c r="AI167" s="32" t="str">
        <f t="shared" si="54"/>
        <v/>
      </c>
      <c r="AJ167" s="32" t="s">
        <v>313</v>
      </c>
      <c r="AK167" s="31"/>
      <c r="AL167" s="31"/>
      <c r="AM167" s="32" t="str">
        <f t="shared" si="55"/>
        <v/>
      </c>
      <c r="AN167" s="32" t="s">
        <v>313</v>
      </c>
      <c r="AO167" s="31"/>
      <c r="AP167" s="31"/>
      <c r="AQ167" s="32" t="str">
        <f t="shared" si="56"/>
        <v/>
      </c>
      <c r="AR167" s="32" t="s">
        <v>313</v>
      </c>
      <c r="AS167" s="31"/>
      <c r="AT167" s="31"/>
      <c r="AU167" s="32" t="str">
        <f t="shared" si="57"/>
        <v/>
      </c>
      <c r="AV167" s="32" t="s">
        <v>313</v>
      </c>
      <c r="AW167" s="31"/>
      <c r="AX167" s="31"/>
      <c r="AY167" s="32" t="str">
        <f t="shared" si="58"/>
        <v/>
      </c>
      <c r="AZ167" s="32" t="s">
        <v>313</v>
      </c>
    </row>
    <row r="168" spans="1:52" ht="34" customHeight="1">
      <c r="A168" s="28" t="s">
        <v>231</v>
      </c>
      <c r="B168" s="29" t="s">
        <v>325</v>
      </c>
      <c r="C168" s="29" t="s">
        <v>52</v>
      </c>
      <c r="D168" s="29" t="s">
        <v>54</v>
      </c>
      <c r="E168" s="29" t="s">
        <v>60</v>
      </c>
      <c r="F168" s="29" t="s">
        <v>316</v>
      </c>
      <c r="G168" s="30" t="s">
        <v>312</v>
      </c>
      <c r="H168" s="31"/>
      <c r="I168" s="31">
        <v>478496.29</v>
      </c>
      <c r="J168" s="32" t="str">
        <f t="shared" si="59"/>
        <v/>
      </c>
      <c r="K168" s="31"/>
      <c r="L168" s="31">
        <v>369749.4</v>
      </c>
      <c r="M168" s="32" t="str">
        <f t="shared" si="60"/>
        <v/>
      </c>
      <c r="N168" s="31"/>
      <c r="O168" s="31">
        <v>653394.54</v>
      </c>
      <c r="P168" s="32" t="str">
        <f t="shared" si="61"/>
        <v/>
      </c>
      <c r="Q168" s="31"/>
      <c r="R168" s="31">
        <v>620730.5</v>
      </c>
      <c r="S168" s="32" t="str">
        <f t="shared" si="62"/>
        <v/>
      </c>
      <c r="T168" s="31"/>
      <c r="U168" s="31">
        <v>730820.45</v>
      </c>
      <c r="V168" s="32" t="str">
        <f t="shared" si="63"/>
        <v/>
      </c>
      <c r="W168" s="31"/>
      <c r="X168" s="31">
        <v>765800.63</v>
      </c>
      <c r="Y168" s="32" t="str">
        <f t="shared" si="64"/>
        <v/>
      </c>
      <c r="Z168" s="31" t="str">
        <f t="shared" si="51"/>
        <v/>
      </c>
      <c r="AA168" s="31">
        <f t="shared" si="52"/>
        <v>3618991.8099999996</v>
      </c>
      <c r="AB168" s="32" t="str">
        <f t="shared" si="65"/>
        <v/>
      </c>
      <c r="AC168" s="31"/>
      <c r="AD168" s="31"/>
      <c r="AE168" s="32" t="str">
        <f t="shared" si="53"/>
        <v/>
      </c>
      <c r="AF168" s="32" t="s">
        <v>313</v>
      </c>
      <c r="AG168" s="31"/>
      <c r="AH168" s="31"/>
      <c r="AI168" s="32" t="str">
        <f t="shared" si="54"/>
        <v/>
      </c>
      <c r="AJ168" s="32" t="s">
        <v>313</v>
      </c>
      <c r="AK168" s="31"/>
      <c r="AL168" s="31"/>
      <c r="AM168" s="32" t="str">
        <f t="shared" si="55"/>
        <v/>
      </c>
      <c r="AN168" s="32" t="s">
        <v>313</v>
      </c>
      <c r="AO168" s="31"/>
      <c r="AP168" s="31"/>
      <c r="AQ168" s="32" t="str">
        <f t="shared" si="56"/>
        <v/>
      </c>
      <c r="AR168" s="32" t="s">
        <v>313</v>
      </c>
      <c r="AS168" s="31"/>
      <c r="AT168" s="31"/>
      <c r="AU168" s="32" t="str">
        <f t="shared" si="57"/>
        <v/>
      </c>
      <c r="AV168" s="32" t="s">
        <v>313</v>
      </c>
      <c r="AW168" s="31"/>
      <c r="AX168" s="31"/>
      <c r="AY168" s="32" t="str">
        <f t="shared" si="58"/>
        <v/>
      </c>
      <c r="AZ168" s="32" t="s">
        <v>313</v>
      </c>
    </row>
    <row r="169" spans="1:52" ht="51" customHeight="1">
      <c r="A169" s="28" t="s">
        <v>231</v>
      </c>
      <c r="B169" s="29" t="s">
        <v>325</v>
      </c>
      <c r="C169" s="29" t="s">
        <v>52</v>
      </c>
      <c r="D169" s="29" t="s">
        <v>54</v>
      </c>
      <c r="E169" s="29" t="s">
        <v>61</v>
      </c>
      <c r="F169" s="29" t="s">
        <v>135</v>
      </c>
      <c r="G169" s="30" t="s">
        <v>312</v>
      </c>
      <c r="H169" s="31">
        <v>0</v>
      </c>
      <c r="I169" s="31">
        <v>478496.29</v>
      </c>
      <c r="J169" s="32">
        <f t="shared" si="59"/>
        <v>0</v>
      </c>
      <c r="K169" s="31">
        <v>0</v>
      </c>
      <c r="L169" s="31">
        <v>369749.4</v>
      </c>
      <c r="M169" s="32">
        <f t="shared" si="60"/>
        <v>0</v>
      </c>
      <c r="N169" s="31">
        <v>0</v>
      </c>
      <c r="O169" s="31">
        <v>653394.54</v>
      </c>
      <c r="P169" s="32">
        <f t="shared" si="61"/>
        <v>0</v>
      </c>
      <c r="Q169" s="31">
        <v>0</v>
      </c>
      <c r="R169" s="31">
        <v>620730.5</v>
      </c>
      <c r="S169" s="32">
        <f t="shared" si="62"/>
        <v>0</v>
      </c>
      <c r="T169" s="31">
        <v>0</v>
      </c>
      <c r="U169" s="31">
        <v>730820.45</v>
      </c>
      <c r="V169" s="32">
        <f t="shared" si="63"/>
        <v>0</v>
      </c>
      <c r="W169" s="31">
        <v>0</v>
      </c>
      <c r="X169" s="31">
        <v>765800.63</v>
      </c>
      <c r="Y169" s="32">
        <f t="shared" si="64"/>
        <v>0</v>
      </c>
      <c r="Z169" s="31">
        <f t="shared" si="51"/>
        <v>0</v>
      </c>
      <c r="AA169" s="31">
        <f t="shared" si="52"/>
        <v>3618991.8099999996</v>
      </c>
      <c r="AB169" s="32">
        <f t="shared" si="65"/>
        <v>0</v>
      </c>
      <c r="AC169" s="31"/>
      <c r="AD169" s="31"/>
      <c r="AE169" s="32" t="str">
        <f t="shared" si="53"/>
        <v/>
      </c>
      <c r="AF169" s="32" t="s">
        <v>313</v>
      </c>
      <c r="AG169" s="31"/>
      <c r="AH169" s="31"/>
      <c r="AI169" s="32" t="str">
        <f t="shared" si="54"/>
        <v/>
      </c>
      <c r="AJ169" s="32" t="s">
        <v>313</v>
      </c>
      <c r="AK169" s="31"/>
      <c r="AL169" s="31"/>
      <c r="AM169" s="32" t="str">
        <f t="shared" si="55"/>
        <v/>
      </c>
      <c r="AN169" s="32" t="s">
        <v>313</v>
      </c>
      <c r="AO169" s="31"/>
      <c r="AP169" s="31"/>
      <c r="AQ169" s="32" t="str">
        <f t="shared" si="56"/>
        <v/>
      </c>
      <c r="AR169" s="32" t="s">
        <v>313</v>
      </c>
      <c r="AS169" s="31"/>
      <c r="AT169" s="31"/>
      <c r="AU169" s="32" t="str">
        <f t="shared" si="57"/>
        <v/>
      </c>
      <c r="AV169" s="32" t="s">
        <v>313</v>
      </c>
      <c r="AW169" s="31"/>
      <c r="AX169" s="31"/>
      <c r="AY169" s="32" t="str">
        <f t="shared" si="58"/>
        <v/>
      </c>
      <c r="AZ169" s="32" t="s">
        <v>313</v>
      </c>
    </row>
    <row r="170" spans="1:52" ht="34" customHeight="1">
      <c r="A170" s="28" t="s">
        <v>231</v>
      </c>
      <c r="B170" s="29" t="s">
        <v>325</v>
      </c>
      <c r="C170" s="29" t="s">
        <v>52</v>
      </c>
      <c r="D170" s="29" t="s">
        <v>54</v>
      </c>
      <c r="E170" s="29" t="s">
        <v>62</v>
      </c>
      <c r="F170" s="29" t="s">
        <v>316</v>
      </c>
      <c r="G170" s="30" t="s">
        <v>312</v>
      </c>
      <c r="H170" s="31"/>
      <c r="I170" s="31">
        <v>478496.29</v>
      </c>
      <c r="J170" s="32" t="str">
        <f t="shared" si="59"/>
        <v/>
      </c>
      <c r="K170" s="31"/>
      <c r="L170" s="31">
        <v>369749.4</v>
      </c>
      <c r="M170" s="32" t="str">
        <f t="shared" si="60"/>
        <v/>
      </c>
      <c r="N170" s="31"/>
      <c r="O170" s="31">
        <v>653394.54</v>
      </c>
      <c r="P170" s="32" t="str">
        <f t="shared" si="61"/>
        <v/>
      </c>
      <c r="Q170" s="31"/>
      <c r="R170" s="31">
        <v>620730.5</v>
      </c>
      <c r="S170" s="32" t="str">
        <f t="shared" si="62"/>
        <v/>
      </c>
      <c r="T170" s="31"/>
      <c r="U170" s="31">
        <v>730820.45</v>
      </c>
      <c r="V170" s="32" t="str">
        <f t="shared" si="63"/>
        <v/>
      </c>
      <c r="W170" s="31"/>
      <c r="X170" s="31">
        <v>765800.63</v>
      </c>
      <c r="Y170" s="32" t="str">
        <f t="shared" si="64"/>
        <v/>
      </c>
      <c r="Z170" s="31" t="str">
        <f t="shared" si="51"/>
        <v/>
      </c>
      <c r="AA170" s="31">
        <f t="shared" si="52"/>
        <v>3618991.8099999996</v>
      </c>
      <c r="AB170" s="32" t="str">
        <f t="shared" si="65"/>
        <v/>
      </c>
      <c r="AC170" s="31"/>
      <c r="AD170" s="31"/>
      <c r="AE170" s="32" t="str">
        <f t="shared" si="53"/>
        <v/>
      </c>
      <c r="AF170" s="32" t="s">
        <v>313</v>
      </c>
      <c r="AG170" s="31"/>
      <c r="AH170" s="31"/>
      <c r="AI170" s="32" t="str">
        <f t="shared" si="54"/>
        <v/>
      </c>
      <c r="AJ170" s="32" t="s">
        <v>313</v>
      </c>
      <c r="AK170" s="31"/>
      <c r="AL170" s="31"/>
      <c r="AM170" s="32" t="str">
        <f t="shared" si="55"/>
        <v/>
      </c>
      <c r="AN170" s="32" t="s">
        <v>313</v>
      </c>
      <c r="AO170" s="31"/>
      <c r="AP170" s="31"/>
      <c r="AQ170" s="32" t="str">
        <f t="shared" si="56"/>
        <v/>
      </c>
      <c r="AR170" s="32" t="s">
        <v>313</v>
      </c>
      <c r="AS170" s="31"/>
      <c r="AT170" s="31"/>
      <c r="AU170" s="32" t="str">
        <f t="shared" si="57"/>
        <v/>
      </c>
      <c r="AV170" s="32" t="s">
        <v>313</v>
      </c>
      <c r="AW170" s="31"/>
      <c r="AX170" s="31"/>
      <c r="AY170" s="32" t="str">
        <f t="shared" si="58"/>
        <v/>
      </c>
      <c r="AZ170" s="32" t="s">
        <v>313</v>
      </c>
    </row>
    <row r="171" spans="1:52" ht="34" customHeight="1">
      <c r="A171" s="28" t="s">
        <v>231</v>
      </c>
      <c r="B171" s="29" t="s">
        <v>325</v>
      </c>
      <c r="C171" s="29" t="s">
        <v>52</v>
      </c>
      <c r="D171" s="29" t="s">
        <v>54</v>
      </c>
      <c r="E171" s="29" t="s">
        <v>63</v>
      </c>
      <c r="F171" s="29" t="s">
        <v>316</v>
      </c>
      <c r="G171" s="30" t="s">
        <v>312</v>
      </c>
      <c r="H171" s="31"/>
      <c r="I171" s="31">
        <v>478496.29</v>
      </c>
      <c r="J171" s="32" t="str">
        <f t="shared" si="59"/>
        <v/>
      </c>
      <c r="K171" s="31"/>
      <c r="L171" s="31">
        <v>369749.4</v>
      </c>
      <c r="M171" s="32" t="str">
        <f t="shared" si="60"/>
        <v/>
      </c>
      <c r="N171" s="31"/>
      <c r="O171" s="31">
        <v>653394.54</v>
      </c>
      <c r="P171" s="32" t="str">
        <f t="shared" si="61"/>
        <v/>
      </c>
      <c r="Q171" s="31"/>
      <c r="R171" s="31">
        <v>620730.5</v>
      </c>
      <c r="S171" s="32" t="str">
        <f t="shared" si="62"/>
        <v/>
      </c>
      <c r="T171" s="31"/>
      <c r="U171" s="31">
        <v>730820.45</v>
      </c>
      <c r="V171" s="32" t="str">
        <f t="shared" si="63"/>
        <v/>
      </c>
      <c r="W171" s="31"/>
      <c r="X171" s="31">
        <v>765800.63</v>
      </c>
      <c r="Y171" s="32" t="str">
        <f t="shared" si="64"/>
        <v/>
      </c>
      <c r="Z171" s="31" t="str">
        <f t="shared" si="51"/>
        <v/>
      </c>
      <c r="AA171" s="31">
        <f t="shared" si="52"/>
        <v>3618991.8099999996</v>
      </c>
      <c r="AB171" s="32" t="str">
        <f t="shared" si="65"/>
        <v/>
      </c>
      <c r="AC171" s="31"/>
      <c r="AD171" s="31"/>
      <c r="AE171" s="32" t="str">
        <f t="shared" si="53"/>
        <v/>
      </c>
      <c r="AF171" s="32" t="s">
        <v>313</v>
      </c>
      <c r="AG171" s="31"/>
      <c r="AH171" s="31"/>
      <c r="AI171" s="32" t="str">
        <f t="shared" si="54"/>
        <v/>
      </c>
      <c r="AJ171" s="32" t="s">
        <v>313</v>
      </c>
      <c r="AK171" s="31"/>
      <c r="AL171" s="31"/>
      <c r="AM171" s="32" t="str">
        <f t="shared" si="55"/>
        <v/>
      </c>
      <c r="AN171" s="32" t="s">
        <v>313</v>
      </c>
      <c r="AO171" s="31"/>
      <c r="AP171" s="31"/>
      <c r="AQ171" s="32" t="str">
        <f t="shared" si="56"/>
        <v/>
      </c>
      <c r="AR171" s="32" t="s">
        <v>313</v>
      </c>
      <c r="AS171" s="31"/>
      <c r="AT171" s="31"/>
      <c r="AU171" s="32" t="str">
        <f t="shared" si="57"/>
        <v/>
      </c>
      <c r="AV171" s="32" t="s">
        <v>313</v>
      </c>
      <c r="AW171" s="31"/>
      <c r="AX171" s="31"/>
      <c r="AY171" s="32" t="str">
        <f t="shared" si="58"/>
        <v/>
      </c>
      <c r="AZ171" s="32" t="s">
        <v>313</v>
      </c>
    </row>
    <row r="172" spans="1:52" ht="34" customHeight="1">
      <c r="A172" s="28" t="s">
        <v>231</v>
      </c>
      <c r="B172" s="29" t="s">
        <v>325</v>
      </c>
      <c r="C172" s="29" t="s">
        <v>52</v>
      </c>
      <c r="D172" s="29" t="s">
        <v>65</v>
      </c>
      <c r="E172" s="29" t="s">
        <v>66</v>
      </c>
      <c r="F172" s="29" t="s">
        <v>316</v>
      </c>
      <c r="G172" s="30" t="s">
        <v>312</v>
      </c>
      <c r="H172" s="31"/>
      <c r="I172" s="31">
        <v>478496.29</v>
      </c>
      <c r="J172" s="32" t="str">
        <f t="shared" si="59"/>
        <v/>
      </c>
      <c r="K172" s="31"/>
      <c r="L172" s="31">
        <v>369749.4</v>
      </c>
      <c r="M172" s="32" t="str">
        <f t="shared" si="60"/>
        <v/>
      </c>
      <c r="N172" s="31"/>
      <c r="O172" s="31">
        <v>653394.54</v>
      </c>
      <c r="P172" s="32" t="str">
        <f t="shared" si="61"/>
        <v/>
      </c>
      <c r="Q172" s="31"/>
      <c r="R172" s="31">
        <v>620730.5</v>
      </c>
      <c r="S172" s="32" t="str">
        <f t="shared" si="62"/>
        <v/>
      </c>
      <c r="T172" s="31"/>
      <c r="U172" s="31">
        <v>730820.45</v>
      </c>
      <c r="V172" s="32" t="str">
        <f t="shared" si="63"/>
        <v/>
      </c>
      <c r="W172" s="31"/>
      <c r="X172" s="31">
        <v>765800.63</v>
      </c>
      <c r="Y172" s="32" t="str">
        <f t="shared" si="64"/>
        <v/>
      </c>
      <c r="Z172" s="31" t="str">
        <f t="shared" si="51"/>
        <v/>
      </c>
      <c r="AA172" s="31">
        <f t="shared" si="52"/>
        <v>3618991.8099999996</v>
      </c>
      <c r="AB172" s="32" t="str">
        <f t="shared" si="65"/>
        <v/>
      </c>
      <c r="AC172" s="31"/>
      <c r="AD172" s="31"/>
      <c r="AE172" s="32" t="str">
        <f t="shared" si="53"/>
        <v/>
      </c>
      <c r="AF172" s="32" t="s">
        <v>313</v>
      </c>
      <c r="AG172" s="31"/>
      <c r="AH172" s="31"/>
      <c r="AI172" s="32" t="str">
        <f t="shared" si="54"/>
        <v/>
      </c>
      <c r="AJ172" s="32" t="s">
        <v>313</v>
      </c>
      <c r="AK172" s="31"/>
      <c r="AL172" s="31"/>
      <c r="AM172" s="32" t="str">
        <f t="shared" si="55"/>
        <v/>
      </c>
      <c r="AN172" s="32" t="s">
        <v>313</v>
      </c>
      <c r="AO172" s="31"/>
      <c r="AP172" s="31"/>
      <c r="AQ172" s="32" t="str">
        <f t="shared" si="56"/>
        <v/>
      </c>
      <c r="AR172" s="32" t="s">
        <v>313</v>
      </c>
      <c r="AS172" s="31"/>
      <c r="AT172" s="31"/>
      <c r="AU172" s="32" t="str">
        <f t="shared" si="57"/>
        <v/>
      </c>
      <c r="AV172" s="32" t="s">
        <v>313</v>
      </c>
      <c r="AW172" s="31"/>
      <c r="AX172" s="31"/>
      <c r="AY172" s="32" t="str">
        <f t="shared" si="58"/>
        <v/>
      </c>
      <c r="AZ172" s="32" t="s">
        <v>313</v>
      </c>
    </row>
    <row r="173" spans="1:52" ht="34" customHeight="1">
      <c r="A173" s="28" t="s">
        <v>231</v>
      </c>
      <c r="B173" s="29" t="s">
        <v>325</v>
      </c>
      <c r="C173" s="29" t="s">
        <v>52</v>
      </c>
      <c r="D173" s="29" t="s">
        <v>65</v>
      </c>
      <c r="E173" s="29" t="s">
        <v>67</v>
      </c>
      <c r="F173" s="29" t="s">
        <v>316</v>
      </c>
      <c r="G173" s="30" t="s">
        <v>312</v>
      </c>
      <c r="H173" s="31"/>
      <c r="I173" s="31">
        <v>478496.29</v>
      </c>
      <c r="J173" s="32" t="str">
        <f t="shared" si="59"/>
        <v/>
      </c>
      <c r="K173" s="31"/>
      <c r="L173" s="31">
        <v>369749.4</v>
      </c>
      <c r="M173" s="32" t="str">
        <f t="shared" si="60"/>
        <v/>
      </c>
      <c r="N173" s="31"/>
      <c r="O173" s="31">
        <v>653394.54</v>
      </c>
      <c r="P173" s="32" t="str">
        <f t="shared" si="61"/>
        <v/>
      </c>
      <c r="Q173" s="31"/>
      <c r="R173" s="31">
        <v>620730.5</v>
      </c>
      <c r="S173" s="32" t="str">
        <f t="shared" si="62"/>
        <v/>
      </c>
      <c r="T173" s="31"/>
      <c r="U173" s="31">
        <v>730820.45</v>
      </c>
      <c r="V173" s="32" t="str">
        <f t="shared" si="63"/>
        <v/>
      </c>
      <c r="W173" s="31"/>
      <c r="X173" s="31">
        <v>765800.63</v>
      </c>
      <c r="Y173" s="32" t="str">
        <f t="shared" si="64"/>
        <v/>
      </c>
      <c r="Z173" s="31" t="str">
        <f t="shared" si="51"/>
        <v/>
      </c>
      <c r="AA173" s="31">
        <f t="shared" si="52"/>
        <v>3618991.8099999996</v>
      </c>
      <c r="AB173" s="32" t="str">
        <f t="shared" si="65"/>
        <v/>
      </c>
      <c r="AC173" s="31"/>
      <c r="AD173" s="31"/>
      <c r="AE173" s="32" t="str">
        <f t="shared" si="53"/>
        <v/>
      </c>
      <c r="AF173" s="32" t="s">
        <v>313</v>
      </c>
      <c r="AG173" s="31"/>
      <c r="AH173" s="31"/>
      <c r="AI173" s="32" t="str">
        <f t="shared" si="54"/>
        <v/>
      </c>
      <c r="AJ173" s="32" t="s">
        <v>313</v>
      </c>
      <c r="AK173" s="31"/>
      <c r="AL173" s="31"/>
      <c r="AM173" s="32" t="str">
        <f t="shared" si="55"/>
        <v/>
      </c>
      <c r="AN173" s="32" t="s">
        <v>313</v>
      </c>
      <c r="AO173" s="31"/>
      <c r="AP173" s="31"/>
      <c r="AQ173" s="32" t="str">
        <f t="shared" si="56"/>
        <v/>
      </c>
      <c r="AR173" s="32" t="s">
        <v>313</v>
      </c>
      <c r="AS173" s="31"/>
      <c r="AT173" s="31"/>
      <c r="AU173" s="32" t="str">
        <f t="shared" si="57"/>
        <v/>
      </c>
      <c r="AV173" s="32" t="s">
        <v>313</v>
      </c>
      <c r="AW173" s="31"/>
      <c r="AX173" s="31"/>
      <c r="AY173" s="32" t="str">
        <f t="shared" si="58"/>
        <v/>
      </c>
      <c r="AZ173" s="32" t="s">
        <v>313</v>
      </c>
    </row>
    <row r="174" spans="1:52" ht="34" customHeight="1">
      <c r="A174" s="28" t="s">
        <v>231</v>
      </c>
      <c r="B174" s="29" t="s">
        <v>325</v>
      </c>
      <c r="C174" s="29" t="s">
        <v>52</v>
      </c>
      <c r="D174" s="29" t="s">
        <v>65</v>
      </c>
      <c r="E174" s="29" t="s">
        <v>68</v>
      </c>
      <c r="F174" s="29" t="s">
        <v>316</v>
      </c>
      <c r="G174" s="30" t="s">
        <v>312</v>
      </c>
      <c r="H174" s="31"/>
      <c r="I174" s="31">
        <v>478496.29</v>
      </c>
      <c r="J174" s="32" t="str">
        <f t="shared" si="59"/>
        <v/>
      </c>
      <c r="K174" s="31"/>
      <c r="L174" s="31">
        <v>369749.4</v>
      </c>
      <c r="M174" s="32" t="str">
        <f t="shared" si="60"/>
        <v/>
      </c>
      <c r="N174" s="31"/>
      <c r="O174" s="31">
        <v>653394.54</v>
      </c>
      <c r="P174" s="32" t="str">
        <f t="shared" si="61"/>
        <v/>
      </c>
      <c r="Q174" s="31"/>
      <c r="R174" s="31">
        <v>620730.5</v>
      </c>
      <c r="S174" s="32" t="str">
        <f t="shared" si="62"/>
        <v/>
      </c>
      <c r="T174" s="31"/>
      <c r="U174" s="31">
        <v>730820.45</v>
      </c>
      <c r="V174" s="32" t="str">
        <f t="shared" si="63"/>
        <v/>
      </c>
      <c r="W174" s="31"/>
      <c r="X174" s="31">
        <v>765800.63</v>
      </c>
      <c r="Y174" s="32" t="str">
        <f t="shared" si="64"/>
        <v/>
      </c>
      <c r="Z174" s="31" t="str">
        <f t="shared" si="51"/>
        <v/>
      </c>
      <c r="AA174" s="31">
        <f t="shared" si="52"/>
        <v>3618991.8099999996</v>
      </c>
      <c r="AB174" s="32" t="str">
        <f t="shared" si="65"/>
        <v/>
      </c>
      <c r="AC174" s="31"/>
      <c r="AD174" s="31"/>
      <c r="AE174" s="32" t="str">
        <f t="shared" si="53"/>
        <v/>
      </c>
      <c r="AF174" s="32" t="s">
        <v>313</v>
      </c>
      <c r="AG174" s="31"/>
      <c r="AH174" s="31"/>
      <c r="AI174" s="32" t="str">
        <f t="shared" si="54"/>
        <v/>
      </c>
      <c r="AJ174" s="32" t="s">
        <v>313</v>
      </c>
      <c r="AK174" s="31"/>
      <c r="AL174" s="31"/>
      <c r="AM174" s="32" t="str">
        <f t="shared" si="55"/>
        <v/>
      </c>
      <c r="AN174" s="32" t="s">
        <v>313</v>
      </c>
      <c r="AO174" s="31"/>
      <c r="AP174" s="31"/>
      <c r="AQ174" s="32" t="str">
        <f t="shared" si="56"/>
        <v/>
      </c>
      <c r="AR174" s="32" t="s">
        <v>313</v>
      </c>
      <c r="AS174" s="31"/>
      <c r="AT174" s="31"/>
      <c r="AU174" s="32" t="str">
        <f t="shared" si="57"/>
        <v/>
      </c>
      <c r="AV174" s="32" t="s">
        <v>313</v>
      </c>
      <c r="AW174" s="31"/>
      <c r="AX174" s="31"/>
      <c r="AY174" s="32" t="str">
        <f t="shared" si="58"/>
        <v/>
      </c>
      <c r="AZ174" s="32" t="s">
        <v>313</v>
      </c>
    </row>
    <row r="175" spans="1:52" ht="34" customHeight="1">
      <c r="A175" s="28" t="s">
        <v>231</v>
      </c>
      <c r="B175" s="29" t="s">
        <v>325</v>
      </c>
      <c r="C175" s="29" t="s">
        <v>52</v>
      </c>
      <c r="D175" s="29" t="s">
        <v>65</v>
      </c>
      <c r="E175" s="29" t="s">
        <v>69</v>
      </c>
      <c r="F175" s="29" t="s">
        <v>316</v>
      </c>
      <c r="G175" s="30" t="s">
        <v>312</v>
      </c>
      <c r="H175" s="31"/>
      <c r="I175" s="31">
        <v>478496.29</v>
      </c>
      <c r="J175" s="32" t="str">
        <f t="shared" si="59"/>
        <v/>
      </c>
      <c r="K175" s="31"/>
      <c r="L175" s="31">
        <v>369749.4</v>
      </c>
      <c r="M175" s="32" t="str">
        <f t="shared" si="60"/>
        <v/>
      </c>
      <c r="N175" s="31"/>
      <c r="O175" s="31">
        <v>653394.54</v>
      </c>
      <c r="P175" s="32" t="str">
        <f t="shared" si="61"/>
        <v/>
      </c>
      <c r="Q175" s="31"/>
      <c r="R175" s="31">
        <v>620730.5</v>
      </c>
      <c r="S175" s="32" t="str">
        <f t="shared" si="62"/>
        <v/>
      </c>
      <c r="T175" s="31"/>
      <c r="U175" s="31">
        <v>730820.45</v>
      </c>
      <c r="V175" s="32" t="str">
        <f t="shared" si="63"/>
        <v/>
      </c>
      <c r="W175" s="31"/>
      <c r="X175" s="31">
        <v>765800.63</v>
      </c>
      <c r="Y175" s="32" t="str">
        <f t="shared" si="64"/>
        <v/>
      </c>
      <c r="Z175" s="31" t="str">
        <f t="shared" si="51"/>
        <v/>
      </c>
      <c r="AA175" s="31">
        <f t="shared" si="52"/>
        <v>3618991.8099999996</v>
      </c>
      <c r="AB175" s="32" t="str">
        <f t="shared" si="65"/>
        <v/>
      </c>
      <c r="AC175" s="31"/>
      <c r="AD175" s="31"/>
      <c r="AE175" s="32" t="str">
        <f t="shared" si="53"/>
        <v/>
      </c>
      <c r="AF175" s="32" t="s">
        <v>313</v>
      </c>
      <c r="AG175" s="31"/>
      <c r="AH175" s="31"/>
      <c r="AI175" s="32" t="str">
        <f t="shared" si="54"/>
        <v/>
      </c>
      <c r="AJ175" s="32" t="s">
        <v>313</v>
      </c>
      <c r="AK175" s="31"/>
      <c r="AL175" s="31"/>
      <c r="AM175" s="32" t="str">
        <f t="shared" si="55"/>
        <v/>
      </c>
      <c r="AN175" s="32" t="s">
        <v>313</v>
      </c>
      <c r="AO175" s="31"/>
      <c r="AP175" s="31"/>
      <c r="AQ175" s="32" t="str">
        <f t="shared" si="56"/>
        <v/>
      </c>
      <c r="AR175" s="32" t="s">
        <v>313</v>
      </c>
      <c r="AS175" s="31"/>
      <c r="AT175" s="31"/>
      <c r="AU175" s="32" t="str">
        <f t="shared" si="57"/>
        <v/>
      </c>
      <c r="AV175" s="32" t="s">
        <v>313</v>
      </c>
      <c r="AW175" s="31"/>
      <c r="AX175" s="31"/>
      <c r="AY175" s="32" t="str">
        <f t="shared" si="58"/>
        <v/>
      </c>
      <c r="AZ175" s="32" t="s">
        <v>313</v>
      </c>
    </row>
    <row r="176" spans="1:52" ht="68" customHeight="1">
      <c r="A176" s="28" t="s">
        <v>231</v>
      </c>
      <c r="B176" s="29" t="s">
        <v>325</v>
      </c>
      <c r="C176" s="29" t="s">
        <v>52</v>
      </c>
      <c r="D176" s="29" t="s">
        <v>70</v>
      </c>
      <c r="E176" s="29" t="s">
        <v>73</v>
      </c>
      <c r="F176" s="29" t="s">
        <v>317</v>
      </c>
      <c r="G176" s="30" t="s">
        <v>312</v>
      </c>
      <c r="H176" s="31">
        <v>32695.27</v>
      </c>
      <c r="I176" s="31">
        <v>478496.29</v>
      </c>
      <c r="J176" s="32">
        <f t="shared" si="59"/>
        <v>6.8329202719628196E-2</v>
      </c>
      <c r="K176" s="31">
        <v>22834.75</v>
      </c>
      <c r="L176" s="31">
        <v>369749.4</v>
      </c>
      <c r="M176" s="32">
        <f t="shared" si="60"/>
        <v>6.17573686394082E-2</v>
      </c>
      <c r="N176" s="31">
        <v>41750.74</v>
      </c>
      <c r="O176" s="31">
        <v>653394.54</v>
      </c>
      <c r="P176" s="32">
        <f t="shared" si="61"/>
        <v>6.3898207658729431E-2</v>
      </c>
      <c r="Q176" s="31">
        <v>40388.629999999997</v>
      </c>
      <c r="R176" s="31">
        <v>620730.5</v>
      </c>
      <c r="S176" s="32">
        <f t="shared" si="62"/>
        <v>6.5066288832271002E-2</v>
      </c>
      <c r="T176" s="31">
        <v>44656.21</v>
      </c>
      <c r="U176" s="31">
        <v>730820.45</v>
      </c>
      <c r="V176" s="32">
        <f t="shared" si="63"/>
        <v>6.1104215132458325E-2</v>
      </c>
      <c r="W176" s="31">
        <v>46544.99</v>
      </c>
      <c r="X176" s="31">
        <v>765800.63</v>
      </c>
      <c r="Y176" s="32">
        <f t="shared" si="64"/>
        <v>6.0779513853364157E-2</v>
      </c>
      <c r="Z176" s="31">
        <f t="shared" si="51"/>
        <v>228870.59</v>
      </c>
      <c r="AA176" s="31">
        <f t="shared" si="52"/>
        <v>3618991.8099999996</v>
      </c>
      <c r="AB176" s="32">
        <f t="shared" si="65"/>
        <v>6.3241533005845632E-2</v>
      </c>
      <c r="AC176" s="31"/>
      <c r="AD176" s="31"/>
      <c r="AE176" s="32" t="str">
        <f t="shared" si="53"/>
        <v/>
      </c>
      <c r="AF176" s="32" t="s">
        <v>313</v>
      </c>
      <c r="AG176" s="31"/>
      <c r="AH176" s="31"/>
      <c r="AI176" s="32" t="str">
        <f t="shared" si="54"/>
        <v/>
      </c>
      <c r="AJ176" s="32" t="s">
        <v>313</v>
      </c>
      <c r="AK176" s="31"/>
      <c r="AL176" s="31"/>
      <c r="AM176" s="32" t="str">
        <f t="shared" si="55"/>
        <v/>
      </c>
      <c r="AN176" s="32" t="s">
        <v>313</v>
      </c>
      <c r="AO176" s="31"/>
      <c r="AP176" s="31"/>
      <c r="AQ176" s="32" t="str">
        <f t="shared" si="56"/>
        <v/>
      </c>
      <c r="AR176" s="32" t="s">
        <v>313</v>
      </c>
      <c r="AS176" s="31"/>
      <c r="AT176" s="31"/>
      <c r="AU176" s="32" t="str">
        <f t="shared" si="57"/>
        <v/>
      </c>
      <c r="AV176" s="32" t="s">
        <v>313</v>
      </c>
      <c r="AW176" s="31"/>
      <c r="AX176" s="31"/>
      <c r="AY176" s="32" t="str">
        <f t="shared" si="58"/>
        <v/>
      </c>
      <c r="AZ176" s="32" t="s">
        <v>313</v>
      </c>
    </row>
    <row r="177" spans="1:52" ht="34" customHeight="1">
      <c r="A177" s="28" t="s">
        <v>231</v>
      </c>
      <c r="B177" s="29" t="s">
        <v>325</v>
      </c>
      <c r="C177" s="29" t="s">
        <v>52</v>
      </c>
      <c r="D177" s="29" t="s">
        <v>70</v>
      </c>
      <c r="E177" s="29" t="s">
        <v>71</v>
      </c>
      <c r="F177" s="29" t="s">
        <v>316</v>
      </c>
      <c r="G177" s="30" t="s">
        <v>312</v>
      </c>
      <c r="H177" s="31"/>
      <c r="I177" s="31">
        <v>478496.29</v>
      </c>
      <c r="J177" s="32" t="str">
        <f t="shared" si="59"/>
        <v/>
      </c>
      <c r="K177" s="31"/>
      <c r="L177" s="31">
        <v>369749.4</v>
      </c>
      <c r="M177" s="32" t="str">
        <f t="shared" si="60"/>
        <v/>
      </c>
      <c r="N177" s="31"/>
      <c r="O177" s="31">
        <v>653394.54</v>
      </c>
      <c r="P177" s="32" t="str">
        <f t="shared" si="61"/>
        <v/>
      </c>
      <c r="Q177" s="31"/>
      <c r="R177" s="31">
        <v>620730.5</v>
      </c>
      <c r="S177" s="32" t="str">
        <f t="shared" si="62"/>
        <v/>
      </c>
      <c r="T177" s="31"/>
      <c r="U177" s="31">
        <v>730820.45</v>
      </c>
      <c r="V177" s="32" t="str">
        <f t="shared" si="63"/>
        <v/>
      </c>
      <c r="W177" s="31"/>
      <c r="X177" s="31">
        <v>765800.63</v>
      </c>
      <c r="Y177" s="32" t="str">
        <f t="shared" si="64"/>
        <v/>
      </c>
      <c r="Z177" s="31" t="str">
        <f t="shared" si="51"/>
        <v/>
      </c>
      <c r="AA177" s="31">
        <f t="shared" si="52"/>
        <v>3618991.8099999996</v>
      </c>
      <c r="AB177" s="32" t="str">
        <f t="shared" si="65"/>
        <v/>
      </c>
      <c r="AC177" s="31"/>
      <c r="AD177" s="31"/>
      <c r="AE177" s="32" t="str">
        <f t="shared" si="53"/>
        <v/>
      </c>
      <c r="AF177" s="32" t="s">
        <v>313</v>
      </c>
      <c r="AG177" s="31"/>
      <c r="AH177" s="31"/>
      <c r="AI177" s="32" t="str">
        <f t="shared" si="54"/>
        <v/>
      </c>
      <c r="AJ177" s="32" t="s">
        <v>313</v>
      </c>
      <c r="AK177" s="31"/>
      <c r="AL177" s="31"/>
      <c r="AM177" s="32" t="str">
        <f t="shared" si="55"/>
        <v/>
      </c>
      <c r="AN177" s="32" t="s">
        <v>313</v>
      </c>
      <c r="AO177" s="31"/>
      <c r="AP177" s="31"/>
      <c r="AQ177" s="32" t="str">
        <f t="shared" si="56"/>
        <v/>
      </c>
      <c r="AR177" s="32" t="s">
        <v>313</v>
      </c>
      <c r="AS177" s="31"/>
      <c r="AT177" s="31"/>
      <c r="AU177" s="32" t="str">
        <f t="shared" si="57"/>
        <v/>
      </c>
      <c r="AV177" s="32" t="s">
        <v>313</v>
      </c>
      <c r="AW177" s="31"/>
      <c r="AX177" s="31"/>
      <c r="AY177" s="32" t="str">
        <f t="shared" si="58"/>
        <v/>
      </c>
      <c r="AZ177" s="32" t="s">
        <v>313</v>
      </c>
    </row>
    <row r="178" spans="1:52" ht="34" customHeight="1">
      <c r="A178" s="28" t="s">
        <v>231</v>
      </c>
      <c r="B178" s="29" t="s">
        <v>325</v>
      </c>
      <c r="C178" s="29" t="s">
        <v>52</v>
      </c>
      <c r="D178" s="29" t="s">
        <v>70</v>
      </c>
      <c r="E178" s="29" t="s">
        <v>72</v>
      </c>
      <c r="F178" s="29" t="s">
        <v>316</v>
      </c>
      <c r="G178" s="30" t="s">
        <v>312</v>
      </c>
      <c r="H178" s="31"/>
      <c r="I178" s="31">
        <v>478496.29</v>
      </c>
      <c r="J178" s="32" t="str">
        <f t="shared" si="59"/>
        <v/>
      </c>
      <c r="K178" s="31"/>
      <c r="L178" s="31">
        <v>369749.4</v>
      </c>
      <c r="M178" s="32" t="str">
        <f t="shared" si="60"/>
        <v/>
      </c>
      <c r="N178" s="31"/>
      <c r="O178" s="31">
        <v>653394.54</v>
      </c>
      <c r="P178" s="32" t="str">
        <f t="shared" si="61"/>
        <v/>
      </c>
      <c r="Q178" s="31"/>
      <c r="R178" s="31">
        <v>620730.5</v>
      </c>
      <c r="S178" s="32" t="str">
        <f t="shared" si="62"/>
        <v/>
      </c>
      <c r="T178" s="31"/>
      <c r="U178" s="31">
        <v>730820.45</v>
      </c>
      <c r="V178" s="32" t="str">
        <f t="shared" si="63"/>
        <v/>
      </c>
      <c r="W178" s="31"/>
      <c r="X178" s="31">
        <v>765800.63</v>
      </c>
      <c r="Y178" s="32" t="str">
        <f t="shared" si="64"/>
        <v/>
      </c>
      <c r="Z178" s="31" t="str">
        <f t="shared" si="51"/>
        <v/>
      </c>
      <c r="AA178" s="31">
        <f t="shared" si="52"/>
        <v>3618991.8099999996</v>
      </c>
      <c r="AB178" s="32" t="str">
        <f t="shared" si="65"/>
        <v/>
      </c>
      <c r="AC178" s="31"/>
      <c r="AD178" s="31"/>
      <c r="AE178" s="32" t="str">
        <f t="shared" si="53"/>
        <v/>
      </c>
      <c r="AF178" s="32" t="s">
        <v>313</v>
      </c>
      <c r="AG178" s="31"/>
      <c r="AH178" s="31"/>
      <c r="AI178" s="32" t="str">
        <f t="shared" si="54"/>
        <v/>
      </c>
      <c r="AJ178" s="32" t="s">
        <v>313</v>
      </c>
      <c r="AK178" s="31"/>
      <c r="AL178" s="31"/>
      <c r="AM178" s="32" t="str">
        <f t="shared" si="55"/>
        <v/>
      </c>
      <c r="AN178" s="32" t="s">
        <v>313</v>
      </c>
      <c r="AO178" s="31"/>
      <c r="AP178" s="31"/>
      <c r="AQ178" s="32" t="str">
        <f t="shared" si="56"/>
        <v/>
      </c>
      <c r="AR178" s="32" t="s">
        <v>313</v>
      </c>
      <c r="AS178" s="31"/>
      <c r="AT178" s="31"/>
      <c r="AU178" s="32" t="str">
        <f t="shared" si="57"/>
        <v/>
      </c>
      <c r="AV178" s="32" t="s">
        <v>313</v>
      </c>
      <c r="AW178" s="31"/>
      <c r="AX178" s="31"/>
      <c r="AY178" s="32" t="str">
        <f t="shared" si="58"/>
        <v/>
      </c>
      <c r="AZ178" s="32" t="s">
        <v>313</v>
      </c>
    </row>
    <row r="179" spans="1:52" ht="34" customHeight="1">
      <c r="A179" s="28" t="s">
        <v>231</v>
      </c>
      <c r="B179" s="29" t="s">
        <v>325</v>
      </c>
      <c r="C179" s="29" t="s">
        <v>52</v>
      </c>
      <c r="D179" s="29" t="s">
        <v>74</v>
      </c>
      <c r="E179" s="29" t="s">
        <v>75</v>
      </c>
      <c r="F179" s="29" t="s">
        <v>139</v>
      </c>
      <c r="G179" s="30" t="s">
        <v>312</v>
      </c>
      <c r="H179" s="31">
        <v>20389.099999999999</v>
      </c>
      <c r="I179" s="31">
        <v>478496.29</v>
      </c>
      <c r="J179" s="32">
        <f t="shared" si="59"/>
        <v>4.2610779699044268E-2</v>
      </c>
      <c r="K179" s="31">
        <v>18869.3</v>
      </c>
      <c r="L179" s="31">
        <v>369749.4</v>
      </c>
      <c r="M179" s="32">
        <f t="shared" si="60"/>
        <v>5.103267239919794E-2</v>
      </c>
      <c r="N179" s="31">
        <v>29303.7</v>
      </c>
      <c r="O179" s="31">
        <v>653394.54</v>
      </c>
      <c r="P179" s="32">
        <f t="shared" si="61"/>
        <v>4.4848400477910326E-2</v>
      </c>
      <c r="Q179" s="31">
        <v>28666.48</v>
      </c>
      <c r="R179" s="31">
        <v>620730.5</v>
      </c>
      <c r="S179" s="32">
        <f t="shared" si="62"/>
        <v>4.6181845422449838E-2</v>
      </c>
      <c r="T179" s="31">
        <v>31845.5</v>
      </c>
      <c r="U179" s="31">
        <v>730820.45</v>
      </c>
      <c r="V179" s="32">
        <f t="shared" si="63"/>
        <v>4.3574998482869498E-2</v>
      </c>
      <c r="W179" s="31">
        <v>34037.4</v>
      </c>
      <c r="X179" s="31">
        <v>765800.63</v>
      </c>
      <c r="Y179" s="32">
        <f t="shared" si="64"/>
        <v>4.4446816399197793E-2</v>
      </c>
      <c r="Z179" s="31">
        <f t="shared" si="51"/>
        <v>163111.47999999998</v>
      </c>
      <c r="AA179" s="31">
        <f t="shared" si="52"/>
        <v>3618991.8099999996</v>
      </c>
      <c r="AB179" s="32">
        <f t="shared" si="65"/>
        <v>4.5070972404328266E-2</v>
      </c>
      <c r="AC179" s="31"/>
      <c r="AD179" s="31"/>
      <c r="AE179" s="32" t="str">
        <f t="shared" si="53"/>
        <v/>
      </c>
      <c r="AF179" s="32" t="s">
        <v>313</v>
      </c>
      <c r="AG179" s="31"/>
      <c r="AH179" s="31"/>
      <c r="AI179" s="32" t="str">
        <f t="shared" si="54"/>
        <v/>
      </c>
      <c r="AJ179" s="32" t="s">
        <v>313</v>
      </c>
      <c r="AK179" s="31"/>
      <c r="AL179" s="31"/>
      <c r="AM179" s="32" t="str">
        <f t="shared" si="55"/>
        <v/>
      </c>
      <c r="AN179" s="32" t="s">
        <v>313</v>
      </c>
      <c r="AO179" s="31"/>
      <c r="AP179" s="31"/>
      <c r="AQ179" s="32" t="str">
        <f t="shared" si="56"/>
        <v/>
      </c>
      <c r="AR179" s="32" t="s">
        <v>313</v>
      </c>
      <c r="AS179" s="31"/>
      <c r="AT179" s="31"/>
      <c r="AU179" s="32" t="str">
        <f t="shared" si="57"/>
        <v/>
      </c>
      <c r="AV179" s="32" t="s">
        <v>313</v>
      </c>
      <c r="AW179" s="31"/>
      <c r="AX179" s="31"/>
      <c r="AY179" s="32" t="str">
        <f t="shared" si="58"/>
        <v/>
      </c>
      <c r="AZ179" s="32" t="s">
        <v>313</v>
      </c>
    </row>
    <row r="180" spans="1:52" ht="34" customHeight="1">
      <c r="A180" s="28" t="s">
        <v>231</v>
      </c>
      <c r="B180" s="29" t="s">
        <v>325</v>
      </c>
      <c r="C180" s="29" t="s">
        <v>52</v>
      </c>
      <c r="D180" s="29" t="s">
        <v>74</v>
      </c>
      <c r="E180" s="29" t="s">
        <v>76</v>
      </c>
      <c r="F180" s="29" t="s">
        <v>141</v>
      </c>
      <c r="G180" s="30" t="s">
        <v>312</v>
      </c>
      <c r="H180" s="31">
        <v>9839.89</v>
      </c>
      <c r="I180" s="31">
        <v>478496.29</v>
      </c>
      <c r="J180" s="32">
        <f t="shared" si="59"/>
        <v>2.0564192880157962E-2</v>
      </c>
      <c r="K180" s="31">
        <v>7007.1497826998902</v>
      </c>
      <c r="L180" s="31">
        <v>369749.4</v>
      </c>
      <c r="M180" s="32">
        <f t="shared" si="60"/>
        <v>1.895107816997104E-2</v>
      </c>
      <c r="N180" s="31">
        <v>11910.34</v>
      </c>
      <c r="O180" s="31">
        <v>653394.54</v>
      </c>
      <c r="P180" s="32">
        <f t="shared" si="61"/>
        <v>1.8228404540999072E-2</v>
      </c>
      <c r="Q180" s="31">
        <v>11452.57</v>
      </c>
      <c r="R180" s="31">
        <v>620730.5</v>
      </c>
      <c r="S180" s="32">
        <f t="shared" si="62"/>
        <v>1.8450148655495421E-2</v>
      </c>
      <c r="T180" s="31">
        <v>12583.6</v>
      </c>
      <c r="U180" s="31">
        <v>730820.45</v>
      </c>
      <c r="V180" s="32">
        <f t="shared" si="63"/>
        <v>1.7218456325353241E-2</v>
      </c>
      <c r="W180" s="31">
        <v>13040.63</v>
      </c>
      <c r="X180" s="31">
        <v>765800.63</v>
      </c>
      <c r="Y180" s="32">
        <f t="shared" si="64"/>
        <v>1.7028753293138448E-2</v>
      </c>
      <c r="Z180" s="31">
        <f t="shared" si="51"/>
        <v>65834.179782699881</v>
      </c>
      <c r="AA180" s="31">
        <f t="shared" si="52"/>
        <v>3618991.8099999996</v>
      </c>
      <c r="AB180" s="32">
        <f t="shared" si="65"/>
        <v>1.8191303887670277E-2</v>
      </c>
      <c r="AC180" s="31"/>
      <c r="AD180" s="31"/>
      <c r="AE180" s="32" t="str">
        <f t="shared" si="53"/>
        <v/>
      </c>
      <c r="AF180" s="32" t="s">
        <v>313</v>
      </c>
      <c r="AG180" s="31"/>
      <c r="AH180" s="31"/>
      <c r="AI180" s="32" t="str">
        <f t="shared" si="54"/>
        <v/>
      </c>
      <c r="AJ180" s="32" t="s">
        <v>313</v>
      </c>
      <c r="AK180" s="31"/>
      <c r="AL180" s="31"/>
      <c r="AM180" s="32" t="str">
        <f t="shared" si="55"/>
        <v/>
      </c>
      <c r="AN180" s="32" t="s">
        <v>313</v>
      </c>
      <c r="AO180" s="31"/>
      <c r="AP180" s="31"/>
      <c r="AQ180" s="32" t="str">
        <f t="shared" si="56"/>
        <v/>
      </c>
      <c r="AR180" s="32" t="s">
        <v>313</v>
      </c>
      <c r="AS180" s="31"/>
      <c r="AT180" s="31"/>
      <c r="AU180" s="32" t="str">
        <f t="shared" si="57"/>
        <v/>
      </c>
      <c r="AV180" s="32" t="s">
        <v>313</v>
      </c>
      <c r="AW180" s="31"/>
      <c r="AX180" s="31"/>
      <c r="AY180" s="32" t="str">
        <f t="shared" si="58"/>
        <v/>
      </c>
      <c r="AZ180" s="32" t="s">
        <v>313</v>
      </c>
    </row>
    <row r="181" spans="1:52" ht="34" customHeight="1">
      <c r="A181" s="28" t="s">
        <v>231</v>
      </c>
      <c r="B181" s="29" t="s">
        <v>325</v>
      </c>
      <c r="C181" s="29" t="s">
        <v>52</v>
      </c>
      <c r="D181" s="29" t="s">
        <v>74</v>
      </c>
      <c r="E181" s="29" t="s">
        <v>77</v>
      </c>
      <c r="F181" s="29" t="s">
        <v>316</v>
      </c>
      <c r="G181" s="30" t="s">
        <v>312</v>
      </c>
      <c r="H181" s="31"/>
      <c r="I181" s="31">
        <v>478496.29</v>
      </c>
      <c r="J181" s="32" t="str">
        <f t="shared" si="59"/>
        <v/>
      </c>
      <c r="K181" s="31"/>
      <c r="L181" s="31">
        <v>369749.4</v>
      </c>
      <c r="M181" s="32" t="str">
        <f t="shared" si="60"/>
        <v/>
      </c>
      <c r="N181" s="31"/>
      <c r="O181" s="31">
        <v>653394.54</v>
      </c>
      <c r="P181" s="32" t="str">
        <f t="shared" si="61"/>
        <v/>
      </c>
      <c r="Q181" s="31"/>
      <c r="R181" s="31">
        <v>620730.5</v>
      </c>
      <c r="S181" s="32" t="str">
        <f t="shared" si="62"/>
        <v/>
      </c>
      <c r="T181" s="31"/>
      <c r="U181" s="31">
        <v>730820.45</v>
      </c>
      <c r="V181" s="32" t="str">
        <f t="shared" si="63"/>
        <v/>
      </c>
      <c r="W181" s="31"/>
      <c r="X181" s="31">
        <v>765800.63</v>
      </c>
      <c r="Y181" s="32" t="str">
        <f t="shared" si="64"/>
        <v/>
      </c>
      <c r="Z181" s="31" t="str">
        <f t="shared" si="51"/>
        <v/>
      </c>
      <c r="AA181" s="31">
        <f t="shared" si="52"/>
        <v>3618991.8099999996</v>
      </c>
      <c r="AB181" s="32" t="str">
        <f t="shared" si="65"/>
        <v/>
      </c>
      <c r="AC181" s="31"/>
      <c r="AD181" s="31"/>
      <c r="AE181" s="32" t="str">
        <f t="shared" si="53"/>
        <v/>
      </c>
      <c r="AF181" s="32" t="s">
        <v>313</v>
      </c>
      <c r="AG181" s="31"/>
      <c r="AH181" s="31"/>
      <c r="AI181" s="32" t="str">
        <f t="shared" si="54"/>
        <v/>
      </c>
      <c r="AJ181" s="32" t="s">
        <v>313</v>
      </c>
      <c r="AK181" s="31"/>
      <c r="AL181" s="31"/>
      <c r="AM181" s="32" t="str">
        <f t="shared" si="55"/>
        <v/>
      </c>
      <c r="AN181" s="32" t="s">
        <v>313</v>
      </c>
      <c r="AO181" s="31"/>
      <c r="AP181" s="31"/>
      <c r="AQ181" s="32" t="str">
        <f t="shared" si="56"/>
        <v/>
      </c>
      <c r="AR181" s="32" t="s">
        <v>313</v>
      </c>
      <c r="AS181" s="31"/>
      <c r="AT181" s="31"/>
      <c r="AU181" s="32" t="str">
        <f t="shared" si="57"/>
        <v/>
      </c>
      <c r="AV181" s="32" t="s">
        <v>313</v>
      </c>
      <c r="AW181" s="31"/>
      <c r="AX181" s="31"/>
      <c r="AY181" s="32" t="str">
        <f t="shared" si="58"/>
        <v/>
      </c>
      <c r="AZ181" s="32" t="s">
        <v>313</v>
      </c>
    </row>
    <row r="182" spans="1:52" ht="34" customHeight="1">
      <c r="A182" s="28" t="s">
        <v>231</v>
      </c>
      <c r="B182" s="29" t="s">
        <v>325</v>
      </c>
      <c r="C182" s="29" t="s">
        <v>52</v>
      </c>
      <c r="D182" s="29" t="s">
        <v>74</v>
      </c>
      <c r="E182" s="29" t="s">
        <v>78</v>
      </c>
      <c r="F182" s="29" t="s">
        <v>144</v>
      </c>
      <c r="G182" s="30" t="s">
        <v>312</v>
      </c>
      <c r="H182" s="31">
        <v>0</v>
      </c>
      <c r="I182" s="31">
        <v>478496.29</v>
      </c>
      <c r="J182" s="32">
        <f t="shared" si="59"/>
        <v>0</v>
      </c>
      <c r="K182" s="31">
        <v>0</v>
      </c>
      <c r="L182" s="31">
        <v>369749.4</v>
      </c>
      <c r="M182" s="32">
        <f t="shared" si="60"/>
        <v>0</v>
      </c>
      <c r="N182" s="31">
        <v>0</v>
      </c>
      <c r="O182" s="31">
        <v>653394.54</v>
      </c>
      <c r="P182" s="32">
        <f t="shared" si="61"/>
        <v>0</v>
      </c>
      <c r="Q182" s="31">
        <v>0</v>
      </c>
      <c r="R182" s="31">
        <v>620730.5</v>
      </c>
      <c r="S182" s="32">
        <f t="shared" si="62"/>
        <v>0</v>
      </c>
      <c r="T182" s="31">
        <v>0</v>
      </c>
      <c r="U182" s="31">
        <v>730820.45</v>
      </c>
      <c r="V182" s="32">
        <f t="shared" si="63"/>
        <v>0</v>
      </c>
      <c r="W182" s="31">
        <v>0</v>
      </c>
      <c r="X182" s="31">
        <v>765800.63</v>
      </c>
      <c r="Y182" s="32">
        <f t="shared" si="64"/>
        <v>0</v>
      </c>
      <c r="Z182" s="31">
        <f t="shared" si="51"/>
        <v>0</v>
      </c>
      <c r="AA182" s="31">
        <f t="shared" si="52"/>
        <v>3618991.8099999996</v>
      </c>
      <c r="AB182" s="32">
        <f t="shared" si="65"/>
        <v>0</v>
      </c>
      <c r="AC182" s="31"/>
      <c r="AD182" s="31"/>
      <c r="AE182" s="32" t="str">
        <f t="shared" si="53"/>
        <v/>
      </c>
      <c r="AF182" s="32" t="s">
        <v>313</v>
      </c>
      <c r="AG182" s="31"/>
      <c r="AH182" s="31"/>
      <c r="AI182" s="32" t="str">
        <f t="shared" si="54"/>
        <v/>
      </c>
      <c r="AJ182" s="32" t="s">
        <v>313</v>
      </c>
      <c r="AK182" s="31"/>
      <c r="AL182" s="31"/>
      <c r="AM182" s="32" t="str">
        <f t="shared" si="55"/>
        <v/>
      </c>
      <c r="AN182" s="32" t="s">
        <v>313</v>
      </c>
      <c r="AO182" s="31"/>
      <c r="AP182" s="31"/>
      <c r="AQ182" s="32" t="str">
        <f t="shared" si="56"/>
        <v/>
      </c>
      <c r="AR182" s="32" t="s">
        <v>313</v>
      </c>
      <c r="AS182" s="31"/>
      <c r="AT182" s="31"/>
      <c r="AU182" s="32" t="str">
        <f t="shared" si="57"/>
        <v/>
      </c>
      <c r="AV182" s="32" t="s">
        <v>313</v>
      </c>
      <c r="AW182" s="31"/>
      <c r="AX182" s="31"/>
      <c r="AY182" s="32" t="str">
        <f t="shared" si="58"/>
        <v/>
      </c>
      <c r="AZ182" s="32" t="s">
        <v>313</v>
      </c>
    </row>
    <row r="183" spans="1:52" ht="34" customHeight="1">
      <c r="A183" s="28" t="s">
        <v>231</v>
      </c>
      <c r="B183" s="29" t="s">
        <v>325</v>
      </c>
      <c r="C183" s="29" t="s">
        <v>52</v>
      </c>
      <c r="D183" s="29" t="s">
        <v>79</v>
      </c>
      <c r="E183" s="29" t="s">
        <v>80</v>
      </c>
      <c r="F183" s="29" t="s">
        <v>318</v>
      </c>
      <c r="G183" s="30" t="s">
        <v>312</v>
      </c>
      <c r="H183" s="31">
        <v>-5.2386894822120698E-10</v>
      </c>
      <c r="I183" s="31">
        <v>478496.29</v>
      </c>
      <c r="J183" s="32">
        <f t="shared" si="59"/>
        <v>-1.0948234274109148E-15</v>
      </c>
      <c r="K183" s="31">
        <v>-4.9476511776447296E-10</v>
      </c>
      <c r="L183" s="31">
        <v>369749.4</v>
      </c>
      <c r="M183" s="32">
        <f t="shared" si="60"/>
        <v>-1.3381093188101805E-15</v>
      </c>
      <c r="N183" s="31">
        <v>0</v>
      </c>
      <c r="O183" s="31">
        <v>653394.54</v>
      </c>
      <c r="P183" s="32">
        <f t="shared" si="61"/>
        <v>0</v>
      </c>
      <c r="Q183" s="31">
        <v>0</v>
      </c>
      <c r="R183" s="31">
        <v>620730.5</v>
      </c>
      <c r="S183" s="32">
        <f t="shared" si="62"/>
        <v>0</v>
      </c>
      <c r="T183" s="31">
        <v>0</v>
      </c>
      <c r="U183" s="31">
        <v>730820.45</v>
      </c>
      <c r="V183" s="32">
        <f t="shared" si="63"/>
        <v>0</v>
      </c>
      <c r="W183" s="31">
        <v>0</v>
      </c>
      <c r="X183" s="31">
        <v>765800.63</v>
      </c>
      <c r="Y183" s="32">
        <f t="shared" si="64"/>
        <v>0</v>
      </c>
      <c r="Z183" s="31">
        <f t="shared" si="51"/>
        <v>-1.01863406598568E-9</v>
      </c>
      <c r="AA183" s="31">
        <f t="shared" si="52"/>
        <v>3618991.8099999996</v>
      </c>
      <c r="AB183" s="32">
        <f t="shared" si="65"/>
        <v>-2.8146901663910652E-16</v>
      </c>
      <c r="AC183" s="31"/>
      <c r="AD183" s="31"/>
      <c r="AE183" s="32" t="str">
        <f t="shared" si="53"/>
        <v/>
      </c>
      <c r="AF183" s="32" t="s">
        <v>313</v>
      </c>
      <c r="AG183" s="31"/>
      <c r="AH183" s="31"/>
      <c r="AI183" s="32" t="str">
        <f t="shared" si="54"/>
        <v/>
      </c>
      <c r="AJ183" s="32" t="s">
        <v>313</v>
      </c>
      <c r="AK183" s="31"/>
      <c r="AL183" s="31"/>
      <c r="AM183" s="32" t="str">
        <f t="shared" si="55"/>
        <v/>
      </c>
      <c r="AN183" s="32" t="s">
        <v>313</v>
      </c>
      <c r="AO183" s="31"/>
      <c r="AP183" s="31"/>
      <c r="AQ183" s="32" t="str">
        <f t="shared" si="56"/>
        <v/>
      </c>
      <c r="AR183" s="32" t="s">
        <v>313</v>
      </c>
      <c r="AS183" s="31"/>
      <c r="AT183" s="31"/>
      <c r="AU183" s="32" t="str">
        <f t="shared" si="57"/>
        <v/>
      </c>
      <c r="AV183" s="32" t="s">
        <v>313</v>
      </c>
      <c r="AW183" s="31"/>
      <c r="AX183" s="31"/>
      <c r="AY183" s="32" t="str">
        <f t="shared" si="58"/>
        <v/>
      </c>
      <c r="AZ183" s="32" t="s">
        <v>313</v>
      </c>
    </row>
    <row r="184" spans="1:52" ht="34" customHeight="1">
      <c r="A184" s="28" t="s">
        <v>231</v>
      </c>
      <c r="B184" s="29" t="s">
        <v>325</v>
      </c>
      <c r="C184" s="29" t="s">
        <v>52</v>
      </c>
      <c r="D184" s="29" t="s">
        <v>79</v>
      </c>
      <c r="E184" s="29" t="s">
        <v>81</v>
      </c>
      <c r="F184" s="29" t="s">
        <v>316</v>
      </c>
      <c r="G184" s="30" t="s">
        <v>312</v>
      </c>
      <c r="H184" s="31"/>
      <c r="I184" s="31">
        <v>478496.29</v>
      </c>
      <c r="J184" s="32" t="str">
        <f t="shared" si="59"/>
        <v/>
      </c>
      <c r="K184" s="31"/>
      <c r="L184" s="31">
        <v>369749.4</v>
      </c>
      <c r="M184" s="32" t="str">
        <f t="shared" si="60"/>
        <v/>
      </c>
      <c r="N184" s="31"/>
      <c r="O184" s="31">
        <v>653394.54</v>
      </c>
      <c r="P184" s="32" t="str">
        <f t="shared" si="61"/>
        <v/>
      </c>
      <c r="Q184" s="31"/>
      <c r="R184" s="31">
        <v>620730.5</v>
      </c>
      <c r="S184" s="32" t="str">
        <f t="shared" si="62"/>
        <v/>
      </c>
      <c r="T184" s="31"/>
      <c r="U184" s="31">
        <v>730820.45</v>
      </c>
      <c r="V184" s="32" t="str">
        <f t="shared" si="63"/>
        <v/>
      </c>
      <c r="W184" s="31"/>
      <c r="X184" s="31">
        <v>765800.63</v>
      </c>
      <c r="Y184" s="32" t="str">
        <f t="shared" si="64"/>
        <v/>
      </c>
      <c r="Z184" s="31" t="str">
        <f t="shared" si="51"/>
        <v/>
      </c>
      <c r="AA184" s="31">
        <f t="shared" si="52"/>
        <v>3618991.8099999996</v>
      </c>
      <c r="AB184" s="32" t="str">
        <f t="shared" si="65"/>
        <v/>
      </c>
      <c r="AC184" s="31"/>
      <c r="AD184" s="31"/>
      <c r="AE184" s="32" t="str">
        <f t="shared" si="53"/>
        <v/>
      </c>
      <c r="AF184" s="32" t="s">
        <v>313</v>
      </c>
      <c r="AG184" s="31"/>
      <c r="AH184" s="31"/>
      <c r="AI184" s="32" t="str">
        <f t="shared" si="54"/>
        <v/>
      </c>
      <c r="AJ184" s="32" t="s">
        <v>313</v>
      </c>
      <c r="AK184" s="31"/>
      <c r="AL184" s="31"/>
      <c r="AM184" s="32" t="str">
        <f t="shared" si="55"/>
        <v/>
      </c>
      <c r="AN184" s="32" t="s">
        <v>313</v>
      </c>
      <c r="AO184" s="31"/>
      <c r="AP184" s="31"/>
      <c r="AQ184" s="32" t="str">
        <f t="shared" si="56"/>
        <v/>
      </c>
      <c r="AR184" s="32" t="s">
        <v>313</v>
      </c>
      <c r="AS184" s="31"/>
      <c r="AT184" s="31"/>
      <c r="AU184" s="32" t="str">
        <f t="shared" si="57"/>
        <v/>
      </c>
      <c r="AV184" s="32" t="s">
        <v>313</v>
      </c>
      <c r="AW184" s="31"/>
      <c r="AX184" s="31"/>
      <c r="AY184" s="32" t="str">
        <f t="shared" si="58"/>
        <v/>
      </c>
      <c r="AZ184" s="32" t="s">
        <v>313</v>
      </c>
    </row>
    <row r="185" spans="1:52" ht="34" customHeight="1">
      <c r="A185" s="28" t="s">
        <v>231</v>
      </c>
      <c r="B185" s="29" t="s">
        <v>325</v>
      </c>
      <c r="C185" s="29" t="s">
        <v>52</v>
      </c>
      <c r="D185" s="29" t="s">
        <v>79</v>
      </c>
      <c r="E185" s="29" t="s">
        <v>82</v>
      </c>
      <c r="F185" s="29" t="s">
        <v>316</v>
      </c>
      <c r="G185" s="30" t="s">
        <v>312</v>
      </c>
      <c r="H185" s="31"/>
      <c r="I185" s="31">
        <v>478496.29</v>
      </c>
      <c r="J185" s="32" t="str">
        <f t="shared" si="59"/>
        <v/>
      </c>
      <c r="K185" s="31"/>
      <c r="L185" s="31">
        <v>369749.4</v>
      </c>
      <c r="M185" s="32" t="str">
        <f t="shared" si="60"/>
        <v/>
      </c>
      <c r="N185" s="31"/>
      <c r="O185" s="31">
        <v>653394.54</v>
      </c>
      <c r="P185" s="32" t="str">
        <f t="shared" si="61"/>
        <v/>
      </c>
      <c r="Q185" s="31"/>
      <c r="R185" s="31">
        <v>620730.5</v>
      </c>
      <c r="S185" s="32" t="str">
        <f t="shared" si="62"/>
        <v/>
      </c>
      <c r="T185" s="31"/>
      <c r="U185" s="31">
        <v>730820.45</v>
      </c>
      <c r="V185" s="32" t="str">
        <f t="shared" si="63"/>
        <v/>
      </c>
      <c r="W185" s="31"/>
      <c r="X185" s="31">
        <v>765800.63</v>
      </c>
      <c r="Y185" s="32" t="str">
        <f t="shared" si="64"/>
        <v/>
      </c>
      <c r="Z185" s="31" t="str">
        <f t="shared" si="51"/>
        <v/>
      </c>
      <c r="AA185" s="31">
        <f t="shared" si="52"/>
        <v>3618991.8099999996</v>
      </c>
      <c r="AB185" s="32" t="str">
        <f t="shared" si="65"/>
        <v/>
      </c>
      <c r="AC185" s="31"/>
      <c r="AD185" s="31"/>
      <c r="AE185" s="32" t="str">
        <f t="shared" si="53"/>
        <v/>
      </c>
      <c r="AF185" s="32" t="s">
        <v>313</v>
      </c>
      <c r="AG185" s="31"/>
      <c r="AH185" s="31"/>
      <c r="AI185" s="32" t="str">
        <f t="shared" si="54"/>
        <v/>
      </c>
      <c r="AJ185" s="32" t="s">
        <v>313</v>
      </c>
      <c r="AK185" s="31"/>
      <c r="AL185" s="31"/>
      <c r="AM185" s="32" t="str">
        <f t="shared" si="55"/>
        <v/>
      </c>
      <c r="AN185" s="32" t="s">
        <v>313</v>
      </c>
      <c r="AO185" s="31"/>
      <c r="AP185" s="31"/>
      <c r="AQ185" s="32" t="str">
        <f t="shared" si="56"/>
        <v/>
      </c>
      <c r="AR185" s="32" t="s">
        <v>313</v>
      </c>
      <c r="AS185" s="31"/>
      <c r="AT185" s="31"/>
      <c r="AU185" s="32" t="str">
        <f t="shared" si="57"/>
        <v/>
      </c>
      <c r="AV185" s="32" t="s">
        <v>313</v>
      </c>
      <c r="AW185" s="31"/>
      <c r="AX185" s="31"/>
      <c r="AY185" s="32" t="str">
        <f t="shared" si="58"/>
        <v/>
      </c>
      <c r="AZ185" s="32" t="s">
        <v>313</v>
      </c>
    </row>
    <row r="186" spans="1:52" ht="34" customHeight="1">
      <c r="A186" s="28" t="s">
        <v>231</v>
      </c>
      <c r="B186" s="29" t="s">
        <v>325</v>
      </c>
      <c r="C186" s="29" t="s">
        <v>85</v>
      </c>
      <c r="D186" s="29" t="s">
        <v>79</v>
      </c>
      <c r="E186" s="29" t="s">
        <v>80</v>
      </c>
      <c r="F186" s="29" t="s">
        <v>316</v>
      </c>
      <c r="G186" s="30" t="s">
        <v>312</v>
      </c>
      <c r="H186" s="31"/>
      <c r="I186" s="31">
        <v>478496.29</v>
      </c>
      <c r="J186" s="32" t="str">
        <f t="shared" si="59"/>
        <v/>
      </c>
      <c r="K186" s="31"/>
      <c r="L186" s="31">
        <v>369749.4</v>
      </c>
      <c r="M186" s="32" t="str">
        <f t="shared" si="60"/>
        <v/>
      </c>
      <c r="N186" s="31"/>
      <c r="O186" s="31">
        <v>653394.54</v>
      </c>
      <c r="P186" s="32" t="str">
        <f t="shared" si="61"/>
        <v/>
      </c>
      <c r="Q186" s="31"/>
      <c r="R186" s="31">
        <v>620730.5</v>
      </c>
      <c r="S186" s="32" t="str">
        <f t="shared" si="62"/>
        <v/>
      </c>
      <c r="T186" s="31"/>
      <c r="U186" s="31">
        <v>730820.45</v>
      </c>
      <c r="V186" s="32" t="str">
        <f t="shared" si="63"/>
        <v/>
      </c>
      <c r="W186" s="31"/>
      <c r="X186" s="31">
        <v>765800.63</v>
      </c>
      <c r="Y186" s="32" t="str">
        <f t="shared" si="64"/>
        <v/>
      </c>
      <c r="Z186" s="31" t="str">
        <f t="shared" si="51"/>
        <v/>
      </c>
      <c r="AA186" s="31">
        <f t="shared" si="52"/>
        <v>3618991.8099999996</v>
      </c>
      <c r="AB186" s="32" t="str">
        <f t="shared" si="65"/>
        <v/>
      </c>
      <c r="AC186" s="31"/>
      <c r="AD186" s="31"/>
      <c r="AE186" s="32" t="str">
        <f t="shared" si="53"/>
        <v/>
      </c>
      <c r="AF186" s="32" t="s">
        <v>313</v>
      </c>
      <c r="AG186" s="31"/>
      <c r="AH186" s="31"/>
      <c r="AI186" s="32" t="str">
        <f t="shared" si="54"/>
        <v/>
      </c>
      <c r="AJ186" s="32" t="s">
        <v>313</v>
      </c>
      <c r="AK186" s="31"/>
      <c r="AL186" s="31"/>
      <c r="AM186" s="32" t="str">
        <f t="shared" si="55"/>
        <v/>
      </c>
      <c r="AN186" s="32" t="s">
        <v>313</v>
      </c>
      <c r="AO186" s="31"/>
      <c r="AP186" s="31"/>
      <c r="AQ186" s="32" t="str">
        <f t="shared" si="56"/>
        <v/>
      </c>
      <c r="AR186" s="32" t="s">
        <v>313</v>
      </c>
      <c r="AS186" s="31"/>
      <c r="AT186" s="31"/>
      <c r="AU186" s="32" t="str">
        <f t="shared" si="57"/>
        <v/>
      </c>
      <c r="AV186" s="32" t="s">
        <v>313</v>
      </c>
      <c r="AW186" s="31"/>
      <c r="AX186" s="31"/>
      <c r="AY186" s="32" t="str">
        <f t="shared" si="58"/>
        <v/>
      </c>
      <c r="AZ186" s="32" t="s">
        <v>313</v>
      </c>
    </row>
    <row r="187" spans="1:52" ht="34" customHeight="1">
      <c r="A187" s="28" t="s">
        <v>231</v>
      </c>
      <c r="B187" s="29" t="s">
        <v>325</v>
      </c>
      <c r="C187" s="29" t="s">
        <v>85</v>
      </c>
      <c r="D187" s="29" t="s">
        <v>79</v>
      </c>
      <c r="E187" s="29" t="s">
        <v>81</v>
      </c>
      <c r="F187" s="29" t="s">
        <v>316</v>
      </c>
      <c r="G187" s="30" t="s">
        <v>312</v>
      </c>
      <c r="H187" s="31"/>
      <c r="I187" s="31">
        <v>478496.29</v>
      </c>
      <c r="J187" s="32" t="str">
        <f t="shared" si="59"/>
        <v/>
      </c>
      <c r="K187" s="31"/>
      <c r="L187" s="31">
        <v>369749.4</v>
      </c>
      <c r="M187" s="32" t="str">
        <f t="shared" si="60"/>
        <v/>
      </c>
      <c r="N187" s="31"/>
      <c r="O187" s="31">
        <v>653394.54</v>
      </c>
      <c r="P187" s="32" t="str">
        <f t="shared" si="61"/>
        <v/>
      </c>
      <c r="Q187" s="31"/>
      <c r="R187" s="31">
        <v>620730.5</v>
      </c>
      <c r="S187" s="32" t="str">
        <f t="shared" si="62"/>
        <v/>
      </c>
      <c r="T187" s="31"/>
      <c r="U187" s="31">
        <v>730820.45</v>
      </c>
      <c r="V187" s="32" t="str">
        <f t="shared" si="63"/>
        <v/>
      </c>
      <c r="W187" s="31"/>
      <c r="X187" s="31">
        <v>765800.63</v>
      </c>
      <c r="Y187" s="32" t="str">
        <f t="shared" si="64"/>
        <v/>
      </c>
      <c r="Z187" s="31" t="str">
        <f t="shared" si="51"/>
        <v/>
      </c>
      <c r="AA187" s="31">
        <f t="shared" si="52"/>
        <v>3618991.8099999996</v>
      </c>
      <c r="AB187" s="32" t="str">
        <f t="shared" si="65"/>
        <v/>
      </c>
      <c r="AC187" s="31"/>
      <c r="AD187" s="31"/>
      <c r="AE187" s="32" t="str">
        <f t="shared" si="53"/>
        <v/>
      </c>
      <c r="AF187" s="32" t="s">
        <v>313</v>
      </c>
      <c r="AG187" s="31"/>
      <c r="AH187" s="31"/>
      <c r="AI187" s="32" t="str">
        <f t="shared" si="54"/>
        <v/>
      </c>
      <c r="AJ187" s="32" t="s">
        <v>313</v>
      </c>
      <c r="AK187" s="31"/>
      <c r="AL187" s="31"/>
      <c r="AM187" s="32" t="str">
        <f t="shared" si="55"/>
        <v/>
      </c>
      <c r="AN187" s="32" t="s">
        <v>313</v>
      </c>
      <c r="AO187" s="31"/>
      <c r="AP187" s="31"/>
      <c r="AQ187" s="32" t="str">
        <f t="shared" si="56"/>
        <v/>
      </c>
      <c r="AR187" s="32" t="s">
        <v>313</v>
      </c>
      <c r="AS187" s="31"/>
      <c r="AT187" s="31"/>
      <c r="AU187" s="32" t="str">
        <f t="shared" si="57"/>
        <v/>
      </c>
      <c r="AV187" s="32" t="s">
        <v>313</v>
      </c>
      <c r="AW187" s="31"/>
      <c r="AX187" s="31"/>
      <c r="AY187" s="32" t="str">
        <f t="shared" si="58"/>
        <v/>
      </c>
      <c r="AZ187" s="32" t="s">
        <v>313</v>
      </c>
    </row>
    <row r="188" spans="1:52" ht="34" customHeight="1">
      <c r="A188" s="28" t="s">
        <v>231</v>
      </c>
      <c r="B188" s="29" t="s">
        <v>325</v>
      </c>
      <c r="C188" s="29" t="s">
        <v>85</v>
      </c>
      <c r="D188" s="29" t="s">
        <v>79</v>
      </c>
      <c r="E188" s="29" t="s">
        <v>82</v>
      </c>
      <c r="F188" s="29" t="s">
        <v>319</v>
      </c>
      <c r="G188" s="30" t="s">
        <v>312</v>
      </c>
      <c r="H188" s="31">
        <v>0</v>
      </c>
      <c r="I188" s="31">
        <v>478496.29</v>
      </c>
      <c r="J188" s="32">
        <f t="shared" si="59"/>
        <v>0</v>
      </c>
      <c r="K188" s="31">
        <v>0</v>
      </c>
      <c r="L188" s="31">
        <v>369749.4</v>
      </c>
      <c r="M188" s="32">
        <f t="shared" si="60"/>
        <v>0</v>
      </c>
      <c r="N188" s="31">
        <v>0</v>
      </c>
      <c r="O188" s="31">
        <v>653394.54</v>
      </c>
      <c r="P188" s="32">
        <f t="shared" si="61"/>
        <v>0</v>
      </c>
      <c r="Q188" s="31">
        <v>0</v>
      </c>
      <c r="R188" s="31">
        <v>620730.5</v>
      </c>
      <c r="S188" s="32">
        <f t="shared" si="62"/>
        <v>0</v>
      </c>
      <c r="T188" s="31">
        <v>0</v>
      </c>
      <c r="U188" s="31">
        <v>730820.45</v>
      </c>
      <c r="V188" s="32">
        <f t="shared" si="63"/>
        <v>0</v>
      </c>
      <c r="W188" s="31">
        <v>0</v>
      </c>
      <c r="X188" s="31">
        <v>765800.63</v>
      </c>
      <c r="Y188" s="32">
        <f t="shared" si="64"/>
        <v>0</v>
      </c>
      <c r="Z188" s="31">
        <f t="shared" si="51"/>
        <v>0</v>
      </c>
      <c r="AA188" s="31">
        <f t="shared" si="52"/>
        <v>3618991.8099999996</v>
      </c>
      <c r="AB188" s="32">
        <f t="shared" si="65"/>
        <v>0</v>
      </c>
      <c r="AC188" s="31"/>
      <c r="AD188" s="31"/>
      <c r="AE188" s="32" t="str">
        <f t="shared" si="53"/>
        <v/>
      </c>
      <c r="AF188" s="32" t="s">
        <v>313</v>
      </c>
      <c r="AG188" s="31"/>
      <c r="AH188" s="31"/>
      <c r="AI188" s="32" t="str">
        <f t="shared" si="54"/>
        <v/>
      </c>
      <c r="AJ188" s="32" t="s">
        <v>313</v>
      </c>
      <c r="AK188" s="31"/>
      <c r="AL188" s="31"/>
      <c r="AM188" s="32" t="str">
        <f t="shared" si="55"/>
        <v/>
      </c>
      <c r="AN188" s="32" t="s">
        <v>313</v>
      </c>
      <c r="AO188" s="31"/>
      <c r="AP188" s="31"/>
      <c r="AQ188" s="32" t="str">
        <f t="shared" si="56"/>
        <v/>
      </c>
      <c r="AR188" s="32" t="s">
        <v>313</v>
      </c>
      <c r="AS188" s="31"/>
      <c r="AT188" s="31"/>
      <c r="AU188" s="32" t="str">
        <f t="shared" si="57"/>
        <v/>
      </c>
      <c r="AV188" s="32" t="s">
        <v>313</v>
      </c>
      <c r="AW188" s="31"/>
      <c r="AX188" s="31"/>
      <c r="AY188" s="32" t="str">
        <f t="shared" si="58"/>
        <v/>
      </c>
      <c r="AZ188" s="32" t="s">
        <v>313</v>
      </c>
    </row>
    <row r="189" spans="1:52" ht="34" customHeight="1">
      <c r="A189" s="28" t="s">
        <v>231</v>
      </c>
      <c r="B189" s="29" t="s">
        <v>325</v>
      </c>
      <c r="C189" s="29" t="s">
        <v>85</v>
      </c>
      <c r="D189" s="29" t="s">
        <v>90</v>
      </c>
      <c r="E189" s="29" t="s">
        <v>90</v>
      </c>
      <c r="F189" s="29" t="s">
        <v>316</v>
      </c>
      <c r="G189" s="30" t="s">
        <v>312</v>
      </c>
      <c r="H189" s="31"/>
      <c r="I189" s="31">
        <v>478496.29</v>
      </c>
      <c r="J189" s="32" t="str">
        <f t="shared" si="59"/>
        <v/>
      </c>
      <c r="K189" s="31"/>
      <c r="L189" s="31">
        <v>369749.4</v>
      </c>
      <c r="M189" s="32" t="str">
        <f t="shared" si="60"/>
        <v/>
      </c>
      <c r="N189" s="31"/>
      <c r="O189" s="31">
        <v>653394.54</v>
      </c>
      <c r="P189" s="32" t="str">
        <f t="shared" si="61"/>
        <v/>
      </c>
      <c r="Q189" s="31"/>
      <c r="R189" s="31">
        <v>620730.5</v>
      </c>
      <c r="S189" s="32" t="str">
        <f t="shared" si="62"/>
        <v/>
      </c>
      <c r="T189" s="31"/>
      <c r="U189" s="31">
        <v>730820.45</v>
      </c>
      <c r="V189" s="32" t="str">
        <f t="shared" si="63"/>
        <v/>
      </c>
      <c r="W189" s="31"/>
      <c r="X189" s="31">
        <v>765800.63</v>
      </c>
      <c r="Y189" s="32" t="str">
        <f t="shared" si="64"/>
        <v/>
      </c>
      <c r="Z189" s="31" t="str">
        <f t="shared" si="51"/>
        <v/>
      </c>
      <c r="AA189" s="31">
        <f t="shared" si="52"/>
        <v>3618991.8099999996</v>
      </c>
      <c r="AB189" s="32" t="str">
        <f t="shared" si="65"/>
        <v/>
      </c>
      <c r="AC189" s="31"/>
      <c r="AD189" s="31"/>
      <c r="AE189" s="32" t="str">
        <f t="shared" si="53"/>
        <v/>
      </c>
      <c r="AF189" s="32" t="s">
        <v>313</v>
      </c>
      <c r="AG189" s="31"/>
      <c r="AH189" s="31"/>
      <c r="AI189" s="32" t="str">
        <f t="shared" si="54"/>
        <v/>
      </c>
      <c r="AJ189" s="32" t="s">
        <v>313</v>
      </c>
      <c r="AK189" s="31"/>
      <c r="AL189" s="31"/>
      <c r="AM189" s="32" t="str">
        <f t="shared" si="55"/>
        <v/>
      </c>
      <c r="AN189" s="32" t="s">
        <v>313</v>
      </c>
      <c r="AO189" s="31"/>
      <c r="AP189" s="31"/>
      <c r="AQ189" s="32" t="str">
        <f t="shared" si="56"/>
        <v/>
      </c>
      <c r="AR189" s="32" t="s">
        <v>313</v>
      </c>
      <c r="AS189" s="31"/>
      <c r="AT189" s="31"/>
      <c r="AU189" s="32" t="str">
        <f t="shared" si="57"/>
        <v/>
      </c>
      <c r="AV189" s="32" t="s">
        <v>313</v>
      </c>
      <c r="AW189" s="31"/>
      <c r="AX189" s="31"/>
      <c r="AY189" s="32" t="str">
        <f t="shared" si="58"/>
        <v/>
      </c>
      <c r="AZ189" s="32" t="s">
        <v>313</v>
      </c>
    </row>
    <row r="190" spans="1:52" ht="34" customHeight="1">
      <c r="A190" s="28" t="s">
        <v>231</v>
      </c>
      <c r="B190" s="29" t="s">
        <v>325</v>
      </c>
      <c r="C190" s="29" t="s">
        <v>85</v>
      </c>
      <c r="D190" s="29" t="s">
        <v>93</v>
      </c>
      <c r="E190" s="29" t="s">
        <v>143</v>
      </c>
      <c r="F190" s="29" t="s">
        <v>320</v>
      </c>
      <c r="G190" s="30" t="s">
        <v>312</v>
      </c>
      <c r="H190" s="31">
        <v>0</v>
      </c>
      <c r="I190" s="31">
        <v>478496.29</v>
      </c>
      <c r="J190" s="32">
        <f t="shared" si="59"/>
        <v>0</v>
      </c>
      <c r="K190" s="31">
        <v>0</v>
      </c>
      <c r="L190" s="31">
        <v>369749.4</v>
      </c>
      <c r="M190" s="32">
        <f t="shared" si="60"/>
        <v>0</v>
      </c>
      <c r="N190" s="31">
        <v>0</v>
      </c>
      <c r="O190" s="31">
        <v>653394.54</v>
      </c>
      <c r="P190" s="32">
        <f t="shared" si="61"/>
        <v>0</v>
      </c>
      <c r="Q190" s="31">
        <v>0</v>
      </c>
      <c r="R190" s="31">
        <v>620730.5</v>
      </c>
      <c r="S190" s="32">
        <f t="shared" si="62"/>
        <v>0</v>
      </c>
      <c r="T190" s="31">
        <v>0</v>
      </c>
      <c r="U190" s="31">
        <v>730820.45</v>
      </c>
      <c r="V190" s="32">
        <f t="shared" si="63"/>
        <v>0</v>
      </c>
      <c r="W190" s="31">
        <v>0</v>
      </c>
      <c r="X190" s="31">
        <v>765800.63</v>
      </c>
      <c r="Y190" s="32">
        <f t="shared" si="64"/>
        <v>0</v>
      </c>
      <c r="Z190" s="31">
        <f t="shared" si="51"/>
        <v>0</v>
      </c>
      <c r="AA190" s="31">
        <f t="shared" si="52"/>
        <v>3618991.8099999996</v>
      </c>
      <c r="AB190" s="32">
        <f t="shared" si="65"/>
        <v>0</v>
      </c>
      <c r="AC190" s="31"/>
      <c r="AD190" s="31"/>
      <c r="AE190" s="32" t="str">
        <f t="shared" si="53"/>
        <v/>
      </c>
      <c r="AF190" s="32" t="s">
        <v>313</v>
      </c>
      <c r="AG190" s="31"/>
      <c r="AH190" s="31"/>
      <c r="AI190" s="32" t="str">
        <f t="shared" si="54"/>
        <v/>
      </c>
      <c r="AJ190" s="32" t="s">
        <v>313</v>
      </c>
      <c r="AK190" s="31"/>
      <c r="AL190" s="31"/>
      <c r="AM190" s="32" t="str">
        <f t="shared" si="55"/>
        <v/>
      </c>
      <c r="AN190" s="32" t="s">
        <v>313</v>
      </c>
      <c r="AO190" s="31"/>
      <c r="AP190" s="31"/>
      <c r="AQ190" s="32" t="str">
        <f t="shared" si="56"/>
        <v/>
      </c>
      <c r="AR190" s="32" t="s">
        <v>313</v>
      </c>
      <c r="AS190" s="31"/>
      <c r="AT190" s="31"/>
      <c r="AU190" s="32" t="str">
        <f t="shared" si="57"/>
        <v/>
      </c>
      <c r="AV190" s="32" t="s">
        <v>313</v>
      </c>
      <c r="AW190" s="31"/>
      <c r="AX190" s="31"/>
      <c r="AY190" s="32" t="str">
        <f t="shared" si="58"/>
        <v/>
      </c>
      <c r="AZ190" s="32" t="s">
        <v>313</v>
      </c>
    </row>
    <row r="191" spans="1:52" ht="34" customHeight="1">
      <c r="A191" s="28" t="s">
        <v>231</v>
      </c>
      <c r="B191" s="29" t="s">
        <v>325</v>
      </c>
      <c r="C191" s="29" t="s">
        <v>85</v>
      </c>
      <c r="D191" s="29" t="s">
        <v>152</v>
      </c>
      <c r="E191" s="29" t="s">
        <v>152</v>
      </c>
      <c r="F191" s="29" t="s">
        <v>316</v>
      </c>
      <c r="G191" s="30" t="s">
        <v>312</v>
      </c>
      <c r="H191" s="31"/>
      <c r="I191" s="31">
        <v>478496.29</v>
      </c>
      <c r="J191" s="32" t="str">
        <f t="shared" si="59"/>
        <v/>
      </c>
      <c r="K191" s="31"/>
      <c r="L191" s="31">
        <v>369749.4</v>
      </c>
      <c r="M191" s="32" t="str">
        <f t="shared" si="60"/>
        <v/>
      </c>
      <c r="N191" s="31"/>
      <c r="O191" s="31">
        <v>653394.54</v>
      </c>
      <c r="P191" s="32" t="str">
        <f t="shared" si="61"/>
        <v/>
      </c>
      <c r="Q191" s="31"/>
      <c r="R191" s="31">
        <v>620730.5</v>
      </c>
      <c r="S191" s="32" t="str">
        <f t="shared" si="62"/>
        <v/>
      </c>
      <c r="T191" s="31"/>
      <c r="U191" s="31">
        <v>730820.45</v>
      </c>
      <c r="V191" s="32" t="str">
        <f t="shared" si="63"/>
        <v/>
      </c>
      <c r="W191" s="31"/>
      <c r="X191" s="31">
        <v>765800.63</v>
      </c>
      <c r="Y191" s="32" t="str">
        <f t="shared" si="64"/>
        <v/>
      </c>
      <c r="Z191" s="31" t="str">
        <f t="shared" si="51"/>
        <v/>
      </c>
      <c r="AA191" s="31">
        <f t="shared" si="52"/>
        <v>3618991.8099999996</v>
      </c>
      <c r="AB191" s="32" t="str">
        <f t="shared" si="65"/>
        <v/>
      </c>
      <c r="AC191" s="31"/>
      <c r="AD191" s="31"/>
      <c r="AE191" s="32" t="str">
        <f t="shared" si="53"/>
        <v/>
      </c>
      <c r="AF191" s="32" t="s">
        <v>313</v>
      </c>
      <c r="AG191" s="31"/>
      <c r="AH191" s="31"/>
      <c r="AI191" s="32" t="str">
        <f t="shared" si="54"/>
        <v/>
      </c>
      <c r="AJ191" s="32" t="s">
        <v>313</v>
      </c>
      <c r="AK191" s="31"/>
      <c r="AL191" s="31"/>
      <c r="AM191" s="32" t="str">
        <f t="shared" si="55"/>
        <v/>
      </c>
      <c r="AN191" s="32" t="s">
        <v>313</v>
      </c>
      <c r="AO191" s="31"/>
      <c r="AP191" s="31"/>
      <c r="AQ191" s="32" t="str">
        <f t="shared" si="56"/>
        <v/>
      </c>
      <c r="AR191" s="32" t="s">
        <v>313</v>
      </c>
      <c r="AS191" s="31"/>
      <c r="AT191" s="31"/>
      <c r="AU191" s="32" t="str">
        <f t="shared" si="57"/>
        <v/>
      </c>
      <c r="AV191" s="32" t="s">
        <v>313</v>
      </c>
      <c r="AW191" s="31"/>
      <c r="AX191" s="31"/>
      <c r="AY191" s="32" t="str">
        <f t="shared" si="58"/>
        <v/>
      </c>
      <c r="AZ191" s="32" t="s">
        <v>313</v>
      </c>
    </row>
    <row r="192" spans="1:52" ht="34" customHeight="1">
      <c r="A192" s="28" t="s">
        <v>231</v>
      </c>
      <c r="B192" s="29" t="s">
        <v>326</v>
      </c>
      <c r="C192" s="29" t="s">
        <v>46</v>
      </c>
      <c r="D192" s="29"/>
      <c r="E192" s="29" t="s">
        <v>46</v>
      </c>
      <c r="F192" s="29" t="s">
        <v>311</v>
      </c>
      <c r="G192" s="30" t="s">
        <v>312</v>
      </c>
      <c r="H192" s="31">
        <v>645.61</v>
      </c>
      <c r="I192" s="31">
        <v>645.61</v>
      </c>
      <c r="J192" s="32"/>
      <c r="K192" s="31">
        <v>18467.7</v>
      </c>
      <c r="L192" s="31">
        <v>18467.7</v>
      </c>
      <c r="M192" s="32"/>
      <c r="N192" s="31">
        <v>64183.12</v>
      </c>
      <c r="O192" s="31">
        <v>64183.12</v>
      </c>
      <c r="P192" s="32"/>
      <c r="Q192" s="31">
        <v>40728.25</v>
      </c>
      <c r="R192" s="31">
        <v>40728.25</v>
      </c>
      <c r="S192" s="32"/>
      <c r="T192" s="31">
        <v>46958.33</v>
      </c>
      <c r="U192" s="31">
        <v>46958.33</v>
      </c>
      <c r="V192" s="32"/>
      <c r="W192" s="31">
        <v>15145.47</v>
      </c>
      <c r="X192" s="31">
        <v>15145.47</v>
      </c>
      <c r="Y192" s="32"/>
      <c r="Z192" s="31">
        <f t="shared" si="51"/>
        <v>186128.48</v>
      </c>
      <c r="AA192" s="31">
        <f t="shared" si="52"/>
        <v>186128.48</v>
      </c>
      <c r="AB192" s="32"/>
      <c r="AC192" s="31"/>
      <c r="AD192" s="31"/>
      <c r="AE192" s="32" t="str">
        <f t="shared" si="53"/>
        <v/>
      </c>
      <c r="AF192" s="32" t="s">
        <v>313</v>
      </c>
      <c r="AG192" s="31"/>
      <c r="AH192" s="31"/>
      <c r="AI192" s="32" t="str">
        <f t="shared" si="54"/>
        <v/>
      </c>
      <c r="AJ192" s="32" t="s">
        <v>313</v>
      </c>
      <c r="AK192" s="31"/>
      <c r="AL192" s="31"/>
      <c r="AM192" s="32" t="str">
        <f t="shared" si="55"/>
        <v/>
      </c>
      <c r="AN192" s="32" t="s">
        <v>313</v>
      </c>
      <c r="AO192" s="31"/>
      <c r="AP192" s="31"/>
      <c r="AQ192" s="32" t="str">
        <f t="shared" si="56"/>
        <v/>
      </c>
      <c r="AR192" s="32" t="s">
        <v>313</v>
      </c>
      <c r="AS192" s="31"/>
      <c r="AT192" s="31"/>
      <c r="AU192" s="32" t="str">
        <f t="shared" si="57"/>
        <v/>
      </c>
      <c r="AV192" s="32" t="s">
        <v>313</v>
      </c>
      <c r="AW192" s="31"/>
      <c r="AX192" s="31"/>
      <c r="AY192" s="32" t="str">
        <f t="shared" si="58"/>
        <v/>
      </c>
      <c r="AZ192" s="32" t="s">
        <v>313</v>
      </c>
    </row>
    <row r="193" spans="1:52" ht="34" customHeight="1">
      <c r="A193" s="28" t="s">
        <v>231</v>
      </c>
      <c r="B193" s="29" t="s">
        <v>326</v>
      </c>
      <c r="C193" s="29" t="s">
        <v>121</v>
      </c>
      <c r="D193" s="29"/>
      <c r="E193" s="29" t="s">
        <v>125</v>
      </c>
      <c r="F193" s="29" t="s">
        <v>314</v>
      </c>
      <c r="G193" s="30" t="s">
        <v>312</v>
      </c>
      <c r="H193" s="31">
        <v>0</v>
      </c>
      <c r="I193" s="31">
        <v>645.61</v>
      </c>
      <c r="J193" s="32">
        <f t="shared" ref="J193:J222" si="66">IF(H193="","",IFERROR(H193/I193,""))</f>
        <v>0</v>
      </c>
      <c r="K193" s="31">
        <v>0</v>
      </c>
      <c r="L193" s="31">
        <v>18467.7</v>
      </c>
      <c r="M193" s="32">
        <f t="shared" ref="M193:M222" si="67">IF(K193="","",IFERROR(K193/L193,""))</f>
        <v>0</v>
      </c>
      <c r="N193" s="31">
        <v>0</v>
      </c>
      <c r="O193" s="31">
        <v>64183.12</v>
      </c>
      <c r="P193" s="32">
        <f t="shared" ref="P193:P222" si="68">IF(N193="","",IFERROR(N193/O193,""))</f>
        <v>0</v>
      </c>
      <c r="Q193" s="31">
        <v>0</v>
      </c>
      <c r="R193" s="31">
        <v>40728.25</v>
      </c>
      <c r="S193" s="32">
        <f t="shared" ref="S193:S222" si="69">IF(Q193="","",IFERROR(Q193/R193,""))</f>
        <v>0</v>
      </c>
      <c r="T193" s="31">
        <v>0</v>
      </c>
      <c r="U193" s="31">
        <v>46958.33</v>
      </c>
      <c r="V193" s="32">
        <f t="shared" ref="V193:V222" si="70">IF(T193="","",IFERROR(T193/U193,""))</f>
        <v>0</v>
      </c>
      <c r="W193" s="31">
        <v>0</v>
      </c>
      <c r="X193" s="31">
        <v>15145.47</v>
      </c>
      <c r="Y193" s="32">
        <f t="shared" ref="Y193:Y222" si="71">IF(W193="","",IFERROR(W193/X193,""))</f>
        <v>0</v>
      </c>
      <c r="Z193" s="31">
        <f t="shared" si="51"/>
        <v>0</v>
      </c>
      <c r="AA193" s="31">
        <f t="shared" si="52"/>
        <v>186128.48</v>
      </c>
      <c r="AB193" s="32">
        <f t="shared" ref="AB193:AB222" si="72">IF(Z193="","",IFERROR(Z193/AA193,""))</f>
        <v>0</v>
      </c>
      <c r="AC193" s="31"/>
      <c r="AD193" s="31"/>
      <c r="AE193" s="32" t="str">
        <f t="shared" si="53"/>
        <v/>
      </c>
      <c r="AF193" s="32" t="s">
        <v>313</v>
      </c>
      <c r="AG193" s="31"/>
      <c r="AH193" s="31"/>
      <c r="AI193" s="32" t="str">
        <f t="shared" si="54"/>
        <v/>
      </c>
      <c r="AJ193" s="32" t="s">
        <v>313</v>
      </c>
      <c r="AK193" s="31"/>
      <c r="AL193" s="31"/>
      <c r="AM193" s="32" t="str">
        <f t="shared" si="55"/>
        <v/>
      </c>
      <c r="AN193" s="32" t="s">
        <v>313</v>
      </c>
      <c r="AO193" s="31"/>
      <c r="AP193" s="31"/>
      <c r="AQ193" s="32" t="str">
        <f t="shared" si="56"/>
        <v/>
      </c>
      <c r="AR193" s="32" t="s">
        <v>313</v>
      </c>
      <c r="AS193" s="31"/>
      <c r="AT193" s="31"/>
      <c r="AU193" s="32" t="str">
        <f t="shared" si="57"/>
        <v/>
      </c>
      <c r="AV193" s="32" t="s">
        <v>313</v>
      </c>
      <c r="AW193" s="31"/>
      <c r="AX193" s="31"/>
      <c r="AY193" s="32" t="str">
        <f t="shared" si="58"/>
        <v/>
      </c>
      <c r="AZ193" s="32" t="s">
        <v>313</v>
      </c>
    </row>
    <row r="194" spans="1:52" ht="34" customHeight="1">
      <c r="A194" s="28" t="s">
        <v>231</v>
      </c>
      <c r="B194" s="29" t="s">
        <v>326</v>
      </c>
      <c r="C194" s="29" t="s">
        <v>48</v>
      </c>
      <c r="D194" s="29"/>
      <c r="E194" s="29" t="s">
        <v>127</v>
      </c>
      <c r="F194" s="29" t="s">
        <v>315</v>
      </c>
      <c r="G194" s="30" t="s">
        <v>312</v>
      </c>
      <c r="H194" s="31">
        <v>532</v>
      </c>
      <c r="I194" s="31">
        <v>645.61</v>
      </c>
      <c r="J194" s="32">
        <f t="shared" si="66"/>
        <v>0.82402688929849288</v>
      </c>
      <c r="K194" s="31">
        <v>15088.94</v>
      </c>
      <c r="L194" s="31">
        <v>18467.7</v>
      </c>
      <c r="M194" s="32">
        <f t="shared" si="67"/>
        <v>0.81704489459976071</v>
      </c>
      <c r="N194" s="31">
        <v>50623.31</v>
      </c>
      <c r="O194" s="31">
        <v>64183.12</v>
      </c>
      <c r="P194" s="32">
        <f t="shared" si="68"/>
        <v>0.78873245800453451</v>
      </c>
      <c r="Q194" s="31">
        <v>32597.040000000001</v>
      </c>
      <c r="R194" s="31">
        <v>40728.25</v>
      </c>
      <c r="S194" s="32">
        <f t="shared" si="69"/>
        <v>0.80035454506392989</v>
      </c>
      <c r="T194" s="31">
        <v>37742.47</v>
      </c>
      <c r="U194" s="31">
        <v>46958.33</v>
      </c>
      <c r="V194" s="32">
        <f t="shared" si="70"/>
        <v>0.80374387249291024</v>
      </c>
      <c r="W194" s="31">
        <v>11522.02</v>
      </c>
      <c r="X194" s="31">
        <v>15145.47</v>
      </c>
      <c r="Y194" s="32">
        <f t="shared" si="71"/>
        <v>0.76075684676672306</v>
      </c>
      <c r="Z194" s="31">
        <f t="shared" si="51"/>
        <v>148105.78</v>
      </c>
      <c r="AA194" s="31">
        <f t="shared" si="52"/>
        <v>186128.48</v>
      </c>
      <c r="AB194" s="32">
        <f t="shared" si="72"/>
        <v>0.79571799006793587</v>
      </c>
      <c r="AC194" s="31"/>
      <c r="AD194" s="31"/>
      <c r="AE194" s="32" t="str">
        <f t="shared" si="53"/>
        <v/>
      </c>
      <c r="AF194" s="32" t="s">
        <v>313</v>
      </c>
      <c r="AG194" s="31"/>
      <c r="AH194" s="31"/>
      <c r="AI194" s="32" t="str">
        <f t="shared" si="54"/>
        <v/>
      </c>
      <c r="AJ194" s="32" t="s">
        <v>313</v>
      </c>
      <c r="AK194" s="31"/>
      <c r="AL194" s="31"/>
      <c r="AM194" s="32" t="str">
        <f t="shared" si="55"/>
        <v/>
      </c>
      <c r="AN194" s="32" t="s">
        <v>313</v>
      </c>
      <c r="AO194" s="31"/>
      <c r="AP194" s="31"/>
      <c r="AQ194" s="32" t="str">
        <f t="shared" si="56"/>
        <v/>
      </c>
      <c r="AR194" s="32" t="s">
        <v>313</v>
      </c>
      <c r="AS194" s="31"/>
      <c r="AT194" s="31"/>
      <c r="AU194" s="32" t="str">
        <f t="shared" si="57"/>
        <v/>
      </c>
      <c r="AV194" s="32" t="s">
        <v>313</v>
      </c>
      <c r="AW194" s="31"/>
      <c r="AX194" s="31"/>
      <c r="AY194" s="32" t="str">
        <f t="shared" si="58"/>
        <v/>
      </c>
      <c r="AZ194" s="32" t="s">
        <v>313</v>
      </c>
    </row>
    <row r="195" spans="1:52" ht="34" customHeight="1">
      <c r="A195" s="28" t="s">
        <v>231</v>
      </c>
      <c r="B195" s="29" t="s">
        <v>326</v>
      </c>
      <c r="C195" s="29" t="s">
        <v>52</v>
      </c>
      <c r="D195" s="29" t="s">
        <v>54</v>
      </c>
      <c r="E195" s="29" t="s">
        <v>55</v>
      </c>
      <c r="F195" s="29" t="s">
        <v>130</v>
      </c>
      <c r="G195" s="30" t="s">
        <v>312</v>
      </c>
      <c r="H195" s="31">
        <v>0</v>
      </c>
      <c r="I195" s="31">
        <v>645.61</v>
      </c>
      <c r="J195" s="32">
        <f t="shared" si="66"/>
        <v>0</v>
      </c>
      <c r="K195" s="31">
        <v>0</v>
      </c>
      <c r="L195" s="31">
        <v>18467.7</v>
      </c>
      <c r="M195" s="32">
        <f t="shared" si="67"/>
        <v>0</v>
      </c>
      <c r="N195" s="31">
        <v>0</v>
      </c>
      <c r="O195" s="31">
        <v>64183.12</v>
      </c>
      <c r="P195" s="32">
        <f t="shared" si="68"/>
        <v>0</v>
      </c>
      <c r="Q195" s="31">
        <v>0</v>
      </c>
      <c r="R195" s="31">
        <v>40728.25</v>
      </c>
      <c r="S195" s="32">
        <f t="shared" si="69"/>
        <v>0</v>
      </c>
      <c r="T195" s="31">
        <v>0</v>
      </c>
      <c r="U195" s="31">
        <v>46958.33</v>
      </c>
      <c r="V195" s="32">
        <f t="shared" si="70"/>
        <v>0</v>
      </c>
      <c r="W195" s="31">
        <v>0</v>
      </c>
      <c r="X195" s="31">
        <v>15145.47</v>
      </c>
      <c r="Y195" s="32">
        <f t="shared" si="71"/>
        <v>0</v>
      </c>
      <c r="Z195" s="31">
        <f t="shared" si="51"/>
        <v>0</v>
      </c>
      <c r="AA195" s="31">
        <f t="shared" si="52"/>
        <v>186128.48</v>
      </c>
      <c r="AB195" s="32">
        <f t="shared" si="72"/>
        <v>0</v>
      </c>
      <c r="AC195" s="31"/>
      <c r="AD195" s="31"/>
      <c r="AE195" s="32" t="str">
        <f t="shared" si="53"/>
        <v/>
      </c>
      <c r="AF195" s="32" t="s">
        <v>313</v>
      </c>
      <c r="AG195" s="31"/>
      <c r="AH195" s="31"/>
      <c r="AI195" s="32" t="str">
        <f t="shared" si="54"/>
        <v/>
      </c>
      <c r="AJ195" s="32" t="s">
        <v>313</v>
      </c>
      <c r="AK195" s="31"/>
      <c r="AL195" s="31"/>
      <c r="AM195" s="32" t="str">
        <f t="shared" si="55"/>
        <v/>
      </c>
      <c r="AN195" s="32" t="s">
        <v>313</v>
      </c>
      <c r="AO195" s="31"/>
      <c r="AP195" s="31"/>
      <c r="AQ195" s="32" t="str">
        <f t="shared" si="56"/>
        <v/>
      </c>
      <c r="AR195" s="32" t="s">
        <v>313</v>
      </c>
      <c r="AS195" s="31"/>
      <c r="AT195" s="31"/>
      <c r="AU195" s="32" t="str">
        <f t="shared" si="57"/>
        <v/>
      </c>
      <c r="AV195" s="32" t="s">
        <v>313</v>
      </c>
      <c r="AW195" s="31"/>
      <c r="AX195" s="31"/>
      <c r="AY195" s="32" t="str">
        <f t="shared" si="58"/>
        <v/>
      </c>
      <c r="AZ195" s="32" t="s">
        <v>313</v>
      </c>
    </row>
    <row r="196" spans="1:52" ht="34" customHeight="1">
      <c r="A196" s="28" t="s">
        <v>231</v>
      </c>
      <c r="B196" s="29" t="s">
        <v>326</v>
      </c>
      <c r="C196" s="29" t="s">
        <v>52</v>
      </c>
      <c r="D196" s="29" t="s">
        <v>54</v>
      </c>
      <c r="E196" s="29" t="s">
        <v>58</v>
      </c>
      <c r="F196" s="29" t="s">
        <v>316</v>
      </c>
      <c r="G196" s="30" t="s">
        <v>312</v>
      </c>
      <c r="H196" s="31"/>
      <c r="I196" s="31">
        <v>645.61</v>
      </c>
      <c r="J196" s="32" t="str">
        <f t="shared" si="66"/>
        <v/>
      </c>
      <c r="K196" s="31"/>
      <c r="L196" s="31">
        <v>18467.7</v>
      </c>
      <c r="M196" s="32" t="str">
        <f t="shared" si="67"/>
        <v/>
      </c>
      <c r="N196" s="31"/>
      <c r="O196" s="31">
        <v>64183.12</v>
      </c>
      <c r="P196" s="32" t="str">
        <f t="shared" si="68"/>
        <v/>
      </c>
      <c r="Q196" s="31"/>
      <c r="R196" s="31">
        <v>40728.25</v>
      </c>
      <c r="S196" s="32" t="str">
        <f t="shared" si="69"/>
        <v/>
      </c>
      <c r="T196" s="31"/>
      <c r="U196" s="31">
        <v>46958.33</v>
      </c>
      <c r="V196" s="32" t="str">
        <f t="shared" si="70"/>
        <v/>
      </c>
      <c r="W196" s="31"/>
      <c r="X196" s="31">
        <v>15145.47</v>
      </c>
      <c r="Y196" s="32" t="str">
        <f t="shared" si="71"/>
        <v/>
      </c>
      <c r="Z196" s="31" t="str">
        <f t="shared" si="51"/>
        <v/>
      </c>
      <c r="AA196" s="31">
        <f t="shared" si="52"/>
        <v>186128.48</v>
      </c>
      <c r="AB196" s="32" t="str">
        <f t="shared" si="72"/>
        <v/>
      </c>
      <c r="AC196" s="31"/>
      <c r="AD196" s="31"/>
      <c r="AE196" s="32" t="str">
        <f t="shared" si="53"/>
        <v/>
      </c>
      <c r="AF196" s="32" t="s">
        <v>313</v>
      </c>
      <c r="AG196" s="31"/>
      <c r="AH196" s="31"/>
      <c r="AI196" s="32" t="str">
        <f t="shared" si="54"/>
        <v/>
      </c>
      <c r="AJ196" s="32" t="s">
        <v>313</v>
      </c>
      <c r="AK196" s="31"/>
      <c r="AL196" s="31"/>
      <c r="AM196" s="32" t="str">
        <f t="shared" si="55"/>
        <v/>
      </c>
      <c r="AN196" s="32" t="s">
        <v>313</v>
      </c>
      <c r="AO196" s="31"/>
      <c r="AP196" s="31"/>
      <c r="AQ196" s="32" t="str">
        <f t="shared" si="56"/>
        <v/>
      </c>
      <c r="AR196" s="32" t="s">
        <v>313</v>
      </c>
      <c r="AS196" s="31"/>
      <c r="AT196" s="31"/>
      <c r="AU196" s="32" t="str">
        <f t="shared" si="57"/>
        <v/>
      </c>
      <c r="AV196" s="32" t="s">
        <v>313</v>
      </c>
      <c r="AW196" s="31"/>
      <c r="AX196" s="31"/>
      <c r="AY196" s="32" t="str">
        <f t="shared" si="58"/>
        <v/>
      </c>
      <c r="AZ196" s="32" t="s">
        <v>313</v>
      </c>
    </row>
    <row r="197" spans="1:52" ht="34" customHeight="1">
      <c r="A197" s="28" t="s">
        <v>231</v>
      </c>
      <c r="B197" s="29" t="s">
        <v>326</v>
      </c>
      <c r="C197" s="29" t="s">
        <v>52</v>
      </c>
      <c r="D197" s="29" t="s">
        <v>54</v>
      </c>
      <c r="E197" s="29" t="s">
        <v>59</v>
      </c>
      <c r="F197" s="29" t="s">
        <v>316</v>
      </c>
      <c r="G197" s="30" t="s">
        <v>312</v>
      </c>
      <c r="H197" s="31"/>
      <c r="I197" s="31">
        <v>645.61</v>
      </c>
      <c r="J197" s="32" t="str">
        <f t="shared" si="66"/>
        <v/>
      </c>
      <c r="K197" s="31"/>
      <c r="L197" s="31">
        <v>18467.7</v>
      </c>
      <c r="M197" s="32" t="str">
        <f t="shared" si="67"/>
        <v/>
      </c>
      <c r="N197" s="31"/>
      <c r="O197" s="31">
        <v>64183.12</v>
      </c>
      <c r="P197" s="32" t="str">
        <f t="shared" si="68"/>
        <v/>
      </c>
      <c r="Q197" s="31"/>
      <c r="R197" s="31">
        <v>40728.25</v>
      </c>
      <c r="S197" s="32" t="str">
        <f t="shared" si="69"/>
        <v/>
      </c>
      <c r="T197" s="31"/>
      <c r="U197" s="31">
        <v>46958.33</v>
      </c>
      <c r="V197" s="32" t="str">
        <f t="shared" si="70"/>
        <v/>
      </c>
      <c r="W197" s="31"/>
      <c r="X197" s="31">
        <v>15145.47</v>
      </c>
      <c r="Y197" s="32" t="str">
        <f t="shared" si="71"/>
        <v/>
      </c>
      <c r="Z197" s="31" t="str">
        <f t="shared" si="51"/>
        <v/>
      </c>
      <c r="AA197" s="31">
        <f t="shared" si="52"/>
        <v>186128.48</v>
      </c>
      <c r="AB197" s="32" t="str">
        <f t="shared" si="72"/>
        <v/>
      </c>
      <c r="AC197" s="31"/>
      <c r="AD197" s="31"/>
      <c r="AE197" s="32" t="str">
        <f t="shared" si="53"/>
        <v/>
      </c>
      <c r="AF197" s="32" t="s">
        <v>313</v>
      </c>
      <c r="AG197" s="31"/>
      <c r="AH197" s="31"/>
      <c r="AI197" s="32" t="str">
        <f t="shared" si="54"/>
        <v/>
      </c>
      <c r="AJ197" s="32" t="s">
        <v>313</v>
      </c>
      <c r="AK197" s="31"/>
      <c r="AL197" s="31"/>
      <c r="AM197" s="32" t="str">
        <f t="shared" si="55"/>
        <v/>
      </c>
      <c r="AN197" s="32" t="s">
        <v>313</v>
      </c>
      <c r="AO197" s="31"/>
      <c r="AP197" s="31"/>
      <c r="AQ197" s="32" t="str">
        <f t="shared" si="56"/>
        <v/>
      </c>
      <c r="AR197" s="32" t="s">
        <v>313</v>
      </c>
      <c r="AS197" s="31"/>
      <c r="AT197" s="31"/>
      <c r="AU197" s="32" t="str">
        <f t="shared" si="57"/>
        <v/>
      </c>
      <c r="AV197" s="32" t="s">
        <v>313</v>
      </c>
      <c r="AW197" s="31"/>
      <c r="AX197" s="31"/>
      <c r="AY197" s="32" t="str">
        <f t="shared" si="58"/>
        <v/>
      </c>
      <c r="AZ197" s="32" t="s">
        <v>313</v>
      </c>
    </row>
    <row r="198" spans="1:52" ht="34" customHeight="1">
      <c r="A198" s="28" t="s">
        <v>231</v>
      </c>
      <c r="B198" s="29" t="s">
        <v>326</v>
      </c>
      <c r="C198" s="29" t="s">
        <v>52</v>
      </c>
      <c r="D198" s="29" t="s">
        <v>54</v>
      </c>
      <c r="E198" s="29" t="s">
        <v>64</v>
      </c>
      <c r="F198" s="29" t="s">
        <v>133</v>
      </c>
      <c r="G198" s="30" t="s">
        <v>312</v>
      </c>
      <c r="H198" s="31">
        <v>0</v>
      </c>
      <c r="I198" s="31">
        <v>645.61</v>
      </c>
      <c r="J198" s="32">
        <f t="shared" si="66"/>
        <v>0</v>
      </c>
      <c r="K198" s="31">
        <v>0</v>
      </c>
      <c r="L198" s="31">
        <v>18467.7</v>
      </c>
      <c r="M198" s="32">
        <f t="shared" si="67"/>
        <v>0</v>
      </c>
      <c r="N198" s="31">
        <v>0</v>
      </c>
      <c r="O198" s="31">
        <v>64183.12</v>
      </c>
      <c r="P198" s="32">
        <f t="shared" si="68"/>
        <v>0</v>
      </c>
      <c r="Q198" s="31">
        <v>0</v>
      </c>
      <c r="R198" s="31">
        <v>40728.25</v>
      </c>
      <c r="S198" s="32">
        <f t="shared" si="69"/>
        <v>0</v>
      </c>
      <c r="T198" s="31">
        <v>0</v>
      </c>
      <c r="U198" s="31">
        <v>46958.33</v>
      </c>
      <c r="V198" s="32">
        <f t="shared" si="70"/>
        <v>0</v>
      </c>
      <c r="W198" s="31">
        <v>0</v>
      </c>
      <c r="X198" s="31">
        <v>15145.47</v>
      </c>
      <c r="Y198" s="32">
        <f t="shared" si="71"/>
        <v>0</v>
      </c>
      <c r="Z198" s="31">
        <f t="shared" ref="Z198:Z261" si="73">IF(COUNT(H198,K198,N198,Q198,T198,W198)=0,"",SUM(H198,K198,N198,Q198,T198,W198))</f>
        <v>0</v>
      </c>
      <c r="AA198" s="31">
        <f t="shared" ref="AA198:AA261" si="74">IF(COUNT(I198,L198,O198,R198,U198,X198)=0,"",SUM(I198,L198,O198,R198,U198,X198))</f>
        <v>186128.48</v>
      </c>
      <c r="AB198" s="32">
        <f t="shared" si="72"/>
        <v>0</v>
      </c>
      <c r="AC198" s="31"/>
      <c r="AD198" s="31"/>
      <c r="AE198" s="32" t="str">
        <f t="shared" ref="AE198:AE261" si="75">IF(AC198="","",IFERROR(AC198/AD198,""))</f>
        <v/>
      </c>
      <c r="AF198" s="32" t="s">
        <v>313</v>
      </c>
      <c r="AG198" s="31"/>
      <c r="AH198" s="31"/>
      <c r="AI198" s="32" t="str">
        <f t="shared" ref="AI198:AI261" si="76">IF(AG198="","",IFERROR(AG198/AH198,""))</f>
        <v/>
      </c>
      <c r="AJ198" s="32" t="s">
        <v>313</v>
      </c>
      <c r="AK198" s="31"/>
      <c r="AL198" s="31"/>
      <c r="AM198" s="32" t="str">
        <f t="shared" ref="AM198:AM261" si="77">IF(AK198="","",IFERROR(AK198/AL198,""))</f>
        <v/>
      </c>
      <c r="AN198" s="32" t="s">
        <v>313</v>
      </c>
      <c r="AO198" s="31"/>
      <c r="AP198" s="31"/>
      <c r="AQ198" s="32" t="str">
        <f t="shared" ref="AQ198:AQ261" si="78">IF(AO198="","",IFERROR(AO198/AP198,""))</f>
        <v/>
      </c>
      <c r="AR198" s="32" t="s">
        <v>313</v>
      </c>
      <c r="AS198" s="31"/>
      <c r="AT198" s="31"/>
      <c r="AU198" s="32" t="str">
        <f t="shared" ref="AU198:AU261" si="79">IF(AS198="","",IFERROR(AS198/AT198,""))</f>
        <v/>
      </c>
      <c r="AV198" s="32" t="s">
        <v>313</v>
      </c>
      <c r="AW198" s="31"/>
      <c r="AX198" s="31"/>
      <c r="AY198" s="32" t="str">
        <f t="shared" ref="AY198:AY261" si="80">IF(AW198="","",IFERROR(AW198/AX198,""))</f>
        <v/>
      </c>
      <c r="AZ198" s="32" t="s">
        <v>313</v>
      </c>
    </row>
    <row r="199" spans="1:52" ht="34" customHeight="1">
      <c r="A199" s="28" t="s">
        <v>231</v>
      </c>
      <c r="B199" s="29" t="s">
        <v>326</v>
      </c>
      <c r="C199" s="29" t="s">
        <v>52</v>
      </c>
      <c r="D199" s="29" t="s">
        <v>54</v>
      </c>
      <c r="E199" s="29" t="s">
        <v>60</v>
      </c>
      <c r="F199" s="29" t="s">
        <v>316</v>
      </c>
      <c r="G199" s="30" t="s">
        <v>312</v>
      </c>
      <c r="H199" s="31"/>
      <c r="I199" s="31">
        <v>645.61</v>
      </c>
      <c r="J199" s="32" t="str">
        <f t="shared" si="66"/>
        <v/>
      </c>
      <c r="K199" s="31"/>
      <c r="L199" s="31">
        <v>18467.7</v>
      </c>
      <c r="M199" s="32" t="str">
        <f t="shared" si="67"/>
        <v/>
      </c>
      <c r="N199" s="31"/>
      <c r="O199" s="31">
        <v>64183.12</v>
      </c>
      <c r="P199" s="32" t="str">
        <f t="shared" si="68"/>
        <v/>
      </c>
      <c r="Q199" s="31"/>
      <c r="R199" s="31">
        <v>40728.25</v>
      </c>
      <c r="S199" s="32" t="str">
        <f t="shared" si="69"/>
        <v/>
      </c>
      <c r="T199" s="31"/>
      <c r="U199" s="31">
        <v>46958.33</v>
      </c>
      <c r="V199" s="32" t="str">
        <f t="shared" si="70"/>
        <v/>
      </c>
      <c r="W199" s="31"/>
      <c r="X199" s="31">
        <v>15145.47</v>
      </c>
      <c r="Y199" s="32" t="str">
        <f t="shared" si="71"/>
        <v/>
      </c>
      <c r="Z199" s="31" t="str">
        <f t="shared" si="73"/>
        <v/>
      </c>
      <c r="AA199" s="31">
        <f t="shared" si="74"/>
        <v>186128.48</v>
      </c>
      <c r="AB199" s="32" t="str">
        <f t="shared" si="72"/>
        <v/>
      </c>
      <c r="AC199" s="31"/>
      <c r="AD199" s="31"/>
      <c r="AE199" s="32" t="str">
        <f t="shared" si="75"/>
        <v/>
      </c>
      <c r="AF199" s="32" t="s">
        <v>313</v>
      </c>
      <c r="AG199" s="31"/>
      <c r="AH199" s="31"/>
      <c r="AI199" s="32" t="str">
        <f t="shared" si="76"/>
        <v/>
      </c>
      <c r="AJ199" s="32" t="s">
        <v>313</v>
      </c>
      <c r="AK199" s="31"/>
      <c r="AL199" s="31"/>
      <c r="AM199" s="32" t="str">
        <f t="shared" si="77"/>
        <v/>
      </c>
      <c r="AN199" s="32" t="s">
        <v>313</v>
      </c>
      <c r="AO199" s="31"/>
      <c r="AP199" s="31"/>
      <c r="AQ199" s="32" t="str">
        <f t="shared" si="78"/>
        <v/>
      </c>
      <c r="AR199" s="32" t="s">
        <v>313</v>
      </c>
      <c r="AS199" s="31"/>
      <c r="AT199" s="31"/>
      <c r="AU199" s="32" t="str">
        <f t="shared" si="79"/>
        <v/>
      </c>
      <c r="AV199" s="32" t="s">
        <v>313</v>
      </c>
      <c r="AW199" s="31"/>
      <c r="AX199" s="31"/>
      <c r="AY199" s="32" t="str">
        <f t="shared" si="80"/>
        <v/>
      </c>
      <c r="AZ199" s="32" t="s">
        <v>313</v>
      </c>
    </row>
    <row r="200" spans="1:52" ht="51" customHeight="1">
      <c r="A200" s="28" t="s">
        <v>231</v>
      </c>
      <c r="B200" s="29" t="s">
        <v>326</v>
      </c>
      <c r="C200" s="29" t="s">
        <v>52</v>
      </c>
      <c r="D200" s="29" t="s">
        <v>54</v>
      </c>
      <c r="E200" s="29" t="s">
        <v>61</v>
      </c>
      <c r="F200" s="29" t="s">
        <v>135</v>
      </c>
      <c r="G200" s="30" t="s">
        <v>312</v>
      </c>
      <c r="H200" s="31">
        <v>0</v>
      </c>
      <c r="I200" s="31">
        <v>645.61</v>
      </c>
      <c r="J200" s="32">
        <f t="shared" si="66"/>
        <v>0</v>
      </c>
      <c r="K200" s="31">
        <v>0</v>
      </c>
      <c r="L200" s="31">
        <v>18467.7</v>
      </c>
      <c r="M200" s="32">
        <f t="shared" si="67"/>
        <v>0</v>
      </c>
      <c r="N200" s="31">
        <v>0</v>
      </c>
      <c r="O200" s="31">
        <v>64183.12</v>
      </c>
      <c r="P200" s="32">
        <f t="shared" si="68"/>
        <v>0</v>
      </c>
      <c r="Q200" s="31">
        <v>0</v>
      </c>
      <c r="R200" s="31">
        <v>40728.25</v>
      </c>
      <c r="S200" s="32">
        <f t="shared" si="69"/>
        <v>0</v>
      </c>
      <c r="T200" s="31">
        <v>0</v>
      </c>
      <c r="U200" s="31">
        <v>46958.33</v>
      </c>
      <c r="V200" s="32">
        <f t="shared" si="70"/>
        <v>0</v>
      </c>
      <c r="W200" s="31">
        <v>0</v>
      </c>
      <c r="X200" s="31">
        <v>15145.47</v>
      </c>
      <c r="Y200" s="32">
        <f t="shared" si="71"/>
        <v>0</v>
      </c>
      <c r="Z200" s="31">
        <f t="shared" si="73"/>
        <v>0</v>
      </c>
      <c r="AA200" s="31">
        <f t="shared" si="74"/>
        <v>186128.48</v>
      </c>
      <c r="AB200" s="32">
        <f t="shared" si="72"/>
        <v>0</v>
      </c>
      <c r="AC200" s="31"/>
      <c r="AD200" s="31"/>
      <c r="AE200" s="32" t="str">
        <f t="shared" si="75"/>
        <v/>
      </c>
      <c r="AF200" s="32" t="s">
        <v>313</v>
      </c>
      <c r="AG200" s="31"/>
      <c r="AH200" s="31"/>
      <c r="AI200" s="32" t="str">
        <f t="shared" si="76"/>
        <v/>
      </c>
      <c r="AJ200" s="32" t="s">
        <v>313</v>
      </c>
      <c r="AK200" s="31"/>
      <c r="AL200" s="31"/>
      <c r="AM200" s="32" t="str">
        <f t="shared" si="77"/>
        <v/>
      </c>
      <c r="AN200" s="32" t="s">
        <v>313</v>
      </c>
      <c r="AO200" s="31"/>
      <c r="AP200" s="31"/>
      <c r="AQ200" s="32" t="str">
        <f t="shared" si="78"/>
        <v/>
      </c>
      <c r="AR200" s="32" t="s">
        <v>313</v>
      </c>
      <c r="AS200" s="31"/>
      <c r="AT200" s="31"/>
      <c r="AU200" s="32" t="str">
        <f t="shared" si="79"/>
        <v/>
      </c>
      <c r="AV200" s="32" t="s">
        <v>313</v>
      </c>
      <c r="AW200" s="31"/>
      <c r="AX200" s="31"/>
      <c r="AY200" s="32" t="str">
        <f t="shared" si="80"/>
        <v/>
      </c>
      <c r="AZ200" s="32" t="s">
        <v>313</v>
      </c>
    </row>
    <row r="201" spans="1:52" ht="34" customHeight="1">
      <c r="A201" s="28" t="s">
        <v>231</v>
      </c>
      <c r="B201" s="29" t="s">
        <v>326</v>
      </c>
      <c r="C201" s="29" t="s">
        <v>52</v>
      </c>
      <c r="D201" s="29" t="s">
        <v>54</v>
      </c>
      <c r="E201" s="29" t="s">
        <v>62</v>
      </c>
      <c r="F201" s="29" t="s">
        <v>316</v>
      </c>
      <c r="G201" s="30" t="s">
        <v>312</v>
      </c>
      <c r="H201" s="31"/>
      <c r="I201" s="31">
        <v>645.61</v>
      </c>
      <c r="J201" s="32" t="str">
        <f t="shared" si="66"/>
        <v/>
      </c>
      <c r="K201" s="31"/>
      <c r="L201" s="31">
        <v>18467.7</v>
      </c>
      <c r="M201" s="32" t="str">
        <f t="shared" si="67"/>
        <v/>
      </c>
      <c r="N201" s="31"/>
      <c r="O201" s="31">
        <v>64183.12</v>
      </c>
      <c r="P201" s="32" t="str">
        <f t="shared" si="68"/>
        <v/>
      </c>
      <c r="Q201" s="31"/>
      <c r="R201" s="31">
        <v>40728.25</v>
      </c>
      <c r="S201" s="32" t="str">
        <f t="shared" si="69"/>
        <v/>
      </c>
      <c r="T201" s="31"/>
      <c r="U201" s="31">
        <v>46958.33</v>
      </c>
      <c r="V201" s="32" t="str">
        <f t="shared" si="70"/>
        <v/>
      </c>
      <c r="W201" s="31"/>
      <c r="X201" s="31">
        <v>15145.47</v>
      </c>
      <c r="Y201" s="32" t="str">
        <f t="shared" si="71"/>
        <v/>
      </c>
      <c r="Z201" s="31" t="str">
        <f t="shared" si="73"/>
        <v/>
      </c>
      <c r="AA201" s="31">
        <f t="shared" si="74"/>
        <v>186128.48</v>
      </c>
      <c r="AB201" s="32" t="str">
        <f t="shared" si="72"/>
        <v/>
      </c>
      <c r="AC201" s="31"/>
      <c r="AD201" s="31"/>
      <c r="AE201" s="32" t="str">
        <f t="shared" si="75"/>
        <v/>
      </c>
      <c r="AF201" s="32" t="s">
        <v>313</v>
      </c>
      <c r="AG201" s="31"/>
      <c r="AH201" s="31"/>
      <c r="AI201" s="32" t="str">
        <f t="shared" si="76"/>
        <v/>
      </c>
      <c r="AJ201" s="32" t="s">
        <v>313</v>
      </c>
      <c r="AK201" s="31"/>
      <c r="AL201" s="31"/>
      <c r="AM201" s="32" t="str">
        <f t="shared" si="77"/>
        <v/>
      </c>
      <c r="AN201" s="32" t="s">
        <v>313</v>
      </c>
      <c r="AO201" s="31"/>
      <c r="AP201" s="31"/>
      <c r="AQ201" s="32" t="str">
        <f t="shared" si="78"/>
        <v/>
      </c>
      <c r="AR201" s="32" t="s">
        <v>313</v>
      </c>
      <c r="AS201" s="31"/>
      <c r="AT201" s="31"/>
      <c r="AU201" s="32" t="str">
        <f t="shared" si="79"/>
        <v/>
      </c>
      <c r="AV201" s="32" t="s">
        <v>313</v>
      </c>
      <c r="AW201" s="31"/>
      <c r="AX201" s="31"/>
      <c r="AY201" s="32" t="str">
        <f t="shared" si="80"/>
        <v/>
      </c>
      <c r="AZ201" s="32" t="s">
        <v>313</v>
      </c>
    </row>
    <row r="202" spans="1:52" ht="34" customHeight="1">
      <c r="A202" s="28" t="s">
        <v>231</v>
      </c>
      <c r="B202" s="29" t="s">
        <v>326</v>
      </c>
      <c r="C202" s="29" t="s">
        <v>52</v>
      </c>
      <c r="D202" s="29" t="s">
        <v>54</v>
      </c>
      <c r="E202" s="29" t="s">
        <v>63</v>
      </c>
      <c r="F202" s="29" t="s">
        <v>316</v>
      </c>
      <c r="G202" s="30" t="s">
        <v>312</v>
      </c>
      <c r="H202" s="31"/>
      <c r="I202" s="31">
        <v>645.61</v>
      </c>
      <c r="J202" s="32" t="str">
        <f t="shared" si="66"/>
        <v/>
      </c>
      <c r="K202" s="31"/>
      <c r="L202" s="31">
        <v>18467.7</v>
      </c>
      <c r="M202" s="32" t="str">
        <f t="shared" si="67"/>
        <v/>
      </c>
      <c r="N202" s="31"/>
      <c r="O202" s="31">
        <v>64183.12</v>
      </c>
      <c r="P202" s="32" t="str">
        <f t="shared" si="68"/>
        <v/>
      </c>
      <c r="Q202" s="31"/>
      <c r="R202" s="31">
        <v>40728.25</v>
      </c>
      <c r="S202" s="32" t="str">
        <f t="shared" si="69"/>
        <v/>
      </c>
      <c r="T202" s="31"/>
      <c r="U202" s="31">
        <v>46958.33</v>
      </c>
      <c r="V202" s="32" t="str">
        <f t="shared" si="70"/>
        <v/>
      </c>
      <c r="W202" s="31"/>
      <c r="X202" s="31">
        <v>15145.47</v>
      </c>
      <c r="Y202" s="32" t="str">
        <f t="shared" si="71"/>
        <v/>
      </c>
      <c r="Z202" s="31" t="str">
        <f t="shared" si="73"/>
        <v/>
      </c>
      <c r="AA202" s="31">
        <f t="shared" si="74"/>
        <v>186128.48</v>
      </c>
      <c r="AB202" s="32" t="str">
        <f t="shared" si="72"/>
        <v/>
      </c>
      <c r="AC202" s="31"/>
      <c r="AD202" s="31"/>
      <c r="AE202" s="32" t="str">
        <f t="shared" si="75"/>
        <v/>
      </c>
      <c r="AF202" s="32" t="s">
        <v>313</v>
      </c>
      <c r="AG202" s="31"/>
      <c r="AH202" s="31"/>
      <c r="AI202" s="32" t="str">
        <f t="shared" si="76"/>
        <v/>
      </c>
      <c r="AJ202" s="32" t="s">
        <v>313</v>
      </c>
      <c r="AK202" s="31"/>
      <c r="AL202" s="31"/>
      <c r="AM202" s="32" t="str">
        <f t="shared" si="77"/>
        <v/>
      </c>
      <c r="AN202" s="32" t="s">
        <v>313</v>
      </c>
      <c r="AO202" s="31"/>
      <c r="AP202" s="31"/>
      <c r="AQ202" s="32" t="str">
        <f t="shared" si="78"/>
        <v/>
      </c>
      <c r="AR202" s="32" t="s">
        <v>313</v>
      </c>
      <c r="AS202" s="31"/>
      <c r="AT202" s="31"/>
      <c r="AU202" s="32" t="str">
        <f t="shared" si="79"/>
        <v/>
      </c>
      <c r="AV202" s="32" t="s">
        <v>313</v>
      </c>
      <c r="AW202" s="31"/>
      <c r="AX202" s="31"/>
      <c r="AY202" s="32" t="str">
        <f t="shared" si="80"/>
        <v/>
      </c>
      <c r="AZ202" s="32" t="s">
        <v>313</v>
      </c>
    </row>
    <row r="203" spans="1:52" ht="34" customHeight="1">
      <c r="A203" s="28" t="s">
        <v>231</v>
      </c>
      <c r="B203" s="29" t="s">
        <v>326</v>
      </c>
      <c r="C203" s="29" t="s">
        <v>52</v>
      </c>
      <c r="D203" s="29" t="s">
        <v>65</v>
      </c>
      <c r="E203" s="29" t="s">
        <v>66</v>
      </c>
      <c r="F203" s="29" t="s">
        <v>316</v>
      </c>
      <c r="G203" s="30" t="s">
        <v>312</v>
      </c>
      <c r="H203" s="31"/>
      <c r="I203" s="31">
        <v>645.61</v>
      </c>
      <c r="J203" s="32" t="str">
        <f t="shared" si="66"/>
        <v/>
      </c>
      <c r="K203" s="31"/>
      <c r="L203" s="31">
        <v>18467.7</v>
      </c>
      <c r="M203" s="32" t="str">
        <f t="shared" si="67"/>
        <v/>
      </c>
      <c r="N203" s="31"/>
      <c r="O203" s="31">
        <v>64183.12</v>
      </c>
      <c r="P203" s="32" t="str">
        <f t="shared" si="68"/>
        <v/>
      </c>
      <c r="Q203" s="31"/>
      <c r="R203" s="31">
        <v>40728.25</v>
      </c>
      <c r="S203" s="32" t="str">
        <f t="shared" si="69"/>
        <v/>
      </c>
      <c r="T203" s="31"/>
      <c r="U203" s="31">
        <v>46958.33</v>
      </c>
      <c r="V203" s="32" t="str">
        <f t="shared" si="70"/>
        <v/>
      </c>
      <c r="W203" s="31"/>
      <c r="X203" s="31">
        <v>15145.47</v>
      </c>
      <c r="Y203" s="32" t="str">
        <f t="shared" si="71"/>
        <v/>
      </c>
      <c r="Z203" s="31" t="str">
        <f t="shared" si="73"/>
        <v/>
      </c>
      <c r="AA203" s="31">
        <f t="shared" si="74"/>
        <v>186128.48</v>
      </c>
      <c r="AB203" s="32" t="str">
        <f t="shared" si="72"/>
        <v/>
      </c>
      <c r="AC203" s="31"/>
      <c r="AD203" s="31"/>
      <c r="AE203" s="32" t="str">
        <f t="shared" si="75"/>
        <v/>
      </c>
      <c r="AF203" s="32" t="s">
        <v>313</v>
      </c>
      <c r="AG203" s="31"/>
      <c r="AH203" s="31"/>
      <c r="AI203" s="32" t="str">
        <f t="shared" si="76"/>
        <v/>
      </c>
      <c r="AJ203" s="32" t="s">
        <v>313</v>
      </c>
      <c r="AK203" s="31"/>
      <c r="AL203" s="31"/>
      <c r="AM203" s="32" t="str">
        <f t="shared" si="77"/>
        <v/>
      </c>
      <c r="AN203" s="32" t="s">
        <v>313</v>
      </c>
      <c r="AO203" s="31"/>
      <c r="AP203" s="31"/>
      <c r="AQ203" s="32" t="str">
        <f t="shared" si="78"/>
        <v/>
      </c>
      <c r="AR203" s="32" t="s">
        <v>313</v>
      </c>
      <c r="AS203" s="31"/>
      <c r="AT203" s="31"/>
      <c r="AU203" s="32" t="str">
        <f t="shared" si="79"/>
        <v/>
      </c>
      <c r="AV203" s="32" t="s">
        <v>313</v>
      </c>
      <c r="AW203" s="31"/>
      <c r="AX203" s="31"/>
      <c r="AY203" s="32" t="str">
        <f t="shared" si="80"/>
        <v/>
      </c>
      <c r="AZ203" s="32" t="s">
        <v>313</v>
      </c>
    </row>
    <row r="204" spans="1:52" ht="34" customHeight="1">
      <c r="A204" s="28" t="s">
        <v>231</v>
      </c>
      <c r="B204" s="29" t="s">
        <v>326</v>
      </c>
      <c r="C204" s="29" t="s">
        <v>52</v>
      </c>
      <c r="D204" s="29" t="s">
        <v>65</v>
      </c>
      <c r="E204" s="29" t="s">
        <v>67</v>
      </c>
      <c r="F204" s="29" t="s">
        <v>316</v>
      </c>
      <c r="G204" s="30" t="s">
        <v>312</v>
      </c>
      <c r="H204" s="31"/>
      <c r="I204" s="31">
        <v>645.61</v>
      </c>
      <c r="J204" s="32" t="str">
        <f t="shared" si="66"/>
        <v/>
      </c>
      <c r="K204" s="31"/>
      <c r="L204" s="31">
        <v>18467.7</v>
      </c>
      <c r="M204" s="32" t="str">
        <f t="shared" si="67"/>
        <v/>
      </c>
      <c r="N204" s="31"/>
      <c r="O204" s="31">
        <v>64183.12</v>
      </c>
      <c r="P204" s="32" t="str">
        <f t="shared" si="68"/>
        <v/>
      </c>
      <c r="Q204" s="31"/>
      <c r="R204" s="31">
        <v>40728.25</v>
      </c>
      <c r="S204" s="32" t="str">
        <f t="shared" si="69"/>
        <v/>
      </c>
      <c r="T204" s="31"/>
      <c r="U204" s="31">
        <v>46958.33</v>
      </c>
      <c r="V204" s="32" t="str">
        <f t="shared" si="70"/>
        <v/>
      </c>
      <c r="W204" s="31"/>
      <c r="X204" s="31">
        <v>15145.47</v>
      </c>
      <c r="Y204" s="32" t="str">
        <f t="shared" si="71"/>
        <v/>
      </c>
      <c r="Z204" s="31" t="str">
        <f t="shared" si="73"/>
        <v/>
      </c>
      <c r="AA204" s="31">
        <f t="shared" si="74"/>
        <v>186128.48</v>
      </c>
      <c r="AB204" s="32" t="str">
        <f t="shared" si="72"/>
        <v/>
      </c>
      <c r="AC204" s="31"/>
      <c r="AD204" s="31"/>
      <c r="AE204" s="32" t="str">
        <f t="shared" si="75"/>
        <v/>
      </c>
      <c r="AF204" s="32" t="s">
        <v>313</v>
      </c>
      <c r="AG204" s="31"/>
      <c r="AH204" s="31"/>
      <c r="AI204" s="32" t="str">
        <f t="shared" si="76"/>
        <v/>
      </c>
      <c r="AJ204" s="32" t="s">
        <v>313</v>
      </c>
      <c r="AK204" s="31"/>
      <c r="AL204" s="31"/>
      <c r="AM204" s="32" t="str">
        <f t="shared" si="77"/>
        <v/>
      </c>
      <c r="AN204" s="32" t="s">
        <v>313</v>
      </c>
      <c r="AO204" s="31"/>
      <c r="AP204" s="31"/>
      <c r="AQ204" s="32" t="str">
        <f t="shared" si="78"/>
        <v/>
      </c>
      <c r="AR204" s="32" t="s">
        <v>313</v>
      </c>
      <c r="AS204" s="31"/>
      <c r="AT204" s="31"/>
      <c r="AU204" s="32" t="str">
        <f t="shared" si="79"/>
        <v/>
      </c>
      <c r="AV204" s="32" t="s">
        <v>313</v>
      </c>
      <c r="AW204" s="31"/>
      <c r="AX204" s="31"/>
      <c r="AY204" s="32" t="str">
        <f t="shared" si="80"/>
        <v/>
      </c>
      <c r="AZ204" s="32" t="s">
        <v>313</v>
      </c>
    </row>
    <row r="205" spans="1:52" ht="34" customHeight="1">
      <c r="A205" s="28" t="s">
        <v>231</v>
      </c>
      <c r="B205" s="29" t="s">
        <v>326</v>
      </c>
      <c r="C205" s="29" t="s">
        <v>52</v>
      </c>
      <c r="D205" s="29" t="s">
        <v>65</v>
      </c>
      <c r="E205" s="29" t="s">
        <v>68</v>
      </c>
      <c r="F205" s="29" t="s">
        <v>316</v>
      </c>
      <c r="G205" s="30" t="s">
        <v>312</v>
      </c>
      <c r="H205" s="31"/>
      <c r="I205" s="31">
        <v>645.61</v>
      </c>
      <c r="J205" s="32" t="str">
        <f t="shared" si="66"/>
        <v/>
      </c>
      <c r="K205" s="31"/>
      <c r="L205" s="31">
        <v>18467.7</v>
      </c>
      <c r="M205" s="32" t="str">
        <f t="shared" si="67"/>
        <v/>
      </c>
      <c r="N205" s="31"/>
      <c r="O205" s="31">
        <v>64183.12</v>
      </c>
      <c r="P205" s="32" t="str">
        <f t="shared" si="68"/>
        <v/>
      </c>
      <c r="Q205" s="31"/>
      <c r="R205" s="31">
        <v>40728.25</v>
      </c>
      <c r="S205" s="32" t="str">
        <f t="shared" si="69"/>
        <v/>
      </c>
      <c r="T205" s="31"/>
      <c r="U205" s="31">
        <v>46958.33</v>
      </c>
      <c r="V205" s="32" t="str">
        <f t="shared" si="70"/>
        <v/>
      </c>
      <c r="W205" s="31"/>
      <c r="X205" s="31">
        <v>15145.47</v>
      </c>
      <c r="Y205" s="32" t="str">
        <f t="shared" si="71"/>
        <v/>
      </c>
      <c r="Z205" s="31" t="str">
        <f t="shared" si="73"/>
        <v/>
      </c>
      <c r="AA205" s="31">
        <f t="shared" si="74"/>
        <v>186128.48</v>
      </c>
      <c r="AB205" s="32" t="str">
        <f t="shared" si="72"/>
        <v/>
      </c>
      <c r="AC205" s="31"/>
      <c r="AD205" s="31"/>
      <c r="AE205" s="32" t="str">
        <f t="shared" si="75"/>
        <v/>
      </c>
      <c r="AF205" s="32" t="s">
        <v>313</v>
      </c>
      <c r="AG205" s="31"/>
      <c r="AH205" s="31"/>
      <c r="AI205" s="32" t="str">
        <f t="shared" si="76"/>
        <v/>
      </c>
      <c r="AJ205" s="32" t="s">
        <v>313</v>
      </c>
      <c r="AK205" s="31"/>
      <c r="AL205" s="31"/>
      <c r="AM205" s="32" t="str">
        <f t="shared" si="77"/>
        <v/>
      </c>
      <c r="AN205" s="32" t="s">
        <v>313</v>
      </c>
      <c r="AO205" s="31"/>
      <c r="AP205" s="31"/>
      <c r="AQ205" s="32" t="str">
        <f t="shared" si="78"/>
        <v/>
      </c>
      <c r="AR205" s="32" t="s">
        <v>313</v>
      </c>
      <c r="AS205" s="31"/>
      <c r="AT205" s="31"/>
      <c r="AU205" s="32" t="str">
        <f t="shared" si="79"/>
        <v/>
      </c>
      <c r="AV205" s="32" t="s">
        <v>313</v>
      </c>
      <c r="AW205" s="31"/>
      <c r="AX205" s="31"/>
      <c r="AY205" s="32" t="str">
        <f t="shared" si="80"/>
        <v/>
      </c>
      <c r="AZ205" s="32" t="s">
        <v>313</v>
      </c>
    </row>
    <row r="206" spans="1:52" ht="34" customHeight="1">
      <c r="A206" s="28" t="s">
        <v>231</v>
      </c>
      <c r="B206" s="29" t="s">
        <v>326</v>
      </c>
      <c r="C206" s="29" t="s">
        <v>52</v>
      </c>
      <c r="D206" s="29" t="s">
        <v>65</v>
      </c>
      <c r="E206" s="29" t="s">
        <v>69</v>
      </c>
      <c r="F206" s="29" t="s">
        <v>316</v>
      </c>
      <c r="G206" s="30" t="s">
        <v>312</v>
      </c>
      <c r="H206" s="31"/>
      <c r="I206" s="31">
        <v>645.61</v>
      </c>
      <c r="J206" s="32" t="str">
        <f t="shared" si="66"/>
        <v/>
      </c>
      <c r="K206" s="31"/>
      <c r="L206" s="31">
        <v>18467.7</v>
      </c>
      <c r="M206" s="32" t="str">
        <f t="shared" si="67"/>
        <v/>
      </c>
      <c r="N206" s="31"/>
      <c r="O206" s="31">
        <v>64183.12</v>
      </c>
      <c r="P206" s="32" t="str">
        <f t="shared" si="68"/>
        <v/>
      </c>
      <c r="Q206" s="31"/>
      <c r="R206" s="31">
        <v>40728.25</v>
      </c>
      <c r="S206" s="32" t="str">
        <f t="shared" si="69"/>
        <v/>
      </c>
      <c r="T206" s="31"/>
      <c r="U206" s="31">
        <v>46958.33</v>
      </c>
      <c r="V206" s="32" t="str">
        <f t="shared" si="70"/>
        <v/>
      </c>
      <c r="W206" s="31"/>
      <c r="X206" s="31">
        <v>15145.47</v>
      </c>
      <c r="Y206" s="32" t="str">
        <f t="shared" si="71"/>
        <v/>
      </c>
      <c r="Z206" s="31" t="str">
        <f t="shared" si="73"/>
        <v/>
      </c>
      <c r="AA206" s="31">
        <f t="shared" si="74"/>
        <v>186128.48</v>
      </c>
      <c r="AB206" s="32" t="str">
        <f t="shared" si="72"/>
        <v/>
      </c>
      <c r="AC206" s="31"/>
      <c r="AD206" s="31"/>
      <c r="AE206" s="32" t="str">
        <f t="shared" si="75"/>
        <v/>
      </c>
      <c r="AF206" s="32" t="s">
        <v>313</v>
      </c>
      <c r="AG206" s="31"/>
      <c r="AH206" s="31"/>
      <c r="AI206" s="32" t="str">
        <f t="shared" si="76"/>
        <v/>
      </c>
      <c r="AJ206" s="32" t="s">
        <v>313</v>
      </c>
      <c r="AK206" s="31"/>
      <c r="AL206" s="31"/>
      <c r="AM206" s="32" t="str">
        <f t="shared" si="77"/>
        <v/>
      </c>
      <c r="AN206" s="32" t="s">
        <v>313</v>
      </c>
      <c r="AO206" s="31"/>
      <c r="AP206" s="31"/>
      <c r="AQ206" s="32" t="str">
        <f t="shared" si="78"/>
        <v/>
      </c>
      <c r="AR206" s="32" t="s">
        <v>313</v>
      </c>
      <c r="AS206" s="31"/>
      <c r="AT206" s="31"/>
      <c r="AU206" s="32" t="str">
        <f t="shared" si="79"/>
        <v/>
      </c>
      <c r="AV206" s="32" t="s">
        <v>313</v>
      </c>
      <c r="AW206" s="31"/>
      <c r="AX206" s="31"/>
      <c r="AY206" s="32" t="str">
        <f t="shared" si="80"/>
        <v/>
      </c>
      <c r="AZ206" s="32" t="s">
        <v>313</v>
      </c>
    </row>
    <row r="207" spans="1:52" ht="68" customHeight="1">
      <c r="A207" s="28" t="s">
        <v>231</v>
      </c>
      <c r="B207" s="29" t="s">
        <v>326</v>
      </c>
      <c r="C207" s="29" t="s">
        <v>52</v>
      </c>
      <c r="D207" s="29" t="s">
        <v>70</v>
      </c>
      <c r="E207" s="29" t="s">
        <v>73</v>
      </c>
      <c r="F207" s="29" t="s">
        <v>317</v>
      </c>
      <c r="G207" s="30" t="s">
        <v>312</v>
      </c>
      <c r="H207" s="31">
        <v>0</v>
      </c>
      <c r="I207" s="31">
        <v>645.61</v>
      </c>
      <c r="J207" s="32">
        <f t="shared" si="66"/>
        <v>0</v>
      </c>
      <c r="K207" s="31">
        <v>185.4</v>
      </c>
      <c r="L207" s="31">
        <v>18467.7</v>
      </c>
      <c r="M207" s="32">
        <f t="shared" si="67"/>
        <v>1.0039149433876444E-2</v>
      </c>
      <c r="N207" s="31">
        <v>1720.1</v>
      </c>
      <c r="O207" s="31">
        <v>64183.12</v>
      </c>
      <c r="P207" s="32">
        <f t="shared" si="68"/>
        <v>2.6799881339517304E-2</v>
      </c>
      <c r="Q207" s="31">
        <v>1093.8599999999999</v>
      </c>
      <c r="R207" s="31">
        <v>40728.25</v>
      </c>
      <c r="S207" s="32">
        <f t="shared" si="69"/>
        <v>2.6857525182152436E-2</v>
      </c>
      <c r="T207" s="31">
        <v>1019.7</v>
      </c>
      <c r="U207" s="31">
        <v>46958.33</v>
      </c>
      <c r="V207" s="32">
        <f t="shared" si="70"/>
        <v>2.1714997104880007E-2</v>
      </c>
      <c r="W207" s="31">
        <v>638.6</v>
      </c>
      <c r="X207" s="31">
        <v>15145.47</v>
      </c>
      <c r="Y207" s="32">
        <f t="shared" si="71"/>
        <v>4.2164422761393344E-2</v>
      </c>
      <c r="Z207" s="31">
        <f t="shared" si="73"/>
        <v>4657.66</v>
      </c>
      <c r="AA207" s="31">
        <f t="shared" si="74"/>
        <v>186128.48</v>
      </c>
      <c r="AB207" s="32">
        <f t="shared" si="72"/>
        <v>2.5023897471252114E-2</v>
      </c>
      <c r="AC207" s="31"/>
      <c r="AD207" s="31"/>
      <c r="AE207" s="32" t="str">
        <f t="shared" si="75"/>
        <v/>
      </c>
      <c r="AF207" s="32" t="s">
        <v>313</v>
      </c>
      <c r="AG207" s="31"/>
      <c r="AH207" s="31"/>
      <c r="AI207" s="32" t="str">
        <f t="shared" si="76"/>
        <v/>
      </c>
      <c r="AJ207" s="32" t="s">
        <v>313</v>
      </c>
      <c r="AK207" s="31"/>
      <c r="AL207" s="31"/>
      <c r="AM207" s="32" t="str">
        <f t="shared" si="77"/>
        <v/>
      </c>
      <c r="AN207" s="32" t="s">
        <v>313</v>
      </c>
      <c r="AO207" s="31"/>
      <c r="AP207" s="31"/>
      <c r="AQ207" s="32" t="str">
        <f t="shared" si="78"/>
        <v/>
      </c>
      <c r="AR207" s="32" t="s">
        <v>313</v>
      </c>
      <c r="AS207" s="31"/>
      <c r="AT207" s="31"/>
      <c r="AU207" s="32" t="str">
        <f t="shared" si="79"/>
        <v/>
      </c>
      <c r="AV207" s="32" t="s">
        <v>313</v>
      </c>
      <c r="AW207" s="31"/>
      <c r="AX207" s="31"/>
      <c r="AY207" s="32" t="str">
        <f t="shared" si="80"/>
        <v/>
      </c>
      <c r="AZ207" s="32" t="s">
        <v>313</v>
      </c>
    </row>
    <row r="208" spans="1:52" ht="34" customHeight="1">
      <c r="A208" s="28" t="s">
        <v>231</v>
      </c>
      <c r="B208" s="29" t="s">
        <v>326</v>
      </c>
      <c r="C208" s="29" t="s">
        <v>52</v>
      </c>
      <c r="D208" s="29" t="s">
        <v>70</v>
      </c>
      <c r="E208" s="29" t="s">
        <v>71</v>
      </c>
      <c r="F208" s="29" t="s">
        <v>316</v>
      </c>
      <c r="G208" s="30" t="s">
        <v>312</v>
      </c>
      <c r="H208" s="31"/>
      <c r="I208" s="31">
        <v>645.61</v>
      </c>
      <c r="J208" s="32" t="str">
        <f t="shared" si="66"/>
        <v/>
      </c>
      <c r="K208" s="31"/>
      <c r="L208" s="31">
        <v>18467.7</v>
      </c>
      <c r="M208" s="32" t="str">
        <f t="shared" si="67"/>
        <v/>
      </c>
      <c r="N208" s="31"/>
      <c r="O208" s="31">
        <v>64183.12</v>
      </c>
      <c r="P208" s="32" t="str">
        <f t="shared" si="68"/>
        <v/>
      </c>
      <c r="Q208" s="31"/>
      <c r="R208" s="31">
        <v>40728.25</v>
      </c>
      <c r="S208" s="32" t="str">
        <f t="shared" si="69"/>
        <v/>
      </c>
      <c r="T208" s="31"/>
      <c r="U208" s="31">
        <v>46958.33</v>
      </c>
      <c r="V208" s="32" t="str">
        <f t="shared" si="70"/>
        <v/>
      </c>
      <c r="W208" s="31"/>
      <c r="X208" s="31">
        <v>15145.47</v>
      </c>
      <c r="Y208" s="32" t="str">
        <f t="shared" si="71"/>
        <v/>
      </c>
      <c r="Z208" s="31" t="str">
        <f t="shared" si="73"/>
        <v/>
      </c>
      <c r="AA208" s="31">
        <f t="shared" si="74"/>
        <v>186128.48</v>
      </c>
      <c r="AB208" s="32" t="str">
        <f t="shared" si="72"/>
        <v/>
      </c>
      <c r="AC208" s="31"/>
      <c r="AD208" s="31"/>
      <c r="AE208" s="32" t="str">
        <f t="shared" si="75"/>
        <v/>
      </c>
      <c r="AF208" s="32" t="s">
        <v>313</v>
      </c>
      <c r="AG208" s="31"/>
      <c r="AH208" s="31"/>
      <c r="AI208" s="32" t="str">
        <f t="shared" si="76"/>
        <v/>
      </c>
      <c r="AJ208" s="32" t="s">
        <v>313</v>
      </c>
      <c r="AK208" s="31"/>
      <c r="AL208" s="31"/>
      <c r="AM208" s="32" t="str">
        <f t="shared" si="77"/>
        <v/>
      </c>
      <c r="AN208" s="32" t="s">
        <v>313</v>
      </c>
      <c r="AO208" s="31"/>
      <c r="AP208" s="31"/>
      <c r="AQ208" s="32" t="str">
        <f t="shared" si="78"/>
        <v/>
      </c>
      <c r="AR208" s="32" t="s">
        <v>313</v>
      </c>
      <c r="AS208" s="31"/>
      <c r="AT208" s="31"/>
      <c r="AU208" s="32" t="str">
        <f t="shared" si="79"/>
        <v/>
      </c>
      <c r="AV208" s="32" t="s">
        <v>313</v>
      </c>
      <c r="AW208" s="31"/>
      <c r="AX208" s="31"/>
      <c r="AY208" s="32" t="str">
        <f t="shared" si="80"/>
        <v/>
      </c>
      <c r="AZ208" s="32" t="s">
        <v>313</v>
      </c>
    </row>
    <row r="209" spans="1:52" ht="34" customHeight="1">
      <c r="A209" s="28" t="s">
        <v>231</v>
      </c>
      <c r="B209" s="29" t="s">
        <v>326</v>
      </c>
      <c r="C209" s="29" t="s">
        <v>52</v>
      </c>
      <c r="D209" s="29" t="s">
        <v>70</v>
      </c>
      <c r="E209" s="29" t="s">
        <v>72</v>
      </c>
      <c r="F209" s="29" t="s">
        <v>316</v>
      </c>
      <c r="G209" s="30" t="s">
        <v>312</v>
      </c>
      <c r="H209" s="31"/>
      <c r="I209" s="31">
        <v>645.61</v>
      </c>
      <c r="J209" s="32" t="str">
        <f t="shared" si="66"/>
        <v/>
      </c>
      <c r="K209" s="31"/>
      <c r="L209" s="31">
        <v>18467.7</v>
      </c>
      <c r="M209" s="32" t="str">
        <f t="shared" si="67"/>
        <v/>
      </c>
      <c r="N209" s="31"/>
      <c r="O209" s="31">
        <v>64183.12</v>
      </c>
      <c r="P209" s="32" t="str">
        <f t="shared" si="68"/>
        <v/>
      </c>
      <c r="Q209" s="31"/>
      <c r="R209" s="31">
        <v>40728.25</v>
      </c>
      <c r="S209" s="32" t="str">
        <f t="shared" si="69"/>
        <v/>
      </c>
      <c r="T209" s="31"/>
      <c r="U209" s="31">
        <v>46958.33</v>
      </c>
      <c r="V209" s="32" t="str">
        <f t="shared" si="70"/>
        <v/>
      </c>
      <c r="W209" s="31"/>
      <c r="X209" s="31">
        <v>15145.47</v>
      </c>
      <c r="Y209" s="32" t="str">
        <f t="shared" si="71"/>
        <v/>
      </c>
      <c r="Z209" s="31" t="str">
        <f t="shared" si="73"/>
        <v/>
      </c>
      <c r="AA209" s="31">
        <f t="shared" si="74"/>
        <v>186128.48</v>
      </c>
      <c r="AB209" s="32" t="str">
        <f t="shared" si="72"/>
        <v/>
      </c>
      <c r="AC209" s="31"/>
      <c r="AD209" s="31"/>
      <c r="AE209" s="32" t="str">
        <f t="shared" si="75"/>
        <v/>
      </c>
      <c r="AF209" s="32" t="s">
        <v>313</v>
      </c>
      <c r="AG209" s="31"/>
      <c r="AH209" s="31"/>
      <c r="AI209" s="32" t="str">
        <f t="shared" si="76"/>
        <v/>
      </c>
      <c r="AJ209" s="32" t="s">
        <v>313</v>
      </c>
      <c r="AK209" s="31"/>
      <c r="AL209" s="31"/>
      <c r="AM209" s="32" t="str">
        <f t="shared" si="77"/>
        <v/>
      </c>
      <c r="AN209" s="32" t="s">
        <v>313</v>
      </c>
      <c r="AO209" s="31"/>
      <c r="AP209" s="31"/>
      <c r="AQ209" s="32" t="str">
        <f t="shared" si="78"/>
        <v/>
      </c>
      <c r="AR209" s="32" t="s">
        <v>313</v>
      </c>
      <c r="AS209" s="31"/>
      <c r="AT209" s="31"/>
      <c r="AU209" s="32" t="str">
        <f t="shared" si="79"/>
        <v/>
      </c>
      <c r="AV209" s="32" t="s">
        <v>313</v>
      </c>
      <c r="AW209" s="31"/>
      <c r="AX209" s="31"/>
      <c r="AY209" s="32" t="str">
        <f t="shared" si="80"/>
        <v/>
      </c>
      <c r="AZ209" s="32" t="s">
        <v>313</v>
      </c>
    </row>
    <row r="210" spans="1:52" ht="34" customHeight="1">
      <c r="A210" s="28" t="s">
        <v>231</v>
      </c>
      <c r="B210" s="29" t="s">
        <v>326</v>
      </c>
      <c r="C210" s="29" t="s">
        <v>52</v>
      </c>
      <c r="D210" s="29" t="s">
        <v>74</v>
      </c>
      <c r="E210" s="29" t="s">
        <v>75</v>
      </c>
      <c r="F210" s="29" t="s">
        <v>139</v>
      </c>
      <c r="G210" s="30" t="s">
        <v>312</v>
      </c>
      <c r="H210" s="31">
        <v>24.7</v>
      </c>
      <c r="I210" s="31">
        <v>645.61</v>
      </c>
      <c r="J210" s="32">
        <f t="shared" si="66"/>
        <v>3.8258391288858599E-2</v>
      </c>
      <c r="K210" s="31">
        <v>1240.0999999999999</v>
      </c>
      <c r="L210" s="31">
        <v>18467.7</v>
      </c>
      <c r="M210" s="32">
        <f t="shared" si="67"/>
        <v>6.7149672130259852E-2</v>
      </c>
      <c r="N210" s="31">
        <v>2643.3</v>
      </c>
      <c r="O210" s="31">
        <v>64183.12</v>
      </c>
      <c r="P210" s="32">
        <f t="shared" si="68"/>
        <v>4.1183725565226495E-2</v>
      </c>
      <c r="Q210" s="31">
        <v>2055</v>
      </c>
      <c r="R210" s="31">
        <v>40728.25</v>
      </c>
      <c r="S210" s="32">
        <f t="shared" si="69"/>
        <v>5.0456378557880585E-2</v>
      </c>
      <c r="T210" s="31">
        <v>2316.06</v>
      </c>
      <c r="U210" s="31">
        <v>46958.33</v>
      </c>
      <c r="V210" s="32">
        <f t="shared" si="70"/>
        <v>4.9321600661693034E-2</v>
      </c>
      <c r="W210" s="31">
        <v>697</v>
      </c>
      <c r="X210" s="31">
        <v>15145.47</v>
      </c>
      <c r="Y210" s="32">
        <f t="shared" si="71"/>
        <v>4.6020361203713056E-2</v>
      </c>
      <c r="Z210" s="31">
        <f t="shared" si="73"/>
        <v>8976.16</v>
      </c>
      <c r="AA210" s="31">
        <f t="shared" si="74"/>
        <v>186128.48</v>
      </c>
      <c r="AB210" s="32">
        <f t="shared" si="72"/>
        <v>4.8225612759530405E-2</v>
      </c>
      <c r="AC210" s="31"/>
      <c r="AD210" s="31"/>
      <c r="AE210" s="32" t="str">
        <f t="shared" si="75"/>
        <v/>
      </c>
      <c r="AF210" s="32" t="s">
        <v>313</v>
      </c>
      <c r="AG210" s="31"/>
      <c r="AH210" s="31"/>
      <c r="AI210" s="32" t="str">
        <f t="shared" si="76"/>
        <v/>
      </c>
      <c r="AJ210" s="32" t="s">
        <v>313</v>
      </c>
      <c r="AK210" s="31"/>
      <c r="AL210" s="31"/>
      <c r="AM210" s="32" t="str">
        <f t="shared" si="77"/>
        <v/>
      </c>
      <c r="AN210" s="32" t="s">
        <v>313</v>
      </c>
      <c r="AO210" s="31"/>
      <c r="AP210" s="31"/>
      <c r="AQ210" s="32" t="str">
        <f t="shared" si="78"/>
        <v/>
      </c>
      <c r="AR210" s="32" t="s">
        <v>313</v>
      </c>
      <c r="AS210" s="31"/>
      <c r="AT210" s="31"/>
      <c r="AU210" s="32" t="str">
        <f t="shared" si="79"/>
        <v/>
      </c>
      <c r="AV210" s="32" t="s">
        <v>313</v>
      </c>
      <c r="AW210" s="31"/>
      <c r="AX210" s="31"/>
      <c r="AY210" s="32" t="str">
        <f t="shared" si="80"/>
        <v/>
      </c>
      <c r="AZ210" s="32" t="s">
        <v>313</v>
      </c>
    </row>
    <row r="211" spans="1:52" ht="34" customHeight="1">
      <c r="A211" s="28" t="s">
        <v>231</v>
      </c>
      <c r="B211" s="29" t="s">
        <v>326</v>
      </c>
      <c r="C211" s="29" t="s">
        <v>52</v>
      </c>
      <c r="D211" s="29" t="s">
        <v>74</v>
      </c>
      <c r="E211" s="29" t="s">
        <v>76</v>
      </c>
      <c r="F211" s="29" t="s">
        <v>141</v>
      </c>
      <c r="G211" s="30" t="s">
        <v>312</v>
      </c>
      <c r="H211" s="31">
        <v>10.911619999999999</v>
      </c>
      <c r="I211" s="31">
        <v>645.61</v>
      </c>
      <c r="J211" s="32">
        <f t="shared" si="66"/>
        <v>1.6901256176329361E-2</v>
      </c>
      <c r="K211" s="31">
        <v>390.59920714825103</v>
      </c>
      <c r="L211" s="31">
        <v>18467.7</v>
      </c>
      <c r="M211" s="32">
        <f t="shared" si="67"/>
        <v>2.1150398108494887E-2</v>
      </c>
      <c r="N211" s="31">
        <v>943.32</v>
      </c>
      <c r="O211" s="31">
        <v>64183.12</v>
      </c>
      <c r="P211" s="32">
        <f t="shared" si="68"/>
        <v>1.4697322286607445E-2</v>
      </c>
      <c r="Q211" s="31">
        <v>728.75</v>
      </c>
      <c r="R211" s="31">
        <v>40728.25</v>
      </c>
      <c r="S211" s="32">
        <f t="shared" si="69"/>
        <v>1.7892985826790987E-2</v>
      </c>
      <c r="T211" s="31">
        <v>818.77</v>
      </c>
      <c r="U211" s="31">
        <v>46958.33</v>
      </c>
      <c r="V211" s="32">
        <f t="shared" si="70"/>
        <v>1.7436097067336082E-2</v>
      </c>
      <c r="W211" s="31">
        <v>245.47</v>
      </c>
      <c r="X211" s="31">
        <v>15145.47</v>
      </c>
      <c r="Y211" s="32">
        <f t="shared" si="71"/>
        <v>1.6207486462948988E-2</v>
      </c>
      <c r="Z211" s="31">
        <f t="shared" si="73"/>
        <v>3137.8208271482508</v>
      </c>
      <c r="AA211" s="31">
        <f t="shared" si="74"/>
        <v>186128.48</v>
      </c>
      <c r="AB211" s="32">
        <f t="shared" si="72"/>
        <v>1.6858359489897789E-2</v>
      </c>
      <c r="AC211" s="31"/>
      <c r="AD211" s="31"/>
      <c r="AE211" s="32" t="str">
        <f t="shared" si="75"/>
        <v/>
      </c>
      <c r="AF211" s="32" t="s">
        <v>313</v>
      </c>
      <c r="AG211" s="31"/>
      <c r="AH211" s="31"/>
      <c r="AI211" s="32" t="str">
        <f t="shared" si="76"/>
        <v/>
      </c>
      <c r="AJ211" s="32" t="s">
        <v>313</v>
      </c>
      <c r="AK211" s="31"/>
      <c r="AL211" s="31"/>
      <c r="AM211" s="32" t="str">
        <f t="shared" si="77"/>
        <v/>
      </c>
      <c r="AN211" s="32" t="s">
        <v>313</v>
      </c>
      <c r="AO211" s="31"/>
      <c r="AP211" s="31"/>
      <c r="AQ211" s="32" t="str">
        <f t="shared" si="78"/>
        <v/>
      </c>
      <c r="AR211" s="32" t="s">
        <v>313</v>
      </c>
      <c r="AS211" s="31"/>
      <c r="AT211" s="31"/>
      <c r="AU211" s="32" t="str">
        <f t="shared" si="79"/>
        <v/>
      </c>
      <c r="AV211" s="32" t="s">
        <v>313</v>
      </c>
      <c r="AW211" s="31"/>
      <c r="AX211" s="31"/>
      <c r="AY211" s="32" t="str">
        <f t="shared" si="80"/>
        <v/>
      </c>
      <c r="AZ211" s="32" t="s">
        <v>313</v>
      </c>
    </row>
    <row r="212" spans="1:52" ht="34" customHeight="1">
      <c r="A212" s="28" t="s">
        <v>231</v>
      </c>
      <c r="B212" s="29" t="s">
        <v>326</v>
      </c>
      <c r="C212" s="29" t="s">
        <v>52</v>
      </c>
      <c r="D212" s="29" t="s">
        <v>74</v>
      </c>
      <c r="E212" s="29" t="s">
        <v>77</v>
      </c>
      <c r="F212" s="29" t="s">
        <v>316</v>
      </c>
      <c r="G212" s="30" t="s">
        <v>312</v>
      </c>
      <c r="H212" s="31"/>
      <c r="I212" s="31">
        <v>645.61</v>
      </c>
      <c r="J212" s="32" t="str">
        <f t="shared" si="66"/>
        <v/>
      </c>
      <c r="K212" s="31"/>
      <c r="L212" s="31">
        <v>18467.7</v>
      </c>
      <c r="M212" s="32" t="str">
        <f t="shared" si="67"/>
        <v/>
      </c>
      <c r="N212" s="31"/>
      <c r="O212" s="31">
        <v>64183.12</v>
      </c>
      <c r="P212" s="32" t="str">
        <f t="shared" si="68"/>
        <v/>
      </c>
      <c r="Q212" s="31"/>
      <c r="R212" s="31">
        <v>40728.25</v>
      </c>
      <c r="S212" s="32" t="str">
        <f t="shared" si="69"/>
        <v/>
      </c>
      <c r="T212" s="31"/>
      <c r="U212" s="31">
        <v>46958.33</v>
      </c>
      <c r="V212" s="32" t="str">
        <f t="shared" si="70"/>
        <v/>
      </c>
      <c r="W212" s="31"/>
      <c r="X212" s="31">
        <v>15145.47</v>
      </c>
      <c r="Y212" s="32" t="str">
        <f t="shared" si="71"/>
        <v/>
      </c>
      <c r="Z212" s="31" t="str">
        <f t="shared" si="73"/>
        <v/>
      </c>
      <c r="AA212" s="31">
        <f t="shared" si="74"/>
        <v>186128.48</v>
      </c>
      <c r="AB212" s="32" t="str">
        <f t="shared" si="72"/>
        <v/>
      </c>
      <c r="AC212" s="31"/>
      <c r="AD212" s="31"/>
      <c r="AE212" s="32" t="str">
        <f t="shared" si="75"/>
        <v/>
      </c>
      <c r="AF212" s="32" t="s">
        <v>313</v>
      </c>
      <c r="AG212" s="31"/>
      <c r="AH212" s="31"/>
      <c r="AI212" s="32" t="str">
        <f t="shared" si="76"/>
        <v/>
      </c>
      <c r="AJ212" s="32" t="s">
        <v>313</v>
      </c>
      <c r="AK212" s="31"/>
      <c r="AL212" s="31"/>
      <c r="AM212" s="32" t="str">
        <f t="shared" si="77"/>
        <v/>
      </c>
      <c r="AN212" s="32" t="s">
        <v>313</v>
      </c>
      <c r="AO212" s="31"/>
      <c r="AP212" s="31"/>
      <c r="AQ212" s="32" t="str">
        <f t="shared" si="78"/>
        <v/>
      </c>
      <c r="AR212" s="32" t="s">
        <v>313</v>
      </c>
      <c r="AS212" s="31"/>
      <c r="AT212" s="31"/>
      <c r="AU212" s="32" t="str">
        <f t="shared" si="79"/>
        <v/>
      </c>
      <c r="AV212" s="32" t="s">
        <v>313</v>
      </c>
      <c r="AW212" s="31"/>
      <c r="AX212" s="31"/>
      <c r="AY212" s="32" t="str">
        <f t="shared" si="80"/>
        <v/>
      </c>
      <c r="AZ212" s="32" t="s">
        <v>313</v>
      </c>
    </row>
    <row r="213" spans="1:52" ht="34" customHeight="1">
      <c r="A213" s="28" t="s">
        <v>231</v>
      </c>
      <c r="B213" s="29" t="s">
        <v>326</v>
      </c>
      <c r="C213" s="29" t="s">
        <v>52</v>
      </c>
      <c r="D213" s="29" t="s">
        <v>74</v>
      </c>
      <c r="E213" s="29" t="s">
        <v>78</v>
      </c>
      <c r="F213" s="29" t="s">
        <v>144</v>
      </c>
      <c r="G213" s="30" t="s">
        <v>312</v>
      </c>
      <c r="H213" s="31">
        <v>0</v>
      </c>
      <c r="I213" s="31">
        <v>645.61</v>
      </c>
      <c r="J213" s="32">
        <f t="shared" si="66"/>
        <v>0</v>
      </c>
      <c r="K213" s="31">
        <v>0</v>
      </c>
      <c r="L213" s="31">
        <v>18467.7</v>
      </c>
      <c r="M213" s="32">
        <f t="shared" si="67"/>
        <v>0</v>
      </c>
      <c r="N213" s="31">
        <v>0</v>
      </c>
      <c r="O213" s="31">
        <v>64183.12</v>
      </c>
      <c r="P213" s="32">
        <f t="shared" si="68"/>
        <v>0</v>
      </c>
      <c r="Q213" s="31">
        <v>0</v>
      </c>
      <c r="R213" s="31">
        <v>40728.25</v>
      </c>
      <c r="S213" s="32">
        <f t="shared" si="69"/>
        <v>0</v>
      </c>
      <c r="T213" s="31">
        <v>0</v>
      </c>
      <c r="U213" s="31">
        <v>46958.33</v>
      </c>
      <c r="V213" s="32">
        <f t="shared" si="70"/>
        <v>0</v>
      </c>
      <c r="W213" s="31">
        <v>0</v>
      </c>
      <c r="X213" s="31">
        <v>15145.47</v>
      </c>
      <c r="Y213" s="32">
        <f t="shared" si="71"/>
        <v>0</v>
      </c>
      <c r="Z213" s="31">
        <f t="shared" si="73"/>
        <v>0</v>
      </c>
      <c r="AA213" s="31">
        <f t="shared" si="74"/>
        <v>186128.48</v>
      </c>
      <c r="AB213" s="32">
        <f t="shared" si="72"/>
        <v>0</v>
      </c>
      <c r="AC213" s="31"/>
      <c r="AD213" s="31"/>
      <c r="AE213" s="32" t="str">
        <f t="shared" si="75"/>
        <v/>
      </c>
      <c r="AF213" s="32" t="s">
        <v>313</v>
      </c>
      <c r="AG213" s="31"/>
      <c r="AH213" s="31"/>
      <c r="AI213" s="32" t="str">
        <f t="shared" si="76"/>
        <v/>
      </c>
      <c r="AJ213" s="32" t="s">
        <v>313</v>
      </c>
      <c r="AK213" s="31"/>
      <c r="AL213" s="31"/>
      <c r="AM213" s="32" t="str">
        <f t="shared" si="77"/>
        <v/>
      </c>
      <c r="AN213" s="32" t="s">
        <v>313</v>
      </c>
      <c r="AO213" s="31"/>
      <c r="AP213" s="31"/>
      <c r="AQ213" s="32" t="str">
        <f t="shared" si="78"/>
        <v/>
      </c>
      <c r="AR213" s="32" t="s">
        <v>313</v>
      </c>
      <c r="AS213" s="31"/>
      <c r="AT213" s="31"/>
      <c r="AU213" s="32" t="str">
        <f t="shared" si="79"/>
        <v/>
      </c>
      <c r="AV213" s="32" t="s">
        <v>313</v>
      </c>
      <c r="AW213" s="31"/>
      <c r="AX213" s="31"/>
      <c r="AY213" s="32" t="str">
        <f t="shared" si="80"/>
        <v/>
      </c>
      <c r="AZ213" s="32" t="s">
        <v>313</v>
      </c>
    </row>
    <row r="214" spans="1:52" ht="34" customHeight="1">
      <c r="A214" s="28" t="s">
        <v>231</v>
      </c>
      <c r="B214" s="29" t="s">
        <v>326</v>
      </c>
      <c r="C214" s="29" t="s">
        <v>52</v>
      </c>
      <c r="D214" s="29" t="s">
        <v>79</v>
      </c>
      <c r="E214" s="29" t="s">
        <v>80</v>
      </c>
      <c r="F214" s="29" t="s">
        <v>318</v>
      </c>
      <c r="G214" s="30" t="s">
        <v>312</v>
      </c>
      <c r="H214" s="31">
        <v>0</v>
      </c>
      <c r="I214" s="31">
        <v>645.61</v>
      </c>
      <c r="J214" s="32">
        <f t="shared" si="66"/>
        <v>0</v>
      </c>
      <c r="K214" s="31">
        <v>0</v>
      </c>
      <c r="L214" s="31">
        <v>18467.7</v>
      </c>
      <c r="M214" s="32">
        <f t="shared" si="67"/>
        <v>0</v>
      </c>
      <c r="N214" s="31">
        <v>0</v>
      </c>
      <c r="O214" s="31">
        <v>64183.12</v>
      </c>
      <c r="P214" s="32">
        <f t="shared" si="68"/>
        <v>0</v>
      </c>
      <c r="Q214" s="31">
        <v>0</v>
      </c>
      <c r="R214" s="31">
        <v>40728.25</v>
      </c>
      <c r="S214" s="32">
        <f t="shared" si="69"/>
        <v>0</v>
      </c>
      <c r="T214" s="31">
        <v>0</v>
      </c>
      <c r="U214" s="31">
        <v>46958.33</v>
      </c>
      <c r="V214" s="32">
        <f t="shared" si="70"/>
        <v>0</v>
      </c>
      <c r="W214" s="31">
        <v>0</v>
      </c>
      <c r="X214" s="31">
        <v>15145.47</v>
      </c>
      <c r="Y214" s="32">
        <f t="shared" si="71"/>
        <v>0</v>
      </c>
      <c r="Z214" s="31">
        <f t="shared" si="73"/>
        <v>0</v>
      </c>
      <c r="AA214" s="31">
        <f t="shared" si="74"/>
        <v>186128.48</v>
      </c>
      <c r="AB214" s="32">
        <f t="shared" si="72"/>
        <v>0</v>
      </c>
      <c r="AC214" s="31"/>
      <c r="AD214" s="31"/>
      <c r="AE214" s="32" t="str">
        <f t="shared" si="75"/>
        <v/>
      </c>
      <c r="AF214" s="32" t="s">
        <v>313</v>
      </c>
      <c r="AG214" s="31"/>
      <c r="AH214" s="31"/>
      <c r="AI214" s="32" t="str">
        <f t="shared" si="76"/>
        <v/>
      </c>
      <c r="AJ214" s="32" t="s">
        <v>313</v>
      </c>
      <c r="AK214" s="31"/>
      <c r="AL214" s="31"/>
      <c r="AM214" s="32" t="str">
        <f t="shared" si="77"/>
        <v/>
      </c>
      <c r="AN214" s="32" t="s">
        <v>313</v>
      </c>
      <c r="AO214" s="31"/>
      <c r="AP214" s="31"/>
      <c r="AQ214" s="32" t="str">
        <f t="shared" si="78"/>
        <v/>
      </c>
      <c r="AR214" s="32" t="s">
        <v>313</v>
      </c>
      <c r="AS214" s="31"/>
      <c r="AT214" s="31"/>
      <c r="AU214" s="32" t="str">
        <f t="shared" si="79"/>
        <v/>
      </c>
      <c r="AV214" s="32" t="s">
        <v>313</v>
      </c>
      <c r="AW214" s="31"/>
      <c r="AX214" s="31"/>
      <c r="AY214" s="32" t="str">
        <f t="shared" si="80"/>
        <v/>
      </c>
      <c r="AZ214" s="32" t="s">
        <v>313</v>
      </c>
    </row>
    <row r="215" spans="1:52" ht="34" customHeight="1">
      <c r="A215" s="28" t="s">
        <v>231</v>
      </c>
      <c r="B215" s="29" t="s">
        <v>326</v>
      </c>
      <c r="C215" s="29" t="s">
        <v>52</v>
      </c>
      <c r="D215" s="29" t="s">
        <v>79</v>
      </c>
      <c r="E215" s="29" t="s">
        <v>81</v>
      </c>
      <c r="F215" s="29" t="s">
        <v>316</v>
      </c>
      <c r="G215" s="30" t="s">
        <v>312</v>
      </c>
      <c r="H215" s="31"/>
      <c r="I215" s="31">
        <v>645.61</v>
      </c>
      <c r="J215" s="32" t="str">
        <f t="shared" si="66"/>
        <v/>
      </c>
      <c r="K215" s="31"/>
      <c r="L215" s="31">
        <v>18467.7</v>
      </c>
      <c r="M215" s="32" t="str">
        <f t="shared" si="67"/>
        <v/>
      </c>
      <c r="N215" s="31"/>
      <c r="O215" s="31">
        <v>64183.12</v>
      </c>
      <c r="P215" s="32" t="str">
        <f t="shared" si="68"/>
        <v/>
      </c>
      <c r="Q215" s="31"/>
      <c r="R215" s="31">
        <v>40728.25</v>
      </c>
      <c r="S215" s="32" t="str">
        <f t="shared" si="69"/>
        <v/>
      </c>
      <c r="T215" s="31"/>
      <c r="U215" s="31">
        <v>46958.33</v>
      </c>
      <c r="V215" s="32" t="str">
        <f t="shared" si="70"/>
        <v/>
      </c>
      <c r="W215" s="31"/>
      <c r="X215" s="31">
        <v>15145.47</v>
      </c>
      <c r="Y215" s="32" t="str">
        <f t="shared" si="71"/>
        <v/>
      </c>
      <c r="Z215" s="31" t="str">
        <f t="shared" si="73"/>
        <v/>
      </c>
      <c r="AA215" s="31">
        <f t="shared" si="74"/>
        <v>186128.48</v>
      </c>
      <c r="AB215" s="32" t="str">
        <f t="shared" si="72"/>
        <v/>
      </c>
      <c r="AC215" s="31"/>
      <c r="AD215" s="31"/>
      <c r="AE215" s="32" t="str">
        <f t="shared" si="75"/>
        <v/>
      </c>
      <c r="AF215" s="32" t="s">
        <v>313</v>
      </c>
      <c r="AG215" s="31"/>
      <c r="AH215" s="31"/>
      <c r="AI215" s="32" t="str">
        <f t="shared" si="76"/>
        <v/>
      </c>
      <c r="AJ215" s="32" t="s">
        <v>313</v>
      </c>
      <c r="AK215" s="31"/>
      <c r="AL215" s="31"/>
      <c r="AM215" s="32" t="str">
        <f t="shared" si="77"/>
        <v/>
      </c>
      <c r="AN215" s="32" t="s">
        <v>313</v>
      </c>
      <c r="AO215" s="31"/>
      <c r="AP215" s="31"/>
      <c r="AQ215" s="32" t="str">
        <f t="shared" si="78"/>
        <v/>
      </c>
      <c r="AR215" s="32" t="s">
        <v>313</v>
      </c>
      <c r="AS215" s="31"/>
      <c r="AT215" s="31"/>
      <c r="AU215" s="32" t="str">
        <f t="shared" si="79"/>
        <v/>
      </c>
      <c r="AV215" s="32" t="s">
        <v>313</v>
      </c>
      <c r="AW215" s="31"/>
      <c r="AX215" s="31"/>
      <c r="AY215" s="32" t="str">
        <f t="shared" si="80"/>
        <v/>
      </c>
      <c r="AZ215" s="32" t="s">
        <v>313</v>
      </c>
    </row>
    <row r="216" spans="1:52" ht="34" customHeight="1">
      <c r="A216" s="28" t="s">
        <v>231</v>
      </c>
      <c r="B216" s="29" t="s">
        <v>326</v>
      </c>
      <c r="C216" s="29" t="s">
        <v>52</v>
      </c>
      <c r="D216" s="29" t="s">
        <v>79</v>
      </c>
      <c r="E216" s="29" t="s">
        <v>82</v>
      </c>
      <c r="F216" s="29" t="s">
        <v>316</v>
      </c>
      <c r="G216" s="30" t="s">
        <v>312</v>
      </c>
      <c r="H216" s="31"/>
      <c r="I216" s="31">
        <v>645.61</v>
      </c>
      <c r="J216" s="32" t="str">
        <f t="shared" si="66"/>
        <v/>
      </c>
      <c r="K216" s="31"/>
      <c r="L216" s="31">
        <v>18467.7</v>
      </c>
      <c r="M216" s="32" t="str">
        <f t="shared" si="67"/>
        <v/>
      </c>
      <c r="N216" s="31"/>
      <c r="O216" s="31">
        <v>64183.12</v>
      </c>
      <c r="P216" s="32" t="str">
        <f t="shared" si="68"/>
        <v/>
      </c>
      <c r="Q216" s="31"/>
      <c r="R216" s="31">
        <v>40728.25</v>
      </c>
      <c r="S216" s="32" t="str">
        <f t="shared" si="69"/>
        <v/>
      </c>
      <c r="T216" s="31"/>
      <c r="U216" s="31">
        <v>46958.33</v>
      </c>
      <c r="V216" s="32" t="str">
        <f t="shared" si="70"/>
        <v/>
      </c>
      <c r="W216" s="31"/>
      <c r="X216" s="31">
        <v>15145.47</v>
      </c>
      <c r="Y216" s="32" t="str">
        <f t="shared" si="71"/>
        <v/>
      </c>
      <c r="Z216" s="31" t="str">
        <f t="shared" si="73"/>
        <v/>
      </c>
      <c r="AA216" s="31">
        <f t="shared" si="74"/>
        <v>186128.48</v>
      </c>
      <c r="AB216" s="32" t="str">
        <f t="shared" si="72"/>
        <v/>
      </c>
      <c r="AC216" s="31"/>
      <c r="AD216" s="31"/>
      <c r="AE216" s="32" t="str">
        <f t="shared" si="75"/>
        <v/>
      </c>
      <c r="AF216" s="32" t="s">
        <v>313</v>
      </c>
      <c r="AG216" s="31"/>
      <c r="AH216" s="31"/>
      <c r="AI216" s="32" t="str">
        <f t="shared" si="76"/>
        <v/>
      </c>
      <c r="AJ216" s="32" t="s">
        <v>313</v>
      </c>
      <c r="AK216" s="31"/>
      <c r="AL216" s="31"/>
      <c r="AM216" s="32" t="str">
        <f t="shared" si="77"/>
        <v/>
      </c>
      <c r="AN216" s="32" t="s">
        <v>313</v>
      </c>
      <c r="AO216" s="31"/>
      <c r="AP216" s="31"/>
      <c r="AQ216" s="32" t="str">
        <f t="shared" si="78"/>
        <v/>
      </c>
      <c r="AR216" s="32" t="s">
        <v>313</v>
      </c>
      <c r="AS216" s="31"/>
      <c r="AT216" s="31"/>
      <c r="AU216" s="32" t="str">
        <f t="shared" si="79"/>
        <v/>
      </c>
      <c r="AV216" s="32" t="s">
        <v>313</v>
      </c>
      <c r="AW216" s="31"/>
      <c r="AX216" s="31"/>
      <c r="AY216" s="32" t="str">
        <f t="shared" si="80"/>
        <v/>
      </c>
      <c r="AZ216" s="32" t="s">
        <v>313</v>
      </c>
    </row>
    <row r="217" spans="1:52" ht="34" customHeight="1">
      <c r="A217" s="28" t="s">
        <v>231</v>
      </c>
      <c r="B217" s="29" t="s">
        <v>326</v>
      </c>
      <c r="C217" s="29" t="s">
        <v>85</v>
      </c>
      <c r="D217" s="29" t="s">
        <v>79</v>
      </c>
      <c r="E217" s="29" t="s">
        <v>80</v>
      </c>
      <c r="F217" s="29" t="s">
        <v>316</v>
      </c>
      <c r="G217" s="30" t="s">
        <v>312</v>
      </c>
      <c r="H217" s="31"/>
      <c r="I217" s="31">
        <v>645.61</v>
      </c>
      <c r="J217" s="32" t="str">
        <f t="shared" si="66"/>
        <v/>
      </c>
      <c r="K217" s="31"/>
      <c r="L217" s="31">
        <v>18467.7</v>
      </c>
      <c r="M217" s="32" t="str">
        <f t="shared" si="67"/>
        <v/>
      </c>
      <c r="N217" s="31"/>
      <c r="O217" s="31">
        <v>64183.12</v>
      </c>
      <c r="P217" s="32" t="str">
        <f t="shared" si="68"/>
        <v/>
      </c>
      <c r="Q217" s="31"/>
      <c r="R217" s="31">
        <v>40728.25</v>
      </c>
      <c r="S217" s="32" t="str">
        <f t="shared" si="69"/>
        <v/>
      </c>
      <c r="T217" s="31"/>
      <c r="U217" s="31">
        <v>46958.33</v>
      </c>
      <c r="V217" s="32" t="str">
        <f t="shared" si="70"/>
        <v/>
      </c>
      <c r="W217" s="31"/>
      <c r="X217" s="31">
        <v>15145.47</v>
      </c>
      <c r="Y217" s="32" t="str">
        <f t="shared" si="71"/>
        <v/>
      </c>
      <c r="Z217" s="31" t="str">
        <f t="shared" si="73"/>
        <v/>
      </c>
      <c r="AA217" s="31">
        <f t="shared" si="74"/>
        <v>186128.48</v>
      </c>
      <c r="AB217" s="32" t="str">
        <f t="shared" si="72"/>
        <v/>
      </c>
      <c r="AC217" s="31"/>
      <c r="AD217" s="31"/>
      <c r="AE217" s="32" t="str">
        <f t="shared" si="75"/>
        <v/>
      </c>
      <c r="AF217" s="32" t="s">
        <v>313</v>
      </c>
      <c r="AG217" s="31"/>
      <c r="AH217" s="31"/>
      <c r="AI217" s="32" t="str">
        <f t="shared" si="76"/>
        <v/>
      </c>
      <c r="AJ217" s="32" t="s">
        <v>313</v>
      </c>
      <c r="AK217" s="31"/>
      <c r="AL217" s="31"/>
      <c r="AM217" s="32" t="str">
        <f t="shared" si="77"/>
        <v/>
      </c>
      <c r="AN217" s="32" t="s">
        <v>313</v>
      </c>
      <c r="AO217" s="31"/>
      <c r="AP217" s="31"/>
      <c r="AQ217" s="32" t="str">
        <f t="shared" si="78"/>
        <v/>
      </c>
      <c r="AR217" s="32" t="s">
        <v>313</v>
      </c>
      <c r="AS217" s="31"/>
      <c r="AT217" s="31"/>
      <c r="AU217" s="32" t="str">
        <f t="shared" si="79"/>
        <v/>
      </c>
      <c r="AV217" s="32" t="s">
        <v>313</v>
      </c>
      <c r="AW217" s="31"/>
      <c r="AX217" s="31"/>
      <c r="AY217" s="32" t="str">
        <f t="shared" si="80"/>
        <v/>
      </c>
      <c r="AZ217" s="32" t="s">
        <v>313</v>
      </c>
    </row>
    <row r="218" spans="1:52" ht="34" customHeight="1">
      <c r="A218" s="28" t="s">
        <v>231</v>
      </c>
      <c r="B218" s="29" t="s">
        <v>326</v>
      </c>
      <c r="C218" s="29" t="s">
        <v>85</v>
      </c>
      <c r="D218" s="29" t="s">
        <v>79</v>
      </c>
      <c r="E218" s="29" t="s">
        <v>81</v>
      </c>
      <c r="F218" s="29" t="s">
        <v>316</v>
      </c>
      <c r="G218" s="30" t="s">
        <v>312</v>
      </c>
      <c r="H218" s="31"/>
      <c r="I218" s="31">
        <v>645.61</v>
      </c>
      <c r="J218" s="32" t="str">
        <f t="shared" si="66"/>
        <v/>
      </c>
      <c r="K218" s="31"/>
      <c r="L218" s="31">
        <v>18467.7</v>
      </c>
      <c r="M218" s="32" t="str">
        <f t="shared" si="67"/>
        <v/>
      </c>
      <c r="N218" s="31"/>
      <c r="O218" s="31">
        <v>64183.12</v>
      </c>
      <c r="P218" s="32" t="str">
        <f t="shared" si="68"/>
        <v/>
      </c>
      <c r="Q218" s="31"/>
      <c r="R218" s="31">
        <v>40728.25</v>
      </c>
      <c r="S218" s="32" t="str">
        <f t="shared" si="69"/>
        <v/>
      </c>
      <c r="T218" s="31"/>
      <c r="U218" s="31">
        <v>46958.33</v>
      </c>
      <c r="V218" s="32" t="str">
        <f t="shared" si="70"/>
        <v/>
      </c>
      <c r="W218" s="31"/>
      <c r="X218" s="31">
        <v>15145.47</v>
      </c>
      <c r="Y218" s="32" t="str">
        <f t="shared" si="71"/>
        <v/>
      </c>
      <c r="Z218" s="31" t="str">
        <f t="shared" si="73"/>
        <v/>
      </c>
      <c r="AA218" s="31">
        <f t="shared" si="74"/>
        <v>186128.48</v>
      </c>
      <c r="AB218" s="32" t="str">
        <f t="shared" si="72"/>
        <v/>
      </c>
      <c r="AC218" s="31"/>
      <c r="AD218" s="31"/>
      <c r="AE218" s="32" t="str">
        <f t="shared" si="75"/>
        <v/>
      </c>
      <c r="AF218" s="32" t="s">
        <v>313</v>
      </c>
      <c r="AG218" s="31"/>
      <c r="AH218" s="31"/>
      <c r="AI218" s="32" t="str">
        <f t="shared" si="76"/>
        <v/>
      </c>
      <c r="AJ218" s="32" t="s">
        <v>313</v>
      </c>
      <c r="AK218" s="31"/>
      <c r="AL218" s="31"/>
      <c r="AM218" s="32" t="str">
        <f t="shared" si="77"/>
        <v/>
      </c>
      <c r="AN218" s="32" t="s">
        <v>313</v>
      </c>
      <c r="AO218" s="31"/>
      <c r="AP218" s="31"/>
      <c r="AQ218" s="32" t="str">
        <f t="shared" si="78"/>
        <v/>
      </c>
      <c r="AR218" s="32" t="s">
        <v>313</v>
      </c>
      <c r="AS218" s="31"/>
      <c r="AT218" s="31"/>
      <c r="AU218" s="32" t="str">
        <f t="shared" si="79"/>
        <v/>
      </c>
      <c r="AV218" s="32" t="s">
        <v>313</v>
      </c>
      <c r="AW218" s="31"/>
      <c r="AX218" s="31"/>
      <c r="AY218" s="32" t="str">
        <f t="shared" si="80"/>
        <v/>
      </c>
      <c r="AZ218" s="32" t="s">
        <v>313</v>
      </c>
    </row>
    <row r="219" spans="1:52" ht="34" customHeight="1">
      <c r="A219" s="28" t="s">
        <v>231</v>
      </c>
      <c r="B219" s="29" t="s">
        <v>326</v>
      </c>
      <c r="C219" s="29" t="s">
        <v>85</v>
      </c>
      <c r="D219" s="29" t="s">
        <v>79</v>
      </c>
      <c r="E219" s="29" t="s">
        <v>82</v>
      </c>
      <c r="F219" s="29" t="s">
        <v>319</v>
      </c>
      <c r="G219" s="30" t="s">
        <v>312</v>
      </c>
      <c r="H219" s="31">
        <v>0</v>
      </c>
      <c r="I219" s="31">
        <v>645.61</v>
      </c>
      <c r="J219" s="32">
        <f t="shared" si="66"/>
        <v>0</v>
      </c>
      <c r="K219" s="31">
        <v>0</v>
      </c>
      <c r="L219" s="31">
        <v>18467.7</v>
      </c>
      <c r="M219" s="32">
        <f t="shared" si="67"/>
        <v>0</v>
      </c>
      <c r="N219" s="31">
        <v>0</v>
      </c>
      <c r="O219" s="31">
        <v>64183.12</v>
      </c>
      <c r="P219" s="32">
        <f t="shared" si="68"/>
        <v>0</v>
      </c>
      <c r="Q219" s="31">
        <v>0</v>
      </c>
      <c r="R219" s="31">
        <v>40728.25</v>
      </c>
      <c r="S219" s="32">
        <f t="shared" si="69"/>
        <v>0</v>
      </c>
      <c r="T219" s="31">
        <v>0</v>
      </c>
      <c r="U219" s="31">
        <v>46958.33</v>
      </c>
      <c r="V219" s="32">
        <f t="shared" si="70"/>
        <v>0</v>
      </c>
      <c r="W219" s="31">
        <v>0</v>
      </c>
      <c r="X219" s="31">
        <v>15145.47</v>
      </c>
      <c r="Y219" s="32">
        <f t="shared" si="71"/>
        <v>0</v>
      </c>
      <c r="Z219" s="31">
        <f t="shared" si="73"/>
        <v>0</v>
      </c>
      <c r="AA219" s="31">
        <f t="shared" si="74"/>
        <v>186128.48</v>
      </c>
      <c r="AB219" s="32">
        <f t="shared" si="72"/>
        <v>0</v>
      </c>
      <c r="AC219" s="31"/>
      <c r="AD219" s="31"/>
      <c r="AE219" s="32" t="str">
        <f t="shared" si="75"/>
        <v/>
      </c>
      <c r="AF219" s="32" t="s">
        <v>313</v>
      </c>
      <c r="AG219" s="31"/>
      <c r="AH219" s="31"/>
      <c r="AI219" s="32" t="str">
        <f t="shared" si="76"/>
        <v/>
      </c>
      <c r="AJ219" s="32" t="s">
        <v>313</v>
      </c>
      <c r="AK219" s="31"/>
      <c r="AL219" s="31"/>
      <c r="AM219" s="32" t="str">
        <f t="shared" si="77"/>
        <v/>
      </c>
      <c r="AN219" s="32" t="s">
        <v>313</v>
      </c>
      <c r="AO219" s="31"/>
      <c r="AP219" s="31"/>
      <c r="AQ219" s="32" t="str">
        <f t="shared" si="78"/>
        <v/>
      </c>
      <c r="AR219" s="32" t="s">
        <v>313</v>
      </c>
      <c r="AS219" s="31"/>
      <c r="AT219" s="31"/>
      <c r="AU219" s="32" t="str">
        <f t="shared" si="79"/>
        <v/>
      </c>
      <c r="AV219" s="32" t="s">
        <v>313</v>
      </c>
      <c r="AW219" s="31"/>
      <c r="AX219" s="31"/>
      <c r="AY219" s="32" t="str">
        <f t="shared" si="80"/>
        <v/>
      </c>
      <c r="AZ219" s="32" t="s">
        <v>313</v>
      </c>
    </row>
    <row r="220" spans="1:52" ht="34" customHeight="1">
      <c r="A220" s="28" t="s">
        <v>231</v>
      </c>
      <c r="B220" s="29" t="s">
        <v>326</v>
      </c>
      <c r="C220" s="29" t="s">
        <v>85</v>
      </c>
      <c r="D220" s="29" t="s">
        <v>90</v>
      </c>
      <c r="E220" s="29" t="s">
        <v>90</v>
      </c>
      <c r="F220" s="29" t="s">
        <v>316</v>
      </c>
      <c r="G220" s="30" t="s">
        <v>312</v>
      </c>
      <c r="H220" s="31"/>
      <c r="I220" s="31">
        <v>645.61</v>
      </c>
      <c r="J220" s="32" t="str">
        <f t="shared" si="66"/>
        <v/>
      </c>
      <c r="K220" s="31"/>
      <c r="L220" s="31">
        <v>18467.7</v>
      </c>
      <c r="M220" s="32" t="str">
        <f t="shared" si="67"/>
        <v/>
      </c>
      <c r="N220" s="31"/>
      <c r="O220" s="31">
        <v>64183.12</v>
      </c>
      <c r="P220" s="32" t="str">
        <f t="shared" si="68"/>
        <v/>
      </c>
      <c r="Q220" s="31"/>
      <c r="R220" s="31">
        <v>40728.25</v>
      </c>
      <c r="S220" s="32" t="str">
        <f t="shared" si="69"/>
        <v/>
      </c>
      <c r="T220" s="31"/>
      <c r="U220" s="31">
        <v>46958.33</v>
      </c>
      <c r="V220" s="32" t="str">
        <f t="shared" si="70"/>
        <v/>
      </c>
      <c r="W220" s="31"/>
      <c r="X220" s="31">
        <v>15145.47</v>
      </c>
      <c r="Y220" s="32" t="str">
        <f t="shared" si="71"/>
        <v/>
      </c>
      <c r="Z220" s="31" t="str">
        <f t="shared" si="73"/>
        <v/>
      </c>
      <c r="AA220" s="31">
        <f t="shared" si="74"/>
        <v>186128.48</v>
      </c>
      <c r="AB220" s="32" t="str">
        <f t="shared" si="72"/>
        <v/>
      </c>
      <c r="AC220" s="31"/>
      <c r="AD220" s="31"/>
      <c r="AE220" s="32" t="str">
        <f t="shared" si="75"/>
        <v/>
      </c>
      <c r="AF220" s="32" t="s">
        <v>313</v>
      </c>
      <c r="AG220" s="31"/>
      <c r="AH220" s="31"/>
      <c r="AI220" s="32" t="str">
        <f t="shared" si="76"/>
        <v/>
      </c>
      <c r="AJ220" s="32" t="s">
        <v>313</v>
      </c>
      <c r="AK220" s="31"/>
      <c r="AL220" s="31"/>
      <c r="AM220" s="32" t="str">
        <f t="shared" si="77"/>
        <v/>
      </c>
      <c r="AN220" s="32" t="s">
        <v>313</v>
      </c>
      <c r="AO220" s="31"/>
      <c r="AP220" s="31"/>
      <c r="AQ220" s="32" t="str">
        <f t="shared" si="78"/>
        <v/>
      </c>
      <c r="AR220" s="32" t="s">
        <v>313</v>
      </c>
      <c r="AS220" s="31"/>
      <c r="AT220" s="31"/>
      <c r="AU220" s="32" t="str">
        <f t="shared" si="79"/>
        <v/>
      </c>
      <c r="AV220" s="32" t="s">
        <v>313</v>
      </c>
      <c r="AW220" s="31"/>
      <c r="AX220" s="31"/>
      <c r="AY220" s="32" t="str">
        <f t="shared" si="80"/>
        <v/>
      </c>
      <c r="AZ220" s="32" t="s">
        <v>313</v>
      </c>
    </row>
    <row r="221" spans="1:52" ht="34" customHeight="1">
      <c r="A221" s="28" t="s">
        <v>231</v>
      </c>
      <c r="B221" s="29" t="s">
        <v>326</v>
      </c>
      <c r="C221" s="29" t="s">
        <v>85</v>
      </c>
      <c r="D221" s="29" t="s">
        <v>93</v>
      </c>
      <c r="E221" s="29" t="s">
        <v>143</v>
      </c>
      <c r="F221" s="29" t="s">
        <v>320</v>
      </c>
      <c r="G221" s="30" t="s">
        <v>312</v>
      </c>
      <c r="H221" s="31">
        <v>0</v>
      </c>
      <c r="I221" s="31">
        <v>645.61</v>
      </c>
      <c r="J221" s="32">
        <f t="shared" si="66"/>
        <v>0</v>
      </c>
      <c r="K221" s="31">
        <v>0</v>
      </c>
      <c r="L221" s="31">
        <v>18467.7</v>
      </c>
      <c r="M221" s="32">
        <f t="shared" si="67"/>
        <v>0</v>
      </c>
      <c r="N221" s="31">
        <v>0</v>
      </c>
      <c r="O221" s="31">
        <v>64183.12</v>
      </c>
      <c r="P221" s="32">
        <f t="shared" si="68"/>
        <v>0</v>
      </c>
      <c r="Q221" s="31">
        <v>0</v>
      </c>
      <c r="R221" s="31">
        <v>40728.25</v>
      </c>
      <c r="S221" s="32">
        <f t="shared" si="69"/>
        <v>0</v>
      </c>
      <c r="T221" s="31">
        <v>0</v>
      </c>
      <c r="U221" s="31">
        <v>46958.33</v>
      </c>
      <c r="V221" s="32">
        <f t="shared" si="70"/>
        <v>0</v>
      </c>
      <c r="W221" s="31">
        <v>0</v>
      </c>
      <c r="X221" s="31">
        <v>15145.47</v>
      </c>
      <c r="Y221" s="32">
        <f t="shared" si="71"/>
        <v>0</v>
      </c>
      <c r="Z221" s="31">
        <f t="shared" si="73"/>
        <v>0</v>
      </c>
      <c r="AA221" s="31">
        <f t="shared" si="74"/>
        <v>186128.48</v>
      </c>
      <c r="AB221" s="32">
        <f t="shared" si="72"/>
        <v>0</v>
      </c>
      <c r="AC221" s="31"/>
      <c r="AD221" s="31"/>
      <c r="AE221" s="32" t="str">
        <f t="shared" si="75"/>
        <v/>
      </c>
      <c r="AF221" s="32" t="s">
        <v>313</v>
      </c>
      <c r="AG221" s="31"/>
      <c r="AH221" s="31"/>
      <c r="AI221" s="32" t="str">
        <f t="shared" si="76"/>
        <v/>
      </c>
      <c r="AJ221" s="32" t="s">
        <v>313</v>
      </c>
      <c r="AK221" s="31"/>
      <c r="AL221" s="31"/>
      <c r="AM221" s="32" t="str">
        <f t="shared" si="77"/>
        <v/>
      </c>
      <c r="AN221" s="32" t="s">
        <v>313</v>
      </c>
      <c r="AO221" s="31"/>
      <c r="AP221" s="31"/>
      <c r="AQ221" s="32" t="str">
        <f t="shared" si="78"/>
        <v/>
      </c>
      <c r="AR221" s="32" t="s">
        <v>313</v>
      </c>
      <c r="AS221" s="31"/>
      <c r="AT221" s="31"/>
      <c r="AU221" s="32" t="str">
        <f t="shared" si="79"/>
        <v/>
      </c>
      <c r="AV221" s="32" t="s">
        <v>313</v>
      </c>
      <c r="AW221" s="31"/>
      <c r="AX221" s="31"/>
      <c r="AY221" s="32" t="str">
        <f t="shared" si="80"/>
        <v/>
      </c>
      <c r="AZ221" s="32" t="s">
        <v>313</v>
      </c>
    </row>
    <row r="222" spans="1:52" ht="34" customHeight="1">
      <c r="A222" s="28" t="s">
        <v>231</v>
      </c>
      <c r="B222" s="29" t="s">
        <v>326</v>
      </c>
      <c r="C222" s="29" t="s">
        <v>85</v>
      </c>
      <c r="D222" s="29" t="s">
        <v>152</v>
      </c>
      <c r="E222" s="29" t="s">
        <v>152</v>
      </c>
      <c r="F222" s="29" t="s">
        <v>316</v>
      </c>
      <c r="G222" s="30" t="s">
        <v>312</v>
      </c>
      <c r="H222" s="31"/>
      <c r="I222" s="31">
        <v>645.61</v>
      </c>
      <c r="J222" s="32" t="str">
        <f t="shared" si="66"/>
        <v/>
      </c>
      <c r="K222" s="31"/>
      <c r="L222" s="31">
        <v>18467.7</v>
      </c>
      <c r="M222" s="32" t="str">
        <f t="shared" si="67"/>
        <v/>
      </c>
      <c r="N222" s="31"/>
      <c r="O222" s="31">
        <v>64183.12</v>
      </c>
      <c r="P222" s="32" t="str">
        <f t="shared" si="68"/>
        <v/>
      </c>
      <c r="Q222" s="31"/>
      <c r="R222" s="31">
        <v>40728.25</v>
      </c>
      <c r="S222" s="32" t="str">
        <f t="shared" si="69"/>
        <v/>
      </c>
      <c r="T222" s="31"/>
      <c r="U222" s="31">
        <v>46958.33</v>
      </c>
      <c r="V222" s="32" t="str">
        <f t="shared" si="70"/>
        <v/>
      </c>
      <c r="W222" s="31"/>
      <c r="X222" s="31">
        <v>15145.47</v>
      </c>
      <c r="Y222" s="32" t="str">
        <f t="shared" si="71"/>
        <v/>
      </c>
      <c r="Z222" s="31" t="str">
        <f t="shared" si="73"/>
        <v/>
      </c>
      <c r="AA222" s="31">
        <f t="shared" si="74"/>
        <v>186128.48</v>
      </c>
      <c r="AB222" s="32" t="str">
        <f t="shared" si="72"/>
        <v/>
      </c>
      <c r="AC222" s="31"/>
      <c r="AD222" s="31"/>
      <c r="AE222" s="32" t="str">
        <f t="shared" si="75"/>
        <v/>
      </c>
      <c r="AF222" s="32" t="s">
        <v>313</v>
      </c>
      <c r="AG222" s="31"/>
      <c r="AH222" s="31"/>
      <c r="AI222" s="32" t="str">
        <f t="shared" si="76"/>
        <v/>
      </c>
      <c r="AJ222" s="32" t="s">
        <v>313</v>
      </c>
      <c r="AK222" s="31"/>
      <c r="AL222" s="31"/>
      <c r="AM222" s="32" t="str">
        <f t="shared" si="77"/>
        <v/>
      </c>
      <c r="AN222" s="32" t="s">
        <v>313</v>
      </c>
      <c r="AO222" s="31"/>
      <c r="AP222" s="31"/>
      <c r="AQ222" s="32" t="str">
        <f t="shared" si="78"/>
        <v/>
      </c>
      <c r="AR222" s="32" t="s">
        <v>313</v>
      </c>
      <c r="AS222" s="31"/>
      <c r="AT222" s="31"/>
      <c r="AU222" s="32" t="str">
        <f t="shared" si="79"/>
        <v/>
      </c>
      <c r="AV222" s="32" t="s">
        <v>313</v>
      </c>
      <c r="AW222" s="31"/>
      <c r="AX222" s="31"/>
      <c r="AY222" s="32" t="str">
        <f t="shared" si="80"/>
        <v/>
      </c>
      <c r="AZ222" s="32" t="s">
        <v>313</v>
      </c>
    </row>
    <row r="223" spans="1:52" ht="34" customHeight="1">
      <c r="A223" s="28" t="s">
        <v>231</v>
      </c>
      <c r="B223" s="29" t="s">
        <v>327</v>
      </c>
      <c r="C223" s="29" t="s">
        <v>46</v>
      </c>
      <c r="D223" s="29"/>
      <c r="E223" s="29" t="s">
        <v>46</v>
      </c>
      <c r="F223" s="29" t="s">
        <v>311</v>
      </c>
      <c r="G223" s="30" t="s">
        <v>312</v>
      </c>
      <c r="H223" s="31">
        <v>52420.99</v>
      </c>
      <c r="I223" s="31">
        <v>52420.99</v>
      </c>
      <c r="J223" s="32"/>
      <c r="K223" s="31">
        <v>36891.22</v>
      </c>
      <c r="L223" s="31">
        <v>36891.22</v>
      </c>
      <c r="M223" s="32"/>
      <c r="N223" s="31">
        <v>109878.16</v>
      </c>
      <c r="O223" s="31">
        <v>109878.16</v>
      </c>
      <c r="P223" s="32"/>
      <c r="Q223" s="31">
        <v>16559.330000000002</v>
      </c>
      <c r="R223" s="31">
        <v>16559.330000000002</v>
      </c>
      <c r="S223" s="32"/>
      <c r="T223" s="31">
        <v>0</v>
      </c>
      <c r="U223" s="31">
        <v>0</v>
      </c>
      <c r="V223" s="32"/>
      <c r="W223" s="31">
        <v>0</v>
      </c>
      <c r="X223" s="31">
        <v>0</v>
      </c>
      <c r="Y223" s="32"/>
      <c r="Z223" s="31">
        <f t="shared" si="73"/>
        <v>215749.7</v>
      </c>
      <c r="AA223" s="31">
        <f t="shared" si="74"/>
        <v>215749.7</v>
      </c>
      <c r="AB223" s="32"/>
      <c r="AC223" s="31"/>
      <c r="AD223" s="31"/>
      <c r="AE223" s="32" t="str">
        <f t="shared" si="75"/>
        <v/>
      </c>
      <c r="AF223" s="32" t="s">
        <v>313</v>
      </c>
      <c r="AG223" s="31"/>
      <c r="AH223" s="31"/>
      <c r="AI223" s="32" t="str">
        <f t="shared" si="76"/>
        <v/>
      </c>
      <c r="AJ223" s="32" t="s">
        <v>313</v>
      </c>
      <c r="AK223" s="31"/>
      <c r="AL223" s="31"/>
      <c r="AM223" s="32" t="str">
        <f t="shared" si="77"/>
        <v/>
      </c>
      <c r="AN223" s="32" t="s">
        <v>313</v>
      </c>
      <c r="AO223" s="31"/>
      <c r="AP223" s="31"/>
      <c r="AQ223" s="32" t="str">
        <f t="shared" si="78"/>
        <v/>
      </c>
      <c r="AR223" s="32" t="s">
        <v>313</v>
      </c>
      <c r="AS223" s="31"/>
      <c r="AT223" s="31"/>
      <c r="AU223" s="32" t="str">
        <f t="shared" si="79"/>
        <v/>
      </c>
      <c r="AV223" s="32" t="s">
        <v>313</v>
      </c>
      <c r="AW223" s="31"/>
      <c r="AX223" s="31"/>
      <c r="AY223" s="32" t="str">
        <f t="shared" si="80"/>
        <v/>
      </c>
      <c r="AZ223" s="32" t="s">
        <v>313</v>
      </c>
    </row>
    <row r="224" spans="1:52" ht="34" customHeight="1">
      <c r="A224" s="28" t="s">
        <v>231</v>
      </c>
      <c r="B224" s="29" t="s">
        <v>327</v>
      </c>
      <c r="C224" s="29" t="s">
        <v>121</v>
      </c>
      <c r="D224" s="29"/>
      <c r="E224" s="29" t="s">
        <v>125</v>
      </c>
      <c r="F224" s="29" t="s">
        <v>314</v>
      </c>
      <c r="G224" s="30" t="s">
        <v>312</v>
      </c>
      <c r="H224" s="31">
        <v>0</v>
      </c>
      <c r="I224" s="31">
        <v>52420.99</v>
      </c>
      <c r="J224" s="32">
        <f t="shared" ref="J224:J253" si="81">IF(H224="","",IFERROR(H224/I224,""))</f>
        <v>0</v>
      </c>
      <c r="K224" s="31">
        <v>0</v>
      </c>
      <c r="L224" s="31">
        <v>36891.22</v>
      </c>
      <c r="M224" s="32">
        <f t="shared" ref="M224:M253" si="82">IF(K224="","",IFERROR(K224/L224,""))</f>
        <v>0</v>
      </c>
      <c r="N224" s="31">
        <v>0</v>
      </c>
      <c r="O224" s="31">
        <v>109878.16</v>
      </c>
      <c r="P224" s="32">
        <f t="shared" ref="P224:P253" si="83">IF(N224="","",IFERROR(N224/O224,""))</f>
        <v>0</v>
      </c>
      <c r="Q224" s="31">
        <v>0</v>
      </c>
      <c r="R224" s="31">
        <v>16559.330000000002</v>
      </c>
      <c r="S224" s="32">
        <f t="shared" ref="S224:S253" si="84">IF(Q224="","",IFERROR(Q224/R224,""))</f>
        <v>0</v>
      </c>
      <c r="T224" s="31">
        <v>0</v>
      </c>
      <c r="U224" s="31">
        <v>0</v>
      </c>
      <c r="V224" s="32" t="str">
        <f t="shared" ref="V224:V253" si="85">IF(T224="","",IFERROR(T224/U224,""))</f>
        <v/>
      </c>
      <c r="W224" s="31">
        <v>0</v>
      </c>
      <c r="X224" s="31">
        <v>0</v>
      </c>
      <c r="Y224" s="32" t="str">
        <f t="shared" ref="Y224:Y253" si="86">IF(W224="","",IFERROR(W224/X224,""))</f>
        <v/>
      </c>
      <c r="Z224" s="31">
        <f t="shared" si="73"/>
        <v>0</v>
      </c>
      <c r="AA224" s="31">
        <f t="shared" si="74"/>
        <v>215749.7</v>
      </c>
      <c r="AB224" s="32">
        <f t="shared" ref="AB224:AB253" si="87">IF(Z224="","",IFERROR(Z224/AA224,""))</f>
        <v>0</v>
      </c>
      <c r="AC224" s="31"/>
      <c r="AD224" s="31"/>
      <c r="AE224" s="32" t="str">
        <f t="shared" si="75"/>
        <v/>
      </c>
      <c r="AF224" s="32" t="s">
        <v>313</v>
      </c>
      <c r="AG224" s="31"/>
      <c r="AH224" s="31"/>
      <c r="AI224" s="32" t="str">
        <f t="shared" si="76"/>
        <v/>
      </c>
      <c r="AJ224" s="32" t="s">
        <v>313</v>
      </c>
      <c r="AK224" s="31"/>
      <c r="AL224" s="31"/>
      <c r="AM224" s="32" t="str">
        <f t="shared" si="77"/>
        <v/>
      </c>
      <c r="AN224" s="32" t="s">
        <v>313</v>
      </c>
      <c r="AO224" s="31"/>
      <c r="AP224" s="31"/>
      <c r="AQ224" s="32" t="str">
        <f t="shared" si="78"/>
        <v/>
      </c>
      <c r="AR224" s="32" t="s">
        <v>313</v>
      </c>
      <c r="AS224" s="31"/>
      <c r="AT224" s="31"/>
      <c r="AU224" s="32" t="str">
        <f t="shared" si="79"/>
        <v/>
      </c>
      <c r="AV224" s="32" t="s">
        <v>313</v>
      </c>
      <c r="AW224" s="31"/>
      <c r="AX224" s="31"/>
      <c r="AY224" s="32" t="str">
        <f t="shared" si="80"/>
        <v/>
      </c>
      <c r="AZ224" s="32" t="s">
        <v>313</v>
      </c>
    </row>
    <row r="225" spans="1:52" ht="34" customHeight="1">
      <c r="A225" s="28" t="s">
        <v>231</v>
      </c>
      <c r="B225" s="29" t="s">
        <v>327</v>
      </c>
      <c r="C225" s="29" t="s">
        <v>48</v>
      </c>
      <c r="D225" s="29"/>
      <c r="E225" s="29" t="s">
        <v>127</v>
      </c>
      <c r="F225" s="29" t="s">
        <v>315</v>
      </c>
      <c r="G225" s="30" t="s">
        <v>312</v>
      </c>
      <c r="H225" s="31">
        <v>37155</v>
      </c>
      <c r="I225" s="31">
        <v>52420.99</v>
      </c>
      <c r="J225" s="32">
        <f t="shared" si="81"/>
        <v>0.70878096731862561</v>
      </c>
      <c r="K225" s="31">
        <v>25667</v>
      </c>
      <c r="L225" s="31">
        <v>36891.22</v>
      </c>
      <c r="M225" s="32">
        <f t="shared" si="82"/>
        <v>0.69574820241781099</v>
      </c>
      <c r="N225" s="31">
        <v>77822</v>
      </c>
      <c r="O225" s="31">
        <v>109878.16</v>
      </c>
      <c r="P225" s="32">
        <f t="shared" si="83"/>
        <v>0.70825721872299274</v>
      </c>
      <c r="Q225" s="31">
        <v>11626</v>
      </c>
      <c r="R225" s="31">
        <v>16559.330000000002</v>
      </c>
      <c r="S225" s="32">
        <f t="shared" si="84"/>
        <v>0.70208154556977842</v>
      </c>
      <c r="T225" s="31">
        <v>0</v>
      </c>
      <c r="U225" s="31">
        <v>0</v>
      </c>
      <c r="V225" s="32" t="str">
        <f t="shared" si="85"/>
        <v/>
      </c>
      <c r="W225" s="31">
        <v>0</v>
      </c>
      <c r="X225" s="31">
        <v>0</v>
      </c>
      <c r="Y225" s="32" t="str">
        <f t="shared" si="86"/>
        <v/>
      </c>
      <c r="Z225" s="31">
        <f t="shared" si="73"/>
        <v>152270</v>
      </c>
      <c r="AA225" s="31">
        <f t="shared" si="74"/>
        <v>215749.7</v>
      </c>
      <c r="AB225" s="32">
        <f t="shared" si="87"/>
        <v>0.70577154916090257</v>
      </c>
      <c r="AC225" s="31"/>
      <c r="AD225" s="31"/>
      <c r="AE225" s="32" t="str">
        <f t="shared" si="75"/>
        <v/>
      </c>
      <c r="AF225" s="32" t="s">
        <v>313</v>
      </c>
      <c r="AG225" s="31"/>
      <c r="AH225" s="31"/>
      <c r="AI225" s="32" t="str">
        <f t="shared" si="76"/>
        <v/>
      </c>
      <c r="AJ225" s="32" t="s">
        <v>313</v>
      </c>
      <c r="AK225" s="31"/>
      <c r="AL225" s="31"/>
      <c r="AM225" s="32" t="str">
        <f t="shared" si="77"/>
        <v/>
      </c>
      <c r="AN225" s="32" t="s">
        <v>313</v>
      </c>
      <c r="AO225" s="31"/>
      <c r="AP225" s="31"/>
      <c r="AQ225" s="32" t="str">
        <f t="shared" si="78"/>
        <v/>
      </c>
      <c r="AR225" s="32" t="s">
        <v>313</v>
      </c>
      <c r="AS225" s="31"/>
      <c r="AT225" s="31"/>
      <c r="AU225" s="32" t="str">
        <f t="shared" si="79"/>
        <v/>
      </c>
      <c r="AV225" s="32" t="s">
        <v>313</v>
      </c>
      <c r="AW225" s="31"/>
      <c r="AX225" s="31"/>
      <c r="AY225" s="32" t="str">
        <f t="shared" si="80"/>
        <v/>
      </c>
      <c r="AZ225" s="32" t="s">
        <v>313</v>
      </c>
    </row>
    <row r="226" spans="1:52" ht="34" customHeight="1">
      <c r="A226" s="28" t="s">
        <v>231</v>
      </c>
      <c r="B226" s="29" t="s">
        <v>327</v>
      </c>
      <c r="C226" s="29" t="s">
        <v>52</v>
      </c>
      <c r="D226" s="29" t="s">
        <v>54</v>
      </c>
      <c r="E226" s="29" t="s">
        <v>55</v>
      </c>
      <c r="F226" s="29" t="s">
        <v>130</v>
      </c>
      <c r="G226" s="30" t="s">
        <v>312</v>
      </c>
      <c r="H226" s="31">
        <v>0</v>
      </c>
      <c r="I226" s="31">
        <v>52420.99</v>
      </c>
      <c r="J226" s="32">
        <f t="shared" si="81"/>
        <v>0</v>
      </c>
      <c r="K226" s="31">
        <v>0</v>
      </c>
      <c r="L226" s="31">
        <v>36891.22</v>
      </c>
      <c r="M226" s="32">
        <f t="shared" si="82"/>
        <v>0</v>
      </c>
      <c r="N226" s="31">
        <v>0</v>
      </c>
      <c r="O226" s="31">
        <v>109878.16</v>
      </c>
      <c r="P226" s="32">
        <f t="shared" si="83"/>
        <v>0</v>
      </c>
      <c r="Q226" s="31">
        <v>0</v>
      </c>
      <c r="R226" s="31">
        <v>16559.330000000002</v>
      </c>
      <c r="S226" s="32">
        <f t="shared" si="84"/>
        <v>0</v>
      </c>
      <c r="T226" s="31">
        <v>0</v>
      </c>
      <c r="U226" s="31">
        <v>0</v>
      </c>
      <c r="V226" s="32" t="str">
        <f t="shared" si="85"/>
        <v/>
      </c>
      <c r="W226" s="31">
        <v>0</v>
      </c>
      <c r="X226" s="31">
        <v>0</v>
      </c>
      <c r="Y226" s="32" t="str">
        <f t="shared" si="86"/>
        <v/>
      </c>
      <c r="Z226" s="31">
        <f t="shared" si="73"/>
        <v>0</v>
      </c>
      <c r="AA226" s="31">
        <f t="shared" si="74"/>
        <v>215749.7</v>
      </c>
      <c r="AB226" s="32">
        <f t="shared" si="87"/>
        <v>0</v>
      </c>
      <c r="AC226" s="31"/>
      <c r="AD226" s="31"/>
      <c r="AE226" s="32" t="str">
        <f t="shared" si="75"/>
        <v/>
      </c>
      <c r="AF226" s="32" t="s">
        <v>313</v>
      </c>
      <c r="AG226" s="31"/>
      <c r="AH226" s="31"/>
      <c r="AI226" s="32" t="str">
        <f t="shared" si="76"/>
        <v/>
      </c>
      <c r="AJ226" s="32" t="s">
        <v>313</v>
      </c>
      <c r="AK226" s="31"/>
      <c r="AL226" s="31"/>
      <c r="AM226" s="32" t="str">
        <f t="shared" si="77"/>
        <v/>
      </c>
      <c r="AN226" s="32" t="s">
        <v>313</v>
      </c>
      <c r="AO226" s="31"/>
      <c r="AP226" s="31"/>
      <c r="AQ226" s="32" t="str">
        <f t="shared" si="78"/>
        <v/>
      </c>
      <c r="AR226" s="32" t="s">
        <v>313</v>
      </c>
      <c r="AS226" s="31"/>
      <c r="AT226" s="31"/>
      <c r="AU226" s="32" t="str">
        <f t="shared" si="79"/>
        <v/>
      </c>
      <c r="AV226" s="32" t="s">
        <v>313</v>
      </c>
      <c r="AW226" s="31"/>
      <c r="AX226" s="31"/>
      <c r="AY226" s="32" t="str">
        <f t="shared" si="80"/>
        <v/>
      </c>
      <c r="AZ226" s="32" t="s">
        <v>313</v>
      </c>
    </row>
    <row r="227" spans="1:52" ht="34" customHeight="1">
      <c r="A227" s="28" t="s">
        <v>231</v>
      </c>
      <c r="B227" s="29" t="s">
        <v>327</v>
      </c>
      <c r="C227" s="29" t="s">
        <v>52</v>
      </c>
      <c r="D227" s="29" t="s">
        <v>54</v>
      </c>
      <c r="E227" s="29" t="s">
        <v>58</v>
      </c>
      <c r="F227" s="29" t="s">
        <v>316</v>
      </c>
      <c r="G227" s="30" t="s">
        <v>312</v>
      </c>
      <c r="H227" s="31"/>
      <c r="I227" s="31">
        <v>52420.99</v>
      </c>
      <c r="J227" s="32" t="str">
        <f t="shared" si="81"/>
        <v/>
      </c>
      <c r="K227" s="31"/>
      <c r="L227" s="31">
        <v>36891.22</v>
      </c>
      <c r="M227" s="32" t="str">
        <f t="shared" si="82"/>
        <v/>
      </c>
      <c r="N227" s="31"/>
      <c r="O227" s="31">
        <v>109878.16</v>
      </c>
      <c r="P227" s="32" t="str">
        <f t="shared" si="83"/>
        <v/>
      </c>
      <c r="Q227" s="31"/>
      <c r="R227" s="31">
        <v>16559.330000000002</v>
      </c>
      <c r="S227" s="32" t="str">
        <f t="shared" si="84"/>
        <v/>
      </c>
      <c r="T227" s="31"/>
      <c r="U227" s="31">
        <v>0</v>
      </c>
      <c r="V227" s="32" t="str">
        <f t="shared" si="85"/>
        <v/>
      </c>
      <c r="W227" s="31"/>
      <c r="X227" s="31">
        <v>0</v>
      </c>
      <c r="Y227" s="32" t="str">
        <f t="shared" si="86"/>
        <v/>
      </c>
      <c r="Z227" s="31" t="str">
        <f t="shared" si="73"/>
        <v/>
      </c>
      <c r="AA227" s="31">
        <f t="shared" si="74"/>
        <v>215749.7</v>
      </c>
      <c r="AB227" s="32" t="str">
        <f t="shared" si="87"/>
        <v/>
      </c>
      <c r="AC227" s="31"/>
      <c r="AD227" s="31"/>
      <c r="AE227" s="32" t="str">
        <f t="shared" si="75"/>
        <v/>
      </c>
      <c r="AF227" s="32" t="s">
        <v>313</v>
      </c>
      <c r="AG227" s="31"/>
      <c r="AH227" s="31"/>
      <c r="AI227" s="32" t="str">
        <f t="shared" si="76"/>
        <v/>
      </c>
      <c r="AJ227" s="32" t="s">
        <v>313</v>
      </c>
      <c r="AK227" s="31"/>
      <c r="AL227" s="31"/>
      <c r="AM227" s="32" t="str">
        <f t="shared" si="77"/>
        <v/>
      </c>
      <c r="AN227" s="32" t="s">
        <v>313</v>
      </c>
      <c r="AO227" s="31"/>
      <c r="AP227" s="31"/>
      <c r="AQ227" s="32" t="str">
        <f t="shared" si="78"/>
        <v/>
      </c>
      <c r="AR227" s="32" t="s">
        <v>313</v>
      </c>
      <c r="AS227" s="31"/>
      <c r="AT227" s="31"/>
      <c r="AU227" s="32" t="str">
        <f t="shared" si="79"/>
        <v/>
      </c>
      <c r="AV227" s="32" t="s">
        <v>313</v>
      </c>
      <c r="AW227" s="31"/>
      <c r="AX227" s="31"/>
      <c r="AY227" s="32" t="str">
        <f t="shared" si="80"/>
        <v/>
      </c>
      <c r="AZ227" s="32" t="s">
        <v>313</v>
      </c>
    </row>
    <row r="228" spans="1:52" ht="34" customHeight="1">
      <c r="A228" s="28" t="s">
        <v>231</v>
      </c>
      <c r="B228" s="29" t="s">
        <v>327</v>
      </c>
      <c r="C228" s="29" t="s">
        <v>52</v>
      </c>
      <c r="D228" s="29" t="s">
        <v>54</v>
      </c>
      <c r="E228" s="29" t="s">
        <v>59</v>
      </c>
      <c r="F228" s="29" t="s">
        <v>316</v>
      </c>
      <c r="G228" s="30" t="s">
        <v>312</v>
      </c>
      <c r="H228" s="31"/>
      <c r="I228" s="31">
        <v>52420.99</v>
      </c>
      <c r="J228" s="32" t="str">
        <f t="shared" si="81"/>
        <v/>
      </c>
      <c r="K228" s="31"/>
      <c r="L228" s="31">
        <v>36891.22</v>
      </c>
      <c r="M228" s="32" t="str">
        <f t="shared" si="82"/>
        <v/>
      </c>
      <c r="N228" s="31"/>
      <c r="O228" s="31">
        <v>109878.16</v>
      </c>
      <c r="P228" s="32" t="str">
        <f t="shared" si="83"/>
        <v/>
      </c>
      <c r="Q228" s="31"/>
      <c r="R228" s="31">
        <v>16559.330000000002</v>
      </c>
      <c r="S228" s="32" t="str">
        <f t="shared" si="84"/>
        <v/>
      </c>
      <c r="T228" s="31"/>
      <c r="U228" s="31">
        <v>0</v>
      </c>
      <c r="V228" s="32" t="str">
        <f t="shared" si="85"/>
        <v/>
      </c>
      <c r="W228" s="31"/>
      <c r="X228" s="31">
        <v>0</v>
      </c>
      <c r="Y228" s="32" t="str">
        <f t="shared" si="86"/>
        <v/>
      </c>
      <c r="Z228" s="31" t="str">
        <f t="shared" si="73"/>
        <v/>
      </c>
      <c r="AA228" s="31">
        <f t="shared" si="74"/>
        <v>215749.7</v>
      </c>
      <c r="AB228" s="32" t="str">
        <f t="shared" si="87"/>
        <v/>
      </c>
      <c r="AC228" s="31"/>
      <c r="AD228" s="31"/>
      <c r="AE228" s="32" t="str">
        <f t="shared" si="75"/>
        <v/>
      </c>
      <c r="AF228" s="32" t="s">
        <v>313</v>
      </c>
      <c r="AG228" s="31"/>
      <c r="AH228" s="31"/>
      <c r="AI228" s="32" t="str">
        <f t="shared" si="76"/>
        <v/>
      </c>
      <c r="AJ228" s="32" t="s">
        <v>313</v>
      </c>
      <c r="AK228" s="31"/>
      <c r="AL228" s="31"/>
      <c r="AM228" s="32" t="str">
        <f t="shared" si="77"/>
        <v/>
      </c>
      <c r="AN228" s="32" t="s">
        <v>313</v>
      </c>
      <c r="AO228" s="31"/>
      <c r="AP228" s="31"/>
      <c r="AQ228" s="32" t="str">
        <f t="shared" si="78"/>
        <v/>
      </c>
      <c r="AR228" s="32" t="s">
        <v>313</v>
      </c>
      <c r="AS228" s="31"/>
      <c r="AT228" s="31"/>
      <c r="AU228" s="32" t="str">
        <f t="shared" si="79"/>
        <v/>
      </c>
      <c r="AV228" s="32" t="s">
        <v>313</v>
      </c>
      <c r="AW228" s="31"/>
      <c r="AX228" s="31"/>
      <c r="AY228" s="32" t="str">
        <f t="shared" si="80"/>
        <v/>
      </c>
      <c r="AZ228" s="32" t="s">
        <v>313</v>
      </c>
    </row>
    <row r="229" spans="1:52" ht="34" customHeight="1">
      <c r="A229" s="28" t="s">
        <v>231</v>
      </c>
      <c r="B229" s="29" t="s">
        <v>327</v>
      </c>
      <c r="C229" s="29" t="s">
        <v>52</v>
      </c>
      <c r="D229" s="29" t="s">
        <v>54</v>
      </c>
      <c r="E229" s="29" t="s">
        <v>64</v>
      </c>
      <c r="F229" s="29" t="s">
        <v>133</v>
      </c>
      <c r="G229" s="30" t="s">
        <v>312</v>
      </c>
      <c r="H229" s="31">
        <v>0</v>
      </c>
      <c r="I229" s="31">
        <v>52420.99</v>
      </c>
      <c r="J229" s="32">
        <f t="shared" si="81"/>
        <v>0</v>
      </c>
      <c r="K229" s="31">
        <v>0</v>
      </c>
      <c r="L229" s="31">
        <v>36891.22</v>
      </c>
      <c r="M229" s="32">
        <f t="shared" si="82"/>
        <v>0</v>
      </c>
      <c r="N229" s="31">
        <v>0</v>
      </c>
      <c r="O229" s="31">
        <v>109878.16</v>
      </c>
      <c r="P229" s="32">
        <f t="shared" si="83"/>
        <v>0</v>
      </c>
      <c r="Q229" s="31">
        <v>0</v>
      </c>
      <c r="R229" s="31">
        <v>16559.330000000002</v>
      </c>
      <c r="S229" s="32">
        <f t="shared" si="84"/>
        <v>0</v>
      </c>
      <c r="T229" s="31">
        <v>0</v>
      </c>
      <c r="U229" s="31">
        <v>0</v>
      </c>
      <c r="V229" s="32" t="str">
        <f t="shared" si="85"/>
        <v/>
      </c>
      <c r="W229" s="31">
        <v>0</v>
      </c>
      <c r="X229" s="31">
        <v>0</v>
      </c>
      <c r="Y229" s="32" t="str">
        <f t="shared" si="86"/>
        <v/>
      </c>
      <c r="Z229" s="31">
        <f t="shared" si="73"/>
        <v>0</v>
      </c>
      <c r="AA229" s="31">
        <f t="shared" si="74"/>
        <v>215749.7</v>
      </c>
      <c r="AB229" s="32">
        <f t="shared" si="87"/>
        <v>0</v>
      </c>
      <c r="AC229" s="31"/>
      <c r="AD229" s="31"/>
      <c r="AE229" s="32" t="str">
        <f t="shared" si="75"/>
        <v/>
      </c>
      <c r="AF229" s="32" t="s">
        <v>313</v>
      </c>
      <c r="AG229" s="31"/>
      <c r="AH229" s="31"/>
      <c r="AI229" s="32" t="str">
        <f t="shared" si="76"/>
        <v/>
      </c>
      <c r="AJ229" s="32" t="s">
        <v>313</v>
      </c>
      <c r="AK229" s="31"/>
      <c r="AL229" s="31"/>
      <c r="AM229" s="32" t="str">
        <f t="shared" si="77"/>
        <v/>
      </c>
      <c r="AN229" s="32" t="s">
        <v>313</v>
      </c>
      <c r="AO229" s="31"/>
      <c r="AP229" s="31"/>
      <c r="AQ229" s="32" t="str">
        <f t="shared" si="78"/>
        <v/>
      </c>
      <c r="AR229" s="32" t="s">
        <v>313</v>
      </c>
      <c r="AS229" s="31"/>
      <c r="AT229" s="31"/>
      <c r="AU229" s="32" t="str">
        <f t="shared" si="79"/>
        <v/>
      </c>
      <c r="AV229" s="32" t="s">
        <v>313</v>
      </c>
      <c r="AW229" s="31"/>
      <c r="AX229" s="31"/>
      <c r="AY229" s="32" t="str">
        <f t="shared" si="80"/>
        <v/>
      </c>
      <c r="AZ229" s="32" t="s">
        <v>313</v>
      </c>
    </row>
    <row r="230" spans="1:52" ht="34" customHeight="1">
      <c r="A230" s="28" t="s">
        <v>231</v>
      </c>
      <c r="B230" s="29" t="s">
        <v>327</v>
      </c>
      <c r="C230" s="29" t="s">
        <v>52</v>
      </c>
      <c r="D230" s="29" t="s">
        <v>54</v>
      </c>
      <c r="E230" s="29" t="s">
        <v>60</v>
      </c>
      <c r="F230" s="29" t="s">
        <v>316</v>
      </c>
      <c r="G230" s="30" t="s">
        <v>312</v>
      </c>
      <c r="H230" s="31"/>
      <c r="I230" s="31">
        <v>52420.99</v>
      </c>
      <c r="J230" s="32" t="str">
        <f t="shared" si="81"/>
        <v/>
      </c>
      <c r="K230" s="31"/>
      <c r="L230" s="31">
        <v>36891.22</v>
      </c>
      <c r="M230" s="32" t="str">
        <f t="shared" si="82"/>
        <v/>
      </c>
      <c r="N230" s="31"/>
      <c r="O230" s="31">
        <v>109878.16</v>
      </c>
      <c r="P230" s="32" t="str">
        <f t="shared" si="83"/>
        <v/>
      </c>
      <c r="Q230" s="31"/>
      <c r="R230" s="31">
        <v>16559.330000000002</v>
      </c>
      <c r="S230" s="32" t="str">
        <f t="shared" si="84"/>
        <v/>
      </c>
      <c r="T230" s="31"/>
      <c r="U230" s="31">
        <v>0</v>
      </c>
      <c r="V230" s="32" t="str">
        <f t="shared" si="85"/>
        <v/>
      </c>
      <c r="W230" s="31"/>
      <c r="X230" s="31">
        <v>0</v>
      </c>
      <c r="Y230" s="32" t="str">
        <f t="shared" si="86"/>
        <v/>
      </c>
      <c r="Z230" s="31" t="str">
        <f t="shared" si="73"/>
        <v/>
      </c>
      <c r="AA230" s="31">
        <f t="shared" si="74"/>
        <v>215749.7</v>
      </c>
      <c r="AB230" s="32" t="str">
        <f t="shared" si="87"/>
        <v/>
      </c>
      <c r="AC230" s="31"/>
      <c r="AD230" s="31"/>
      <c r="AE230" s="32" t="str">
        <f t="shared" si="75"/>
        <v/>
      </c>
      <c r="AF230" s="32" t="s">
        <v>313</v>
      </c>
      <c r="AG230" s="31"/>
      <c r="AH230" s="31"/>
      <c r="AI230" s="32" t="str">
        <f t="shared" si="76"/>
        <v/>
      </c>
      <c r="AJ230" s="32" t="s">
        <v>313</v>
      </c>
      <c r="AK230" s="31"/>
      <c r="AL230" s="31"/>
      <c r="AM230" s="32" t="str">
        <f t="shared" si="77"/>
        <v/>
      </c>
      <c r="AN230" s="32" t="s">
        <v>313</v>
      </c>
      <c r="AO230" s="31"/>
      <c r="AP230" s="31"/>
      <c r="AQ230" s="32" t="str">
        <f t="shared" si="78"/>
        <v/>
      </c>
      <c r="AR230" s="32" t="s">
        <v>313</v>
      </c>
      <c r="AS230" s="31"/>
      <c r="AT230" s="31"/>
      <c r="AU230" s="32" t="str">
        <f t="shared" si="79"/>
        <v/>
      </c>
      <c r="AV230" s="32" t="s">
        <v>313</v>
      </c>
      <c r="AW230" s="31"/>
      <c r="AX230" s="31"/>
      <c r="AY230" s="32" t="str">
        <f t="shared" si="80"/>
        <v/>
      </c>
      <c r="AZ230" s="32" t="s">
        <v>313</v>
      </c>
    </row>
    <row r="231" spans="1:52" ht="51" customHeight="1">
      <c r="A231" s="28" t="s">
        <v>231</v>
      </c>
      <c r="B231" s="29" t="s">
        <v>327</v>
      </c>
      <c r="C231" s="29" t="s">
        <v>52</v>
      </c>
      <c r="D231" s="29" t="s">
        <v>54</v>
      </c>
      <c r="E231" s="29" t="s">
        <v>61</v>
      </c>
      <c r="F231" s="29" t="s">
        <v>135</v>
      </c>
      <c r="G231" s="30" t="s">
        <v>312</v>
      </c>
      <c r="H231" s="31">
        <v>0</v>
      </c>
      <c r="I231" s="31">
        <v>52420.99</v>
      </c>
      <c r="J231" s="32">
        <f t="shared" si="81"/>
        <v>0</v>
      </c>
      <c r="K231" s="31">
        <v>0</v>
      </c>
      <c r="L231" s="31">
        <v>36891.22</v>
      </c>
      <c r="M231" s="32">
        <f t="shared" si="82"/>
        <v>0</v>
      </c>
      <c r="N231" s="31">
        <v>0</v>
      </c>
      <c r="O231" s="31">
        <v>109878.16</v>
      </c>
      <c r="P231" s="32">
        <f t="shared" si="83"/>
        <v>0</v>
      </c>
      <c r="Q231" s="31">
        <v>0</v>
      </c>
      <c r="R231" s="31">
        <v>16559.330000000002</v>
      </c>
      <c r="S231" s="32">
        <f t="shared" si="84"/>
        <v>0</v>
      </c>
      <c r="T231" s="31">
        <v>0</v>
      </c>
      <c r="U231" s="31">
        <v>0</v>
      </c>
      <c r="V231" s="32" t="str">
        <f t="shared" si="85"/>
        <v/>
      </c>
      <c r="W231" s="31">
        <v>0</v>
      </c>
      <c r="X231" s="31">
        <v>0</v>
      </c>
      <c r="Y231" s="32" t="str">
        <f t="shared" si="86"/>
        <v/>
      </c>
      <c r="Z231" s="31">
        <f t="shared" si="73"/>
        <v>0</v>
      </c>
      <c r="AA231" s="31">
        <f t="shared" si="74"/>
        <v>215749.7</v>
      </c>
      <c r="AB231" s="32">
        <f t="shared" si="87"/>
        <v>0</v>
      </c>
      <c r="AC231" s="31"/>
      <c r="AD231" s="31"/>
      <c r="AE231" s="32" t="str">
        <f t="shared" si="75"/>
        <v/>
      </c>
      <c r="AF231" s="32" t="s">
        <v>313</v>
      </c>
      <c r="AG231" s="31"/>
      <c r="AH231" s="31"/>
      <c r="AI231" s="32" t="str">
        <f t="shared" si="76"/>
        <v/>
      </c>
      <c r="AJ231" s="32" t="s">
        <v>313</v>
      </c>
      <c r="AK231" s="31"/>
      <c r="AL231" s="31"/>
      <c r="AM231" s="32" t="str">
        <f t="shared" si="77"/>
        <v/>
      </c>
      <c r="AN231" s="32" t="s">
        <v>313</v>
      </c>
      <c r="AO231" s="31"/>
      <c r="AP231" s="31"/>
      <c r="AQ231" s="32" t="str">
        <f t="shared" si="78"/>
        <v/>
      </c>
      <c r="AR231" s="32" t="s">
        <v>313</v>
      </c>
      <c r="AS231" s="31"/>
      <c r="AT231" s="31"/>
      <c r="AU231" s="32" t="str">
        <f t="shared" si="79"/>
        <v/>
      </c>
      <c r="AV231" s="32" t="s">
        <v>313</v>
      </c>
      <c r="AW231" s="31"/>
      <c r="AX231" s="31"/>
      <c r="AY231" s="32" t="str">
        <f t="shared" si="80"/>
        <v/>
      </c>
      <c r="AZ231" s="32" t="s">
        <v>313</v>
      </c>
    </row>
    <row r="232" spans="1:52" ht="34" customHeight="1">
      <c r="A232" s="28" t="s">
        <v>231</v>
      </c>
      <c r="B232" s="29" t="s">
        <v>327</v>
      </c>
      <c r="C232" s="29" t="s">
        <v>52</v>
      </c>
      <c r="D232" s="29" t="s">
        <v>54</v>
      </c>
      <c r="E232" s="29" t="s">
        <v>62</v>
      </c>
      <c r="F232" s="29" t="s">
        <v>316</v>
      </c>
      <c r="G232" s="30" t="s">
        <v>312</v>
      </c>
      <c r="H232" s="31"/>
      <c r="I232" s="31">
        <v>52420.99</v>
      </c>
      <c r="J232" s="32" t="str">
        <f t="shared" si="81"/>
        <v/>
      </c>
      <c r="K232" s="31"/>
      <c r="L232" s="31">
        <v>36891.22</v>
      </c>
      <c r="M232" s="32" t="str">
        <f t="shared" si="82"/>
        <v/>
      </c>
      <c r="N232" s="31"/>
      <c r="O232" s="31">
        <v>109878.16</v>
      </c>
      <c r="P232" s="32" t="str">
        <f t="shared" si="83"/>
        <v/>
      </c>
      <c r="Q232" s="31"/>
      <c r="R232" s="31">
        <v>16559.330000000002</v>
      </c>
      <c r="S232" s="32" t="str">
        <f t="shared" si="84"/>
        <v/>
      </c>
      <c r="T232" s="31"/>
      <c r="U232" s="31">
        <v>0</v>
      </c>
      <c r="V232" s="32" t="str">
        <f t="shared" si="85"/>
        <v/>
      </c>
      <c r="W232" s="31"/>
      <c r="X232" s="31">
        <v>0</v>
      </c>
      <c r="Y232" s="32" t="str">
        <f t="shared" si="86"/>
        <v/>
      </c>
      <c r="Z232" s="31" t="str">
        <f t="shared" si="73"/>
        <v/>
      </c>
      <c r="AA232" s="31">
        <f t="shared" si="74"/>
        <v>215749.7</v>
      </c>
      <c r="AB232" s="32" t="str">
        <f t="shared" si="87"/>
        <v/>
      </c>
      <c r="AC232" s="31"/>
      <c r="AD232" s="31"/>
      <c r="AE232" s="32" t="str">
        <f t="shared" si="75"/>
        <v/>
      </c>
      <c r="AF232" s="32" t="s">
        <v>313</v>
      </c>
      <c r="AG232" s="31"/>
      <c r="AH232" s="31"/>
      <c r="AI232" s="32" t="str">
        <f t="shared" si="76"/>
        <v/>
      </c>
      <c r="AJ232" s="32" t="s">
        <v>313</v>
      </c>
      <c r="AK232" s="31"/>
      <c r="AL232" s="31"/>
      <c r="AM232" s="32" t="str">
        <f t="shared" si="77"/>
        <v/>
      </c>
      <c r="AN232" s="32" t="s">
        <v>313</v>
      </c>
      <c r="AO232" s="31"/>
      <c r="AP232" s="31"/>
      <c r="AQ232" s="32" t="str">
        <f t="shared" si="78"/>
        <v/>
      </c>
      <c r="AR232" s="32" t="s">
        <v>313</v>
      </c>
      <c r="AS232" s="31"/>
      <c r="AT232" s="31"/>
      <c r="AU232" s="32" t="str">
        <f t="shared" si="79"/>
        <v/>
      </c>
      <c r="AV232" s="32" t="s">
        <v>313</v>
      </c>
      <c r="AW232" s="31"/>
      <c r="AX232" s="31"/>
      <c r="AY232" s="32" t="str">
        <f t="shared" si="80"/>
        <v/>
      </c>
      <c r="AZ232" s="32" t="s">
        <v>313</v>
      </c>
    </row>
    <row r="233" spans="1:52" ht="34" customHeight="1">
      <c r="A233" s="28" t="s">
        <v>231</v>
      </c>
      <c r="B233" s="29" t="s">
        <v>327</v>
      </c>
      <c r="C233" s="29" t="s">
        <v>52</v>
      </c>
      <c r="D233" s="29" t="s">
        <v>54</v>
      </c>
      <c r="E233" s="29" t="s">
        <v>63</v>
      </c>
      <c r="F233" s="29" t="s">
        <v>316</v>
      </c>
      <c r="G233" s="30" t="s">
        <v>312</v>
      </c>
      <c r="H233" s="31"/>
      <c r="I233" s="31">
        <v>52420.99</v>
      </c>
      <c r="J233" s="32" t="str">
        <f t="shared" si="81"/>
        <v/>
      </c>
      <c r="K233" s="31"/>
      <c r="L233" s="31">
        <v>36891.22</v>
      </c>
      <c r="M233" s="32" t="str">
        <f t="shared" si="82"/>
        <v/>
      </c>
      <c r="N233" s="31"/>
      <c r="O233" s="31">
        <v>109878.16</v>
      </c>
      <c r="P233" s="32" t="str">
        <f t="shared" si="83"/>
        <v/>
      </c>
      <c r="Q233" s="31"/>
      <c r="R233" s="31">
        <v>16559.330000000002</v>
      </c>
      <c r="S233" s="32" t="str">
        <f t="shared" si="84"/>
        <v/>
      </c>
      <c r="T233" s="31"/>
      <c r="U233" s="31">
        <v>0</v>
      </c>
      <c r="V233" s="32" t="str">
        <f t="shared" si="85"/>
        <v/>
      </c>
      <c r="W233" s="31"/>
      <c r="X233" s="31">
        <v>0</v>
      </c>
      <c r="Y233" s="32" t="str">
        <f t="shared" si="86"/>
        <v/>
      </c>
      <c r="Z233" s="31" t="str">
        <f t="shared" si="73"/>
        <v/>
      </c>
      <c r="AA233" s="31">
        <f t="shared" si="74"/>
        <v>215749.7</v>
      </c>
      <c r="AB233" s="32" t="str">
        <f t="shared" si="87"/>
        <v/>
      </c>
      <c r="AC233" s="31"/>
      <c r="AD233" s="31"/>
      <c r="AE233" s="32" t="str">
        <f t="shared" si="75"/>
        <v/>
      </c>
      <c r="AF233" s="32" t="s">
        <v>313</v>
      </c>
      <c r="AG233" s="31"/>
      <c r="AH233" s="31"/>
      <c r="AI233" s="32" t="str">
        <f t="shared" si="76"/>
        <v/>
      </c>
      <c r="AJ233" s="32" t="s">
        <v>313</v>
      </c>
      <c r="AK233" s="31"/>
      <c r="AL233" s="31"/>
      <c r="AM233" s="32" t="str">
        <f t="shared" si="77"/>
        <v/>
      </c>
      <c r="AN233" s="32" t="s">
        <v>313</v>
      </c>
      <c r="AO233" s="31"/>
      <c r="AP233" s="31"/>
      <c r="AQ233" s="32" t="str">
        <f t="shared" si="78"/>
        <v/>
      </c>
      <c r="AR233" s="32" t="s">
        <v>313</v>
      </c>
      <c r="AS233" s="31"/>
      <c r="AT233" s="31"/>
      <c r="AU233" s="32" t="str">
        <f t="shared" si="79"/>
        <v/>
      </c>
      <c r="AV233" s="32" t="s">
        <v>313</v>
      </c>
      <c r="AW233" s="31"/>
      <c r="AX233" s="31"/>
      <c r="AY233" s="32" t="str">
        <f t="shared" si="80"/>
        <v/>
      </c>
      <c r="AZ233" s="32" t="s">
        <v>313</v>
      </c>
    </row>
    <row r="234" spans="1:52" ht="34" customHeight="1">
      <c r="A234" s="28" t="s">
        <v>231</v>
      </c>
      <c r="B234" s="29" t="s">
        <v>327</v>
      </c>
      <c r="C234" s="29" t="s">
        <v>52</v>
      </c>
      <c r="D234" s="29" t="s">
        <v>65</v>
      </c>
      <c r="E234" s="29" t="s">
        <v>66</v>
      </c>
      <c r="F234" s="29" t="s">
        <v>316</v>
      </c>
      <c r="G234" s="30" t="s">
        <v>312</v>
      </c>
      <c r="H234" s="31"/>
      <c r="I234" s="31">
        <v>52420.99</v>
      </c>
      <c r="J234" s="32" t="str">
        <f t="shared" si="81"/>
        <v/>
      </c>
      <c r="K234" s="31"/>
      <c r="L234" s="31">
        <v>36891.22</v>
      </c>
      <c r="M234" s="32" t="str">
        <f t="shared" si="82"/>
        <v/>
      </c>
      <c r="N234" s="31"/>
      <c r="O234" s="31">
        <v>109878.16</v>
      </c>
      <c r="P234" s="32" t="str">
        <f t="shared" si="83"/>
        <v/>
      </c>
      <c r="Q234" s="31"/>
      <c r="R234" s="31">
        <v>16559.330000000002</v>
      </c>
      <c r="S234" s="32" t="str">
        <f t="shared" si="84"/>
        <v/>
      </c>
      <c r="T234" s="31"/>
      <c r="U234" s="31">
        <v>0</v>
      </c>
      <c r="V234" s="32" t="str">
        <f t="shared" si="85"/>
        <v/>
      </c>
      <c r="W234" s="31"/>
      <c r="X234" s="31">
        <v>0</v>
      </c>
      <c r="Y234" s="32" t="str">
        <f t="shared" si="86"/>
        <v/>
      </c>
      <c r="Z234" s="31" t="str">
        <f t="shared" si="73"/>
        <v/>
      </c>
      <c r="AA234" s="31">
        <f t="shared" si="74"/>
        <v>215749.7</v>
      </c>
      <c r="AB234" s="32" t="str">
        <f t="shared" si="87"/>
        <v/>
      </c>
      <c r="AC234" s="31"/>
      <c r="AD234" s="31"/>
      <c r="AE234" s="32" t="str">
        <f t="shared" si="75"/>
        <v/>
      </c>
      <c r="AF234" s="32" t="s">
        <v>313</v>
      </c>
      <c r="AG234" s="31"/>
      <c r="AH234" s="31"/>
      <c r="AI234" s="32" t="str">
        <f t="shared" si="76"/>
        <v/>
      </c>
      <c r="AJ234" s="32" t="s">
        <v>313</v>
      </c>
      <c r="AK234" s="31"/>
      <c r="AL234" s="31"/>
      <c r="AM234" s="32" t="str">
        <f t="shared" si="77"/>
        <v/>
      </c>
      <c r="AN234" s="32" t="s">
        <v>313</v>
      </c>
      <c r="AO234" s="31"/>
      <c r="AP234" s="31"/>
      <c r="AQ234" s="32" t="str">
        <f t="shared" si="78"/>
        <v/>
      </c>
      <c r="AR234" s="32" t="s">
        <v>313</v>
      </c>
      <c r="AS234" s="31"/>
      <c r="AT234" s="31"/>
      <c r="AU234" s="32" t="str">
        <f t="shared" si="79"/>
        <v/>
      </c>
      <c r="AV234" s="32" t="s">
        <v>313</v>
      </c>
      <c r="AW234" s="31"/>
      <c r="AX234" s="31"/>
      <c r="AY234" s="32" t="str">
        <f t="shared" si="80"/>
        <v/>
      </c>
      <c r="AZ234" s="32" t="s">
        <v>313</v>
      </c>
    </row>
    <row r="235" spans="1:52" ht="34" customHeight="1">
      <c r="A235" s="28" t="s">
        <v>231</v>
      </c>
      <c r="B235" s="29" t="s">
        <v>327</v>
      </c>
      <c r="C235" s="29" t="s">
        <v>52</v>
      </c>
      <c r="D235" s="29" t="s">
        <v>65</v>
      </c>
      <c r="E235" s="29" t="s">
        <v>67</v>
      </c>
      <c r="F235" s="29" t="s">
        <v>316</v>
      </c>
      <c r="G235" s="30" t="s">
        <v>312</v>
      </c>
      <c r="H235" s="31"/>
      <c r="I235" s="31">
        <v>52420.99</v>
      </c>
      <c r="J235" s="32" t="str">
        <f t="shared" si="81"/>
        <v/>
      </c>
      <c r="K235" s="31"/>
      <c r="L235" s="31">
        <v>36891.22</v>
      </c>
      <c r="M235" s="32" t="str">
        <f t="shared" si="82"/>
        <v/>
      </c>
      <c r="N235" s="31"/>
      <c r="O235" s="31">
        <v>109878.16</v>
      </c>
      <c r="P235" s="32" t="str">
        <f t="shared" si="83"/>
        <v/>
      </c>
      <c r="Q235" s="31"/>
      <c r="R235" s="31">
        <v>16559.330000000002</v>
      </c>
      <c r="S235" s="32" t="str">
        <f t="shared" si="84"/>
        <v/>
      </c>
      <c r="T235" s="31"/>
      <c r="U235" s="31">
        <v>0</v>
      </c>
      <c r="V235" s="32" t="str">
        <f t="shared" si="85"/>
        <v/>
      </c>
      <c r="W235" s="31"/>
      <c r="X235" s="31">
        <v>0</v>
      </c>
      <c r="Y235" s="32" t="str">
        <f t="shared" si="86"/>
        <v/>
      </c>
      <c r="Z235" s="31" t="str">
        <f t="shared" si="73"/>
        <v/>
      </c>
      <c r="AA235" s="31">
        <f t="shared" si="74"/>
        <v>215749.7</v>
      </c>
      <c r="AB235" s="32" t="str">
        <f t="shared" si="87"/>
        <v/>
      </c>
      <c r="AC235" s="31"/>
      <c r="AD235" s="31"/>
      <c r="AE235" s="32" t="str">
        <f t="shared" si="75"/>
        <v/>
      </c>
      <c r="AF235" s="32" t="s">
        <v>313</v>
      </c>
      <c r="AG235" s="31"/>
      <c r="AH235" s="31"/>
      <c r="AI235" s="32" t="str">
        <f t="shared" si="76"/>
        <v/>
      </c>
      <c r="AJ235" s="32" t="s">
        <v>313</v>
      </c>
      <c r="AK235" s="31"/>
      <c r="AL235" s="31"/>
      <c r="AM235" s="32" t="str">
        <f t="shared" si="77"/>
        <v/>
      </c>
      <c r="AN235" s="32" t="s">
        <v>313</v>
      </c>
      <c r="AO235" s="31"/>
      <c r="AP235" s="31"/>
      <c r="AQ235" s="32" t="str">
        <f t="shared" si="78"/>
        <v/>
      </c>
      <c r="AR235" s="32" t="s">
        <v>313</v>
      </c>
      <c r="AS235" s="31"/>
      <c r="AT235" s="31"/>
      <c r="AU235" s="32" t="str">
        <f t="shared" si="79"/>
        <v/>
      </c>
      <c r="AV235" s="32" t="s">
        <v>313</v>
      </c>
      <c r="AW235" s="31"/>
      <c r="AX235" s="31"/>
      <c r="AY235" s="32" t="str">
        <f t="shared" si="80"/>
        <v/>
      </c>
      <c r="AZ235" s="32" t="s">
        <v>313</v>
      </c>
    </row>
    <row r="236" spans="1:52" ht="34" customHeight="1">
      <c r="A236" s="28" t="s">
        <v>231</v>
      </c>
      <c r="B236" s="29" t="s">
        <v>327</v>
      </c>
      <c r="C236" s="29" t="s">
        <v>52</v>
      </c>
      <c r="D236" s="29" t="s">
        <v>65</v>
      </c>
      <c r="E236" s="29" t="s">
        <v>68</v>
      </c>
      <c r="F236" s="29" t="s">
        <v>316</v>
      </c>
      <c r="G236" s="30" t="s">
        <v>312</v>
      </c>
      <c r="H236" s="31"/>
      <c r="I236" s="31">
        <v>52420.99</v>
      </c>
      <c r="J236" s="32" t="str">
        <f t="shared" si="81"/>
        <v/>
      </c>
      <c r="K236" s="31"/>
      <c r="L236" s="31">
        <v>36891.22</v>
      </c>
      <c r="M236" s="32" t="str">
        <f t="shared" si="82"/>
        <v/>
      </c>
      <c r="N236" s="31"/>
      <c r="O236" s="31">
        <v>109878.16</v>
      </c>
      <c r="P236" s="32" t="str">
        <f t="shared" si="83"/>
        <v/>
      </c>
      <c r="Q236" s="31"/>
      <c r="R236" s="31">
        <v>16559.330000000002</v>
      </c>
      <c r="S236" s="32" t="str">
        <f t="shared" si="84"/>
        <v/>
      </c>
      <c r="T236" s="31"/>
      <c r="U236" s="31">
        <v>0</v>
      </c>
      <c r="V236" s="32" t="str">
        <f t="shared" si="85"/>
        <v/>
      </c>
      <c r="W236" s="31"/>
      <c r="X236" s="31">
        <v>0</v>
      </c>
      <c r="Y236" s="32" t="str">
        <f t="shared" si="86"/>
        <v/>
      </c>
      <c r="Z236" s="31" t="str">
        <f t="shared" si="73"/>
        <v/>
      </c>
      <c r="AA236" s="31">
        <f t="shared" si="74"/>
        <v>215749.7</v>
      </c>
      <c r="AB236" s="32" t="str">
        <f t="shared" si="87"/>
        <v/>
      </c>
      <c r="AC236" s="31"/>
      <c r="AD236" s="31"/>
      <c r="AE236" s="32" t="str">
        <f t="shared" si="75"/>
        <v/>
      </c>
      <c r="AF236" s="32" t="s">
        <v>313</v>
      </c>
      <c r="AG236" s="31"/>
      <c r="AH236" s="31"/>
      <c r="AI236" s="32" t="str">
        <f t="shared" si="76"/>
        <v/>
      </c>
      <c r="AJ236" s="32" t="s">
        <v>313</v>
      </c>
      <c r="AK236" s="31"/>
      <c r="AL236" s="31"/>
      <c r="AM236" s="32" t="str">
        <f t="shared" si="77"/>
        <v/>
      </c>
      <c r="AN236" s="32" t="s">
        <v>313</v>
      </c>
      <c r="AO236" s="31"/>
      <c r="AP236" s="31"/>
      <c r="AQ236" s="32" t="str">
        <f t="shared" si="78"/>
        <v/>
      </c>
      <c r="AR236" s="32" t="s">
        <v>313</v>
      </c>
      <c r="AS236" s="31"/>
      <c r="AT236" s="31"/>
      <c r="AU236" s="32" t="str">
        <f t="shared" si="79"/>
        <v/>
      </c>
      <c r="AV236" s="32" t="s">
        <v>313</v>
      </c>
      <c r="AW236" s="31"/>
      <c r="AX236" s="31"/>
      <c r="AY236" s="32" t="str">
        <f t="shared" si="80"/>
        <v/>
      </c>
      <c r="AZ236" s="32" t="s">
        <v>313</v>
      </c>
    </row>
    <row r="237" spans="1:52" ht="34" customHeight="1">
      <c r="A237" s="28" t="s">
        <v>231</v>
      </c>
      <c r="B237" s="29" t="s">
        <v>327</v>
      </c>
      <c r="C237" s="29" t="s">
        <v>52</v>
      </c>
      <c r="D237" s="29" t="s">
        <v>65</v>
      </c>
      <c r="E237" s="29" t="s">
        <v>69</v>
      </c>
      <c r="F237" s="29" t="s">
        <v>316</v>
      </c>
      <c r="G237" s="30" t="s">
        <v>312</v>
      </c>
      <c r="H237" s="31"/>
      <c r="I237" s="31">
        <v>52420.99</v>
      </c>
      <c r="J237" s="32" t="str">
        <f t="shared" si="81"/>
        <v/>
      </c>
      <c r="K237" s="31"/>
      <c r="L237" s="31">
        <v>36891.22</v>
      </c>
      <c r="M237" s="32" t="str">
        <f t="shared" si="82"/>
        <v/>
      </c>
      <c r="N237" s="31"/>
      <c r="O237" s="31">
        <v>109878.16</v>
      </c>
      <c r="P237" s="32" t="str">
        <f t="shared" si="83"/>
        <v/>
      </c>
      <c r="Q237" s="31"/>
      <c r="R237" s="31">
        <v>16559.330000000002</v>
      </c>
      <c r="S237" s="32" t="str">
        <f t="shared" si="84"/>
        <v/>
      </c>
      <c r="T237" s="31"/>
      <c r="U237" s="31">
        <v>0</v>
      </c>
      <c r="V237" s="32" t="str">
        <f t="shared" si="85"/>
        <v/>
      </c>
      <c r="W237" s="31"/>
      <c r="X237" s="31">
        <v>0</v>
      </c>
      <c r="Y237" s="32" t="str">
        <f t="shared" si="86"/>
        <v/>
      </c>
      <c r="Z237" s="31" t="str">
        <f t="shared" si="73"/>
        <v/>
      </c>
      <c r="AA237" s="31">
        <f t="shared" si="74"/>
        <v>215749.7</v>
      </c>
      <c r="AB237" s="32" t="str">
        <f t="shared" si="87"/>
        <v/>
      </c>
      <c r="AC237" s="31"/>
      <c r="AD237" s="31"/>
      <c r="AE237" s="32" t="str">
        <f t="shared" si="75"/>
        <v/>
      </c>
      <c r="AF237" s="32" t="s">
        <v>313</v>
      </c>
      <c r="AG237" s="31"/>
      <c r="AH237" s="31"/>
      <c r="AI237" s="32" t="str">
        <f t="shared" si="76"/>
        <v/>
      </c>
      <c r="AJ237" s="32" t="s">
        <v>313</v>
      </c>
      <c r="AK237" s="31"/>
      <c r="AL237" s="31"/>
      <c r="AM237" s="32" t="str">
        <f t="shared" si="77"/>
        <v/>
      </c>
      <c r="AN237" s="32" t="s">
        <v>313</v>
      </c>
      <c r="AO237" s="31"/>
      <c r="AP237" s="31"/>
      <c r="AQ237" s="32" t="str">
        <f t="shared" si="78"/>
        <v/>
      </c>
      <c r="AR237" s="32" t="s">
        <v>313</v>
      </c>
      <c r="AS237" s="31"/>
      <c r="AT237" s="31"/>
      <c r="AU237" s="32" t="str">
        <f t="shared" si="79"/>
        <v/>
      </c>
      <c r="AV237" s="32" t="s">
        <v>313</v>
      </c>
      <c r="AW237" s="31"/>
      <c r="AX237" s="31"/>
      <c r="AY237" s="32" t="str">
        <f t="shared" si="80"/>
        <v/>
      </c>
      <c r="AZ237" s="32" t="s">
        <v>313</v>
      </c>
    </row>
    <row r="238" spans="1:52" ht="68" customHeight="1">
      <c r="A238" s="28" t="s">
        <v>231</v>
      </c>
      <c r="B238" s="29" t="s">
        <v>327</v>
      </c>
      <c r="C238" s="29" t="s">
        <v>52</v>
      </c>
      <c r="D238" s="29" t="s">
        <v>70</v>
      </c>
      <c r="E238" s="29" t="s">
        <v>73</v>
      </c>
      <c r="F238" s="29" t="s">
        <v>317</v>
      </c>
      <c r="G238" s="30" t="s">
        <v>312</v>
      </c>
      <c r="H238" s="31">
        <v>5028.42</v>
      </c>
      <c r="I238" s="31">
        <v>52420.99</v>
      </c>
      <c r="J238" s="32">
        <f t="shared" si="81"/>
        <v>9.5923789306535417E-2</v>
      </c>
      <c r="K238" s="31">
        <v>3669.94</v>
      </c>
      <c r="L238" s="31">
        <v>36891.22</v>
      </c>
      <c r="M238" s="32">
        <f t="shared" si="82"/>
        <v>9.9480038881880298E-2</v>
      </c>
      <c r="N238" s="31">
        <v>10942.22</v>
      </c>
      <c r="O238" s="31">
        <v>109878.16</v>
      </c>
      <c r="P238" s="32">
        <f t="shared" si="83"/>
        <v>9.9585031274640926E-2</v>
      </c>
      <c r="Q238" s="31">
        <v>1758.5</v>
      </c>
      <c r="R238" s="31">
        <v>16559.330000000002</v>
      </c>
      <c r="S238" s="32">
        <f t="shared" si="84"/>
        <v>0.10619391001930632</v>
      </c>
      <c r="T238" s="31">
        <v>0</v>
      </c>
      <c r="U238" s="31">
        <v>0</v>
      </c>
      <c r="V238" s="32" t="str">
        <f t="shared" si="85"/>
        <v/>
      </c>
      <c r="W238" s="31">
        <v>0</v>
      </c>
      <c r="X238" s="31">
        <v>0</v>
      </c>
      <c r="Y238" s="32" t="str">
        <f t="shared" si="86"/>
        <v/>
      </c>
      <c r="Z238" s="31">
        <f t="shared" si="73"/>
        <v>21399.08</v>
      </c>
      <c r="AA238" s="31">
        <f t="shared" si="74"/>
        <v>215749.7</v>
      </c>
      <c r="AB238" s="32">
        <f t="shared" si="87"/>
        <v>9.9184749735457337E-2</v>
      </c>
      <c r="AC238" s="31"/>
      <c r="AD238" s="31"/>
      <c r="AE238" s="32" t="str">
        <f t="shared" si="75"/>
        <v/>
      </c>
      <c r="AF238" s="32" t="s">
        <v>313</v>
      </c>
      <c r="AG238" s="31"/>
      <c r="AH238" s="31"/>
      <c r="AI238" s="32" t="str">
        <f t="shared" si="76"/>
        <v/>
      </c>
      <c r="AJ238" s="32" t="s">
        <v>313</v>
      </c>
      <c r="AK238" s="31"/>
      <c r="AL238" s="31"/>
      <c r="AM238" s="32" t="str">
        <f t="shared" si="77"/>
        <v/>
      </c>
      <c r="AN238" s="32" t="s">
        <v>313</v>
      </c>
      <c r="AO238" s="31"/>
      <c r="AP238" s="31"/>
      <c r="AQ238" s="32" t="str">
        <f t="shared" si="78"/>
        <v/>
      </c>
      <c r="AR238" s="32" t="s">
        <v>313</v>
      </c>
      <c r="AS238" s="31"/>
      <c r="AT238" s="31"/>
      <c r="AU238" s="32" t="str">
        <f t="shared" si="79"/>
        <v/>
      </c>
      <c r="AV238" s="32" t="s">
        <v>313</v>
      </c>
      <c r="AW238" s="31"/>
      <c r="AX238" s="31"/>
      <c r="AY238" s="32" t="str">
        <f t="shared" si="80"/>
        <v/>
      </c>
      <c r="AZ238" s="32" t="s">
        <v>313</v>
      </c>
    </row>
    <row r="239" spans="1:52" ht="34" customHeight="1">
      <c r="A239" s="28" t="s">
        <v>231</v>
      </c>
      <c r="B239" s="29" t="s">
        <v>327</v>
      </c>
      <c r="C239" s="29" t="s">
        <v>52</v>
      </c>
      <c r="D239" s="29" t="s">
        <v>70</v>
      </c>
      <c r="E239" s="29" t="s">
        <v>71</v>
      </c>
      <c r="F239" s="29" t="s">
        <v>316</v>
      </c>
      <c r="G239" s="30" t="s">
        <v>312</v>
      </c>
      <c r="H239" s="31"/>
      <c r="I239" s="31">
        <v>52420.99</v>
      </c>
      <c r="J239" s="32" t="str">
        <f t="shared" si="81"/>
        <v/>
      </c>
      <c r="K239" s="31"/>
      <c r="L239" s="31">
        <v>36891.22</v>
      </c>
      <c r="M239" s="32" t="str">
        <f t="shared" si="82"/>
        <v/>
      </c>
      <c r="N239" s="31"/>
      <c r="O239" s="31">
        <v>109878.16</v>
      </c>
      <c r="P239" s="32" t="str">
        <f t="shared" si="83"/>
        <v/>
      </c>
      <c r="Q239" s="31"/>
      <c r="R239" s="31">
        <v>16559.330000000002</v>
      </c>
      <c r="S239" s="32" t="str">
        <f t="shared" si="84"/>
        <v/>
      </c>
      <c r="T239" s="31"/>
      <c r="U239" s="31">
        <v>0</v>
      </c>
      <c r="V239" s="32" t="str">
        <f t="shared" si="85"/>
        <v/>
      </c>
      <c r="W239" s="31"/>
      <c r="X239" s="31">
        <v>0</v>
      </c>
      <c r="Y239" s="32" t="str">
        <f t="shared" si="86"/>
        <v/>
      </c>
      <c r="Z239" s="31" t="str">
        <f t="shared" si="73"/>
        <v/>
      </c>
      <c r="AA239" s="31">
        <f t="shared" si="74"/>
        <v>215749.7</v>
      </c>
      <c r="AB239" s="32" t="str">
        <f t="shared" si="87"/>
        <v/>
      </c>
      <c r="AC239" s="31"/>
      <c r="AD239" s="31"/>
      <c r="AE239" s="32" t="str">
        <f t="shared" si="75"/>
        <v/>
      </c>
      <c r="AF239" s="32" t="s">
        <v>313</v>
      </c>
      <c r="AG239" s="31"/>
      <c r="AH239" s="31"/>
      <c r="AI239" s="32" t="str">
        <f t="shared" si="76"/>
        <v/>
      </c>
      <c r="AJ239" s="32" t="s">
        <v>313</v>
      </c>
      <c r="AK239" s="31"/>
      <c r="AL239" s="31"/>
      <c r="AM239" s="32" t="str">
        <f t="shared" si="77"/>
        <v/>
      </c>
      <c r="AN239" s="32" t="s">
        <v>313</v>
      </c>
      <c r="AO239" s="31"/>
      <c r="AP239" s="31"/>
      <c r="AQ239" s="32" t="str">
        <f t="shared" si="78"/>
        <v/>
      </c>
      <c r="AR239" s="32" t="s">
        <v>313</v>
      </c>
      <c r="AS239" s="31"/>
      <c r="AT239" s="31"/>
      <c r="AU239" s="32" t="str">
        <f t="shared" si="79"/>
        <v/>
      </c>
      <c r="AV239" s="32" t="s">
        <v>313</v>
      </c>
      <c r="AW239" s="31"/>
      <c r="AX239" s="31"/>
      <c r="AY239" s="32" t="str">
        <f t="shared" si="80"/>
        <v/>
      </c>
      <c r="AZ239" s="32" t="s">
        <v>313</v>
      </c>
    </row>
    <row r="240" spans="1:52" ht="34" customHeight="1">
      <c r="A240" s="28" t="s">
        <v>231</v>
      </c>
      <c r="B240" s="29" t="s">
        <v>327</v>
      </c>
      <c r="C240" s="29" t="s">
        <v>52</v>
      </c>
      <c r="D240" s="29" t="s">
        <v>70</v>
      </c>
      <c r="E240" s="29" t="s">
        <v>72</v>
      </c>
      <c r="F240" s="29" t="s">
        <v>316</v>
      </c>
      <c r="G240" s="30" t="s">
        <v>312</v>
      </c>
      <c r="H240" s="31"/>
      <c r="I240" s="31">
        <v>52420.99</v>
      </c>
      <c r="J240" s="32" t="str">
        <f t="shared" si="81"/>
        <v/>
      </c>
      <c r="K240" s="31"/>
      <c r="L240" s="31">
        <v>36891.22</v>
      </c>
      <c r="M240" s="32" t="str">
        <f t="shared" si="82"/>
        <v/>
      </c>
      <c r="N240" s="31"/>
      <c r="O240" s="31">
        <v>109878.16</v>
      </c>
      <c r="P240" s="32" t="str">
        <f t="shared" si="83"/>
        <v/>
      </c>
      <c r="Q240" s="31"/>
      <c r="R240" s="31">
        <v>16559.330000000002</v>
      </c>
      <c r="S240" s="32" t="str">
        <f t="shared" si="84"/>
        <v/>
      </c>
      <c r="T240" s="31"/>
      <c r="U240" s="31">
        <v>0</v>
      </c>
      <c r="V240" s="32" t="str">
        <f t="shared" si="85"/>
        <v/>
      </c>
      <c r="W240" s="31"/>
      <c r="X240" s="31">
        <v>0</v>
      </c>
      <c r="Y240" s="32" t="str">
        <f t="shared" si="86"/>
        <v/>
      </c>
      <c r="Z240" s="31" t="str">
        <f t="shared" si="73"/>
        <v/>
      </c>
      <c r="AA240" s="31">
        <f t="shared" si="74"/>
        <v>215749.7</v>
      </c>
      <c r="AB240" s="32" t="str">
        <f t="shared" si="87"/>
        <v/>
      </c>
      <c r="AC240" s="31"/>
      <c r="AD240" s="31"/>
      <c r="AE240" s="32" t="str">
        <f t="shared" si="75"/>
        <v/>
      </c>
      <c r="AF240" s="32" t="s">
        <v>313</v>
      </c>
      <c r="AG240" s="31"/>
      <c r="AH240" s="31"/>
      <c r="AI240" s="32" t="str">
        <f t="shared" si="76"/>
        <v/>
      </c>
      <c r="AJ240" s="32" t="s">
        <v>313</v>
      </c>
      <c r="AK240" s="31"/>
      <c r="AL240" s="31"/>
      <c r="AM240" s="32" t="str">
        <f t="shared" si="77"/>
        <v/>
      </c>
      <c r="AN240" s="32" t="s">
        <v>313</v>
      </c>
      <c r="AO240" s="31"/>
      <c r="AP240" s="31"/>
      <c r="AQ240" s="32" t="str">
        <f t="shared" si="78"/>
        <v/>
      </c>
      <c r="AR240" s="32" t="s">
        <v>313</v>
      </c>
      <c r="AS240" s="31"/>
      <c r="AT240" s="31"/>
      <c r="AU240" s="32" t="str">
        <f t="shared" si="79"/>
        <v/>
      </c>
      <c r="AV240" s="32" t="s">
        <v>313</v>
      </c>
      <c r="AW240" s="31"/>
      <c r="AX240" s="31"/>
      <c r="AY240" s="32" t="str">
        <f t="shared" si="80"/>
        <v/>
      </c>
      <c r="AZ240" s="32" t="s">
        <v>313</v>
      </c>
    </row>
    <row r="241" spans="1:52" ht="34" customHeight="1">
      <c r="A241" s="28" t="s">
        <v>231</v>
      </c>
      <c r="B241" s="29" t="s">
        <v>327</v>
      </c>
      <c r="C241" s="29" t="s">
        <v>52</v>
      </c>
      <c r="D241" s="29" t="s">
        <v>74</v>
      </c>
      <c r="E241" s="29" t="s">
        <v>75</v>
      </c>
      <c r="F241" s="29" t="s">
        <v>139</v>
      </c>
      <c r="G241" s="30" t="s">
        <v>312</v>
      </c>
      <c r="H241" s="31">
        <v>2270.5</v>
      </c>
      <c r="I241" s="31">
        <v>52420.99</v>
      </c>
      <c r="J241" s="32">
        <f t="shared" si="81"/>
        <v>4.3312802753248274E-2</v>
      </c>
      <c r="K241" s="31">
        <v>1950.5</v>
      </c>
      <c r="L241" s="31">
        <v>36891.22</v>
      </c>
      <c r="M241" s="32">
        <f t="shared" si="82"/>
        <v>5.2871658893362698E-2</v>
      </c>
      <c r="N241" s="31">
        <v>4821.7</v>
      </c>
      <c r="O241" s="31">
        <v>109878.16</v>
      </c>
      <c r="P241" s="32">
        <f t="shared" si="83"/>
        <v>4.3882241930516486E-2</v>
      </c>
      <c r="Q241" s="31">
        <v>691.4</v>
      </c>
      <c r="R241" s="31">
        <v>16559.330000000002</v>
      </c>
      <c r="S241" s="32">
        <f t="shared" si="84"/>
        <v>4.1752897007306451E-2</v>
      </c>
      <c r="T241" s="31">
        <v>0</v>
      </c>
      <c r="U241" s="31">
        <v>0</v>
      </c>
      <c r="V241" s="32" t="str">
        <f t="shared" si="85"/>
        <v/>
      </c>
      <c r="W241" s="31">
        <v>0</v>
      </c>
      <c r="X241" s="31">
        <v>0</v>
      </c>
      <c r="Y241" s="32" t="str">
        <f t="shared" si="86"/>
        <v/>
      </c>
      <c r="Z241" s="31">
        <f t="shared" si="73"/>
        <v>9734.1</v>
      </c>
      <c r="AA241" s="31">
        <f t="shared" si="74"/>
        <v>215749.7</v>
      </c>
      <c r="AB241" s="32">
        <f t="shared" si="87"/>
        <v>4.5117559839017156E-2</v>
      </c>
      <c r="AC241" s="31"/>
      <c r="AD241" s="31"/>
      <c r="AE241" s="32" t="str">
        <f t="shared" si="75"/>
        <v/>
      </c>
      <c r="AF241" s="32" t="s">
        <v>313</v>
      </c>
      <c r="AG241" s="31"/>
      <c r="AH241" s="31"/>
      <c r="AI241" s="32" t="str">
        <f t="shared" si="76"/>
        <v/>
      </c>
      <c r="AJ241" s="32" t="s">
        <v>313</v>
      </c>
      <c r="AK241" s="31"/>
      <c r="AL241" s="31"/>
      <c r="AM241" s="32" t="str">
        <f t="shared" si="77"/>
        <v/>
      </c>
      <c r="AN241" s="32" t="s">
        <v>313</v>
      </c>
      <c r="AO241" s="31"/>
      <c r="AP241" s="31"/>
      <c r="AQ241" s="32" t="str">
        <f t="shared" si="78"/>
        <v/>
      </c>
      <c r="AR241" s="32" t="s">
        <v>313</v>
      </c>
      <c r="AS241" s="31"/>
      <c r="AT241" s="31"/>
      <c r="AU241" s="32" t="str">
        <f t="shared" si="79"/>
        <v/>
      </c>
      <c r="AV241" s="32" t="s">
        <v>313</v>
      </c>
      <c r="AW241" s="31"/>
      <c r="AX241" s="31"/>
      <c r="AY241" s="32" t="str">
        <f t="shared" si="80"/>
        <v/>
      </c>
      <c r="AZ241" s="32" t="s">
        <v>313</v>
      </c>
    </row>
    <row r="242" spans="1:52" ht="34" customHeight="1">
      <c r="A242" s="28" t="s">
        <v>231</v>
      </c>
      <c r="B242" s="29" t="s">
        <v>327</v>
      </c>
      <c r="C242" s="29" t="s">
        <v>52</v>
      </c>
      <c r="D242" s="29" t="s">
        <v>74</v>
      </c>
      <c r="E242" s="29" t="s">
        <v>76</v>
      </c>
      <c r="F242" s="29" t="s">
        <v>141</v>
      </c>
      <c r="G242" s="30" t="s">
        <v>312</v>
      </c>
      <c r="H242" s="31">
        <v>1171.494275</v>
      </c>
      <c r="I242" s="31">
        <v>52420.99</v>
      </c>
      <c r="J242" s="32">
        <f t="shared" si="81"/>
        <v>2.234780905511323E-2</v>
      </c>
      <c r="K242" s="31">
        <v>813.21929692088304</v>
      </c>
      <c r="L242" s="31">
        <v>36891.22</v>
      </c>
      <c r="M242" s="32">
        <f t="shared" si="82"/>
        <v>2.2043708419534052E-2</v>
      </c>
      <c r="N242" s="31">
        <v>2151.46</v>
      </c>
      <c r="O242" s="31">
        <v>109878.16</v>
      </c>
      <c r="P242" s="32">
        <f t="shared" si="83"/>
        <v>1.9580415252676238E-2</v>
      </c>
      <c r="Q242" s="31">
        <v>322.93</v>
      </c>
      <c r="R242" s="31">
        <v>16559.330000000002</v>
      </c>
      <c r="S242" s="32">
        <f t="shared" si="84"/>
        <v>1.9501392870363714E-2</v>
      </c>
      <c r="T242" s="31">
        <v>0</v>
      </c>
      <c r="U242" s="31">
        <v>0</v>
      </c>
      <c r="V242" s="32" t="str">
        <f t="shared" si="85"/>
        <v/>
      </c>
      <c r="W242" s="31">
        <v>0</v>
      </c>
      <c r="X242" s="31">
        <v>0</v>
      </c>
      <c r="Y242" s="32" t="str">
        <f t="shared" si="86"/>
        <v/>
      </c>
      <c r="Z242" s="31">
        <f t="shared" si="73"/>
        <v>4459.103571920883</v>
      </c>
      <c r="AA242" s="31">
        <f t="shared" si="74"/>
        <v>215749.7</v>
      </c>
      <c r="AB242" s="32">
        <f t="shared" si="87"/>
        <v>2.0667947959699982E-2</v>
      </c>
      <c r="AC242" s="31"/>
      <c r="AD242" s="31"/>
      <c r="AE242" s="32" t="str">
        <f t="shared" si="75"/>
        <v/>
      </c>
      <c r="AF242" s="32" t="s">
        <v>313</v>
      </c>
      <c r="AG242" s="31"/>
      <c r="AH242" s="31"/>
      <c r="AI242" s="32" t="str">
        <f t="shared" si="76"/>
        <v/>
      </c>
      <c r="AJ242" s="32" t="s">
        <v>313</v>
      </c>
      <c r="AK242" s="31"/>
      <c r="AL242" s="31"/>
      <c r="AM242" s="32" t="str">
        <f t="shared" si="77"/>
        <v/>
      </c>
      <c r="AN242" s="32" t="s">
        <v>313</v>
      </c>
      <c r="AO242" s="31"/>
      <c r="AP242" s="31"/>
      <c r="AQ242" s="32" t="str">
        <f t="shared" si="78"/>
        <v/>
      </c>
      <c r="AR242" s="32" t="s">
        <v>313</v>
      </c>
      <c r="AS242" s="31"/>
      <c r="AT242" s="31"/>
      <c r="AU242" s="32" t="str">
        <f t="shared" si="79"/>
        <v/>
      </c>
      <c r="AV242" s="32" t="s">
        <v>313</v>
      </c>
      <c r="AW242" s="31"/>
      <c r="AX242" s="31"/>
      <c r="AY242" s="32" t="str">
        <f t="shared" si="80"/>
        <v/>
      </c>
      <c r="AZ242" s="32" t="s">
        <v>313</v>
      </c>
    </row>
    <row r="243" spans="1:52" ht="34" customHeight="1">
      <c r="A243" s="28" t="s">
        <v>231</v>
      </c>
      <c r="B243" s="29" t="s">
        <v>327</v>
      </c>
      <c r="C243" s="29" t="s">
        <v>52</v>
      </c>
      <c r="D243" s="29" t="s">
        <v>74</v>
      </c>
      <c r="E243" s="29" t="s">
        <v>77</v>
      </c>
      <c r="F243" s="29" t="s">
        <v>316</v>
      </c>
      <c r="G243" s="30" t="s">
        <v>312</v>
      </c>
      <c r="H243" s="31"/>
      <c r="I243" s="31">
        <v>52420.99</v>
      </c>
      <c r="J243" s="32" t="str">
        <f t="shared" si="81"/>
        <v/>
      </c>
      <c r="K243" s="31"/>
      <c r="L243" s="31">
        <v>36891.22</v>
      </c>
      <c r="M243" s="32" t="str">
        <f t="shared" si="82"/>
        <v/>
      </c>
      <c r="N243" s="31"/>
      <c r="O243" s="31">
        <v>109878.16</v>
      </c>
      <c r="P243" s="32" t="str">
        <f t="shared" si="83"/>
        <v/>
      </c>
      <c r="Q243" s="31"/>
      <c r="R243" s="31">
        <v>16559.330000000002</v>
      </c>
      <c r="S243" s="32" t="str">
        <f t="shared" si="84"/>
        <v/>
      </c>
      <c r="T243" s="31"/>
      <c r="U243" s="31">
        <v>0</v>
      </c>
      <c r="V243" s="32" t="str">
        <f t="shared" si="85"/>
        <v/>
      </c>
      <c r="W243" s="31"/>
      <c r="X243" s="31">
        <v>0</v>
      </c>
      <c r="Y243" s="32" t="str">
        <f t="shared" si="86"/>
        <v/>
      </c>
      <c r="Z243" s="31" t="str">
        <f t="shared" si="73"/>
        <v/>
      </c>
      <c r="AA243" s="31">
        <f t="shared" si="74"/>
        <v>215749.7</v>
      </c>
      <c r="AB243" s="32" t="str">
        <f t="shared" si="87"/>
        <v/>
      </c>
      <c r="AC243" s="31"/>
      <c r="AD243" s="31"/>
      <c r="AE243" s="32" t="str">
        <f t="shared" si="75"/>
        <v/>
      </c>
      <c r="AF243" s="32" t="s">
        <v>313</v>
      </c>
      <c r="AG243" s="31"/>
      <c r="AH243" s="31"/>
      <c r="AI243" s="32" t="str">
        <f t="shared" si="76"/>
        <v/>
      </c>
      <c r="AJ243" s="32" t="s">
        <v>313</v>
      </c>
      <c r="AK243" s="31"/>
      <c r="AL243" s="31"/>
      <c r="AM243" s="32" t="str">
        <f t="shared" si="77"/>
        <v/>
      </c>
      <c r="AN243" s="32" t="s">
        <v>313</v>
      </c>
      <c r="AO243" s="31"/>
      <c r="AP243" s="31"/>
      <c r="AQ243" s="32" t="str">
        <f t="shared" si="78"/>
        <v/>
      </c>
      <c r="AR243" s="32" t="s">
        <v>313</v>
      </c>
      <c r="AS243" s="31"/>
      <c r="AT243" s="31"/>
      <c r="AU243" s="32" t="str">
        <f t="shared" si="79"/>
        <v/>
      </c>
      <c r="AV243" s="32" t="s">
        <v>313</v>
      </c>
      <c r="AW243" s="31"/>
      <c r="AX243" s="31"/>
      <c r="AY243" s="32" t="str">
        <f t="shared" si="80"/>
        <v/>
      </c>
      <c r="AZ243" s="32" t="s">
        <v>313</v>
      </c>
    </row>
    <row r="244" spans="1:52" ht="34" customHeight="1">
      <c r="A244" s="28" t="s">
        <v>231</v>
      </c>
      <c r="B244" s="29" t="s">
        <v>327</v>
      </c>
      <c r="C244" s="29" t="s">
        <v>52</v>
      </c>
      <c r="D244" s="29" t="s">
        <v>74</v>
      </c>
      <c r="E244" s="29" t="s">
        <v>78</v>
      </c>
      <c r="F244" s="29" t="s">
        <v>144</v>
      </c>
      <c r="G244" s="30" t="s">
        <v>312</v>
      </c>
      <c r="H244" s="31">
        <v>0</v>
      </c>
      <c r="I244" s="31">
        <v>52420.99</v>
      </c>
      <c r="J244" s="32">
        <f t="shared" si="81"/>
        <v>0</v>
      </c>
      <c r="K244" s="31">
        <v>0</v>
      </c>
      <c r="L244" s="31">
        <v>36891.22</v>
      </c>
      <c r="M244" s="32">
        <f t="shared" si="82"/>
        <v>0</v>
      </c>
      <c r="N244" s="31">
        <v>0</v>
      </c>
      <c r="O244" s="31">
        <v>109878.16</v>
      </c>
      <c r="P244" s="32">
        <f t="shared" si="83"/>
        <v>0</v>
      </c>
      <c r="Q244" s="31">
        <v>0</v>
      </c>
      <c r="R244" s="31">
        <v>16559.330000000002</v>
      </c>
      <c r="S244" s="32">
        <f t="shared" si="84"/>
        <v>0</v>
      </c>
      <c r="T244" s="31">
        <v>0</v>
      </c>
      <c r="U244" s="31">
        <v>0</v>
      </c>
      <c r="V244" s="32" t="str">
        <f t="shared" si="85"/>
        <v/>
      </c>
      <c r="W244" s="31">
        <v>0</v>
      </c>
      <c r="X244" s="31">
        <v>0</v>
      </c>
      <c r="Y244" s="32" t="str">
        <f t="shared" si="86"/>
        <v/>
      </c>
      <c r="Z244" s="31">
        <f t="shared" si="73"/>
        <v>0</v>
      </c>
      <c r="AA244" s="31">
        <f t="shared" si="74"/>
        <v>215749.7</v>
      </c>
      <c r="AB244" s="32">
        <f t="shared" si="87"/>
        <v>0</v>
      </c>
      <c r="AC244" s="31"/>
      <c r="AD244" s="31"/>
      <c r="AE244" s="32" t="str">
        <f t="shared" si="75"/>
        <v/>
      </c>
      <c r="AF244" s="32" t="s">
        <v>313</v>
      </c>
      <c r="AG244" s="31"/>
      <c r="AH244" s="31"/>
      <c r="AI244" s="32" t="str">
        <f t="shared" si="76"/>
        <v/>
      </c>
      <c r="AJ244" s="32" t="s">
        <v>313</v>
      </c>
      <c r="AK244" s="31"/>
      <c r="AL244" s="31"/>
      <c r="AM244" s="32" t="str">
        <f t="shared" si="77"/>
        <v/>
      </c>
      <c r="AN244" s="32" t="s">
        <v>313</v>
      </c>
      <c r="AO244" s="31"/>
      <c r="AP244" s="31"/>
      <c r="AQ244" s="32" t="str">
        <f t="shared" si="78"/>
        <v/>
      </c>
      <c r="AR244" s="32" t="s">
        <v>313</v>
      </c>
      <c r="AS244" s="31"/>
      <c r="AT244" s="31"/>
      <c r="AU244" s="32" t="str">
        <f t="shared" si="79"/>
        <v/>
      </c>
      <c r="AV244" s="32" t="s">
        <v>313</v>
      </c>
      <c r="AW244" s="31"/>
      <c r="AX244" s="31"/>
      <c r="AY244" s="32" t="str">
        <f t="shared" si="80"/>
        <v/>
      </c>
      <c r="AZ244" s="32" t="s">
        <v>313</v>
      </c>
    </row>
    <row r="245" spans="1:52" ht="34" customHeight="1">
      <c r="A245" s="28" t="s">
        <v>231</v>
      </c>
      <c r="B245" s="29" t="s">
        <v>327</v>
      </c>
      <c r="C245" s="29" t="s">
        <v>52</v>
      </c>
      <c r="D245" s="29" t="s">
        <v>79</v>
      </c>
      <c r="E245" s="29" t="s">
        <v>80</v>
      </c>
      <c r="F245" s="29" t="s">
        <v>318</v>
      </c>
      <c r="G245" s="30" t="s">
        <v>312</v>
      </c>
      <c r="H245" s="31">
        <v>0</v>
      </c>
      <c r="I245" s="31">
        <v>52420.99</v>
      </c>
      <c r="J245" s="32">
        <f t="shared" si="81"/>
        <v>0</v>
      </c>
      <c r="K245" s="31">
        <v>0</v>
      </c>
      <c r="L245" s="31">
        <v>36891.22</v>
      </c>
      <c r="M245" s="32">
        <f t="shared" si="82"/>
        <v>0</v>
      </c>
      <c r="N245" s="31">
        <v>0</v>
      </c>
      <c r="O245" s="31">
        <v>109878.16</v>
      </c>
      <c r="P245" s="32">
        <f t="shared" si="83"/>
        <v>0</v>
      </c>
      <c r="Q245" s="31">
        <v>0</v>
      </c>
      <c r="R245" s="31">
        <v>16559.330000000002</v>
      </c>
      <c r="S245" s="32">
        <f t="shared" si="84"/>
        <v>0</v>
      </c>
      <c r="T245" s="31">
        <v>0</v>
      </c>
      <c r="U245" s="31">
        <v>0</v>
      </c>
      <c r="V245" s="32" t="str">
        <f t="shared" si="85"/>
        <v/>
      </c>
      <c r="W245" s="31">
        <v>0</v>
      </c>
      <c r="X245" s="31">
        <v>0</v>
      </c>
      <c r="Y245" s="32" t="str">
        <f t="shared" si="86"/>
        <v/>
      </c>
      <c r="Z245" s="31">
        <f t="shared" si="73"/>
        <v>0</v>
      </c>
      <c r="AA245" s="31">
        <f t="shared" si="74"/>
        <v>215749.7</v>
      </c>
      <c r="AB245" s="32">
        <f t="shared" si="87"/>
        <v>0</v>
      </c>
      <c r="AC245" s="31"/>
      <c r="AD245" s="31"/>
      <c r="AE245" s="32" t="str">
        <f t="shared" si="75"/>
        <v/>
      </c>
      <c r="AF245" s="32" t="s">
        <v>313</v>
      </c>
      <c r="AG245" s="31"/>
      <c r="AH245" s="31"/>
      <c r="AI245" s="32" t="str">
        <f t="shared" si="76"/>
        <v/>
      </c>
      <c r="AJ245" s="32" t="s">
        <v>313</v>
      </c>
      <c r="AK245" s="31"/>
      <c r="AL245" s="31"/>
      <c r="AM245" s="32" t="str">
        <f t="shared" si="77"/>
        <v/>
      </c>
      <c r="AN245" s="32" t="s">
        <v>313</v>
      </c>
      <c r="AO245" s="31"/>
      <c r="AP245" s="31"/>
      <c r="AQ245" s="32" t="str">
        <f t="shared" si="78"/>
        <v/>
      </c>
      <c r="AR245" s="32" t="s">
        <v>313</v>
      </c>
      <c r="AS245" s="31"/>
      <c r="AT245" s="31"/>
      <c r="AU245" s="32" t="str">
        <f t="shared" si="79"/>
        <v/>
      </c>
      <c r="AV245" s="32" t="s">
        <v>313</v>
      </c>
      <c r="AW245" s="31"/>
      <c r="AX245" s="31"/>
      <c r="AY245" s="32" t="str">
        <f t="shared" si="80"/>
        <v/>
      </c>
      <c r="AZ245" s="32" t="s">
        <v>313</v>
      </c>
    </row>
    <row r="246" spans="1:52" ht="34" customHeight="1">
      <c r="A246" s="28" t="s">
        <v>231</v>
      </c>
      <c r="B246" s="29" t="s">
        <v>327</v>
      </c>
      <c r="C246" s="29" t="s">
        <v>52</v>
      </c>
      <c r="D246" s="29" t="s">
        <v>79</v>
      </c>
      <c r="E246" s="29" t="s">
        <v>81</v>
      </c>
      <c r="F246" s="29" t="s">
        <v>316</v>
      </c>
      <c r="G246" s="30" t="s">
        <v>312</v>
      </c>
      <c r="H246" s="31"/>
      <c r="I246" s="31">
        <v>52420.99</v>
      </c>
      <c r="J246" s="32" t="str">
        <f t="shared" si="81"/>
        <v/>
      </c>
      <c r="K246" s="31"/>
      <c r="L246" s="31">
        <v>36891.22</v>
      </c>
      <c r="M246" s="32" t="str">
        <f t="shared" si="82"/>
        <v/>
      </c>
      <c r="N246" s="31"/>
      <c r="O246" s="31">
        <v>109878.16</v>
      </c>
      <c r="P246" s="32" t="str">
        <f t="shared" si="83"/>
        <v/>
      </c>
      <c r="Q246" s="31"/>
      <c r="R246" s="31">
        <v>16559.330000000002</v>
      </c>
      <c r="S246" s="32" t="str">
        <f t="shared" si="84"/>
        <v/>
      </c>
      <c r="T246" s="31"/>
      <c r="U246" s="31">
        <v>0</v>
      </c>
      <c r="V246" s="32" t="str">
        <f t="shared" si="85"/>
        <v/>
      </c>
      <c r="W246" s="31"/>
      <c r="X246" s="31">
        <v>0</v>
      </c>
      <c r="Y246" s="32" t="str">
        <f t="shared" si="86"/>
        <v/>
      </c>
      <c r="Z246" s="31" t="str">
        <f t="shared" si="73"/>
        <v/>
      </c>
      <c r="AA246" s="31">
        <f t="shared" si="74"/>
        <v>215749.7</v>
      </c>
      <c r="AB246" s="32" t="str">
        <f t="shared" si="87"/>
        <v/>
      </c>
      <c r="AC246" s="31"/>
      <c r="AD246" s="31"/>
      <c r="AE246" s="32" t="str">
        <f t="shared" si="75"/>
        <v/>
      </c>
      <c r="AF246" s="32" t="s">
        <v>313</v>
      </c>
      <c r="AG246" s="31"/>
      <c r="AH246" s="31"/>
      <c r="AI246" s="32" t="str">
        <f t="shared" si="76"/>
        <v/>
      </c>
      <c r="AJ246" s="32" t="s">
        <v>313</v>
      </c>
      <c r="AK246" s="31"/>
      <c r="AL246" s="31"/>
      <c r="AM246" s="32" t="str">
        <f t="shared" si="77"/>
        <v/>
      </c>
      <c r="AN246" s="32" t="s">
        <v>313</v>
      </c>
      <c r="AO246" s="31"/>
      <c r="AP246" s="31"/>
      <c r="AQ246" s="32" t="str">
        <f t="shared" si="78"/>
        <v/>
      </c>
      <c r="AR246" s="32" t="s">
        <v>313</v>
      </c>
      <c r="AS246" s="31"/>
      <c r="AT246" s="31"/>
      <c r="AU246" s="32" t="str">
        <f t="shared" si="79"/>
        <v/>
      </c>
      <c r="AV246" s="32" t="s">
        <v>313</v>
      </c>
      <c r="AW246" s="31"/>
      <c r="AX246" s="31"/>
      <c r="AY246" s="32" t="str">
        <f t="shared" si="80"/>
        <v/>
      </c>
      <c r="AZ246" s="32" t="s">
        <v>313</v>
      </c>
    </row>
    <row r="247" spans="1:52" ht="34" customHeight="1">
      <c r="A247" s="28" t="s">
        <v>231</v>
      </c>
      <c r="B247" s="29" t="s">
        <v>327</v>
      </c>
      <c r="C247" s="29" t="s">
        <v>52</v>
      </c>
      <c r="D247" s="29" t="s">
        <v>79</v>
      </c>
      <c r="E247" s="29" t="s">
        <v>82</v>
      </c>
      <c r="F247" s="29" t="s">
        <v>316</v>
      </c>
      <c r="G247" s="30" t="s">
        <v>312</v>
      </c>
      <c r="H247" s="31"/>
      <c r="I247" s="31">
        <v>52420.99</v>
      </c>
      <c r="J247" s="32" t="str">
        <f t="shared" si="81"/>
        <v/>
      </c>
      <c r="K247" s="31"/>
      <c r="L247" s="31">
        <v>36891.22</v>
      </c>
      <c r="M247" s="32" t="str">
        <f t="shared" si="82"/>
        <v/>
      </c>
      <c r="N247" s="31"/>
      <c r="O247" s="31">
        <v>109878.16</v>
      </c>
      <c r="P247" s="32" t="str">
        <f t="shared" si="83"/>
        <v/>
      </c>
      <c r="Q247" s="31"/>
      <c r="R247" s="31">
        <v>16559.330000000002</v>
      </c>
      <c r="S247" s="32" t="str">
        <f t="shared" si="84"/>
        <v/>
      </c>
      <c r="T247" s="31"/>
      <c r="U247" s="31">
        <v>0</v>
      </c>
      <c r="V247" s="32" t="str">
        <f t="shared" si="85"/>
        <v/>
      </c>
      <c r="W247" s="31"/>
      <c r="X247" s="31">
        <v>0</v>
      </c>
      <c r="Y247" s="32" t="str">
        <f t="shared" si="86"/>
        <v/>
      </c>
      <c r="Z247" s="31" t="str">
        <f t="shared" si="73"/>
        <v/>
      </c>
      <c r="AA247" s="31">
        <f t="shared" si="74"/>
        <v>215749.7</v>
      </c>
      <c r="AB247" s="32" t="str">
        <f t="shared" si="87"/>
        <v/>
      </c>
      <c r="AC247" s="31"/>
      <c r="AD247" s="31"/>
      <c r="AE247" s="32" t="str">
        <f t="shared" si="75"/>
        <v/>
      </c>
      <c r="AF247" s="32" t="s">
        <v>313</v>
      </c>
      <c r="AG247" s="31"/>
      <c r="AH247" s="31"/>
      <c r="AI247" s="32" t="str">
        <f t="shared" si="76"/>
        <v/>
      </c>
      <c r="AJ247" s="32" t="s">
        <v>313</v>
      </c>
      <c r="AK247" s="31"/>
      <c r="AL247" s="31"/>
      <c r="AM247" s="32" t="str">
        <f t="shared" si="77"/>
        <v/>
      </c>
      <c r="AN247" s="32" t="s">
        <v>313</v>
      </c>
      <c r="AO247" s="31"/>
      <c r="AP247" s="31"/>
      <c r="AQ247" s="32" t="str">
        <f t="shared" si="78"/>
        <v/>
      </c>
      <c r="AR247" s="32" t="s">
        <v>313</v>
      </c>
      <c r="AS247" s="31"/>
      <c r="AT247" s="31"/>
      <c r="AU247" s="32" t="str">
        <f t="shared" si="79"/>
        <v/>
      </c>
      <c r="AV247" s="32" t="s">
        <v>313</v>
      </c>
      <c r="AW247" s="31"/>
      <c r="AX247" s="31"/>
      <c r="AY247" s="32" t="str">
        <f t="shared" si="80"/>
        <v/>
      </c>
      <c r="AZ247" s="32" t="s">
        <v>313</v>
      </c>
    </row>
    <row r="248" spans="1:52" ht="34" customHeight="1">
      <c r="A248" s="28" t="s">
        <v>231</v>
      </c>
      <c r="B248" s="29" t="s">
        <v>327</v>
      </c>
      <c r="C248" s="29" t="s">
        <v>85</v>
      </c>
      <c r="D248" s="29" t="s">
        <v>79</v>
      </c>
      <c r="E248" s="29" t="s">
        <v>80</v>
      </c>
      <c r="F248" s="29" t="s">
        <v>316</v>
      </c>
      <c r="G248" s="30" t="s">
        <v>312</v>
      </c>
      <c r="H248" s="31"/>
      <c r="I248" s="31">
        <v>52420.99</v>
      </c>
      <c r="J248" s="32" t="str">
        <f t="shared" si="81"/>
        <v/>
      </c>
      <c r="K248" s="31"/>
      <c r="L248" s="31">
        <v>36891.22</v>
      </c>
      <c r="M248" s="32" t="str">
        <f t="shared" si="82"/>
        <v/>
      </c>
      <c r="N248" s="31"/>
      <c r="O248" s="31">
        <v>109878.16</v>
      </c>
      <c r="P248" s="32" t="str">
        <f t="shared" si="83"/>
        <v/>
      </c>
      <c r="Q248" s="31"/>
      <c r="R248" s="31">
        <v>16559.330000000002</v>
      </c>
      <c r="S248" s="32" t="str">
        <f t="shared" si="84"/>
        <v/>
      </c>
      <c r="T248" s="31"/>
      <c r="U248" s="31">
        <v>0</v>
      </c>
      <c r="V248" s="32" t="str">
        <f t="shared" si="85"/>
        <v/>
      </c>
      <c r="W248" s="31"/>
      <c r="X248" s="31">
        <v>0</v>
      </c>
      <c r="Y248" s="32" t="str">
        <f t="shared" si="86"/>
        <v/>
      </c>
      <c r="Z248" s="31" t="str">
        <f t="shared" si="73"/>
        <v/>
      </c>
      <c r="AA248" s="31">
        <f t="shared" si="74"/>
        <v>215749.7</v>
      </c>
      <c r="AB248" s="32" t="str">
        <f t="shared" si="87"/>
        <v/>
      </c>
      <c r="AC248" s="31"/>
      <c r="AD248" s="31"/>
      <c r="AE248" s="32" t="str">
        <f t="shared" si="75"/>
        <v/>
      </c>
      <c r="AF248" s="32" t="s">
        <v>313</v>
      </c>
      <c r="AG248" s="31"/>
      <c r="AH248" s="31"/>
      <c r="AI248" s="32" t="str">
        <f t="shared" si="76"/>
        <v/>
      </c>
      <c r="AJ248" s="32" t="s">
        <v>313</v>
      </c>
      <c r="AK248" s="31"/>
      <c r="AL248" s="31"/>
      <c r="AM248" s="32" t="str">
        <f t="shared" si="77"/>
        <v/>
      </c>
      <c r="AN248" s="32" t="s">
        <v>313</v>
      </c>
      <c r="AO248" s="31"/>
      <c r="AP248" s="31"/>
      <c r="AQ248" s="32" t="str">
        <f t="shared" si="78"/>
        <v/>
      </c>
      <c r="AR248" s="32" t="s">
        <v>313</v>
      </c>
      <c r="AS248" s="31"/>
      <c r="AT248" s="31"/>
      <c r="AU248" s="32" t="str">
        <f t="shared" si="79"/>
        <v/>
      </c>
      <c r="AV248" s="32" t="s">
        <v>313</v>
      </c>
      <c r="AW248" s="31"/>
      <c r="AX248" s="31"/>
      <c r="AY248" s="32" t="str">
        <f t="shared" si="80"/>
        <v/>
      </c>
      <c r="AZ248" s="32" t="s">
        <v>313</v>
      </c>
    </row>
    <row r="249" spans="1:52" ht="34" customHeight="1">
      <c r="A249" s="28" t="s">
        <v>231</v>
      </c>
      <c r="B249" s="29" t="s">
        <v>327</v>
      </c>
      <c r="C249" s="29" t="s">
        <v>85</v>
      </c>
      <c r="D249" s="29" t="s">
        <v>79</v>
      </c>
      <c r="E249" s="29" t="s">
        <v>81</v>
      </c>
      <c r="F249" s="29" t="s">
        <v>316</v>
      </c>
      <c r="G249" s="30" t="s">
        <v>312</v>
      </c>
      <c r="H249" s="31"/>
      <c r="I249" s="31">
        <v>52420.99</v>
      </c>
      <c r="J249" s="32" t="str">
        <f t="shared" si="81"/>
        <v/>
      </c>
      <c r="K249" s="31"/>
      <c r="L249" s="31">
        <v>36891.22</v>
      </c>
      <c r="M249" s="32" t="str">
        <f t="shared" si="82"/>
        <v/>
      </c>
      <c r="N249" s="31"/>
      <c r="O249" s="31">
        <v>109878.16</v>
      </c>
      <c r="P249" s="32" t="str">
        <f t="shared" si="83"/>
        <v/>
      </c>
      <c r="Q249" s="31"/>
      <c r="R249" s="31">
        <v>16559.330000000002</v>
      </c>
      <c r="S249" s="32" t="str">
        <f t="shared" si="84"/>
        <v/>
      </c>
      <c r="T249" s="31"/>
      <c r="U249" s="31">
        <v>0</v>
      </c>
      <c r="V249" s="32" t="str">
        <f t="shared" si="85"/>
        <v/>
      </c>
      <c r="W249" s="31"/>
      <c r="X249" s="31">
        <v>0</v>
      </c>
      <c r="Y249" s="32" t="str">
        <f t="shared" si="86"/>
        <v/>
      </c>
      <c r="Z249" s="31" t="str">
        <f t="shared" si="73"/>
        <v/>
      </c>
      <c r="AA249" s="31">
        <f t="shared" si="74"/>
        <v>215749.7</v>
      </c>
      <c r="AB249" s="32" t="str">
        <f t="shared" si="87"/>
        <v/>
      </c>
      <c r="AC249" s="31"/>
      <c r="AD249" s="31"/>
      <c r="AE249" s="32" t="str">
        <f t="shared" si="75"/>
        <v/>
      </c>
      <c r="AF249" s="32" t="s">
        <v>313</v>
      </c>
      <c r="AG249" s="31"/>
      <c r="AH249" s="31"/>
      <c r="AI249" s="32" t="str">
        <f t="shared" si="76"/>
        <v/>
      </c>
      <c r="AJ249" s="32" t="s">
        <v>313</v>
      </c>
      <c r="AK249" s="31"/>
      <c r="AL249" s="31"/>
      <c r="AM249" s="32" t="str">
        <f t="shared" si="77"/>
        <v/>
      </c>
      <c r="AN249" s="32" t="s">
        <v>313</v>
      </c>
      <c r="AO249" s="31"/>
      <c r="AP249" s="31"/>
      <c r="AQ249" s="32" t="str">
        <f t="shared" si="78"/>
        <v/>
      </c>
      <c r="AR249" s="32" t="s">
        <v>313</v>
      </c>
      <c r="AS249" s="31"/>
      <c r="AT249" s="31"/>
      <c r="AU249" s="32" t="str">
        <f t="shared" si="79"/>
        <v/>
      </c>
      <c r="AV249" s="32" t="s">
        <v>313</v>
      </c>
      <c r="AW249" s="31"/>
      <c r="AX249" s="31"/>
      <c r="AY249" s="32" t="str">
        <f t="shared" si="80"/>
        <v/>
      </c>
      <c r="AZ249" s="32" t="s">
        <v>313</v>
      </c>
    </row>
    <row r="250" spans="1:52" ht="34" customHeight="1">
      <c r="A250" s="28" t="s">
        <v>231</v>
      </c>
      <c r="B250" s="29" t="s">
        <v>327</v>
      </c>
      <c r="C250" s="29" t="s">
        <v>85</v>
      </c>
      <c r="D250" s="29" t="s">
        <v>79</v>
      </c>
      <c r="E250" s="29" t="s">
        <v>82</v>
      </c>
      <c r="F250" s="29" t="s">
        <v>319</v>
      </c>
      <c r="G250" s="30" t="s">
        <v>312</v>
      </c>
      <c r="H250" s="31">
        <v>0</v>
      </c>
      <c r="I250" s="31">
        <v>52420.99</v>
      </c>
      <c r="J250" s="32">
        <f t="shared" si="81"/>
        <v>0</v>
      </c>
      <c r="K250" s="31">
        <v>0</v>
      </c>
      <c r="L250" s="31">
        <v>36891.22</v>
      </c>
      <c r="M250" s="32">
        <f t="shared" si="82"/>
        <v>0</v>
      </c>
      <c r="N250" s="31">
        <v>0</v>
      </c>
      <c r="O250" s="31">
        <v>109878.16</v>
      </c>
      <c r="P250" s="32">
        <f t="shared" si="83"/>
        <v>0</v>
      </c>
      <c r="Q250" s="31">
        <v>0</v>
      </c>
      <c r="R250" s="31">
        <v>16559.330000000002</v>
      </c>
      <c r="S250" s="32">
        <f t="shared" si="84"/>
        <v>0</v>
      </c>
      <c r="T250" s="31">
        <v>0</v>
      </c>
      <c r="U250" s="31">
        <v>0</v>
      </c>
      <c r="V250" s="32" t="str">
        <f t="shared" si="85"/>
        <v/>
      </c>
      <c r="W250" s="31">
        <v>0</v>
      </c>
      <c r="X250" s="31">
        <v>0</v>
      </c>
      <c r="Y250" s="32" t="str">
        <f t="shared" si="86"/>
        <v/>
      </c>
      <c r="Z250" s="31">
        <f t="shared" si="73"/>
        <v>0</v>
      </c>
      <c r="AA250" s="31">
        <f t="shared" si="74"/>
        <v>215749.7</v>
      </c>
      <c r="AB250" s="32">
        <f t="shared" si="87"/>
        <v>0</v>
      </c>
      <c r="AC250" s="31"/>
      <c r="AD250" s="31"/>
      <c r="AE250" s="32" t="str">
        <f t="shared" si="75"/>
        <v/>
      </c>
      <c r="AF250" s="32" t="s">
        <v>313</v>
      </c>
      <c r="AG250" s="31"/>
      <c r="AH250" s="31"/>
      <c r="AI250" s="32" t="str">
        <f t="shared" si="76"/>
        <v/>
      </c>
      <c r="AJ250" s="32" t="s">
        <v>313</v>
      </c>
      <c r="AK250" s="31"/>
      <c r="AL250" s="31"/>
      <c r="AM250" s="32" t="str">
        <f t="shared" si="77"/>
        <v/>
      </c>
      <c r="AN250" s="32" t="s">
        <v>313</v>
      </c>
      <c r="AO250" s="31"/>
      <c r="AP250" s="31"/>
      <c r="AQ250" s="32" t="str">
        <f t="shared" si="78"/>
        <v/>
      </c>
      <c r="AR250" s="32" t="s">
        <v>313</v>
      </c>
      <c r="AS250" s="31"/>
      <c r="AT250" s="31"/>
      <c r="AU250" s="32" t="str">
        <f t="shared" si="79"/>
        <v/>
      </c>
      <c r="AV250" s="32" t="s">
        <v>313</v>
      </c>
      <c r="AW250" s="31"/>
      <c r="AX250" s="31"/>
      <c r="AY250" s="32" t="str">
        <f t="shared" si="80"/>
        <v/>
      </c>
      <c r="AZ250" s="32" t="s">
        <v>313</v>
      </c>
    </row>
    <row r="251" spans="1:52" ht="34" customHeight="1">
      <c r="A251" s="28" t="s">
        <v>231</v>
      </c>
      <c r="B251" s="29" t="s">
        <v>327</v>
      </c>
      <c r="C251" s="29" t="s">
        <v>85</v>
      </c>
      <c r="D251" s="29" t="s">
        <v>90</v>
      </c>
      <c r="E251" s="29" t="s">
        <v>90</v>
      </c>
      <c r="F251" s="29" t="s">
        <v>316</v>
      </c>
      <c r="G251" s="30" t="s">
        <v>312</v>
      </c>
      <c r="H251" s="31"/>
      <c r="I251" s="31">
        <v>52420.99</v>
      </c>
      <c r="J251" s="32" t="str">
        <f t="shared" si="81"/>
        <v/>
      </c>
      <c r="K251" s="31"/>
      <c r="L251" s="31">
        <v>36891.22</v>
      </c>
      <c r="M251" s="32" t="str">
        <f t="shared" si="82"/>
        <v/>
      </c>
      <c r="N251" s="31"/>
      <c r="O251" s="31">
        <v>109878.16</v>
      </c>
      <c r="P251" s="32" t="str">
        <f t="shared" si="83"/>
        <v/>
      </c>
      <c r="Q251" s="31"/>
      <c r="R251" s="31">
        <v>16559.330000000002</v>
      </c>
      <c r="S251" s="32" t="str">
        <f t="shared" si="84"/>
        <v/>
      </c>
      <c r="T251" s="31"/>
      <c r="U251" s="31">
        <v>0</v>
      </c>
      <c r="V251" s="32" t="str">
        <f t="shared" si="85"/>
        <v/>
      </c>
      <c r="W251" s="31"/>
      <c r="X251" s="31">
        <v>0</v>
      </c>
      <c r="Y251" s="32" t="str">
        <f t="shared" si="86"/>
        <v/>
      </c>
      <c r="Z251" s="31" t="str">
        <f t="shared" si="73"/>
        <v/>
      </c>
      <c r="AA251" s="31">
        <f t="shared" si="74"/>
        <v>215749.7</v>
      </c>
      <c r="AB251" s="32" t="str">
        <f t="shared" si="87"/>
        <v/>
      </c>
      <c r="AC251" s="31"/>
      <c r="AD251" s="31"/>
      <c r="AE251" s="32" t="str">
        <f t="shared" si="75"/>
        <v/>
      </c>
      <c r="AF251" s="32" t="s">
        <v>313</v>
      </c>
      <c r="AG251" s="31"/>
      <c r="AH251" s="31"/>
      <c r="AI251" s="32" t="str">
        <f t="shared" si="76"/>
        <v/>
      </c>
      <c r="AJ251" s="32" t="s">
        <v>313</v>
      </c>
      <c r="AK251" s="31"/>
      <c r="AL251" s="31"/>
      <c r="AM251" s="32" t="str">
        <f t="shared" si="77"/>
        <v/>
      </c>
      <c r="AN251" s="32" t="s">
        <v>313</v>
      </c>
      <c r="AO251" s="31"/>
      <c r="AP251" s="31"/>
      <c r="AQ251" s="32" t="str">
        <f t="shared" si="78"/>
        <v/>
      </c>
      <c r="AR251" s="32" t="s">
        <v>313</v>
      </c>
      <c r="AS251" s="31"/>
      <c r="AT251" s="31"/>
      <c r="AU251" s="32" t="str">
        <f t="shared" si="79"/>
        <v/>
      </c>
      <c r="AV251" s="32" t="s">
        <v>313</v>
      </c>
      <c r="AW251" s="31"/>
      <c r="AX251" s="31"/>
      <c r="AY251" s="32" t="str">
        <f t="shared" si="80"/>
        <v/>
      </c>
      <c r="AZ251" s="32" t="s">
        <v>313</v>
      </c>
    </row>
    <row r="252" spans="1:52" ht="34" customHeight="1">
      <c r="A252" s="28" t="s">
        <v>231</v>
      </c>
      <c r="B252" s="29" t="s">
        <v>327</v>
      </c>
      <c r="C252" s="29" t="s">
        <v>85</v>
      </c>
      <c r="D252" s="29" t="s">
        <v>93</v>
      </c>
      <c r="E252" s="29" t="s">
        <v>143</v>
      </c>
      <c r="F252" s="29" t="s">
        <v>320</v>
      </c>
      <c r="G252" s="30" t="s">
        <v>312</v>
      </c>
      <c r="H252" s="31">
        <v>0</v>
      </c>
      <c r="I252" s="31">
        <v>52420.99</v>
      </c>
      <c r="J252" s="32">
        <f t="shared" si="81"/>
        <v>0</v>
      </c>
      <c r="K252" s="31">
        <v>0</v>
      </c>
      <c r="L252" s="31">
        <v>36891.22</v>
      </c>
      <c r="M252" s="32">
        <f t="shared" si="82"/>
        <v>0</v>
      </c>
      <c r="N252" s="31">
        <v>0</v>
      </c>
      <c r="O252" s="31">
        <v>109878.16</v>
      </c>
      <c r="P252" s="32">
        <f t="shared" si="83"/>
        <v>0</v>
      </c>
      <c r="Q252" s="31">
        <v>0</v>
      </c>
      <c r="R252" s="31">
        <v>16559.330000000002</v>
      </c>
      <c r="S252" s="32">
        <f t="shared" si="84"/>
        <v>0</v>
      </c>
      <c r="T252" s="31">
        <v>0</v>
      </c>
      <c r="U252" s="31">
        <v>0</v>
      </c>
      <c r="V252" s="32" t="str">
        <f t="shared" si="85"/>
        <v/>
      </c>
      <c r="W252" s="31">
        <v>0</v>
      </c>
      <c r="X252" s="31">
        <v>0</v>
      </c>
      <c r="Y252" s="32" t="str">
        <f t="shared" si="86"/>
        <v/>
      </c>
      <c r="Z252" s="31">
        <f t="shared" si="73"/>
        <v>0</v>
      </c>
      <c r="AA252" s="31">
        <f t="shared" si="74"/>
        <v>215749.7</v>
      </c>
      <c r="AB252" s="32">
        <f t="shared" si="87"/>
        <v>0</v>
      </c>
      <c r="AC252" s="31"/>
      <c r="AD252" s="31"/>
      <c r="AE252" s="32" t="str">
        <f t="shared" si="75"/>
        <v/>
      </c>
      <c r="AF252" s="32" t="s">
        <v>313</v>
      </c>
      <c r="AG252" s="31"/>
      <c r="AH252" s="31"/>
      <c r="AI252" s="32" t="str">
        <f t="shared" si="76"/>
        <v/>
      </c>
      <c r="AJ252" s="32" t="s">
        <v>313</v>
      </c>
      <c r="AK252" s="31"/>
      <c r="AL252" s="31"/>
      <c r="AM252" s="32" t="str">
        <f t="shared" si="77"/>
        <v/>
      </c>
      <c r="AN252" s="32" t="s">
        <v>313</v>
      </c>
      <c r="AO252" s="31"/>
      <c r="AP252" s="31"/>
      <c r="AQ252" s="32" t="str">
        <f t="shared" si="78"/>
        <v/>
      </c>
      <c r="AR252" s="32" t="s">
        <v>313</v>
      </c>
      <c r="AS252" s="31"/>
      <c r="AT252" s="31"/>
      <c r="AU252" s="32" t="str">
        <f t="shared" si="79"/>
        <v/>
      </c>
      <c r="AV252" s="32" t="s">
        <v>313</v>
      </c>
      <c r="AW252" s="31"/>
      <c r="AX252" s="31"/>
      <c r="AY252" s="32" t="str">
        <f t="shared" si="80"/>
        <v/>
      </c>
      <c r="AZ252" s="32" t="s">
        <v>313</v>
      </c>
    </row>
    <row r="253" spans="1:52" ht="34" customHeight="1">
      <c r="A253" s="28" t="s">
        <v>231</v>
      </c>
      <c r="B253" s="29" t="s">
        <v>327</v>
      </c>
      <c r="C253" s="29" t="s">
        <v>85</v>
      </c>
      <c r="D253" s="29" t="s">
        <v>152</v>
      </c>
      <c r="E253" s="29" t="s">
        <v>152</v>
      </c>
      <c r="F253" s="29" t="s">
        <v>316</v>
      </c>
      <c r="G253" s="30" t="s">
        <v>312</v>
      </c>
      <c r="H253" s="31"/>
      <c r="I253" s="31">
        <v>52420.99</v>
      </c>
      <c r="J253" s="32" t="str">
        <f t="shared" si="81"/>
        <v/>
      </c>
      <c r="K253" s="31"/>
      <c r="L253" s="31">
        <v>36891.22</v>
      </c>
      <c r="M253" s="32" t="str">
        <f t="shared" si="82"/>
        <v/>
      </c>
      <c r="N253" s="31"/>
      <c r="O253" s="31">
        <v>109878.16</v>
      </c>
      <c r="P253" s="32" t="str">
        <f t="shared" si="83"/>
        <v/>
      </c>
      <c r="Q253" s="31"/>
      <c r="R253" s="31">
        <v>16559.330000000002</v>
      </c>
      <c r="S253" s="32" t="str">
        <f t="shared" si="84"/>
        <v/>
      </c>
      <c r="T253" s="31"/>
      <c r="U253" s="31">
        <v>0</v>
      </c>
      <c r="V253" s="32" t="str">
        <f t="shared" si="85"/>
        <v/>
      </c>
      <c r="W253" s="31"/>
      <c r="X253" s="31">
        <v>0</v>
      </c>
      <c r="Y253" s="32" t="str">
        <f t="shared" si="86"/>
        <v/>
      </c>
      <c r="Z253" s="31" t="str">
        <f t="shared" si="73"/>
        <v/>
      </c>
      <c r="AA253" s="31">
        <f t="shared" si="74"/>
        <v>215749.7</v>
      </c>
      <c r="AB253" s="32" t="str">
        <f t="shared" si="87"/>
        <v/>
      </c>
      <c r="AC253" s="31"/>
      <c r="AD253" s="31"/>
      <c r="AE253" s="32" t="str">
        <f t="shared" si="75"/>
        <v/>
      </c>
      <c r="AF253" s="32" t="s">
        <v>313</v>
      </c>
      <c r="AG253" s="31"/>
      <c r="AH253" s="31"/>
      <c r="AI253" s="32" t="str">
        <f t="shared" si="76"/>
        <v/>
      </c>
      <c r="AJ253" s="32" t="s">
        <v>313</v>
      </c>
      <c r="AK253" s="31"/>
      <c r="AL253" s="31"/>
      <c r="AM253" s="32" t="str">
        <f t="shared" si="77"/>
        <v/>
      </c>
      <c r="AN253" s="32" t="s">
        <v>313</v>
      </c>
      <c r="AO253" s="31"/>
      <c r="AP253" s="31"/>
      <c r="AQ253" s="32" t="str">
        <f t="shared" si="78"/>
        <v/>
      </c>
      <c r="AR253" s="32" t="s">
        <v>313</v>
      </c>
      <c r="AS253" s="31"/>
      <c r="AT253" s="31"/>
      <c r="AU253" s="32" t="str">
        <f t="shared" si="79"/>
        <v/>
      </c>
      <c r="AV253" s="32" t="s">
        <v>313</v>
      </c>
      <c r="AW253" s="31"/>
      <c r="AX253" s="31"/>
      <c r="AY253" s="32" t="str">
        <f t="shared" si="80"/>
        <v/>
      </c>
      <c r="AZ253" s="32" t="s">
        <v>313</v>
      </c>
    </row>
    <row r="254" spans="1:52" ht="34" customHeight="1">
      <c r="A254" s="28" t="s">
        <v>328</v>
      </c>
      <c r="B254" s="29" t="s">
        <v>226</v>
      </c>
      <c r="C254" s="29" t="s">
        <v>46</v>
      </c>
      <c r="D254" s="29"/>
      <c r="E254" s="29" t="s">
        <v>46</v>
      </c>
      <c r="F254" s="29" t="s">
        <v>311</v>
      </c>
      <c r="G254" s="30" t="s">
        <v>312</v>
      </c>
      <c r="H254" s="31">
        <v>673908.8</v>
      </c>
      <c r="I254" s="31">
        <v>516735.64</v>
      </c>
      <c r="J254" s="32"/>
      <c r="K254" s="31">
        <v>58105.5</v>
      </c>
      <c r="L254" s="31">
        <v>42376</v>
      </c>
      <c r="M254" s="32"/>
      <c r="N254" s="31">
        <v>3045882.12</v>
      </c>
      <c r="O254" s="31">
        <v>1900322.78</v>
      </c>
      <c r="P254" s="32"/>
      <c r="Q254" s="31">
        <v>505789.1</v>
      </c>
      <c r="R254" s="31">
        <v>378104.97</v>
      </c>
      <c r="S254" s="32"/>
      <c r="T254" s="31">
        <v>1158368.3999999999</v>
      </c>
      <c r="U254" s="31">
        <v>811389.63</v>
      </c>
      <c r="V254" s="32"/>
      <c r="W254" s="31">
        <v>378138.94</v>
      </c>
      <c r="X254" s="31">
        <v>273819.34999999998</v>
      </c>
      <c r="Y254" s="32"/>
      <c r="Z254" s="31">
        <f t="shared" si="73"/>
        <v>5820192.8600000003</v>
      </c>
      <c r="AA254" s="31">
        <f t="shared" si="74"/>
        <v>3922748.3699999996</v>
      </c>
      <c r="AB254" s="32"/>
      <c r="AC254" s="31"/>
      <c r="AD254" s="31"/>
      <c r="AE254" s="32" t="str">
        <f t="shared" si="75"/>
        <v/>
      </c>
      <c r="AF254" s="32" t="s">
        <v>313</v>
      </c>
      <c r="AG254" s="31"/>
      <c r="AH254" s="31"/>
      <c r="AI254" s="32" t="str">
        <f t="shared" si="76"/>
        <v/>
      </c>
      <c r="AJ254" s="32" t="s">
        <v>313</v>
      </c>
      <c r="AK254" s="31"/>
      <c r="AL254" s="31"/>
      <c r="AM254" s="32" t="str">
        <f t="shared" si="77"/>
        <v/>
      </c>
      <c r="AN254" s="32" t="s">
        <v>313</v>
      </c>
      <c r="AO254" s="31"/>
      <c r="AP254" s="31"/>
      <c r="AQ254" s="32" t="str">
        <f t="shared" si="78"/>
        <v/>
      </c>
      <c r="AR254" s="32" t="s">
        <v>313</v>
      </c>
      <c r="AS254" s="31"/>
      <c r="AT254" s="31"/>
      <c r="AU254" s="32" t="str">
        <f t="shared" si="79"/>
        <v/>
      </c>
      <c r="AV254" s="32" t="s">
        <v>313</v>
      </c>
      <c r="AW254" s="31"/>
      <c r="AX254" s="31"/>
      <c r="AY254" s="32" t="str">
        <f t="shared" si="80"/>
        <v/>
      </c>
      <c r="AZ254" s="32" t="s">
        <v>313</v>
      </c>
    </row>
    <row r="255" spans="1:52" ht="34" customHeight="1">
      <c r="A255" s="28" t="s">
        <v>328</v>
      </c>
      <c r="B255" s="29" t="s">
        <v>226</v>
      </c>
      <c r="C255" s="29" t="s">
        <v>121</v>
      </c>
      <c r="D255" s="29"/>
      <c r="E255" s="29" t="s">
        <v>125</v>
      </c>
      <c r="F255" s="29" t="s">
        <v>314</v>
      </c>
      <c r="G255" s="30" t="s">
        <v>312</v>
      </c>
      <c r="H255" s="31">
        <v>0</v>
      </c>
      <c r="I255" s="31">
        <v>516735.64</v>
      </c>
      <c r="J255" s="32">
        <f t="shared" ref="J255:J284" si="88">IF(H255="","",IFERROR(H255/I255,""))</f>
        <v>0</v>
      </c>
      <c r="K255" s="31">
        <v>0</v>
      </c>
      <c r="L255" s="31">
        <v>42376</v>
      </c>
      <c r="M255" s="32">
        <f t="shared" ref="M255:M284" si="89">IF(K255="","",IFERROR(K255/L255,""))</f>
        <v>0</v>
      </c>
      <c r="N255" s="31">
        <v>0</v>
      </c>
      <c r="O255" s="31">
        <v>1900322.78</v>
      </c>
      <c r="P255" s="32">
        <f t="shared" ref="P255:P284" si="90">IF(N255="","",IFERROR(N255/O255,""))</f>
        <v>0</v>
      </c>
      <c r="Q255" s="31">
        <v>0</v>
      </c>
      <c r="R255" s="31">
        <v>378104.97</v>
      </c>
      <c r="S255" s="32">
        <f t="shared" ref="S255:S284" si="91">IF(Q255="","",IFERROR(Q255/R255,""))</f>
        <v>0</v>
      </c>
      <c r="T255" s="31">
        <v>0</v>
      </c>
      <c r="U255" s="31">
        <v>811389.63</v>
      </c>
      <c r="V255" s="32">
        <f t="shared" ref="V255:V284" si="92">IF(T255="","",IFERROR(T255/U255,""))</f>
        <v>0</v>
      </c>
      <c r="W255" s="31">
        <v>0</v>
      </c>
      <c r="X255" s="31">
        <v>273819.34999999998</v>
      </c>
      <c r="Y255" s="32">
        <f t="shared" ref="Y255:Y284" si="93">IF(W255="","",IFERROR(W255/X255,""))</f>
        <v>0</v>
      </c>
      <c r="Z255" s="31">
        <f t="shared" si="73"/>
        <v>0</v>
      </c>
      <c r="AA255" s="31">
        <f t="shared" si="74"/>
        <v>3922748.3699999996</v>
      </c>
      <c r="AB255" s="32">
        <f t="shared" ref="AB255:AB284" si="94">IF(Z255="","",IFERROR(Z255/AA255,""))</f>
        <v>0</v>
      </c>
      <c r="AC255" s="31"/>
      <c r="AD255" s="31"/>
      <c r="AE255" s="32" t="str">
        <f t="shared" si="75"/>
        <v/>
      </c>
      <c r="AF255" s="32" t="s">
        <v>313</v>
      </c>
      <c r="AG255" s="31"/>
      <c r="AH255" s="31"/>
      <c r="AI255" s="32" t="str">
        <f t="shared" si="76"/>
        <v/>
      </c>
      <c r="AJ255" s="32" t="s">
        <v>313</v>
      </c>
      <c r="AK255" s="31"/>
      <c r="AL255" s="31"/>
      <c r="AM255" s="32" t="str">
        <f t="shared" si="77"/>
        <v/>
      </c>
      <c r="AN255" s="32" t="s">
        <v>313</v>
      </c>
      <c r="AO255" s="31"/>
      <c r="AP255" s="31"/>
      <c r="AQ255" s="32" t="str">
        <f t="shared" si="78"/>
        <v/>
      </c>
      <c r="AR255" s="32" t="s">
        <v>313</v>
      </c>
      <c r="AS255" s="31"/>
      <c r="AT255" s="31"/>
      <c r="AU255" s="32" t="str">
        <f t="shared" si="79"/>
        <v/>
      </c>
      <c r="AV255" s="32" t="s">
        <v>313</v>
      </c>
      <c r="AW255" s="31"/>
      <c r="AX255" s="31"/>
      <c r="AY255" s="32" t="str">
        <f t="shared" si="80"/>
        <v/>
      </c>
      <c r="AZ255" s="32" t="s">
        <v>313</v>
      </c>
    </row>
    <row r="256" spans="1:52" ht="34" customHeight="1">
      <c r="A256" s="28" t="s">
        <v>328</v>
      </c>
      <c r="B256" s="29" t="s">
        <v>226</v>
      </c>
      <c r="C256" s="29" t="s">
        <v>48</v>
      </c>
      <c r="D256" s="29"/>
      <c r="E256" s="29" t="s">
        <v>127</v>
      </c>
      <c r="F256" s="29" t="s">
        <v>315</v>
      </c>
      <c r="G256" s="30" t="s">
        <v>312</v>
      </c>
      <c r="H256" s="31">
        <v>243097.5</v>
      </c>
      <c r="I256" s="31">
        <v>516735.64</v>
      </c>
      <c r="J256" s="32">
        <f t="shared" si="88"/>
        <v>0.47044848696714631</v>
      </c>
      <c r="K256" s="31">
        <v>20069</v>
      </c>
      <c r="L256" s="31">
        <v>42376</v>
      </c>
      <c r="M256" s="32">
        <f t="shared" si="89"/>
        <v>0.47359354351519728</v>
      </c>
      <c r="N256" s="31">
        <v>841489.5</v>
      </c>
      <c r="O256" s="31">
        <v>1900322.78</v>
      </c>
      <c r="P256" s="32">
        <f t="shared" si="90"/>
        <v>0.44281398342233208</v>
      </c>
      <c r="Q256" s="31">
        <v>208720</v>
      </c>
      <c r="R256" s="31">
        <v>378104.97</v>
      </c>
      <c r="S256" s="32">
        <f t="shared" si="91"/>
        <v>0.55201601819727475</v>
      </c>
      <c r="T256" s="31">
        <v>385790.5</v>
      </c>
      <c r="U256" s="31">
        <v>811389.63</v>
      </c>
      <c r="V256" s="32">
        <f t="shared" si="92"/>
        <v>0.47546885705206759</v>
      </c>
      <c r="W256" s="31">
        <v>144355</v>
      </c>
      <c r="X256" s="31">
        <v>273819.34999999998</v>
      </c>
      <c r="Y256" s="32">
        <f t="shared" si="93"/>
        <v>0.52719064594960152</v>
      </c>
      <c r="Z256" s="31">
        <f t="shared" si="73"/>
        <v>1843521.5</v>
      </c>
      <c r="AA256" s="31">
        <f t="shared" si="74"/>
        <v>3922748.3699999996</v>
      </c>
      <c r="AB256" s="32">
        <f t="shared" si="94"/>
        <v>0.46995660341068479</v>
      </c>
      <c r="AC256" s="31"/>
      <c r="AD256" s="31"/>
      <c r="AE256" s="32" t="str">
        <f t="shared" si="75"/>
        <v/>
      </c>
      <c r="AF256" s="32" t="s">
        <v>313</v>
      </c>
      <c r="AG256" s="31"/>
      <c r="AH256" s="31"/>
      <c r="AI256" s="32" t="str">
        <f t="shared" si="76"/>
        <v/>
      </c>
      <c r="AJ256" s="32" t="s">
        <v>313</v>
      </c>
      <c r="AK256" s="31"/>
      <c r="AL256" s="31"/>
      <c r="AM256" s="32" t="str">
        <f t="shared" si="77"/>
        <v/>
      </c>
      <c r="AN256" s="32" t="s">
        <v>313</v>
      </c>
      <c r="AO256" s="31"/>
      <c r="AP256" s="31"/>
      <c r="AQ256" s="32" t="str">
        <f t="shared" si="78"/>
        <v/>
      </c>
      <c r="AR256" s="32" t="s">
        <v>313</v>
      </c>
      <c r="AS256" s="31"/>
      <c r="AT256" s="31"/>
      <c r="AU256" s="32" t="str">
        <f t="shared" si="79"/>
        <v/>
      </c>
      <c r="AV256" s="32" t="s">
        <v>313</v>
      </c>
      <c r="AW256" s="31"/>
      <c r="AX256" s="31"/>
      <c r="AY256" s="32" t="str">
        <f t="shared" si="80"/>
        <v/>
      </c>
      <c r="AZ256" s="32" t="s">
        <v>313</v>
      </c>
    </row>
    <row r="257" spans="1:52" ht="34" customHeight="1">
      <c r="A257" s="28" t="s">
        <v>328</v>
      </c>
      <c r="B257" s="29" t="s">
        <v>226</v>
      </c>
      <c r="C257" s="29" t="s">
        <v>52</v>
      </c>
      <c r="D257" s="29" t="s">
        <v>54</v>
      </c>
      <c r="E257" s="29" t="s">
        <v>55</v>
      </c>
      <c r="F257" s="29" t="s">
        <v>130</v>
      </c>
      <c r="G257" s="30" t="s">
        <v>312</v>
      </c>
      <c r="H257" s="31">
        <v>0</v>
      </c>
      <c r="I257" s="31">
        <v>516735.64</v>
      </c>
      <c r="J257" s="32">
        <f t="shared" si="88"/>
        <v>0</v>
      </c>
      <c r="K257" s="31">
        <v>0</v>
      </c>
      <c r="L257" s="31">
        <v>42376</v>
      </c>
      <c r="M257" s="32">
        <f t="shared" si="89"/>
        <v>0</v>
      </c>
      <c r="N257" s="31">
        <v>686.65</v>
      </c>
      <c r="O257" s="31">
        <v>1900322.78</v>
      </c>
      <c r="P257" s="32">
        <f t="shared" si="90"/>
        <v>3.6133335201086206E-4</v>
      </c>
      <c r="Q257" s="31">
        <v>30312.22</v>
      </c>
      <c r="R257" s="31">
        <v>378104.97</v>
      </c>
      <c r="S257" s="32">
        <f t="shared" si="91"/>
        <v>8.0168795453812738E-2</v>
      </c>
      <c r="T257" s="31">
        <v>49.87</v>
      </c>
      <c r="U257" s="31">
        <v>811389.63</v>
      </c>
      <c r="V257" s="32">
        <f t="shared" si="92"/>
        <v>6.1462456699132317E-5</v>
      </c>
      <c r="W257" s="31">
        <v>81.81</v>
      </c>
      <c r="X257" s="31">
        <v>273819.34999999998</v>
      </c>
      <c r="Y257" s="32">
        <f t="shared" si="93"/>
        <v>2.9877362574996986E-4</v>
      </c>
      <c r="Z257" s="31">
        <f t="shared" si="73"/>
        <v>31130.550000000003</v>
      </c>
      <c r="AA257" s="31">
        <f t="shared" si="74"/>
        <v>3922748.3699999996</v>
      </c>
      <c r="AB257" s="32">
        <f t="shared" si="94"/>
        <v>7.9359028578221049E-3</v>
      </c>
      <c r="AC257" s="31"/>
      <c r="AD257" s="31"/>
      <c r="AE257" s="32" t="str">
        <f t="shared" si="75"/>
        <v/>
      </c>
      <c r="AF257" s="32" t="s">
        <v>313</v>
      </c>
      <c r="AG257" s="31"/>
      <c r="AH257" s="31"/>
      <c r="AI257" s="32" t="str">
        <f t="shared" si="76"/>
        <v/>
      </c>
      <c r="AJ257" s="32" t="s">
        <v>313</v>
      </c>
      <c r="AK257" s="31"/>
      <c r="AL257" s="31"/>
      <c r="AM257" s="32" t="str">
        <f t="shared" si="77"/>
        <v/>
      </c>
      <c r="AN257" s="32" t="s">
        <v>313</v>
      </c>
      <c r="AO257" s="31"/>
      <c r="AP257" s="31"/>
      <c r="AQ257" s="32" t="str">
        <f t="shared" si="78"/>
        <v/>
      </c>
      <c r="AR257" s="32" t="s">
        <v>313</v>
      </c>
      <c r="AS257" s="31"/>
      <c r="AT257" s="31"/>
      <c r="AU257" s="32" t="str">
        <f t="shared" si="79"/>
        <v/>
      </c>
      <c r="AV257" s="32" t="s">
        <v>313</v>
      </c>
      <c r="AW257" s="31"/>
      <c r="AX257" s="31"/>
      <c r="AY257" s="32" t="str">
        <f t="shared" si="80"/>
        <v/>
      </c>
      <c r="AZ257" s="32" t="s">
        <v>313</v>
      </c>
    </row>
    <row r="258" spans="1:52" ht="34" customHeight="1">
      <c r="A258" s="28" t="s">
        <v>328</v>
      </c>
      <c r="B258" s="29" t="s">
        <v>226</v>
      </c>
      <c r="C258" s="29" t="s">
        <v>52</v>
      </c>
      <c r="D258" s="29" t="s">
        <v>54</v>
      </c>
      <c r="E258" s="29" t="s">
        <v>58</v>
      </c>
      <c r="F258" s="29" t="s">
        <v>316</v>
      </c>
      <c r="G258" s="30" t="s">
        <v>312</v>
      </c>
      <c r="H258" s="31"/>
      <c r="I258" s="31">
        <v>516735.64</v>
      </c>
      <c r="J258" s="32" t="str">
        <f t="shared" si="88"/>
        <v/>
      </c>
      <c r="K258" s="31"/>
      <c r="L258" s="31">
        <v>42376</v>
      </c>
      <c r="M258" s="32" t="str">
        <f t="shared" si="89"/>
        <v/>
      </c>
      <c r="N258" s="31"/>
      <c r="O258" s="31">
        <v>1900322.78</v>
      </c>
      <c r="P258" s="32" t="str">
        <f t="shared" si="90"/>
        <v/>
      </c>
      <c r="Q258" s="31"/>
      <c r="R258" s="31">
        <v>378104.97</v>
      </c>
      <c r="S258" s="32" t="str">
        <f t="shared" si="91"/>
        <v/>
      </c>
      <c r="T258" s="31"/>
      <c r="U258" s="31">
        <v>811389.63</v>
      </c>
      <c r="V258" s="32" t="str">
        <f t="shared" si="92"/>
        <v/>
      </c>
      <c r="W258" s="31"/>
      <c r="X258" s="31">
        <v>273819.34999999998</v>
      </c>
      <c r="Y258" s="32" t="str">
        <f t="shared" si="93"/>
        <v/>
      </c>
      <c r="Z258" s="31" t="str">
        <f t="shared" si="73"/>
        <v/>
      </c>
      <c r="AA258" s="31">
        <f t="shared" si="74"/>
        <v>3922748.3699999996</v>
      </c>
      <c r="AB258" s="32" t="str">
        <f t="shared" si="94"/>
        <v/>
      </c>
      <c r="AC258" s="31"/>
      <c r="AD258" s="31"/>
      <c r="AE258" s="32" t="str">
        <f t="shared" si="75"/>
        <v/>
      </c>
      <c r="AF258" s="32" t="s">
        <v>313</v>
      </c>
      <c r="AG258" s="31"/>
      <c r="AH258" s="31"/>
      <c r="AI258" s="32" t="str">
        <f t="shared" si="76"/>
        <v/>
      </c>
      <c r="AJ258" s="32" t="s">
        <v>313</v>
      </c>
      <c r="AK258" s="31"/>
      <c r="AL258" s="31"/>
      <c r="AM258" s="32" t="str">
        <f t="shared" si="77"/>
        <v/>
      </c>
      <c r="AN258" s="32" t="s">
        <v>313</v>
      </c>
      <c r="AO258" s="31"/>
      <c r="AP258" s="31"/>
      <c r="AQ258" s="32" t="str">
        <f t="shared" si="78"/>
        <v/>
      </c>
      <c r="AR258" s="32" t="s">
        <v>313</v>
      </c>
      <c r="AS258" s="31"/>
      <c r="AT258" s="31"/>
      <c r="AU258" s="32" t="str">
        <f t="shared" si="79"/>
        <v/>
      </c>
      <c r="AV258" s="32" t="s">
        <v>313</v>
      </c>
      <c r="AW258" s="31"/>
      <c r="AX258" s="31"/>
      <c r="AY258" s="32" t="str">
        <f t="shared" si="80"/>
        <v/>
      </c>
      <c r="AZ258" s="32" t="s">
        <v>313</v>
      </c>
    </row>
    <row r="259" spans="1:52" ht="34" customHeight="1">
      <c r="A259" s="28" t="s">
        <v>328</v>
      </c>
      <c r="B259" s="29" t="s">
        <v>226</v>
      </c>
      <c r="C259" s="29" t="s">
        <v>52</v>
      </c>
      <c r="D259" s="29" t="s">
        <v>54</v>
      </c>
      <c r="E259" s="29" t="s">
        <v>59</v>
      </c>
      <c r="F259" s="29" t="s">
        <v>316</v>
      </c>
      <c r="G259" s="30" t="s">
        <v>312</v>
      </c>
      <c r="H259" s="31"/>
      <c r="I259" s="31">
        <v>516735.64</v>
      </c>
      <c r="J259" s="32" t="str">
        <f t="shared" si="88"/>
        <v/>
      </c>
      <c r="K259" s="31"/>
      <c r="L259" s="31">
        <v>42376</v>
      </c>
      <c r="M259" s="32" t="str">
        <f t="shared" si="89"/>
        <v/>
      </c>
      <c r="N259" s="31"/>
      <c r="O259" s="31">
        <v>1900322.78</v>
      </c>
      <c r="P259" s="32" t="str">
        <f t="shared" si="90"/>
        <v/>
      </c>
      <c r="Q259" s="31"/>
      <c r="R259" s="31">
        <v>378104.97</v>
      </c>
      <c r="S259" s="32" t="str">
        <f t="shared" si="91"/>
        <v/>
      </c>
      <c r="T259" s="31"/>
      <c r="U259" s="31">
        <v>811389.63</v>
      </c>
      <c r="V259" s="32" t="str">
        <f t="shared" si="92"/>
        <v/>
      </c>
      <c r="W259" s="31"/>
      <c r="X259" s="31">
        <v>273819.34999999998</v>
      </c>
      <c r="Y259" s="32" t="str">
        <f t="shared" si="93"/>
        <v/>
      </c>
      <c r="Z259" s="31" t="str">
        <f t="shared" si="73"/>
        <v/>
      </c>
      <c r="AA259" s="31">
        <f t="shared" si="74"/>
        <v>3922748.3699999996</v>
      </c>
      <c r="AB259" s="32" t="str">
        <f t="shared" si="94"/>
        <v/>
      </c>
      <c r="AC259" s="31"/>
      <c r="AD259" s="31"/>
      <c r="AE259" s="32" t="str">
        <f t="shared" si="75"/>
        <v/>
      </c>
      <c r="AF259" s="32" t="s">
        <v>313</v>
      </c>
      <c r="AG259" s="31"/>
      <c r="AH259" s="31"/>
      <c r="AI259" s="32" t="str">
        <f t="shared" si="76"/>
        <v/>
      </c>
      <c r="AJ259" s="32" t="s">
        <v>313</v>
      </c>
      <c r="AK259" s="31"/>
      <c r="AL259" s="31"/>
      <c r="AM259" s="32" t="str">
        <f t="shared" si="77"/>
        <v/>
      </c>
      <c r="AN259" s="32" t="s">
        <v>313</v>
      </c>
      <c r="AO259" s="31"/>
      <c r="AP259" s="31"/>
      <c r="AQ259" s="32" t="str">
        <f t="shared" si="78"/>
        <v/>
      </c>
      <c r="AR259" s="32" t="s">
        <v>313</v>
      </c>
      <c r="AS259" s="31"/>
      <c r="AT259" s="31"/>
      <c r="AU259" s="32" t="str">
        <f t="shared" si="79"/>
        <v/>
      </c>
      <c r="AV259" s="32" t="s">
        <v>313</v>
      </c>
      <c r="AW259" s="31"/>
      <c r="AX259" s="31"/>
      <c r="AY259" s="32" t="str">
        <f t="shared" si="80"/>
        <v/>
      </c>
      <c r="AZ259" s="32" t="s">
        <v>313</v>
      </c>
    </row>
    <row r="260" spans="1:52" ht="34" customHeight="1">
      <c r="A260" s="28" t="s">
        <v>328</v>
      </c>
      <c r="B260" s="29" t="s">
        <v>226</v>
      </c>
      <c r="C260" s="29" t="s">
        <v>52</v>
      </c>
      <c r="D260" s="29" t="s">
        <v>54</v>
      </c>
      <c r="E260" s="29" t="s">
        <v>64</v>
      </c>
      <c r="F260" s="29" t="s">
        <v>133</v>
      </c>
      <c r="G260" s="30" t="s">
        <v>312</v>
      </c>
      <c r="H260" s="31">
        <v>157173.16</v>
      </c>
      <c r="I260" s="31">
        <v>516735.64</v>
      </c>
      <c r="J260" s="32">
        <f t="shared" si="88"/>
        <v>0.30416551101449091</v>
      </c>
      <c r="K260" s="31">
        <v>15729.5</v>
      </c>
      <c r="L260" s="31">
        <v>42376</v>
      </c>
      <c r="M260" s="32">
        <f t="shared" si="89"/>
        <v>0.37118888049839532</v>
      </c>
      <c r="N260" s="31">
        <v>1145559.3400000001</v>
      </c>
      <c r="O260" s="31">
        <v>1900322.78</v>
      </c>
      <c r="P260" s="32">
        <f t="shared" si="90"/>
        <v>0.60282355821677835</v>
      </c>
      <c r="Q260" s="31">
        <v>127684.13</v>
      </c>
      <c r="R260" s="31">
        <v>378104.97</v>
      </c>
      <c r="S260" s="32">
        <f t="shared" si="91"/>
        <v>0.33769492635867765</v>
      </c>
      <c r="T260" s="31">
        <v>346978.77</v>
      </c>
      <c r="U260" s="31">
        <v>811389.63</v>
      </c>
      <c r="V260" s="32">
        <f t="shared" si="92"/>
        <v>0.42763520406342881</v>
      </c>
      <c r="W260" s="31">
        <v>104319.59</v>
      </c>
      <c r="X260" s="31">
        <v>273819.34999999998</v>
      </c>
      <c r="Y260" s="32">
        <f t="shared" si="93"/>
        <v>0.38097961301858324</v>
      </c>
      <c r="Z260" s="31">
        <f t="shared" si="73"/>
        <v>1897444.49</v>
      </c>
      <c r="AA260" s="31">
        <f t="shared" si="74"/>
        <v>3922748.3699999996</v>
      </c>
      <c r="AB260" s="32">
        <f t="shared" si="94"/>
        <v>0.48370283052338636</v>
      </c>
      <c r="AC260" s="31"/>
      <c r="AD260" s="31"/>
      <c r="AE260" s="32" t="str">
        <f t="shared" si="75"/>
        <v/>
      </c>
      <c r="AF260" s="32" t="s">
        <v>313</v>
      </c>
      <c r="AG260" s="31"/>
      <c r="AH260" s="31"/>
      <c r="AI260" s="32" t="str">
        <f t="shared" si="76"/>
        <v/>
      </c>
      <c r="AJ260" s="32" t="s">
        <v>313</v>
      </c>
      <c r="AK260" s="31"/>
      <c r="AL260" s="31"/>
      <c r="AM260" s="32" t="str">
        <f t="shared" si="77"/>
        <v/>
      </c>
      <c r="AN260" s="32" t="s">
        <v>313</v>
      </c>
      <c r="AO260" s="31"/>
      <c r="AP260" s="31"/>
      <c r="AQ260" s="32" t="str">
        <f t="shared" si="78"/>
        <v/>
      </c>
      <c r="AR260" s="32" t="s">
        <v>313</v>
      </c>
      <c r="AS260" s="31"/>
      <c r="AT260" s="31"/>
      <c r="AU260" s="32" t="str">
        <f t="shared" si="79"/>
        <v/>
      </c>
      <c r="AV260" s="32" t="s">
        <v>313</v>
      </c>
      <c r="AW260" s="31"/>
      <c r="AX260" s="31"/>
      <c r="AY260" s="32" t="str">
        <f t="shared" si="80"/>
        <v/>
      </c>
      <c r="AZ260" s="32" t="s">
        <v>313</v>
      </c>
    </row>
    <row r="261" spans="1:52" ht="34" customHeight="1">
      <c r="A261" s="28" t="s">
        <v>328</v>
      </c>
      <c r="B261" s="29" t="s">
        <v>226</v>
      </c>
      <c r="C261" s="29" t="s">
        <v>52</v>
      </c>
      <c r="D261" s="29" t="s">
        <v>54</v>
      </c>
      <c r="E261" s="29" t="s">
        <v>60</v>
      </c>
      <c r="F261" s="29" t="s">
        <v>316</v>
      </c>
      <c r="G261" s="30" t="s">
        <v>312</v>
      </c>
      <c r="H261" s="31"/>
      <c r="I261" s="31">
        <v>516735.64</v>
      </c>
      <c r="J261" s="32" t="str">
        <f t="shared" si="88"/>
        <v/>
      </c>
      <c r="K261" s="31"/>
      <c r="L261" s="31">
        <v>42376</v>
      </c>
      <c r="M261" s="32" t="str">
        <f t="shared" si="89"/>
        <v/>
      </c>
      <c r="N261" s="31"/>
      <c r="O261" s="31">
        <v>1900322.78</v>
      </c>
      <c r="P261" s="32" t="str">
        <f t="shared" si="90"/>
        <v/>
      </c>
      <c r="Q261" s="31"/>
      <c r="R261" s="31">
        <v>378104.97</v>
      </c>
      <c r="S261" s="32" t="str">
        <f t="shared" si="91"/>
        <v/>
      </c>
      <c r="T261" s="31"/>
      <c r="U261" s="31">
        <v>811389.63</v>
      </c>
      <c r="V261" s="32" t="str">
        <f t="shared" si="92"/>
        <v/>
      </c>
      <c r="W261" s="31"/>
      <c r="X261" s="31">
        <v>273819.34999999998</v>
      </c>
      <c r="Y261" s="32" t="str">
        <f t="shared" si="93"/>
        <v/>
      </c>
      <c r="Z261" s="31" t="str">
        <f t="shared" si="73"/>
        <v/>
      </c>
      <c r="AA261" s="31">
        <f t="shared" si="74"/>
        <v>3922748.3699999996</v>
      </c>
      <c r="AB261" s="32" t="str">
        <f t="shared" si="94"/>
        <v/>
      </c>
      <c r="AC261" s="31"/>
      <c r="AD261" s="31"/>
      <c r="AE261" s="32" t="str">
        <f t="shared" si="75"/>
        <v/>
      </c>
      <c r="AF261" s="32" t="s">
        <v>313</v>
      </c>
      <c r="AG261" s="31"/>
      <c r="AH261" s="31"/>
      <c r="AI261" s="32" t="str">
        <f t="shared" si="76"/>
        <v/>
      </c>
      <c r="AJ261" s="32" t="s">
        <v>313</v>
      </c>
      <c r="AK261" s="31"/>
      <c r="AL261" s="31"/>
      <c r="AM261" s="32" t="str">
        <f t="shared" si="77"/>
        <v/>
      </c>
      <c r="AN261" s="32" t="s">
        <v>313</v>
      </c>
      <c r="AO261" s="31"/>
      <c r="AP261" s="31"/>
      <c r="AQ261" s="32" t="str">
        <f t="shared" si="78"/>
        <v/>
      </c>
      <c r="AR261" s="32" t="s">
        <v>313</v>
      </c>
      <c r="AS261" s="31"/>
      <c r="AT261" s="31"/>
      <c r="AU261" s="32" t="str">
        <f t="shared" si="79"/>
        <v/>
      </c>
      <c r="AV261" s="32" t="s">
        <v>313</v>
      </c>
      <c r="AW261" s="31"/>
      <c r="AX261" s="31"/>
      <c r="AY261" s="32" t="str">
        <f t="shared" si="80"/>
        <v/>
      </c>
      <c r="AZ261" s="32" t="s">
        <v>313</v>
      </c>
    </row>
    <row r="262" spans="1:52" ht="51" customHeight="1">
      <c r="A262" s="28" t="s">
        <v>328</v>
      </c>
      <c r="B262" s="29" t="s">
        <v>226</v>
      </c>
      <c r="C262" s="29" t="s">
        <v>52</v>
      </c>
      <c r="D262" s="29" t="s">
        <v>54</v>
      </c>
      <c r="E262" s="29" t="s">
        <v>61</v>
      </c>
      <c r="F262" s="29" t="s">
        <v>135</v>
      </c>
      <c r="G262" s="30" t="s">
        <v>312</v>
      </c>
      <c r="H262" s="31">
        <v>130316.128021</v>
      </c>
      <c r="I262" s="31">
        <v>516735.64</v>
      </c>
      <c r="J262" s="32">
        <f t="shared" si="88"/>
        <v>0.25219109721365451</v>
      </c>
      <c r="K262" s="31">
        <v>17611.039752000001</v>
      </c>
      <c r="L262" s="31">
        <v>42376</v>
      </c>
      <c r="M262" s="32">
        <f t="shared" si="89"/>
        <v>0.41558995072682653</v>
      </c>
      <c r="N262" s="31">
        <v>495725.08785800001</v>
      </c>
      <c r="O262" s="31">
        <v>1900322.78</v>
      </c>
      <c r="P262" s="32">
        <f t="shared" si="90"/>
        <v>0.2608636243670141</v>
      </c>
      <c r="Q262" s="31">
        <v>98331.348786999995</v>
      </c>
      <c r="R262" s="31">
        <v>378104.97</v>
      </c>
      <c r="S262" s="32">
        <f t="shared" si="91"/>
        <v>0.26006362409623973</v>
      </c>
      <c r="T262" s="31">
        <v>188062.60877300001</v>
      </c>
      <c r="U262" s="31">
        <v>811389.63</v>
      </c>
      <c r="V262" s="32">
        <f t="shared" si="92"/>
        <v>0.23177842286818481</v>
      </c>
      <c r="W262" s="31">
        <v>61884.413494</v>
      </c>
      <c r="X262" s="31">
        <v>273819.34999999998</v>
      </c>
      <c r="Y262" s="32">
        <f t="shared" si="93"/>
        <v>0.22600452997204182</v>
      </c>
      <c r="Z262" s="31">
        <f t="shared" ref="Z262:Z325" si="95">IF(COUNT(H262,K262,N262,Q262,T262,W262)=0,"",SUM(H262,K262,N262,Q262,T262,W262))</f>
        <v>991930.62668500002</v>
      </c>
      <c r="AA262" s="31">
        <f t="shared" ref="AA262:AA325" si="96">IF(COUNT(I262,L262,O262,R262,U262,X262)=0,"",SUM(I262,L262,O262,R262,U262,X262))</f>
        <v>3922748.3699999996</v>
      </c>
      <c r="AB262" s="32">
        <f t="shared" si="94"/>
        <v>0.25286623895404237</v>
      </c>
      <c r="AC262" s="31"/>
      <c r="AD262" s="31"/>
      <c r="AE262" s="32" t="str">
        <f t="shared" ref="AE262:AE325" si="97">IF(AC262="","",IFERROR(AC262/AD262,""))</f>
        <v/>
      </c>
      <c r="AF262" s="32" t="s">
        <v>313</v>
      </c>
      <c r="AG262" s="31"/>
      <c r="AH262" s="31"/>
      <c r="AI262" s="32" t="str">
        <f t="shared" ref="AI262:AI325" si="98">IF(AG262="","",IFERROR(AG262/AH262,""))</f>
        <v/>
      </c>
      <c r="AJ262" s="32" t="s">
        <v>313</v>
      </c>
      <c r="AK262" s="31"/>
      <c r="AL262" s="31"/>
      <c r="AM262" s="32" t="str">
        <f t="shared" ref="AM262:AM325" si="99">IF(AK262="","",IFERROR(AK262/AL262,""))</f>
        <v/>
      </c>
      <c r="AN262" s="32" t="s">
        <v>313</v>
      </c>
      <c r="AO262" s="31"/>
      <c r="AP262" s="31"/>
      <c r="AQ262" s="32" t="str">
        <f t="shared" ref="AQ262:AQ325" si="100">IF(AO262="","",IFERROR(AO262/AP262,""))</f>
        <v/>
      </c>
      <c r="AR262" s="32" t="s">
        <v>313</v>
      </c>
      <c r="AS262" s="31"/>
      <c r="AT262" s="31"/>
      <c r="AU262" s="32" t="str">
        <f t="shared" ref="AU262:AU325" si="101">IF(AS262="","",IFERROR(AS262/AT262,""))</f>
        <v/>
      </c>
      <c r="AV262" s="32" t="s">
        <v>313</v>
      </c>
      <c r="AW262" s="31"/>
      <c r="AX262" s="31"/>
      <c r="AY262" s="32" t="str">
        <f t="shared" ref="AY262:AY325" si="102">IF(AW262="","",IFERROR(AW262/AX262,""))</f>
        <v/>
      </c>
      <c r="AZ262" s="32" t="s">
        <v>313</v>
      </c>
    </row>
    <row r="263" spans="1:52" ht="34" customHeight="1">
      <c r="A263" s="28" t="s">
        <v>328</v>
      </c>
      <c r="B263" s="29" t="s">
        <v>226</v>
      </c>
      <c r="C263" s="29" t="s">
        <v>52</v>
      </c>
      <c r="D263" s="29" t="s">
        <v>54</v>
      </c>
      <c r="E263" s="29" t="s">
        <v>62</v>
      </c>
      <c r="F263" s="29" t="s">
        <v>316</v>
      </c>
      <c r="G263" s="30" t="s">
        <v>312</v>
      </c>
      <c r="H263" s="31"/>
      <c r="I263" s="31">
        <v>516735.64</v>
      </c>
      <c r="J263" s="32" t="str">
        <f t="shared" si="88"/>
        <v/>
      </c>
      <c r="K263" s="31"/>
      <c r="L263" s="31">
        <v>42376</v>
      </c>
      <c r="M263" s="32" t="str">
        <f t="shared" si="89"/>
        <v/>
      </c>
      <c r="N263" s="31"/>
      <c r="O263" s="31">
        <v>1900322.78</v>
      </c>
      <c r="P263" s="32" t="str">
        <f t="shared" si="90"/>
        <v/>
      </c>
      <c r="Q263" s="31"/>
      <c r="R263" s="31">
        <v>378104.97</v>
      </c>
      <c r="S263" s="32" t="str">
        <f t="shared" si="91"/>
        <v/>
      </c>
      <c r="T263" s="31"/>
      <c r="U263" s="31">
        <v>811389.63</v>
      </c>
      <c r="V263" s="32" t="str">
        <f t="shared" si="92"/>
        <v/>
      </c>
      <c r="W263" s="31"/>
      <c r="X263" s="31">
        <v>273819.34999999998</v>
      </c>
      <c r="Y263" s="32" t="str">
        <f t="shared" si="93"/>
        <v/>
      </c>
      <c r="Z263" s="31" t="str">
        <f t="shared" si="95"/>
        <v/>
      </c>
      <c r="AA263" s="31">
        <f t="shared" si="96"/>
        <v>3922748.3699999996</v>
      </c>
      <c r="AB263" s="32" t="str">
        <f t="shared" si="94"/>
        <v/>
      </c>
      <c r="AC263" s="31"/>
      <c r="AD263" s="31"/>
      <c r="AE263" s="32" t="str">
        <f t="shared" si="97"/>
        <v/>
      </c>
      <c r="AF263" s="32" t="s">
        <v>313</v>
      </c>
      <c r="AG263" s="31"/>
      <c r="AH263" s="31"/>
      <c r="AI263" s="32" t="str">
        <f t="shared" si="98"/>
        <v/>
      </c>
      <c r="AJ263" s="32" t="s">
        <v>313</v>
      </c>
      <c r="AK263" s="31"/>
      <c r="AL263" s="31"/>
      <c r="AM263" s="32" t="str">
        <f t="shared" si="99"/>
        <v/>
      </c>
      <c r="AN263" s="32" t="s">
        <v>313</v>
      </c>
      <c r="AO263" s="31"/>
      <c r="AP263" s="31"/>
      <c r="AQ263" s="32" t="str">
        <f t="shared" si="100"/>
        <v/>
      </c>
      <c r="AR263" s="32" t="s">
        <v>313</v>
      </c>
      <c r="AS263" s="31"/>
      <c r="AT263" s="31"/>
      <c r="AU263" s="32" t="str">
        <f t="shared" si="101"/>
        <v/>
      </c>
      <c r="AV263" s="32" t="s">
        <v>313</v>
      </c>
      <c r="AW263" s="31"/>
      <c r="AX263" s="31"/>
      <c r="AY263" s="32" t="str">
        <f t="shared" si="102"/>
        <v/>
      </c>
      <c r="AZ263" s="32" t="s">
        <v>313</v>
      </c>
    </row>
    <row r="264" spans="1:52" ht="34" customHeight="1">
      <c r="A264" s="28" t="s">
        <v>328</v>
      </c>
      <c r="B264" s="29" t="s">
        <v>226</v>
      </c>
      <c r="C264" s="29" t="s">
        <v>52</v>
      </c>
      <c r="D264" s="29" t="s">
        <v>54</v>
      </c>
      <c r="E264" s="29" t="s">
        <v>63</v>
      </c>
      <c r="F264" s="29" t="s">
        <v>316</v>
      </c>
      <c r="G264" s="30" t="s">
        <v>312</v>
      </c>
      <c r="H264" s="31"/>
      <c r="I264" s="31">
        <v>516735.64</v>
      </c>
      <c r="J264" s="32" t="str">
        <f t="shared" si="88"/>
        <v/>
      </c>
      <c r="K264" s="31"/>
      <c r="L264" s="31">
        <v>42376</v>
      </c>
      <c r="M264" s="32" t="str">
        <f t="shared" si="89"/>
        <v/>
      </c>
      <c r="N264" s="31"/>
      <c r="O264" s="31">
        <v>1900322.78</v>
      </c>
      <c r="P264" s="32" t="str">
        <f t="shared" si="90"/>
        <v/>
      </c>
      <c r="Q264" s="31"/>
      <c r="R264" s="31">
        <v>378104.97</v>
      </c>
      <c r="S264" s="32" t="str">
        <f t="shared" si="91"/>
        <v/>
      </c>
      <c r="T264" s="31"/>
      <c r="U264" s="31">
        <v>811389.63</v>
      </c>
      <c r="V264" s="32" t="str">
        <f t="shared" si="92"/>
        <v/>
      </c>
      <c r="W264" s="31"/>
      <c r="X264" s="31">
        <v>273819.34999999998</v>
      </c>
      <c r="Y264" s="32" t="str">
        <f t="shared" si="93"/>
        <v/>
      </c>
      <c r="Z264" s="31" t="str">
        <f t="shared" si="95"/>
        <v/>
      </c>
      <c r="AA264" s="31">
        <f t="shared" si="96"/>
        <v>3922748.3699999996</v>
      </c>
      <c r="AB264" s="32" t="str">
        <f t="shared" si="94"/>
        <v/>
      </c>
      <c r="AC264" s="31"/>
      <c r="AD264" s="31"/>
      <c r="AE264" s="32" t="str">
        <f t="shared" si="97"/>
        <v/>
      </c>
      <c r="AF264" s="32" t="s">
        <v>313</v>
      </c>
      <c r="AG264" s="31"/>
      <c r="AH264" s="31"/>
      <c r="AI264" s="32" t="str">
        <f t="shared" si="98"/>
        <v/>
      </c>
      <c r="AJ264" s="32" t="s">
        <v>313</v>
      </c>
      <c r="AK264" s="31"/>
      <c r="AL264" s="31"/>
      <c r="AM264" s="32" t="str">
        <f t="shared" si="99"/>
        <v/>
      </c>
      <c r="AN264" s="32" t="s">
        <v>313</v>
      </c>
      <c r="AO264" s="31"/>
      <c r="AP264" s="31"/>
      <c r="AQ264" s="32" t="str">
        <f t="shared" si="100"/>
        <v/>
      </c>
      <c r="AR264" s="32" t="s">
        <v>313</v>
      </c>
      <c r="AS264" s="31"/>
      <c r="AT264" s="31"/>
      <c r="AU264" s="32" t="str">
        <f t="shared" si="101"/>
        <v/>
      </c>
      <c r="AV264" s="32" t="s">
        <v>313</v>
      </c>
      <c r="AW264" s="31"/>
      <c r="AX264" s="31"/>
      <c r="AY264" s="32" t="str">
        <f t="shared" si="102"/>
        <v/>
      </c>
      <c r="AZ264" s="32" t="s">
        <v>313</v>
      </c>
    </row>
    <row r="265" spans="1:52" ht="34" customHeight="1">
      <c r="A265" s="28" t="s">
        <v>328</v>
      </c>
      <c r="B265" s="29" t="s">
        <v>226</v>
      </c>
      <c r="C265" s="29" t="s">
        <v>52</v>
      </c>
      <c r="D265" s="29" t="s">
        <v>65</v>
      </c>
      <c r="E265" s="29" t="s">
        <v>66</v>
      </c>
      <c r="F265" s="29" t="s">
        <v>316</v>
      </c>
      <c r="G265" s="30" t="s">
        <v>312</v>
      </c>
      <c r="H265" s="31"/>
      <c r="I265" s="31">
        <v>516735.64</v>
      </c>
      <c r="J265" s="32" t="str">
        <f t="shared" si="88"/>
        <v/>
      </c>
      <c r="K265" s="31"/>
      <c r="L265" s="31">
        <v>42376</v>
      </c>
      <c r="M265" s="32" t="str">
        <f t="shared" si="89"/>
        <v/>
      </c>
      <c r="N265" s="31"/>
      <c r="O265" s="31">
        <v>1900322.78</v>
      </c>
      <c r="P265" s="32" t="str">
        <f t="shared" si="90"/>
        <v/>
      </c>
      <c r="Q265" s="31"/>
      <c r="R265" s="31">
        <v>378104.97</v>
      </c>
      <c r="S265" s="32" t="str">
        <f t="shared" si="91"/>
        <v/>
      </c>
      <c r="T265" s="31"/>
      <c r="U265" s="31">
        <v>811389.63</v>
      </c>
      <c r="V265" s="32" t="str">
        <f t="shared" si="92"/>
        <v/>
      </c>
      <c r="W265" s="31"/>
      <c r="X265" s="31">
        <v>273819.34999999998</v>
      </c>
      <c r="Y265" s="32" t="str">
        <f t="shared" si="93"/>
        <v/>
      </c>
      <c r="Z265" s="31" t="str">
        <f t="shared" si="95"/>
        <v/>
      </c>
      <c r="AA265" s="31">
        <f t="shared" si="96"/>
        <v>3922748.3699999996</v>
      </c>
      <c r="AB265" s="32" t="str">
        <f t="shared" si="94"/>
        <v/>
      </c>
      <c r="AC265" s="31"/>
      <c r="AD265" s="31"/>
      <c r="AE265" s="32" t="str">
        <f t="shared" si="97"/>
        <v/>
      </c>
      <c r="AF265" s="32" t="s">
        <v>313</v>
      </c>
      <c r="AG265" s="31"/>
      <c r="AH265" s="31"/>
      <c r="AI265" s="32" t="str">
        <f t="shared" si="98"/>
        <v/>
      </c>
      <c r="AJ265" s="32" t="s">
        <v>313</v>
      </c>
      <c r="AK265" s="31"/>
      <c r="AL265" s="31"/>
      <c r="AM265" s="32" t="str">
        <f t="shared" si="99"/>
        <v/>
      </c>
      <c r="AN265" s="32" t="s">
        <v>313</v>
      </c>
      <c r="AO265" s="31"/>
      <c r="AP265" s="31"/>
      <c r="AQ265" s="32" t="str">
        <f t="shared" si="100"/>
        <v/>
      </c>
      <c r="AR265" s="32" t="s">
        <v>313</v>
      </c>
      <c r="AS265" s="31"/>
      <c r="AT265" s="31"/>
      <c r="AU265" s="32" t="str">
        <f t="shared" si="101"/>
        <v/>
      </c>
      <c r="AV265" s="32" t="s">
        <v>313</v>
      </c>
      <c r="AW265" s="31"/>
      <c r="AX265" s="31"/>
      <c r="AY265" s="32" t="str">
        <f t="shared" si="102"/>
        <v/>
      </c>
      <c r="AZ265" s="32" t="s">
        <v>313</v>
      </c>
    </row>
    <row r="266" spans="1:52" ht="34" customHeight="1">
      <c r="A266" s="28" t="s">
        <v>328</v>
      </c>
      <c r="B266" s="29" t="s">
        <v>226</v>
      </c>
      <c r="C266" s="29" t="s">
        <v>52</v>
      </c>
      <c r="D266" s="29" t="s">
        <v>65</v>
      </c>
      <c r="E266" s="29" t="s">
        <v>67</v>
      </c>
      <c r="F266" s="29" t="s">
        <v>316</v>
      </c>
      <c r="G266" s="30" t="s">
        <v>312</v>
      </c>
      <c r="H266" s="31"/>
      <c r="I266" s="31">
        <v>516735.64</v>
      </c>
      <c r="J266" s="32" t="str">
        <f t="shared" si="88"/>
        <v/>
      </c>
      <c r="K266" s="31"/>
      <c r="L266" s="31">
        <v>42376</v>
      </c>
      <c r="M266" s="32" t="str">
        <f t="shared" si="89"/>
        <v/>
      </c>
      <c r="N266" s="31"/>
      <c r="O266" s="31">
        <v>1900322.78</v>
      </c>
      <c r="P266" s="32" t="str">
        <f t="shared" si="90"/>
        <v/>
      </c>
      <c r="Q266" s="31"/>
      <c r="R266" s="31">
        <v>378104.97</v>
      </c>
      <c r="S266" s="32" t="str">
        <f t="shared" si="91"/>
        <v/>
      </c>
      <c r="T266" s="31"/>
      <c r="U266" s="31">
        <v>811389.63</v>
      </c>
      <c r="V266" s="32" t="str">
        <f t="shared" si="92"/>
        <v/>
      </c>
      <c r="W266" s="31"/>
      <c r="X266" s="31">
        <v>273819.34999999998</v>
      </c>
      <c r="Y266" s="32" t="str">
        <f t="shared" si="93"/>
        <v/>
      </c>
      <c r="Z266" s="31" t="str">
        <f t="shared" si="95"/>
        <v/>
      </c>
      <c r="AA266" s="31">
        <f t="shared" si="96"/>
        <v>3922748.3699999996</v>
      </c>
      <c r="AB266" s="32" t="str">
        <f t="shared" si="94"/>
        <v/>
      </c>
      <c r="AC266" s="31"/>
      <c r="AD266" s="31"/>
      <c r="AE266" s="32" t="str">
        <f t="shared" si="97"/>
        <v/>
      </c>
      <c r="AF266" s="32" t="s">
        <v>313</v>
      </c>
      <c r="AG266" s="31"/>
      <c r="AH266" s="31"/>
      <c r="AI266" s="32" t="str">
        <f t="shared" si="98"/>
        <v/>
      </c>
      <c r="AJ266" s="32" t="s">
        <v>313</v>
      </c>
      <c r="AK266" s="31"/>
      <c r="AL266" s="31"/>
      <c r="AM266" s="32" t="str">
        <f t="shared" si="99"/>
        <v/>
      </c>
      <c r="AN266" s="32" t="s">
        <v>313</v>
      </c>
      <c r="AO266" s="31"/>
      <c r="AP266" s="31"/>
      <c r="AQ266" s="32" t="str">
        <f t="shared" si="100"/>
        <v/>
      </c>
      <c r="AR266" s="32" t="s">
        <v>313</v>
      </c>
      <c r="AS266" s="31"/>
      <c r="AT266" s="31"/>
      <c r="AU266" s="32" t="str">
        <f t="shared" si="101"/>
        <v/>
      </c>
      <c r="AV266" s="32" t="s">
        <v>313</v>
      </c>
      <c r="AW266" s="31"/>
      <c r="AX266" s="31"/>
      <c r="AY266" s="32" t="str">
        <f t="shared" si="102"/>
        <v/>
      </c>
      <c r="AZ266" s="32" t="s">
        <v>313</v>
      </c>
    </row>
    <row r="267" spans="1:52" ht="34" customHeight="1">
      <c r="A267" s="28" t="s">
        <v>328</v>
      </c>
      <c r="B267" s="29" t="s">
        <v>226</v>
      </c>
      <c r="C267" s="29" t="s">
        <v>52</v>
      </c>
      <c r="D267" s="29" t="s">
        <v>65</v>
      </c>
      <c r="E267" s="29" t="s">
        <v>68</v>
      </c>
      <c r="F267" s="29" t="s">
        <v>316</v>
      </c>
      <c r="G267" s="30" t="s">
        <v>312</v>
      </c>
      <c r="H267" s="31"/>
      <c r="I267" s="31">
        <v>516735.64</v>
      </c>
      <c r="J267" s="32" t="str">
        <f t="shared" si="88"/>
        <v/>
      </c>
      <c r="K267" s="31"/>
      <c r="L267" s="31">
        <v>42376</v>
      </c>
      <c r="M267" s="32" t="str">
        <f t="shared" si="89"/>
        <v/>
      </c>
      <c r="N267" s="31"/>
      <c r="O267" s="31">
        <v>1900322.78</v>
      </c>
      <c r="P267" s="32" t="str">
        <f t="shared" si="90"/>
        <v/>
      </c>
      <c r="Q267" s="31"/>
      <c r="R267" s="31">
        <v>378104.97</v>
      </c>
      <c r="S267" s="32" t="str">
        <f t="shared" si="91"/>
        <v/>
      </c>
      <c r="T267" s="31"/>
      <c r="U267" s="31">
        <v>811389.63</v>
      </c>
      <c r="V267" s="32" t="str">
        <f t="shared" si="92"/>
        <v/>
      </c>
      <c r="W267" s="31"/>
      <c r="X267" s="31">
        <v>273819.34999999998</v>
      </c>
      <c r="Y267" s="32" t="str">
        <f t="shared" si="93"/>
        <v/>
      </c>
      <c r="Z267" s="31" t="str">
        <f t="shared" si="95"/>
        <v/>
      </c>
      <c r="AA267" s="31">
        <f t="shared" si="96"/>
        <v>3922748.3699999996</v>
      </c>
      <c r="AB267" s="32" t="str">
        <f t="shared" si="94"/>
        <v/>
      </c>
      <c r="AC267" s="31"/>
      <c r="AD267" s="31"/>
      <c r="AE267" s="32" t="str">
        <f t="shared" si="97"/>
        <v/>
      </c>
      <c r="AF267" s="32" t="s">
        <v>313</v>
      </c>
      <c r="AG267" s="31"/>
      <c r="AH267" s="31"/>
      <c r="AI267" s="32" t="str">
        <f t="shared" si="98"/>
        <v/>
      </c>
      <c r="AJ267" s="32" t="s">
        <v>313</v>
      </c>
      <c r="AK267" s="31"/>
      <c r="AL267" s="31"/>
      <c r="AM267" s="32" t="str">
        <f t="shared" si="99"/>
        <v/>
      </c>
      <c r="AN267" s="32" t="s">
        <v>313</v>
      </c>
      <c r="AO267" s="31"/>
      <c r="AP267" s="31"/>
      <c r="AQ267" s="32" t="str">
        <f t="shared" si="100"/>
        <v/>
      </c>
      <c r="AR267" s="32" t="s">
        <v>313</v>
      </c>
      <c r="AS267" s="31"/>
      <c r="AT267" s="31"/>
      <c r="AU267" s="32" t="str">
        <f t="shared" si="101"/>
        <v/>
      </c>
      <c r="AV267" s="32" t="s">
        <v>313</v>
      </c>
      <c r="AW267" s="31"/>
      <c r="AX267" s="31"/>
      <c r="AY267" s="32" t="str">
        <f t="shared" si="102"/>
        <v/>
      </c>
      <c r="AZ267" s="32" t="s">
        <v>313</v>
      </c>
    </row>
    <row r="268" spans="1:52" ht="34" customHeight="1">
      <c r="A268" s="28" t="s">
        <v>328</v>
      </c>
      <c r="B268" s="29" t="s">
        <v>226</v>
      </c>
      <c r="C268" s="29" t="s">
        <v>52</v>
      </c>
      <c r="D268" s="29" t="s">
        <v>65</v>
      </c>
      <c r="E268" s="29" t="s">
        <v>69</v>
      </c>
      <c r="F268" s="29" t="s">
        <v>316</v>
      </c>
      <c r="G268" s="30" t="s">
        <v>312</v>
      </c>
      <c r="H268" s="31"/>
      <c r="I268" s="31">
        <v>516735.64</v>
      </c>
      <c r="J268" s="32" t="str">
        <f t="shared" si="88"/>
        <v/>
      </c>
      <c r="K268" s="31"/>
      <c r="L268" s="31">
        <v>42376</v>
      </c>
      <c r="M268" s="32" t="str">
        <f t="shared" si="89"/>
        <v/>
      </c>
      <c r="N268" s="31"/>
      <c r="O268" s="31">
        <v>1900322.78</v>
      </c>
      <c r="P268" s="32" t="str">
        <f t="shared" si="90"/>
        <v/>
      </c>
      <c r="Q268" s="31"/>
      <c r="R268" s="31">
        <v>378104.97</v>
      </c>
      <c r="S268" s="32" t="str">
        <f t="shared" si="91"/>
        <v/>
      </c>
      <c r="T268" s="31"/>
      <c r="U268" s="31">
        <v>811389.63</v>
      </c>
      <c r="V268" s="32" t="str">
        <f t="shared" si="92"/>
        <v/>
      </c>
      <c r="W268" s="31"/>
      <c r="X268" s="31">
        <v>273819.34999999998</v>
      </c>
      <c r="Y268" s="32" t="str">
        <f t="shared" si="93"/>
        <v/>
      </c>
      <c r="Z268" s="31" t="str">
        <f t="shared" si="95"/>
        <v/>
      </c>
      <c r="AA268" s="31">
        <f t="shared" si="96"/>
        <v>3922748.3699999996</v>
      </c>
      <c r="AB268" s="32" t="str">
        <f t="shared" si="94"/>
        <v/>
      </c>
      <c r="AC268" s="31"/>
      <c r="AD268" s="31"/>
      <c r="AE268" s="32" t="str">
        <f t="shared" si="97"/>
        <v/>
      </c>
      <c r="AF268" s="32" t="s">
        <v>313</v>
      </c>
      <c r="AG268" s="31"/>
      <c r="AH268" s="31"/>
      <c r="AI268" s="32" t="str">
        <f t="shared" si="98"/>
        <v/>
      </c>
      <c r="AJ268" s="32" t="s">
        <v>313</v>
      </c>
      <c r="AK268" s="31"/>
      <c r="AL268" s="31"/>
      <c r="AM268" s="32" t="str">
        <f t="shared" si="99"/>
        <v/>
      </c>
      <c r="AN268" s="32" t="s">
        <v>313</v>
      </c>
      <c r="AO268" s="31"/>
      <c r="AP268" s="31"/>
      <c r="AQ268" s="32" t="str">
        <f t="shared" si="100"/>
        <v/>
      </c>
      <c r="AR268" s="32" t="s">
        <v>313</v>
      </c>
      <c r="AS268" s="31"/>
      <c r="AT268" s="31"/>
      <c r="AU268" s="32" t="str">
        <f t="shared" si="101"/>
        <v/>
      </c>
      <c r="AV268" s="32" t="s">
        <v>313</v>
      </c>
      <c r="AW268" s="31"/>
      <c r="AX268" s="31"/>
      <c r="AY268" s="32" t="str">
        <f t="shared" si="102"/>
        <v/>
      </c>
      <c r="AZ268" s="32" t="s">
        <v>313</v>
      </c>
    </row>
    <row r="269" spans="1:52" ht="68" customHeight="1">
      <c r="A269" s="28" t="s">
        <v>328</v>
      </c>
      <c r="B269" s="29" t="s">
        <v>226</v>
      </c>
      <c r="C269" s="29" t="s">
        <v>52</v>
      </c>
      <c r="D269" s="29" t="s">
        <v>70</v>
      </c>
      <c r="E269" s="29" t="s">
        <v>73</v>
      </c>
      <c r="F269" s="29" t="s">
        <v>317</v>
      </c>
      <c r="G269" s="30" t="s">
        <v>312</v>
      </c>
      <c r="H269" s="31">
        <v>9469.82</v>
      </c>
      <c r="I269" s="31">
        <v>516735.64</v>
      </c>
      <c r="J269" s="32">
        <f t="shared" si="88"/>
        <v>1.8326237377394753E-2</v>
      </c>
      <c r="K269" s="31">
        <v>8652.44</v>
      </c>
      <c r="L269" s="31">
        <v>42376</v>
      </c>
      <c r="M269" s="32">
        <f t="shared" si="89"/>
        <v>0.20418255616386635</v>
      </c>
      <c r="N269" s="31">
        <v>120340.66</v>
      </c>
      <c r="O269" s="31">
        <v>1900322.78</v>
      </c>
      <c r="P269" s="32">
        <f t="shared" si="90"/>
        <v>6.3326431312895171E-2</v>
      </c>
      <c r="Q269" s="31">
        <v>23930.3</v>
      </c>
      <c r="R269" s="31">
        <v>378104.97</v>
      </c>
      <c r="S269" s="32">
        <f t="shared" si="91"/>
        <v>6.3290096398362611E-2</v>
      </c>
      <c r="T269" s="31">
        <v>75519.88</v>
      </c>
      <c r="U269" s="31">
        <v>811389.63</v>
      </c>
      <c r="V269" s="32">
        <f t="shared" si="92"/>
        <v>9.3074741416155404E-2</v>
      </c>
      <c r="W269" s="31">
        <v>10046.41</v>
      </c>
      <c r="X269" s="31">
        <v>273819.34999999998</v>
      </c>
      <c r="Y269" s="32">
        <f t="shared" si="93"/>
        <v>3.6689919832181332E-2</v>
      </c>
      <c r="Z269" s="31">
        <f t="shared" si="95"/>
        <v>247959.51</v>
      </c>
      <c r="AA269" s="31">
        <f t="shared" si="96"/>
        <v>3922748.3699999996</v>
      </c>
      <c r="AB269" s="32">
        <f t="shared" si="94"/>
        <v>6.3210659112452841E-2</v>
      </c>
      <c r="AC269" s="31"/>
      <c r="AD269" s="31"/>
      <c r="AE269" s="32" t="str">
        <f t="shared" si="97"/>
        <v/>
      </c>
      <c r="AF269" s="32" t="s">
        <v>313</v>
      </c>
      <c r="AG269" s="31"/>
      <c r="AH269" s="31"/>
      <c r="AI269" s="32" t="str">
        <f t="shared" si="98"/>
        <v/>
      </c>
      <c r="AJ269" s="32" t="s">
        <v>313</v>
      </c>
      <c r="AK269" s="31"/>
      <c r="AL269" s="31"/>
      <c r="AM269" s="32" t="str">
        <f t="shared" si="99"/>
        <v/>
      </c>
      <c r="AN269" s="32" t="s">
        <v>313</v>
      </c>
      <c r="AO269" s="31"/>
      <c r="AP269" s="31"/>
      <c r="AQ269" s="32" t="str">
        <f t="shared" si="100"/>
        <v/>
      </c>
      <c r="AR269" s="32" t="s">
        <v>313</v>
      </c>
      <c r="AS269" s="31"/>
      <c r="AT269" s="31"/>
      <c r="AU269" s="32" t="str">
        <f t="shared" si="101"/>
        <v/>
      </c>
      <c r="AV269" s="32" t="s">
        <v>313</v>
      </c>
      <c r="AW269" s="31"/>
      <c r="AX269" s="31"/>
      <c r="AY269" s="32" t="str">
        <f t="shared" si="102"/>
        <v/>
      </c>
      <c r="AZ269" s="32" t="s">
        <v>313</v>
      </c>
    </row>
    <row r="270" spans="1:52" ht="34" customHeight="1">
      <c r="A270" s="28" t="s">
        <v>328</v>
      </c>
      <c r="B270" s="29" t="s">
        <v>226</v>
      </c>
      <c r="C270" s="29" t="s">
        <v>52</v>
      </c>
      <c r="D270" s="29" t="s">
        <v>70</v>
      </c>
      <c r="E270" s="29" t="s">
        <v>71</v>
      </c>
      <c r="F270" s="29" t="s">
        <v>316</v>
      </c>
      <c r="G270" s="30" t="s">
        <v>312</v>
      </c>
      <c r="H270" s="31"/>
      <c r="I270" s="31">
        <v>516735.64</v>
      </c>
      <c r="J270" s="32" t="str">
        <f t="shared" si="88"/>
        <v/>
      </c>
      <c r="K270" s="31"/>
      <c r="L270" s="31">
        <v>42376</v>
      </c>
      <c r="M270" s="32" t="str">
        <f t="shared" si="89"/>
        <v/>
      </c>
      <c r="N270" s="31"/>
      <c r="O270" s="31">
        <v>1900322.78</v>
      </c>
      <c r="P270" s="32" t="str">
        <f t="shared" si="90"/>
        <v/>
      </c>
      <c r="Q270" s="31"/>
      <c r="R270" s="31">
        <v>378104.97</v>
      </c>
      <c r="S270" s="32" t="str">
        <f t="shared" si="91"/>
        <v/>
      </c>
      <c r="T270" s="31"/>
      <c r="U270" s="31">
        <v>811389.63</v>
      </c>
      <c r="V270" s="32" t="str">
        <f t="shared" si="92"/>
        <v/>
      </c>
      <c r="W270" s="31"/>
      <c r="X270" s="31">
        <v>273819.34999999998</v>
      </c>
      <c r="Y270" s="32" t="str">
        <f t="shared" si="93"/>
        <v/>
      </c>
      <c r="Z270" s="31" t="str">
        <f t="shared" si="95"/>
        <v/>
      </c>
      <c r="AA270" s="31">
        <f t="shared" si="96"/>
        <v>3922748.3699999996</v>
      </c>
      <c r="AB270" s="32" t="str">
        <f t="shared" si="94"/>
        <v/>
      </c>
      <c r="AC270" s="31"/>
      <c r="AD270" s="31"/>
      <c r="AE270" s="32" t="str">
        <f t="shared" si="97"/>
        <v/>
      </c>
      <c r="AF270" s="32" t="s">
        <v>313</v>
      </c>
      <c r="AG270" s="31"/>
      <c r="AH270" s="31"/>
      <c r="AI270" s="32" t="str">
        <f t="shared" si="98"/>
        <v/>
      </c>
      <c r="AJ270" s="32" t="s">
        <v>313</v>
      </c>
      <c r="AK270" s="31"/>
      <c r="AL270" s="31"/>
      <c r="AM270" s="32" t="str">
        <f t="shared" si="99"/>
        <v/>
      </c>
      <c r="AN270" s="32" t="s">
        <v>313</v>
      </c>
      <c r="AO270" s="31"/>
      <c r="AP270" s="31"/>
      <c r="AQ270" s="32" t="str">
        <f t="shared" si="100"/>
        <v/>
      </c>
      <c r="AR270" s="32" t="s">
        <v>313</v>
      </c>
      <c r="AS270" s="31"/>
      <c r="AT270" s="31"/>
      <c r="AU270" s="32" t="str">
        <f t="shared" si="101"/>
        <v/>
      </c>
      <c r="AV270" s="32" t="s">
        <v>313</v>
      </c>
      <c r="AW270" s="31"/>
      <c r="AX270" s="31"/>
      <c r="AY270" s="32" t="str">
        <f t="shared" si="102"/>
        <v/>
      </c>
      <c r="AZ270" s="32" t="s">
        <v>313</v>
      </c>
    </row>
    <row r="271" spans="1:52" ht="34" customHeight="1">
      <c r="A271" s="28" t="s">
        <v>328</v>
      </c>
      <c r="B271" s="29" t="s">
        <v>226</v>
      </c>
      <c r="C271" s="29" t="s">
        <v>52</v>
      </c>
      <c r="D271" s="29" t="s">
        <v>70</v>
      </c>
      <c r="E271" s="29" t="s">
        <v>72</v>
      </c>
      <c r="F271" s="29" t="s">
        <v>316</v>
      </c>
      <c r="G271" s="30" t="s">
        <v>312</v>
      </c>
      <c r="H271" s="31"/>
      <c r="I271" s="31">
        <v>516735.64</v>
      </c>
      <c r="J271" s="32" t="str">
        <f t="shared" si="88"/>
        <v/>
      </c>
      <c r="K271" s="31"/>
      <c r="L271" s="31">
        <v>42376</v>
      </c>
      <c r="M271" s="32" t="str">
        <f t="shared" si="89"/>
        <v/>
      </c>
      <c r="N271" s="31"/>
      <c r="O271" s="31">
        <v>1900322.78</v>
      </c>
      <c r="P271" s="32" t="str">
        <f t="shared" si="90"/>
        <v/>
      </c>
      <c r="Q271" s="31"/>
      <c r="R271" s="31">
        <v>378104.97</v>
      </c>
      <c r="S271" s="32" t="str">
        <f t="shared" si="91"/>
        <v/>
      </c>
      <c r="T271" s="31"/>
      <c r="U271" s="31">
        <v>811389.63</v>
      </c>
      <c r="V271" s="32" t="str">
        <f t="shared" si="92"/>
        <v/>
      </c>
      <c r="W271" s="31"/>
      <c r="X271" s="31">
        <v>273819.34999999998</v>
      </c>
      <c r="Y271" s="32" t="str">
        <f t="shared" si="93"/>
        <v/>
      </c>
      <c r="Z271" s="31" t="str">
        <f t="shared" si="95"/>
        <v/>
      </c>
      <c r="AA271" s="31">
        <f t="shared" si="96"/>
        <v>3922748.3699999996</v>
      </c>
      <c r="AB271" s="32" t="str">
        <f t="shared" si="94"/>
        <v/>
      </c>
      <c r="AC271" s="31"/>
      <c r="AD271" s="31"/>
      <c r="AE271" s="32" t="str">
        <f t="shared" si="97"/>
        <v/>
      </c>
      <c r="AF271" s="32" t="s">
        <v>313</v>
      </c>
      <c r="AG271" s="31"/>
      <c r="AH271" s="31"/>
      <c r="AI271" s="32" t="str">
        <f t="shared" si="98"/>
        <v/>
      </c>
      <c r="AJ271" s="32" t="s">
        <v>313</v>
      </c>
      <c r="AK271" s="31"/>
      <c r="AL271" s="31"/>
      <c r="AM271" s="32" t="str">
        <f t="shared" si="99"/>
        <v/>
      </c>
      <c r="AN271" s="32" t="s">
        <v>313</v>
      </c>
      <c r="AO271" s="31"/>
      <c r="AP271" s="31"/>
      <c r="AQ271" s="32" t="str">
        <f t="shared" si="100"/>
        <v/>
      </c>
      <c r="AR271" s="32" t="s">
        <v>313</v>
      </c>
      <c r="AS271" s="31"/>
      <c r="AT271" s="31"/>
      <c r="AU271" s="32" t="str">
        <f t="shared" si="101"/>
        <v/>
      </c>
      <c r="AV271" s="32" t="s">
        <v>313</v>
      </c>
      <c r="AW271" s="31"/>
      <c r="AX271" s="31"/>
      <c r="AY271" s="32" t="str">
        <f t="shared" si="102"/>
        <v/>
      </c>
      <c r="AZ271" s="32" t="s">
        <v>313</v>
      </c>
    </row>
    <row r="272" spans="1:52" ht="34" customHeight="1">
      <c r="A272" s="28" t="s">
        <v>328</v>
      </c>
      <c r="B272" s="29" t="s">
        <v>226</v>
      </c>
      <c r="C272" s="29" t="s">
        <v>52</v>
      </c>
      <c r="D272" s="29" t="s">
        <v>74</v>
      </c>
      <c r="E272" s="29" t="s">
        <v>75</v>
      </c>
      <c r="F272" s="29" t="s">
        <v>139</v>
      </c>
      <c r="G272" s="30" t="s">
        <v>312</v>
      </c>
      <c r="H272" s="31">
        <v>10383.200000000001</v>
      </c>
      <c r="I272" s="31">
        <v>516735.64</v>
      </c>
      <c r="J272" s="32">
        <f t="shared" si="88"/>
        <v>2.0093833667056527E-2</v>
      </c>
      <c r="K272" s="31">
        <v>2301.3000000000002</v>
      </c>
      <c r="L272" s="31">
        <v>42376</v>
      </c>
      <c r="M272" s="32">
        <f t="shared" si="89"/>
        <v>5.4306683028129132E-2</v>
      </c>
      <c r="N272" s="31">
        <v>45380.4</v>
      </c>
      <c r="O272" s="31">
        <v>1900322.78</v>
      </c>
      <c r="P272" s="32">
        <f t="shared" si="90"/>
        <v>2.3880364155819886E-2</v>
      </c>
      <c r="Q272" s="31">
        <v>7316.8</v>
      </c>
      <c r="R272" s="31">
        <v>378104.97</v>
      </c>
      <c r="S272" s="32">
        <f t="shared" si="91"/>
        <v>1.9351239947996455E-2</v>
      </c>
      <c r="T272" s="31">
        <v>15552.5</v>
      </c>
      <c r="U272" s="31">
        <v>811389.63</v>
      </c>
      <c r="V272" s="32">
        <f t="shared" si="92"/>
        <v>1.9167733262748256E-2</v>
      </c>
      <c r="W272" s="31">
        <v>6606</v>
      </c>
      <c r="X272" s="31">
        <v>273819.34999999998</v>
      </c>
      <c r="Y272" s="32">
        <f t="shared" si="93"/>
        <v>2.412539508256082E-2</v>
      </c>
      <c r="Z272" s="31">
        <f t="shared" si="95"/>
        <v>87540.200000000012</v>
      </c>
      <c r="AA272" s="31">
        <f t="shared" si="96"/>
        <v>3922748.3699999996</v>
      </c>
      <c r="AB272" s="32">
        <f t="shared" si="94"/>
        <v>2.2316037569343257E-2</v>
      </c>
      <c r="AC272" s="31"/>
      <c r="AD272" s="31"/>
      <c r="AE272" s="32" t="str">
        <f t="shared" si="97"/>
        <v/>
      </c>
      <c r="AF272" s="32" t="s">
        <v>313</v>
      </c>
      <c r="AG272" s="31"/>
      <c r="AH272" s="31"/>
      <c r="AI272" s="32" t="str">
        <f t="shared" si="98"/>
        <v/>
      </c>
      <c r="AJ272" s="32" t="s">
        <v>313</v>
      </c>
      <c r="AK272" s="31"/>
      <c r="AL272" s="31"/>
      <c r="AM272" s="32" t="str">
        <f t="shared" si="99"/>
        <v/>
      </c>
      <c r="AN272" s="32" t="s">
        <v>313</v>
      </c>
      <c r="AO272" s="31"/>
      <c r="AP272" s="31"/>
      <c r="AQ272" s="32" t="str">
        <f t="shared" si="100"/>
        <v/>
      </c>
      <c r="AR272" s="32" t="s">
        <v>313</v>
      </c>
      <c r="AS272" s="31"/>
      <c r="AT272" s="31"/>
      <c r="AU272" s="32" t="str">
        <f t="shared" si="101"/>
        <v/>
      </c>
      <c r="AV272" s="32" t="s">
        <v>313</v>
      </c>
      <c r="AW272" s="31"/>
      <c r="AX272" s="31"/>
      <c r="AY272" s="32" t="str">
        <f t="shared" si="102"/>
        <v/>
      </c>
      <c r="AZ272" s="32" t="s">
        <v>313</v>
      </c>
    </row>
    <row r="273" spans="1:52" ht="34" customHeight="1">
      <c r="A273" s="28" t="s">
        <v>328</v>
      </c>
      <c r="B273" s="29" t="s">
        <v>226</v>
      </c>
      <c r="C273" s="29" t="s">
        <v>52</v>
      </c>
      <c r="D273" s="29" t="s">
        <v>74</v>
      </c>
      <c r="E273" s="29" t="s">
        <v>76</v>
      </c>
      <c r="F273" s="29" t="s">
        <v>141</v>
      </c>
      <c r="G273" s="30" t="s">
        <v>312</v>
      </c>
      <c r="H273" s="31">
        <v>3977.7207450000001</v>
      </c>
      <c r="I273" s="31">
        <v>516735.64</v>
      </c>
      <c r="J273" s="32">
        <f t="shared" si="88"/>
        <v>7.6977867154663458E-3</v>
      </c>
      <c r="K273" s="31">
        <v>765.28854434096797</v>
      </c>
      <c r="L273" s="31">
        <v>42376</v>
      </c>
      <c r="M273" s="32">
        <f t="shared" si="89"/>
        <v>1.8059480468684348E-2</v>
      </c>
      <c r="N273" s="31">
        <v>17195.259999999998</v>
      </c>
      <c r="O273" s="31">
        <v>1900322.78</v>
      </c>
      <c r="P273" s="32">
        <f t="shared" si="90"/>
        <v>9.048599627901107E-3</v>
      </c>
      <c r="Q273" s="31">
        <v>2309.6</v>
      </c>
      <c r="R273" s="31">
        <v>378104.97</v>
      </c>
      <c r="S273" s="32">
        <f t="shared" si="91"/>
        <v>6.1083566291128101E-3</v>
      </c>
      <c r="T273" s="31">
        <v>5502.21</v>
      </c>
      <c r="U273" s="31">
        <v>811389.63</v>
      </c>
      <c r="V273" s="32">
        <f t="shared" si="92"/>
        <v>6.7812180444061137E-3</v>
      </c>
      <c r="W273" s="31">
        <v>2176.56</v>
      </c>
      <c r="X273" s="31">
        <v>273819.34999999998</v>
      </c>
      <c r="Y273" s="32">
        <f t="shared" si="93"/>
        <v>7.9488903906900672E-3</v>
      </c>
      <c r="Z273" s="31">
        <f t="shared" si="95"/>
        <v>31926.639289340965</v>
      </c>
      <c r="AA273" s="31">
        <f t="shared" si="96"/>
        <v>3922748.3699999996</v>
      </c>
      <c r="AB273" s="32">
        <f t="shared" si="94"/>
        <v>8.138844574764546E-3</v>
      </c>
      <c r="AC273" s="31"/>
      <c r="AD273" s="31"/>
      <c r="AE273" s="32" t="str">
        <f t="shared" si="97"/>
        <v/>
      </c>
      <c r="AF273" s="32" t="s">
        <v>313</v>
      </c>
      <c r="AG273" s="31"/>
      <c r="AH273" s="31"/>
      <c r="AI273" s="32" t="str">
        <f t="shared" si="98"/>
        <v/>
      </c>
      <c r="AJ273" s="32" t="s">
        <v>313</v>
      </c>
      <c r="AK273" s="31"/>
      <c r="AL273" s="31"/>
      <c r="AM273" s="32" t="str">
        <f t="shared" si="99"/>
        <v/>
      </c>
      <c r="AN273" s="32" t="s">
        <v>313</v>
      </c>
      <c r="AO273" s="31"/>
      <c r="AP273" s="31"/>
      <c r="AQ273" s="32" t="str">
        <f t="shared" si="100"/>
        <v/>
      </c>
      <c r="AR273" s="32" t="s">
        <v>313</v>
      </c>
      <c r="AS273" s="31"/>
      <c r="AT273" s="31"/>
      <c r="AU273" s="32" t="str">
        <f t="shared" si="101"/>
        <v/>
      </c>
      <c r="AV273" s="32" t="s">
        <v>313</v>
      </c>
      <c r="AW273" s="31"/>
      <c r="AX273" s="31"/>
      <c r="AY273" s="32" t="str">
        <f t="shared" si="102"/>
        <v/>
      </c>
      <c r="AZ273" s="32" t="s">
        <v>313</v>
      </c>
    </row>
    <row r="274" spans="1:52" ht="34" customHeight="1">
      <c r="A274" s="28" t="s">
        <v>328</v>
      </c>
      <c r="B274" s="29" t="s">
        <v>226</v>
      </c>
      <c r="C274" s="29" t="s">
        <v>52</v>
      </c>
      <c r="D274" s="29" t="s">
        <v>74</v>
      </c>
      <c r="E274" s="29" t="s">
        <v>77</v>
      </c>
      <c r="F274" s="29" t="s">
        <v>316</v>
      </c>
      <c r="G274" s="30" t="s">
        <v>312</v>
      </c>
      <c r="H274" s="31"/>
      <c r="I274" s="31">
        <v>516735.64</v>
      </c>
      <c r="J274" s="32" t="str">
        <f t="shared" si="88"/>
        <v/>
      </c>
      <c r="K274" s="31"/>
      <c r="L274" s="31">
        <v>42376</v>
      </c>
      <c r="M274" s="32" t="str">
        <f t="shared" si="89"/>
        <v/>
      </c>
      <c r="N274" s="31"/>
      <c r="O274" s="31">
        <v>1900322.78</v>
      </c>
      <c r="P274" s="32" t="str">
        <f t="shared" si="90"/>
        <v/>
      </c>
      <c r="Q274" s="31"/>
      <c r="R274" s="31">
        <v>378104.97</v>
      </c>
      <c r="S274" s="32" t="str">
        <f t="shared" si="91"/>
        <v/>
      </c>
      <c r="T274" s="31"/>
      <c r="U274" s="31">
        <v>811389.63</v>
      </c>
      <c r="V274" s="32" t="str">
        <f t="shared" si="92"/>
        <v/>
      </c>
      <c r="W274" s="31"/>
      <c r="X274" s="31">
        <v>273819.34999999998</v>
      </c>
      <c r="Y274" s="32" t="str">
        <f t="shared" si="93"/>
        <v/>
      </c>
      <c r="Z274" s="31" t="str">
        <f t="shared" si="95"/>
        <v/>
      </c>
      <c r="AA274" s="31">
        <f t="shared" si="96"/>
        <v>3922748.3699999996</v>
      </c>
      <c r="AB274" s="32" t="str">
        <f t="shared" si="94"/>
        <v/>
      </c>
      <c r="AC274" s="31"/>
      <c r="AD274" s="31"/>
      <c r="AE274" s="32" t="str">
        <f t="shared" si="97"/>
        <v/>
      </c>
      <c r="AF274" s="32" t="s">
        <v>313</v>
      </c>
      <c r="AG274" s="31"/>
      <c r="AH274" s="31"/>
      <c r="AI274" s="32" t="str">
        <f t="shared" si="98"/>
        <v/>
      </c>
      <c r="AJ274" s="32" t="s">
        <v>313</v>
      </c>
      <c r="AK274" s="31"/>
      <c r="AL274" s="31"/>
      <c r="AM274" s="32" t="str">
        <f t="shared" si="99"/>
        <v/>
      </c>
      <c r="AN274" s="32" t="s">
        <v>313</v>
      </c>
      <c r="AO274" s="31"/>
      <c r="AP274" s="31"/>
      <c r="AQ274" s="32" t="str">
        <f t="shared" si="100"/>
        <v/>
      </c>
      <c r="AR274" s="32" t="s">
        <v>313</v>
      </c>
      <c r="AS274" s="31"/>
      <c r="AT274" s="31"/>
      <c r="AU274" s="32" t="str">
        <f t="shared" si="101"/>
        <v/>
      </c>
      <c r="AV274" s="32" t="s">
        <v>313</v>
      </c>
      <c r="AW274" s="31"/>
      <c r="AX274" s="31"/>
      <c r="AY274" s="32" t="str">
        <f t="shared" si="102"/>
        <v/>
      </c>
      <c r="AZ274" s="32" t="s">
        <v>313</v>
      </c>
    </row>
    <row r="275" spans="1:52" ht="34" customHeight="1">
      <c r="A275" s="28" t="s">
        <v>328</v>
      </c>
      <c r="B275" s="29" t="s">
        <v>226</v>
      </c>
      <c r="C275" s="29" t="s">
        <v>52</v>
      </c>
      <c r="D275" s="29" t="s">
        <v>74</v>
      </c>
      <c r="E275" s="29" t="s">
        <v>78</v>
      </c>
      <c r="F275" s="29" t="s">
        <v>144</v>
      </c>
      <c r="G275" s="30" t="s">
        <v>312</v>
      </c>
      <c r="H275" s="31">
        <v>4741.0954065583801</v>
      </c>
      <c r="I275" s="31">
        <v>516735.64</v>
      </c>
      <c r="J275" s="32">
        <f t="shared" si="88"/>
        <v>9.1750888453492E-3</v>
      </c>
      <c r="K275" s="31">
        <v>2171.2237479926498</v>
      </c>
      <c r="L275" s="31">
        <v>42376</v>
      </c>
      <c r="M275" s="32">
        <f t="shared" si="89"/>
        <v>5.1237109401374596E-2</v>
      </c>
      <c r="N275" s="31">
        <v>6740.8280019167696</v>
      </c>
      <c r="O275" s="31">
        <v>1900322.78</v>
      </c>
      <c r="P275" s="32">
        <f t="shared" si="90"/>
        <v>3.5472015979920893E-3</v>
      </c>
      <c r="Q275" s="31">
        <v>1326.2253101865699</v>
      </c>
      <c r="R275" s="31">
        <v>378104.97</v>
      </c>
      <c r="S275" s="32">
        <f t="shared" si="91"/>
        <v>3.5075585231967988E-3</v>
      </c>
      <c r="T275" s="31">
        <v>2815.53253569975</v>
      </c>
      <c r="U275" s="31">
        <v>811389.63</v>
      </c>
      <c r="V275" s="32">
        <f t="shared" si="92"/>
        <v>3.4700129649176685E-3</v>
      </c>
      <c r="W275" s="31">
        <v>1720.6789310562899</v>
      </c>
      <c r="X275" s="31">
        <v>273819.34999999998</v>
      </c>
      <c r="Y275" s="32">
        <f t="shared" si="93"/>
        <v>6.2839931913368794E-3</v>
      </c>
      <c r="Z275" s="31">
        <f t="shared" si="95"/>
        <v>19515.583933410409</v>
      </c>
      <c r="AA275" s="31">
        <f t="shared" si="96"/>
        <v>3922748.3699999996</v>
      </c>
      <c r="AB275" s="32">
        <f t="shared" si="94"/>
        <v>4.9749772589696879E-3</v>
      </c>
      <c r="AC275" s="31"/>
      <c r="AD275" s="31"/>
      <c r="AE275" s="32" t="str">
        <f t="shared" si="97"/>
        <v/>
      </c>
      <c r="AF275" s="32" t="s">
        <v>313</v>
      </c>
      <c r="AG275" s="31"/>
      <c r="AH275" s="31"/>
      <c r="AI275" s="32" t="str">
        <f t="shared" si="98"/>
        <v/>
      </c>
      <c r="AJ275" s="32" t="s">
        <v>313</v>
      </c>
      <c r="AK275" s="31"/>
      <c r="AL275" s="31"/>
      <c r="AM275" s="32" t="str">
        <f t="shared" si="99"/>
        <v/>
      </c>
      <c r="AN275" s="32" t="s">
        <v>313</v>
      </c>
      <c r="AO275" s="31"/>
      <c r="AP275" s="31"/>
      <c r="AQ275" s="32" t="str">
        <f t="shared" si="100"/>
        <v/>
      </c>
      <c r="AR275" s="32" t="s">
        <v>313</v>
      </c>
      <c r="AS275" s="31"/>
      <c r="AT275" s="31"/>
      <c r="AU275" s="32" t="str">
        <f t="shared" si="101"/>
        <v/>
      </c>
      <c r="AV275" s="32" t="s">
        <v>313</v>
      </c>
      <c r="AW275" s="31"/>
      <c r="AX275" s="31"/>
      <c r="AY275" s="32" t="str">
        <f t="shared" si="102"/>
        <v/>
      </c>
      <c r="AZ275" s="32" t="s">
        <v>313</v>
      </c>
    </row>
    <row r="276" spans="1:52" ht="34" customHeight="1">
      <c r="A276" s="28" t="s">
        <v>328</v>
      </c>
      <c r="B276" s="29" t="s">
        <v>226</v>
      </c>
      <c r="C276" s="29" t="s">
        <v>52</v>
      </c>
      <c r="D276" s="29" t="s">
        <v>79</v>
      </c>
      <c r="E276" s="29" t="s">
        <v>80</v>
      </c>
      <c r="F276" s="29" t="s">
        <v>318</v>
      </c>
      <c r="G276" s="30" t="s">
        <v>312</v>
      </c>
      <c r="H276" s="31">
        <v>0</v>
      </c>
      <c r="I276" s="31">
        <v>516735.64</v>
      </c>
      <c r="J276" s="32">
        <f t="shared" si="88"/>
        <v>0</v>
      </c>
      <c r="K276" s="31">
        <v>0</v>
      </c>
      <c r="L276" s="31">
        <v>42376</v>
      </c>
      <c r="M276" s="32">
        <f t="shared" si="89"/>
        <v>0</v>
      </c>
      <c r="N276" s="31">
        <v>82285.825439809603</v>
      </c>
      <c r="O276" s="31">
        <v>1900322.78</v>
      </c>
      <c r="P276" s="32">
        <f t="shared" si="90"/>
        <v>4.3300973027229406E-2</v>
      </c>
      <c r="Q276" s="31">
        <v>32558.516634803102</v>
      </c>
      <c r="R276" s="31">
        <v>378104.97</v>
      </c>
      <c r="S276" s="32">
        <f t="shared" si="91"/>
        <v>8.6109729355853495E-2</v>
      </c>
      <c r="T276" s="31">
        <v>57805.028503027803</v>
      </c>
      <c r="U276" s="31">
        <v>811389.63</v>
      </c>
      <c r="V276" s="32">
        <f t="shared" si="92"/>
        <v>7.1242010454370494E-2</v>
      </c>
      <c r="W276" s="31">
        <v>29302.792596278599</v>
      </c>
      <c r="X276" s="31">
        <v>273819.34999999998</v>
      </c>
      <c r="Y276" s="32">
        <f t="shared" si="93"/>
        <v>0.10701505425485307</v>
      </c>
      <c r="Z276" s="31">
        <f t="shared" si="95"/>
        <v>201952.16317391911</v>
      </c>
      <c r="AA276" s="31">
        <f t="shared" si="96"/>
        <v>3922748.3699999996</v>
      </c>
      <c r="AB276" s="32">
        <f t="shared" si="94"/>
        <v>5.1482313960892458E-2</v>
      </c>
      <c r="AC276" s="31"/>
      <c r="AD276" s="31"/>
      <c r="AE276" s="32" t="str">
        <f t="shared" si="97"/>
        <v/>
      </c>
      <c r="AF276" s="32" t="s">
        <v>313</v>
      </c>
      <c r="AG276" s="31"/>
      <c r="AH276" s="31"/>
      <c r="AI276" s="32" t="str">
        <f t="shared" si="98"/>
        <v/>
      </c>
      <c r="AJ276" s="32" t="s">
        <v>313</v>
      </c>
      <c r="AK276" s="31"/>
      <c r="AL276" s="31"/>
      <c r="AM276" s="32" t="str">
        <f t="shared" si="99"/>
        <v/>
      </c>
      <c r="AN276" s="32" t="s">
        <v>313</v>
      </c>
      <c r="AO276" s="31"/>
      <c r="AP276" s="31"/>
      <c r="AQ276" s="32" t="str">
        <f t="shared" si="100"/>
        <v/>
      </c>
      <c r="AR276" s="32" t="s">
        <v>313</v>
      </c>
      <c r="AS276" s="31"/>
      <c r="AT276" s="31"/>
      <c r="AU276" s="32" t="str">
        <f t="shared" si="101"/>
        <v/>
      </c>
      <c r="AV276" s="32" t="s">
        <v>313</v>
      </c>
      <c r="AW276" s="31"/>
      <c r="AX276" s="31"/>
      <c r="AY276" s="32" t="str">
        <f t="shared" si="102"/>
        <v/>
      </c>
      <c r="AZ276" s="32" t="s">
        <v>313</v>
      </c>
    </row>
    <row r="277" spans="1:52" ht="34" customHeight="1">
      <c r="A277" s="28" t="s">
        <v>328</v>
      </c>
      <c r="B277" s="29" t="s">
        <v>226</v>
      </c>
      <c r="C277" s="29" t="s">
        <v>52</v>
      </c>
      <c r="D277" s="29" t="s">
        <v>79</v>
      </c>
      <c r="E277" s="29" t="s">
        <v>81</v>
      </c>
      <c r="F277" s="29" t="s">
        <v>316</v>
      </c>
      <c r="G277" s="30" t="s">
        <v>312</v>
      </c>
      <c r="H277" s="31"/>
      <c r="I277" s="31">
        <v>516735.64</v>
      </c>
      <c r="J277" s="32" t="str">
        <f t="shared" si="88"/>
        <v/>
      </c>
      <c r="K277" s="31"/>
      <c r="L277" s="31">
        <v>42376</v>
      </c>
      <c r="M277" s="32" t="str">
        <f t="shared" si="89"/>
        <v/>
      </c>
      <c r="N277" s="31"/>
      <c r="O277" s="31">
        <v>1900322.78</v>
      </c>
      <c r="P277" s="32" t="str">
        <f t="shared" si="90"/>
        <v/>
      </c>
      <c r="Q277" s="31"/>
      <c r="R277" s="31">
        <v>378104.97</v>
      </c>
      <c r="S277" s="32" t="str">
        <f t="shared" si="91"/>
        <v/>
      </c>
      <c r="T277" s="31"/>
      <c r="U277" s="31">
        <v>811389.63</v>
      </c>
      <c r="V277" s="32" t="str">
        <f t="shared" si="92"/>
        <v/>
      </c>
      <c r="W277" s="31"/>
      <c r="X277" s="31">
        <v>273819.34999999998</v>
      </c>
      <c r="Y277" s="32" t="str">
        <f t="shared" si="93"/>
        <v/>
      </c>
      <c r="Z277" s="31" t="str">
        <f t="shared" si="95"/>
        <v/>
      </c>
      <c r="AA277" s="31">
        <f t="shared" si="96"/>
        <v>3922748.3699999996</v>
      </c>
      <c r="AB277" s="32" t="str">
        <f t="shared" si="94"/>
        <v/>
      </c>
      <c r="AC277" s="31"/>
      <c r="AD277" s="31"/>
      <c r="AE277" s="32" t="str">
        <f t="shared" si="97"/>
        <v/>
      </c>
      <c r="AF277" s="32" t="s">
        <v>313</v>
      </c>
      <c r="AG277" s="31"/>
      <c r="AH277" s="31"/>
      <c r="AI277" s="32" t="str">
        <f t="shared" si="98"/>
        <v/>
      </c>
      <c r="AJ277" s="32" t="s">
        <v>313</v>
      </c>
      <c r="AK277" s="31"/>
      <c r="AL277" s="31"/>
      <c r="AM277" s="32" t="str">
        <f t="shared" si="99"/>
        <v/>
      </c>
      <c r="AN277" s="32" t="s">
        <v>313</v>
      </c>
      <c r="AO277" s="31"/>
      <c r="AP277" s="31"/>
      <c r="AQ277" s="32" t="str">
        <f t="shared" si="100"/>
        <v/>
      </c>
      <c r="AR277" s="32" t="s">
        <v>313</v>
      </c>
      <c r="AS277" s="31"/>
      <c r="AT277" s="31"/>
      <c r="AU277" s="32" t="str">
        <f t="shared" si="101"/>
        <v/>
      </c>
      <c r="AV277" s="32" t="s">
        <v>313</v>
      </c>
      <c r="AW277" s="31"/>
      <c r="AX277" s="31"/>
      <c r="AY277" s="32" t="str">
        <f t="shared" si="102"/>
        <v/>
      </c>
      <c r="AZ277" s="32" t="s">
        <v>313</v>
      </c>
    </row>
    <row r="278" spans="1:52" ht="34" customHeight="1">
      <c r="A278" s="28" t="s">
        <v>328</v>
      </c>
      <c r="B278" s="29" t="s">
        <v>226</v>
      </c>
      <c r="C278" s="29" t="s">
        <v>52</v>
      </c>
      <c r="D278" s="29" t="s">
        <v>79</v>
      </c>
      <c r="E278" s="29" t="s">
        <v>82</v>
      </c>
      <c r="F278" s="29" t="s">
        <v>316</v>
      </c>
      <c r="G278" s="30" t="s">
        <v>312</v>
      </c>
      <c r="H278" s="31"/>
      <c r="I278" s="31">
        <v>516735.64</v>
      </c>
      <c r="J278" s="32" t="str">
        <f t="shared" si="88"/>
        <v/>
      </c>
      <c r="K278" s="31"/>
      <c r="L278" s="31">
        <v>42376</v>
      </c>
      <c r="M278" s="32" t="str">
        <f t="shared" si="89"/>
        <v/>
      </c>
      <c r="N278" s="31"/>
      <c r="O278" s="31">
        <v>1900322.78</v>
      </c>
      <c r="P278" s="32" t="str">
        <f t="shared" si="90"/>
        <v/>
      </c>
      <c r="Q278" s="31"/>
      <c r="R278" s="31">
        <v>378104.97</v>
      </c>
      <c r="S278" s="32" t="str">
        <f t="shared" si="91"/>
        <v/>
      </c>
      <c r="T278" s="31"/>
      <c r="U278" s="31">
        <v>811389.63</v>
      </c>
      <c r="V278" s="32" t="str">
        <f t="shared" si="92"/>
        <v/>
      </c>
      <c r="W278" s="31"/>
      <c r="X278" s="31">
        <v>273819.34999999998</v>
      </c>
      <c r="Y278" s="32" t="str">
        <f t="shared" si="93"/>
        <v/>
      </c>
      <c r="Z278" s="31" t="str">
        <f t="shared" si="95"/>
        <v/>
      </c>
      <c r="AA278" s="31">
        <f t="shared" si="96"/>
        <v>3922748.3699999996</v>
      </c>
      <c r="AB278" s="32" t="str">
        <f t="shared" si="94"/>
        <v/>
      </c>
      <c r="AC278" s="31"/>
      <c r="AD278" s="31"/>
      <c r="AE278" s="32" t="str">
        <f t="shared" si="97"/>
        <v/>
      </c>
      <c r="AF278" s="32" t="s">
        <v>313</v>
      </c>
      <c r="AG278" s="31"/>
      <c r="AH278" s="31"/>
      <c r="AI278" s="32" t="str">
        <f t="shared" si="98"/>
        <v/>
      </c>
      <c r="AJ278" s="32" t="s">
        <v>313</v>
      </c>
      <c r="AK278" s="31"/>
      <c r="AL278" s="31"/>
      <c r="AM278" s="32" t="str">
        <f t="shared" si="99"/>
        <v/>
      </c>
      <c r="AN278" s="32" t="s">
        <v>313</v>
      </c>
      <c r="AO278" s="31"/>
      <c r="AP278" s="31"/>
      <c r="AQ278" s="32" t="str">
        <f t="shared" si="100"/>
        <v/>
      </c>
      <c r="AR278" s="32" t="s">
        <v>313</v>
      </c>
      <c r="AS278" s="31"/>
      <c r="AT278" s="31"/>
      <c r="AU278" s="32" t="str">
        <f t="shared" si="101"/>
        <v/>
      </c>
      <c r="AV278" s="32" t="s">
        <v>313</v>
      </c>
      <c r="AW278" s="31"/>
      <c r="AX278" s="31"/>
      <c r="AY278" s="32" t="str">
        <f t="shared" si="102"/>
        <v/>
      </c>
      <c r="AZ278" s="32" t="s">
        <v>313</v>
      </c>
    </row>
    <row r="279" spans="1:52" ht="34" customHeight="1">
      <c r="A279" s="28" t="s">
        <v>328</v>
      </c>
      <c r="B279" s="29" t="s">
        <v>226</v>
      </c>
      <c r="C279" s="29" t="s">
        <v>85</v>
      </c>
      <c r="D279" s="29" t="s">
        <v>79</v>
      </c>
      <c r="E279" s="29" t="s">
        <v>80</v>
      </c>
      <c r="F279" s="29" t="s">
        <v>316</v>
      </c>
      <c r="G279" s="30" t="s">
        <v>312</v>
      </c>
      <c r="H279" s="31"/>
      <c r="I279" s="31">
        <v>516735.64</v>
      </c>
      <c r="J279" s="32" t="str">
        <f t="shared" si="88"/>
        <v/>
      </c>
      <c r="K279" s="31"/>
      <c r="L279" s="31">
        <v>42376</v>
      </c>
      <c r="M279" s="32" t="str">
        <f t="shared" si="89"/>
        <v/>
      </c>
      <c r="N279" s="31"/>
      <c r="O279" s="31">
        <v>1900322.78</v>
      </c>
      <c r="P279" s="32" t="str">
        <f t="shared" si="90"/>
        <v/>
      </c>
      <c r="Q279" s="31"/>
      <c r="R279" s="31">
        <v>378104.97</v>
      </c>
      <c r="S279" s="32" t="str">
        <f t="shared" si="91"/>
        <v/>
      </c>
      <c r="T279" s="31"/>
      <c r="U279" s="31">
        <v>811389.63</v>
      </c>
      <c r="V279" s="32" t="str">
        <f t="shared" si="92"/>
        <v/>
      </c>
      <c r="W279" s="31"/>
      <c r="X279" s="31">
        <v>273819.34999999998</v>
      </c>
      <c r="Y279" s="32" t="str">
        <f t="shared" si="93"/>
        <v/>
      </c>
      <c r="Z279" s="31" t="str">
        <f t="shared" si="95"/>
        <v/>
      </c>
      <c r="AA279" s="31">
        <f t="shared" si="96"/>
        <v>3922748.3699999996</v>
      </c>
      <c r="AB279" s="32" t="str">
        <f t="shared" si="94"/>
        <v/>
      </c>
      <c r="AC279" s="31"/>
      <c r="AD279" s="31"/>
      <c r="AE279" s="32" t="str">
        <f t="shared" si="97"/>
        <v/>
      </c>
      <c r="AF279" s="32" t="s">
        <v>313</v>
      </c>
      <c r="AG279" s="31"/>
      <c r="AH279" s="31"/>
      <c r="AI279" s="32" t="str">
        <f t="shared" si="98"/>
        <v/>
      </c>
      <c r="AJ279" s="32" t="s">
        <v>313</v>
      </c>
      <c r="AK279" s="31"/>
      <c r="AL279" s="31"/>
      <c r="AM279" s="32" t="str">
        <f t="shared" si="99"/>
        <v/>
      </c>
      <c r="AN279" s="32" t="s">
        <v>313</v>
      </c>
      <c r="AO279" s="31"/>
      <c r="AP279" s="31"/>
      <c r="AQ279" s="32" t="str">
        <f t="shared" si="100"/>
        <v/>
      </c>
      <c r="AR279" s="32" t="s">
        <v>313</v>
      </c>
      <c r="AS279" s="31"/>
      <c r="AT279" s="31"/>
      <c r="AU279" s="32" t="str">
        <f t="shared" si="101"/>
        <v/>
      </c>
      <c r="AV279" s="32" t="s">
        <v>313</v>
      </c>
      <c r="AW279" s="31"/>
      <c r="AX279" s="31"/>
      <c r="AY279" s="32" t="str">
        <f t="shared" si="102"/>
        <v/>
      </c>
      <c r="AZ279" s="32" t="s">
        <v>313</v>
      </c>
    </row>
    <row r="280" spans="1:52" ht="34" customHeight="1">
      <c r="A280" s="28" t="s">
        <v>328</v>
      </c>
      <c r="B280" s="29" t="s">
        <v>226</v>
      </c>
      <c r="C280" s="29" t="s">
        <v>85</v>
      </c>
      <c r="D280" s="29" t="s">
        <v>79</v>
      </c>
      <c r="E280" s="29" t="s">
        <v>81</v>
      </c>
      <c r="F280" s="29" t="s">
        <v>316</v>
      </c>
      <c r="G280" s="30" t="s">
        <v>312</v>
      </c>
      <c r="H280" s="31"/>
      <c r="I280" s="31">
        <v>516735.64</v>
      </c>
      <c r="J280" s="32" t="str">
        <f t="shared" si="88"/>
        <v/>
      </c>
      <c r="K280" s="31"/>
      <c r="L280" s="31">
        <v>42376</v>
      </c>
      <c r="M280" s="32" t="str">
        <f t="shared" si="89"/>
        <v/>
      </c>
      <c r="N280" s="31"/>
      <c r="O280" s="31">
        <v>1900322.78</v>
      </c>
      <c r="P280" s="32" t="str">
        <f t="shared" si="90"/>
        <v/>
      </c>
      <c r="Q280" s="31"/>
      <c r="R280" s="31">
        <v>378104.97</v>
      </c>
      <c r="S280" s="32" t="str">
        <f t="shared" si="91"/>
        <v/>
      </c>
      <c r="T280" s="31"/>
      <c r="U280" s="31">
        <v>811389.63</v>
      </c>
      <c r="V280" s="32" t="str">
        <f t="shared" si="92"/>
        <v/>
      </c>
      <c r="W280" s="31"/>
      <c r="X280" s="31">
        <v>273819.34999999998</v>
      </c>
      <c r="Y280" s="32" t="str">
        <f t="shared" si="93"/>
        <v/>
      </c>
      <c r="Z280" s="31" t="str">
        <f t="shared" si="95"/>
        <v/>
      </c>
      <c r="AA280" s="31">
        <f t="shared" si="96"/>
        <v>3922748.3699999996</v>
      </c>
      <c r="AB280" s="32" t="str">
        <f t="shared" si="94"/>
        <v/>
      </c>
      <c r="AC280" s="31"/>
      <c r="AD280" s="31"/>
      <c r="AE280" s="32" t="str">
        <f t="shared" si="97"/>
        <v/>
      </c>
      <c r="AF280" s="32" t="s">
        <v>313</v>
      </c>
      <c r="AG280" s="31"/>
      <c r="AH280" s="31"/>
      <c r="AI280" s="32" t="str">
        <f t="shared" si="98"/>
        <v/>
      </c>
      <c r="AJ280" s="32" t="s">
        <v>313</v>
      </c>
      <c r="AK280" s="31"/>
      <c r="AL280" s="31"/>
      <c r="AM280" s="32" t="str">
        <f t="shared" si="99"/>
        <v/>
      </c>
      <c r="AN280" s="32" t="s">
        <v>313</v>
      </c>
      <c r="AO280" s="31"/>
      <c r="AP280" s="31"/>
      <c r="AQ280" s="32" t="str">
        <f t="shared" si="100"/>
        <v/>
      </c>
      <c r="AR280" s="32" t="s">
        <v>313</v>
      </c>
      <c r="AS280" s="31"/>
      <c r="AT280" s="31"/>
      <c r="AU280" s="32" t="str">
        <f t="shared" si="101"/>
        <v/>
      </c>
      <c r="AV280" s="32" t="s">
        <v>313</v>
      </c>
      <c r="AW280" s="31"/>
      <c r="AX280" s="31"/>
      <c r="AY280" s="32" t="str">
        <f t="shared" si="102"/>
        <v/>
      </c>
      <c r="AZ280" s="32" t="s">
        <v>313</v>
      </c>
    </row>
    <row r="281" spans="1:52" ht="34" customHeight="1">
      <c r="A281" s="28" t="s">
        <v>328</v>
      </c>
      <c r="B281" s="29" t="s">
        <v>226</v>
      </c>
      <c r="C281" s="29" t="s">
        <v>85</v>
      </c>
      <c r="D281" s="29" t="s">
        <v>79</v>
      </c>
      <c r="E281" s="29" t="s">
        <v>82</v>
      </c>
      <c r="F281" s="29" t="s">
        <v>319</v>
      </c>
      <c r="G281" s="30" t="s">
        <v>312</v>
      </c>
      <c r="H281" s="31">
        <v>0</v>
      </c>
      <c r="I281" s="31">
        <v>516735.64</v>
      </c>
      <c r="J281" s="32">
        <f t="shared" si="88"/>
        <v>0</v>
      </c>
      <c r="K281" s="31">
        <v>0</v>
      </c>
      <c r="L281" s="31">
        <v>42376</v>
      </c>
      <c r="M281" s="32">
        <f t="shared" si="89"/>
        <v>0</v>
      </c>
      <c r="N281" s="31">
        <v>10521.931788686299</v>
      </c>
      <c r="O281" s="31">
        <v>1900322.78</v>
      </c>
      <c r="P281" s="32">
        <f t="shared" si="90"/>
        <v>5.5369182011733289E-3</v>
      </c>
      <c r="Q281" s="31">
        <v>3544.6482288372999</v>
      </c>
      <c r="R281" s="31">
        <v>378104.97</v>
      </c>
      <c r="S281" s="32">
        <f t="shared" si="91"/>
        <v>9.3747729072096043E-3</v>
      </c>
      <c r="T281" s="31">
        <v>4685.76235544474</v>
      </c>
      <c r="U281" s="31">
        <v>811389.63</v>
      </c>
      <c r="V281" s="32">
        <f t="shared" si="92"/>
        <v>5.7749842765980877E-3</v>
      </c>
      <c r="W281" s="31">
        <v>1683.4447255932</v>
      </c>
      <c r="X281" s="31">
        <v>273819.34999999998</v>
      </c>
      <c r="Y281" s="32">
        <f t="shared" si="93"/>
        <v>6.1480122774128275E-3</v>
      </c>
      <c r="Z281" s="31">
        <f t="shared" si="95"/>
        <v>20435.787098561541</v>
      </c>
      <c r="AA281" s="31">
        <f t="shared" si="96"/>
        <v>3922748.3699999996</v>
      </c>
      <c r="AB281" s="32">
        <f t="shared" si="94"/>
        <v>5.2095584959892657E-3</v>
      </c>
      <c r="AC281" s="31"/>
      <c r="AD281" s="31"/>
      <c r="AE281" s="32" t="str">
        <f t="shared" si="97"/>
        <v/>
      </c>
      <c r="AF281" s="32" t="s">
        <v>313</v>
      </c>
      <c r="AG281" s="31"/>
      <c r="AH281" s="31"/>
      <c r="AI281" s="32" t="str">
        <f t="shared" si="98"/>
        <v/>
      </c>
      <c r="AJ281" s="32" t="s">
        <v>313</v>
      </c>
      <c r="AK281" s="31"/>
      <c r="AL281" s="31"/>
      <c r="AM281" s="32" t="str">
        <f t="shared" si="99"/>
        <v/>
      </c>
      <c r="AN281" s="32" t="s">
        <v>313</v>
      </c>
      <c r="AO281" s="31"/>
      <c r="AP281" s="31"/>
      <c r="AQ281" s="32" t="str">
        <f t="shared" si="100"/>
        <v/>
      </c>
      <c r="AR281" s="32" t="s">
        <v>313</v>
      </c>
      <c r="AS281" s="31"/>
      <c r="AT281" s="31"/>
      <c r="AU281" s="32" t="str">
        <f t="shared" si="101"/>
        <v/>
      </c>
      <c r="AV281" s="32" t="s">
        <v>313</v>
      </c>
      <c r="AW281" s="31"/>
      <c r="AX281" s="31"/>
      <c r="AY281" s="32" t="str">
        <f t="shared" si="102"/>
        <v/>
      </c>
      <c r="AZ281" s="32" t="s">
        <v>313</v>
      </c>
    </row>
    <row r="282" spans="1:52" ht="34" customHeight="1">
      <c r="A282" s="28" t="s">
        <v>328</v>
      </c>
      <c r="B282" s="29" t="s">
        <v>226</v>
      </c>
      <c r="C282" s="29" t="s">
        <v>85</v>
      </c>
      <c r="D282" s="29" t="s">
        <v>90</v>
      </c>
      <c r="E282" s="29" t="s">
        <v>90</v>
      </c>
      <c r="F282" s="29" t="s">
        <v>316</v>
      </c>
      <c r="G282" s="30" t="s">
        <v>312</v>
      </c>
      <c r="H282" s="31"/>
      <c r="I282" s="31">
        <v>516735.64</v>
      </c>
      <c r="J282" s="32" t="str">
        <f t="shared" si="88"/>
        <v/>
      </c>
      <c r="K282" s="31"/>
      <c r="L282" s="31">
        <v>42376</v>
      </c>
      <c r="M282" s="32" t="str">
        <f t="shared" si="89"/>
        <v/>
      </c>
      <c r="N282" s="31"/>
      <c r="O282" s="31">
        <v>1900322.78</v>
      </c>
      <c r="P282" s="32" t="str">
        <f t="shared" si="90"/>
        <v/>
      </c>
      <c r="Q282" s="31"/>
      <c r="R282" s="31">
        <v>378104.97</v>
      </c>
      <c r="S282" s="32" t="str">
        <f t="shared" si="91"/>
        <v/>
      </c>
      <c r="T282" s="31"/>
      <c r="U282" s="31">
        <v>811389.63</v>
      </c>
      <c r="V282" s="32" t="str">
        <f t="shared" si="92"/>
        <v/>
      </c>
      <c r="W282" s="31"/>
      <c r="X282" s="31">
        <v>273819.34999999998</v>
      </c>
      <c r="Y282" s="32" t="str">
        <f t="shared" si="93"/>
        <v/>
      </c>
      <c r="Z282" s="31" t="str">
        <f t="shared" si="95"/>
        <v/>
      </c>
      <c r="AA282" s="31">
        <f t="shared" si="96"/>
        <v>3922748.3699999996</v>
      </c>
      <c r="AB282" s="32" t="str">
        <f t="shared" si="94"/>
        <v/>
      </c>
      <c r="AC282" s="31"/>
      <c r="AD282" s="31"/>
      <c r="AE282" s="32" t="str">
        <f t="shared" si="97"/>
        <v/>
      </c>
      <c r="AF282" s="32" t="s">
        <v>313</v>
      </c>
      <c r="AG282" s="31"/>
      <c r="AH282" s="31"/>
      <c r="AI282" s="32" t="str">
        <f t="shared" si="98"/>
        <v/>
      </c>
      <c r="AJ282" s="32" t="s">
        <v>313</v>
      </c>
      <c r="AK282" s="31"/>
      <c r="AL282" s="31"/>
      <c r="AM282" s="32" t="str">
        <f t="shared" si="99"/>
        <v/>
      </c>
      <c r="AN282" s="32" t="s">
        <v>313</v>
      </c>
      <c r="AO282" s="31"/>
      <c r="AP282" s="31"/>
      <c r="AQ282" s="32" t="str">
        <f t="shared" si="100"/>
        <v/>
      </c>
      <c r="AR282" s="32" t="s">
        <v>313</v>
      </c>
      <c r="AS282" s="31"/>
      <c r="AT282" s="31"/>
      <c r="AU282" s="32" t="str">
        <f t="shared" si="101"/>
        <v/>
      </c>
      <c r="AV282" s="32" t="s">
        <v>313</v>
      </c>
      <c r="AW282" s="31"/>
      <c r="AX282" s="31"/>
      <c r="AY282" s="32" t="str">
        <f t="shared" si="102"/>
        <v/>
      </c>
      <c r="AZ282" s="32" t="s">
        <v>313</v>
      </c>
    </row>
    <row r="283" spans="1:52" ht="34" customHeight="1">
      <c r="A283" s="28" t="s">
        <v>328</v>
      </c>
      <c r="B283" s="29" t="s">
        <v>226</v>
      </c>
      <c r="C283" s="29" t="s">
        <v>85</v>
      </c>
      <c r="D283" s="29" t="s">
        <v>93</v>
      </c>
      <c r="E283" s="29" t="s">
        <v>143</v>
      </c>
      <c r="F283" s="29" t="s">
        <v>320</v>
      </c>
      <c r="G283" s="30" t="s">
        <v>312</v>
      </c>
      <c r="H283" s="31">
        <v>4741.0954065583801</v>
      </c>
      <c r="I283" s="31">
        <v>516735.64</v>
      </c>
      <c r="J283" s="32">
        <f t="shared" si="88"/>
        <v>9.1750888453492E-3</v>
      </c>
      <c r="K283" s="31">
        <v>2171.2237479926498</v>
      </c>
      <c r="L283" s="31">
        <v>42376</v>
      </c>
      <c r="M283" s="32">
        <f t="shared" si="89"/>
        <v>5.1237109401374596E-2</v>
      </c>
      <c r="N283" s="31">
        <v>6740.8280019167696</v>
      </c>
      <c r="O283" s="31">
        <v>1900322.78</v>
      </c>
      <c r="P283" s="32">
        <f t="shared" si="90"/>
        <v>3.5472015979920893E-3</v>
      </c>
      <c r="Q283" s="31">
        <v>1326.2253101865699</v>
      </c>
      <c r="R283" s="31">
        <v>378104.97</v>
      </c>
      <c r="S283" s="32">
        <f t="shared" si="91"/>
        <v>3.5075585231967988E-3</v>
      </c>
      <c r="T283" s="31">
        <v>2815.53253569975</v>
      </c>
      <c r="U283" s="31">
        <v>811389.63</v>
      </c>
      <c r="V283" s="32">
        <f t="shared" si="92"/>
        <v>3.4700129649176685E-3</v>
      </c>
      <c r="W283" s="31">
        <v>1720.6789310562899</v>
      </c>
      <c r="X283" s="31">
        <v>273819.34999999998</v>
      </c>
      <c r="Y283" s="32">
        <f t="shared" si="93"/>
        <v>6.2839931913368794E-3</v>
      </c>
      <c r="Z283" s="31">
        <f t="shared" si="95"/>
        <v>19515.583933410409</v>
      </c>
      <c r="AA283" s="31">
        <f t="shared" si="96"/>
        <v>3922748.3699999996</v>
      </c>
      <c r="AB283" s="32">
        <f t="shared" si="94"/>
        <v>4.9749772589696879E-3</v>
      </c>
      <c r="AC283" s="31"/>
      <c r="AD283" s="31"/>
      <c r="AE283" s="32" t="str">
        <f t="shared" si="97"/>
        <v/>
      </c>
      <c r="AF283" s="32" t="s">
        <v>313</v>
      </c>
      <c r="AG283" s="31"/>
      <c r="AH283" s="31"/>
      <c r="AI283" s="32" t="str">
        <f t="shared" si="98"/>
        <v/>
      </c>
      <c r="AJ283" s="32" t="s">
        <v>313</v>
      </c>
      <c r="AK283" s="31"/>
      <c r="AL283" s="31"/>
      <c r="AM283" s="32" t="str">
        <f t="shared" si="99"/>
        <v/>
      </c>
      <c r="AN283" s="32" t="s">
        <v>313</v>
      </c>
      <c r="AO283" s="31"/>
      <c r="AP283" s="31"/>
      <c r="AQ283" s="32" t="str">
        <f t="shared" si="100"/>
        <v/>
      </c>
      <c r="AR283" s="32" t="s">
        <v>313</v>
      </c>
      <c r="AS283" s="31"/>
      <c r="AT283" s="31"/>
      <c r="AU283" s="32" t="str">
        <f t="shared" si="101"/>
        <v/>
      </c>
      <c r="AV283" s="32" t="s">
        <v>313</v>
      </c>
      <c r="AW283" s="31"/>
      <c r="AX283" s="31"/>
      <c r="AY283" s="32" t="str">
        <f t="shared" si="102"/>
        <v/>
      </c>
      <c r="AZ283" s="32" t="s">
        <v>313</v>
      </c>
    </row>
    <row r="284" spans="1:52" ht="34" customHeight="1">
      <c r="A284" s="28" t="s">
        <v>328</v>
      </c>
      <c r="B284" s="29" t="s">
        <v>226</v>
      </c>
      <c r="C284" s="29" t="s">
        <v>85</v>
      </c>
      <c r="D284" s="29" t="s">
        <v>152</v>
      </c>
      <c r="E284" s="29" t="s">
        <v>152</v>
      </c>
      <c r="F284" s="29" t="s">
        <v>316</v>
      </c>
      <c r="G284" s="30" t="s">
        <v>312</v>
      </c>
      <c r="H284" s="31"/>
      <c r="I284" s="31">
        <v>516735.64</v>
      </c>
      <c r="J284" s="32" t="str">
        <f t="shared" si="88"/>
        <v/>
      </c>
      <c r="K284" s="31"/>
      <c r="L284" s="31">
        <v>42376</v>
      </c>
      <c r="M284" s="32" t="str">
        <f t="shared" si="89"/>
        <v/>
      </c>
      <c r="N284" s="31"/>
      <c r="O284" s="31">
        <v>1900322.78</v>
      </c>
      <c r="P284" s="32" t="str">
        <f t="shared" si="90"/>
        <v/>
      </c>
      <c r="Q284" s="31"/>
      <c r="R284" s="31">
        <v>378104.97</v>
      </c>
      <c r="S284" s="32" t="str">
        <f t="shared" si="91"/>
        <v/>
      </c>
      <c r="T284" s="31"/>
      <c r="U284" s="31">
        <v>811389.63</v>
      </c>
      <c r="V284" s="32" t="str">
        <f t="shared" si="92"/>
        <v/>
      </c>
      <c r="W284" s="31"/>
      <c r="X284" s="31">
        <v>273819.34999999998</v>
      </c>
      <c r="Y284" s="32" t="str">
        <f t="shared" si="93"/>
        <v/>
      </c>
      <c r="Z284" s="31" t="str">
        <f t="shared" si="95"/>
        <v/>
      </c>
      <c r="AA284" s="31">
        <f t="shared" si="96"/>
        <v>3922748.3699999996</v>
      </c>
      <c r="AB284" s="32" t="str">
        <f t="shared" si="94"/>
        <v/>
      </c>
      <c r="AC284" s="31"/>
      <c r="AD284" s="31"/>
      <c r="AE284" s="32" t="str">
        <f t="shared" si="97"/>
        <v/>
      </c>
      <c r="AF284" s="32" t="s">
        <v>313</v>
      </c>
      <c r="AG284" s="31"/>
      <c r="AH284" s="31"/>
      <c r="AI284" s="32" t="str">
        <f t="shared" si="98"/>
        <v/>
      </c>
      <c r="AJ284" s="32" t="s">
        <v>313</v>
      </c>
      <c r="AK284" s="31"/>
      <c r="AL284" s="31"/>
      <c r="AM284" s="32" t="str">
        <f t="shared" si="99"/>
        <v/>
      </c>
      <c r="AN284" s="32" t="s">
        <v>313</v>
      </c>
      <c r="AO284" s="31"/>
      <c r="AP284" s="31"/>
      <c r="AQ284" s="32" t="str">
        <f t="shared" si="100"/>
        <v/>
      </c>
      <c r="AR284" s="32" t="s">
        <v>313</v>
      </c>
      <c r="AS284" s="31"/>
      <c r="AT284" s="31"/>
      <c r="AU284" s="32" t="str">
        <f t="shared" si="101"/>
        <v/>
      </c>
      <c r="AV284" s="32" t="s">
        <v>313</v>
      </c>
      <c r="AW284" s="31"/>
      <c r="AX284" s="31"/>
      <c r="AY284" s="32" t="str">
        <f t="shared" si="102"/>
        <v/>
      </c>
      <c r="AZ284" s="32" t="s">
        <v>313</v>
      </c>
    </row>
    <row r="285" spans="1:52" ht="34" customHeight="1">
      <c r="A285" s="187" t="s">
        <v>328</v>
      </c>
      <c r="B285" s="188" t="s">
        <v>223</v>
      </c>
      <c r="C285" s="188" t="s">
        <v>46</v>
      </c>
      <c r="D285" s="188"/>
      <c r="E285" s="188" t="s">
        <v>46</v>
      </c>
      <c r="F285" s="188" t="s">
        <v>311</v>
      </c>
      <c r="G285" s="189" t="s">
        <v>775</v>
      </c>
      <c r="H285" s="190">
        <v>4650059.33</v>
      </c>
      <c r="I285" s="190">
        <v>4127360.88</v>
      </c>
      <c r="J285" s="191"/>
      <c r="K285" s="190">
        <v>2920259.92</v>
      </c>
      <c r="L285" s="190">
        <v>2363088.44</v>
      </c>
      <c r="M285" s="191"/>
      <c r="N285" s="190">
        <v>5863046.79</v>
      </c>
      <c r="O285" s="190">
        <v>4809678.45</v>
      </c>
      <c r="P285" s="191"/>
      <c r="Q285" s="190">
        <v>3337923.99</v>
      </c>
      <c r="R285" s="190">
        <v>2901973.82</v>
      </c>
      <c r="S285" s="191"/>
      <c r="T285" s="190">
        <v>4207535.41</v>
      </c>
      <c r="U285" s="190">
        <v>3832808.9</v>
      </c>
      <c r="V285" s="191"/>
      <c r="W285" s="190">
        <v>3095057.49</v>
      </c>
      <c r="X285" s="190">
        <v>2715264.98</v>
      </c>
      <c r="Y285" s="191"/>
      <c r="Z285" s="190">
        <f t="shared" si="95"/>
        <v>24073882.93</v>
      </c>
      <c r="AA285" s="190">
        <f t="shared" si="96"/>
        <v>20750175.469999999</v>
      </c>
      <c r="AB285" s="191"/>
      <c r="AC285" s="190"/>
      <c r="AD285" s="190"/>
      <c r="AE285" s="191" t="str">
        <f t="shared" si="97"/>
        <v/>
      </c>
      <c r="AF285" s="191" t="s">
        <v>313</v>
      </c>
      <c r="AG285" s="190"/>
      <c r="AH285" s="190"/>
      <c r="AI285" s="191" t="str">
        <f t="shared" si="98"/>
        <v/>
      </c>
      <c r="AJ285" s="191" t="s">
        <v>313</v>
      </c>
      <c r="AK285" s="190"/>
      <c r="AL285" s="190"/>
      <c r="AM285" s="191" t="str">
        <f t="shared" si="99"/>
        <v/>
      </c>
      <c r="AN285" s="191" t="s">
        <v>313</v>
      </c>
      <c r="AO285" s="190"/>
      <c r="AP285" s="190"/>
      <c r="AQ285" s="191" t="str">
        <f t="shared" si="100"/>
        <v/>
      </c>
      <c r="AR285" s="191" t="s">
        <v>313</v>
      </c>
      <c r="AS285" s="190"/>
      <c r="AT285" s="190"/>
      <c r="AU285" s="191" t="str">
        <f t="shared" si="101"/>
        <v/>
      </c>
      <c r="AV285" s="191" t="s">
        <v>313</v>
      </c>
      <c r="AW285" s="190"/>
      <c r="AX285" s="190"/>
      <c r="AY285" s="191" t="str">
        <f t="shared" si="102"/>
        <v/>
      </c>
      <c r="AZ285" s="191" t="s">
        <v>313</v>
      </c>
    </row>
    <row r="286" spans="1:52" ht="34" customHeight="1">
      <c r="A286" s="187" t="s">
        <v>328</v>
      </c>
      <c r="B286" s="188" t="s">
        <v>223</v>
      </c>
      <c r="C286" s="188" t="s">
        <v>121</v>
      </c>
      <c r="D286" s="188"/>
      <c r="E286" s="188" t="s">
        <v>125</v>
      </c>
      <c r="F286" s="188" t="s">
        <v>314</v>
      </c>
      <c r="G286" s="189" t="s">
        <v>775</v>
      </c>
      <c r="H286" s="190">
        <v>701264.24</v>
      </c>
      <c r="I286" s="190">
        <v>4127360.88</v>
      </c>
      <c r="J286" s="191">
        <f t="shared" ref="J286:J315" si="103">IF(H286="","",IFERROR(H286/I286,""))</f>
        <v>0.1699062089283552</v>
      </c>
      <c r="K286" s="190">
        <v>311905.18</v>
      </c>
      <c r="L286" s="190">
        <v>2363088.44</v>
      </c>
      <c r="M286" s="191">
        <f t="shared" ref="M286:M315" si="104">IF(K286="","",IFERROR(K286/L286,""))</f>
        <v>0.13199048106722575</v>
      </c>
      <c r="N286" s="190">
        <v>592233.85</v>
      </c>
      <c r="O286" s="190">
        <v>4809678.45</v>
      </c>
      <c r="P286" s="191">
        <f t="shared" ref="P286:P315" si="105">IF(N286="","",IFERROR(N286/O286,""))</f>
        <v>0.12313377207160282</v>
      </c>
      <c r="Q286" s="190">
        <v>325892.15000000002</v>
      </c>
      <c r="R286" s="190">
        <v>2901973.82</v>
      </c>
      <c r="S286" s="191">
        <f t="shared" ref="S286:S315" si="106">IF(Q286="","",IFERROR(Q286/R286,""))</f>
        <v>0.11230016885541719</v>
      </c>
      <c r="T286" s="190">
        <v>652251.30000000005</v>
      </c>
      <c r="U286" s="190">
        <v>3832808.9</v>
      </c>
      <c r="V286" s="191">
        <f t="shared" ref="V286:V315" si="107">IF(T286="","",IFERROR(T286/U286,""))</f>
        <v>0.17017579457196524</v>
      </c>
      <c r="W286" s="190">
        <v>375055.04</v>
      </c>
      <c r="X286" s="190">
        <v>2715264.98</v>
      </c>
      <c r="Y286" s="191">
        <f t="shared" ref="Y286:Y315" si="108">IF(W286="","",IFERROR(W286/X286,""))</f>
        <v>0.13812833839885491</v>
      </c>
      <c r="Z286" s="190">
        <f t="shared" si="95"/>
        <v>2958601.76</v>
      </c>
      <c r="AA286" s="190">
        <f t="shared" si="96"/>
        <v>20750175.469999999</v>
      </c>
      <c r="AB286" s="191">
        <f t="shared" ref="AB286:AB315" si="109">IF(Z286="","",IFERROR(Z286/AA286,""))</f>
        <v>0.14258201162093595</v>
      </c>
      <c r="AC286" s="190"/>
      <c r="AD286" s="190"/>
      <c r="AE286" s="191" t="str">
        <f t="shared" si="97"/>
        <v/>
      </c>
      <c r="AF286" s="191" t="s">
        <v>313</v>
      </c>
      <c r="AG286" s="190"/>
      <c r="AH286" s="190"/>
      <c r="AI286" s="191" t="str">
        <f t="shared" si="98"/>
        <v/>
      </c>
      <c r="AJ286" s="191" t="s">
        <v>313</v>
      </c>
      <c r="AK286" s="190"/>
      <c r="AL286" s="190"/>
      <c r="AM286" s="191" t="str">
        <f t="shared" si="99"/>
        <v/>
      </c>
      <c r="AN286" s="191" t="s">
        <v>313</v>
      </c>
      <c r="AO286" s="190"/>
      <c r="AP286" s="190"/>
      <c r="AQ286" s="191" t="str">
        <f t="shared" si="100"/>
        <v/>
      </c>
      <c r="AR286" s="191" t="s">
        <v>313</v>
      </c>
      <c r="AS286" s="190"/>
      <c r="AT286" s="190"/>
      <c r="AU286" s="191" t="str">
        <f t="shared" si="101"/>
        <v/>
      </c>
      <c r="AV286" s="191" t="s">
        <v>313</v>
      </c>
      <c r="AW286" s="190"/>
      <c r="AX286" s="190"/>
      <c r="AY286" s="191" t="str">
        <f t="shared" si="102"/>
        <v/>
      </c>
      <c r="AZ286" s="191" t="s">
        <v>313</v>
      </c>
    </row>
    <row r="287" spans="1:52" ht="34" customHeight="1">
      <c r="A287" s="187" t="s">
        <v>328</v>
      </c>
      <c r="B287" s="188" t="s">
        <v>223</v>
      </c>
      <c r="C287" s="188" t="s">
        <v>48</v>
      </c>
      <c r="D287" s="188"/>
      <c r="E287" s="188" t="s">
        <v>127</v>
      </c>
      <c r="F287" s="188" t="s">
        <v>776</v>
      </c>
      <c r="G287" s="189" t="s">
        <v>775</v>
      </c>
      <c r="H287" s="190">
        <v>1089068.8400000001</v>
      </c>
      <c r="I287" s="190">
        <v>4127360.88</v>
      </c>
      <c r="J287" s="191">
        <f t="shared" si="103"/>
        <v>0.26386566904709341</v>
      </c>
      <c r="K287" s="190">
        <v>607301.31999999995</v>
      </c>
      <c r="L287" s="190">
        <v>2363088.44</v>
      </c>
      <c r="M287" s="191">
        <f t="shared" si="104"/>
        <v>0.25699474878731154</v>
      </c>
      <c r="N287" s="190">
        <v>1434613.78</v>
      </c>
      <c r="O287" s="190">
        <v>4809678.45</v>
      </c>
      <c r="P287" s="191">
        <f t="shared" si="105"/>
        <v>0.29827644299173472</v>
      </c>
      <c r="Q287" s="190">
        <v>878234.02</v>
      </c>
      <c r="R287" s="190">
        <v>2901973.82</v>
      </c>
      <c r="S287" s="191">
        <f t="shared" si="106"/>
        <v>0.30263333664395364</v>
      </c>
      <c r="T287" s="190">
        <v>1158824.47</v>
      </c>
      <c r="U287" s="190">
        <v>3832808.9</v>
      </c>
      <c r="V287" s="191">
        <f t="shared" si="107"/>
        <v>0.30234339885821077</v>
      </c>
      <c r="W287" s="190">
        <v>805402.29</v>
      </c>
      <c r="X287" s="190">
        <v>2715264.98</v>
      </c>
      <c r="Y287" s="191">
        <f t="shared" si="108"/>
        <v>0.29662014423358418</v>
      </c>
      <c r="Z287" s="190">
        <f t="shared" si="95"/>
        <v>5973444.7200000007</v>
      </c>
      <c r="AA287" s="190">
        <f t="shared" si="96"/>
        <v>20750175.469999999</v>
      </c>
      <c r="AB287" s="191">
        <f t="shared" si="109"/>
        <v>0.28787441959882382</v>
      </c>
      <c r="AC287" s="190"/>
      <c r="AD287" s="190"/>
      <c r="AE287" s="191" t="str">
        <f t="shared" si="97"/>
        <v/>
      </c>
      <c r="AF287" s="191" t="s">
        <v>313</v>
      </c>
      <c r="AG287" s="190"/>
      <c r="AH287" s="190"/>
      <c r="AI287" s="191" t="str">
        <f t="shared" si="98"/>
        <v/>
      </c>
      <c r="AJ287" s="191" t="s">
        <v>313</v>
      </c>
      <c r="AK287" s="190"/>
      <c r="AL287" s="190"/>
      <c r="AM287" s="191" t="str">
        <f t="shared" si="99"/>
        <v/>
      </c>
      <c r="AN287" s="191" t="s">
        <v>313</v>
      </c>
      <c r="AO287" s="190"/>
      <c r="AP287" s="190"/>
      <c r="AQ287" s="191" t="str">
        <f t="shared" si="100"/>
        <v/>
      </c>
      <c r="AR287" s="191" t="s">
        <v>313</v>
      </c>
      <c r="AS287" s="190"/>
      <c r="AT287" s="190"/>
      <c r="AU287" s="191" t="str">
        <f t="shared" si="101"/>
        <v/>
      </c>
      <c r="AV287" s="191" t="s">
        <v>313</v>
      </c>
      <c r="AW287" s="190"/>
      <c r="AX287" s="190"/>
      <c r="AY287" s="191" t="str">
        <f t="shared" si="102"/>
        <v/>
      </c>
      <c r="AZ287" s="191" t="s">
        <v>313</v>
      </c>
    </row>
    <row r="288" spans="1:52" ht="34" customHeight="1">
      <c r="A288" s="187" t="s">
        <v>328</v>
      </c>
      <c r="B288" s="188" t="s">
        <v>223</v>
      </c>
      <c r="C288" s="188" t="s">
        <v>52</v>
      </c>
      <c r="D288" s="188" t="s">
        <v>54</v>
      </c>
      <c r="E288" s="188" t="s">
        <v>55</v>
      </c>
      <c r="F288" s="188" t="s">
        <v>130</v>
      </c>
      <c r="G288" s="189" t="s">
        <v>775</v>
      </c>
      <c r="H288" s="190">
        <v>1563242.4158415799</v>
      </c>
      <c r="I288" s="190">
        <v>4127360.88</v>
      </c>
      <c r="J288" s="191">
        <f t="shared" si="103"/>
        <v>0.37875108605515978</v>
      </c>
      <c r="K288" s="190">
        <v>1000865.64356436</v>
      </c>
      <c r="L288" s="190">
        <v>2363088.44</v>
      </c>
      <c r="M288" s="191">
        <f t="shared" si="104"/>
        <v>0.42354133963956087</v>
      </c>
      <c r="N288" s="190">
        <v>2035457.2574257499</v>
      </c>
      <c r="O288" s="190">
        <v>4809678.45</v>
      </c>
      <c r="P288" s="191">
        <f t="shared" si="105"/>
        <v>0.4232002780613639</v>
      </c>
      <c r="Q288" s="190">
        <v>1183289.1881188201</v>
      </c>
      <c r="R288" s="190">
        <v>2901973.82</v>
      </c>
      <c r="S288" s="191">
        <f t="shared" si="106"/>
        <v>0.40775322642945833</v>
      </c>
      <c r="T288" s="190">
        <v>1496230.9900990101</v>
      </c>
      <c r="U288" s="190">
        <v>3832808.9</v>
      </c>
      <c r="V288" s="191">
        <f t="shared" si="107"/>
        <v>0.39037453448279408</v>
      </c>
      <c r="W288" s="190">
        <v>1001980.03960396</v>
      </c>
      <c r="X288" s="190">
        <v>2715264.98</v>
      </c>
      <c r="Y288" s="191">
        <f t="shared" si="108"/>
        <v>0.36901740603009581</v>
      </c>
      <c r="Z288" s="190">
        <f t="shared" si="95"/>
        <v>8281065.5346534792</v>
      </c>
      <c r="AA288" s="190">
        <f t="shared" si="96"/>
        <v>20750175.469999999</v>
      </c>
      <c r="AB288" s="191">
        <f t="shared" si="109"/>
        <v>0.39908412083676126</v>
      </c>
      <c r="AC288" s="190"/>
      <c r="AD288" s="190"/>
      <c r="AE288" s="191" t="str">
        <f t="shared" si="97"/>
        <v/>
      </c>
      <c r="AF288" s="191" t="s">
        <v>313</v>
      </c>
      <c r="AG288" s="190"/>
      <c r="AH288" s="190"/>
      <c r="AI288" s="191" t="str">
        <f t="shared" si="98"/>
        <v/>
      </c>
      <c r="AJ288" s="191" t="s">
        <v>313</v>
      </c>
      <c r="AK288" s="190"/>
      <c r="AL288" s="190"/>
      <c r="AM288" s="191" t="str">
        <f t="shared" si="99"/>
        <v/>
      </c>
      <c r="AN288" s="191" t="s">
        <v>313</v>
      </c>
      <c r="AO288" s="190"/>
      <c r="AP288" s="190"/>
      <c r="AQ288" s="191" t="str">
        <f t="shared" si="100"/>
        <v/>
      </c>
      <c r="AR288" s="191" t="s">
        <v>313</v>
      </c>
      <c r="AS288" s="190"/>
      <c r="AT288" s="190"/>
      <c r="AU288" s="191" t="str">
        <f t="shared" si="101"/>
        <v/>
      </c>
      <c r="AV288" s="191" t="s">
        <v>313</v>
      </c>
      <c r="AW288" s="190"/>
      <c r="AX288" s="190"/>
      <c r="AY288" s="191" t="str">
        <f t="shared" si="102"/>
        <v/>
      </c>
      <c r="AZ288" s="191" t="s">
        <v>313</v>
      </c>
    </row>
    <row r="289" spans="1:52" ht="34" customHeight="1">
      <c r="A289" s="187" t="s">
        <v>328</v>
      </c>
      <c r="B289" s="188" t="s">
        <v>223</v>
      </c>
      <c r="C289" s="188" t="s">
        <v>52</v>
      </c>
      <c r="D289" s="188" t="s">
        <v>54</v>
      </c>
      <c r="E289" s="188" t="s">
        <v>58</v>
      </c>
      <c r="F289" s="188" t="s">
        <v>777</v>
      </c>
      <c r="G289" s="189" t="s">
        <v>775</v>
      </c>
      <c r="H289" s="190"/>
      <c r="I289" s="190">
        <v>4127360.88</v>
      </c>
      <c r="J289" s="191" t="str">
        <f t="shared" si="103"/>
        <v/>
      </c>
      <c r="K289" s="190"/>
      <c r="L289" s="190">
        <v>2363088.44</v>
      </c>
      <c r="M289" s="191" t="str">
        <f t="shared" si="104"/>
        <v/>
      </c>
      <c r="N289" s="190"/>
      <c r="O289" s="190">
        <v>4809678.45</v>
      </c>
      <c r="P289" s="191" t="str">
        <f t="shared" si="105"/>
        <v/>
      </c>
      <c r="Q289" s="190"/>
      <c r="R289" s="190">
        <v>2901973.82</v>
      </c>
      <c r="S289" s="191" t="str">
        <f t="shared" si="106"/>
        <v/>
      </c>
      <c r="T289" s="190"/>
      <c r="U289" s="190">
        <v>3832808.9</v>
      </c>
      <c r="V289" s="191" t="str">
        <f t="shared" si="107"/>
        <v/>
      </c>
      <c r="W289" s="190"/>
      <c r="X289" s="190">
        <v>2715264.98</v>
      </c>
      <c r="Y289" s="191" t="str">
        <f t="shared" si="108"/>
        <v/>
      </c>
      <c r="Z289" s="190" t="str">
        <f t="shared" si="95"/>
        <v/>
      </c>
      <c r="AA289" s="190">
        <f t="shared" si="96"/>
        <v>20750175.469999999</v>
      </c>
      <c r="AB289" s="191" t="str">
        <f t="shared" si="109"/>
        <v/>
      </c>
      <c r="AC289" s="190"/>
      <c r="AD289" s="190"/>
      <c r="AE289" s="191" t="str">
        <f t="shared" si="97"/>
        <v/>
      </c>
      <c r="AF289" s="191" t="s">
        <v>313</v>
      </c>
      <c r="AG289" s="190"/>
      <c r="AH289" s="190"/>
      <c r="AI289" s="191" t="str">
        <f t="shared" si="98"/>
        <v/>
      </c>
      <c r="AJ289" s="191" t="s">
        <v>313</v>
      </c>
      <c r="AK289" s="190"/>
      <c r="AL289" s="190"/>
      <c r="AM289" s="191" t="str">
        <f t="shared" si="99"/>
        <v/>
      </c>
      <c r="AN289" s="191" t="s">
        <v>313</v>
      </c>
      <c r="AO289" s="190"/>
      <c r="AP289" s="190"/>
      <c r="AQ289" s="191" t="str">
        <f t="shared" si="100"/>
        <v/>
      </c>
      <c r="AR289" s="191" t="s">
        <v>313</v>
      </c>
      <c r="AS289" s="190"/>
      <c r="AT289" s="190"/>
      <c r="AU289" s="191" t="str">
        <f t="shared" si="101"/>
        <v/>
      </c>
      <c r="AV289" s="191" t="s">
        <v>313</v>
      </c>
      <c r="AW289" s="190"/>
      <c r="AX289" s="190"/>
      <c r="AY289" s="191" t="str">
        <f t="shared" si="102"/>
        <v/>
      </c>
      <c r="AZ289" s="191" t="s">
        <v>313</v>
      </c>
    </row>
    <row r="290" spans="1:52" ht="34" customHeight="1">
      <c r="A290" s="187" t="s">
        <v>328</v>
      </c>
      <c r="B290" s="188" t="s">
        <v>223</v>
      </c>
      <c r="C290" s="188" t="s">
        <v>52</v>
      </c>
      <c r="D290" s="188" t="s">
        <v>54</v>
      </c>
      <c r="E290" s="188" t="s">
        <v>59</v>
      </c>
      <c r="F290" s="188" t="s">
        <v>777</v>
      </c>
      <c r="G290" s="189" t="s">
        <v>775</v>
      </c>
      <c r="H290" s="190"/>
      <c r="I290" s="190">
        <v>4127360.88</v>
      </c>
      <c r="J290" s="191" t="str">
        <f t="shared" si="103"/>
        <v/>
      </c>
      <c r="K290" s="190"/>
      <c r="L290" s="190">
        <v>2363088.44</v>
      </c>
      <c r="M290" s="191" t="str">
        <f t="shared" si="104"/>
        <v/>
      </c>
      <c r="N290" s="190"/>
      <c r="O290" s="190">
        <v>4809678.45</v>
      </c>
      <c r="P290" s="191" t="str">
        <f t="shared" si="105"/>
        <v/>
      </c>
      <c r="Q290" s="190"/>
      <c r="R290" s="190">
        <v>2901973.82</v>
      </c>
      <c r="S290" s="191" t="str">
        <f t="shared" si="106"/>
        <v/>
      </c>
      <c r="T290" s="190"/>
      <c r="U290" s="190">
        <v>3832808.9</v>
      </c>
      <c r="V290" s="191" t="str">
        <f t="shared" si="107"/>
        <v/>
      </c>
      <c r="W290" s="190"/>
      <c r="X290" s="190">
        <v>2715264.98</v>
      </c>
      <c r="Y290" s="191" t="str">
        <f t="shared" si="108"/>
        <v/>
      </c>
      <c r="Z290" s="190" t="str">
        <f t="shared" si="95"/>
        <v/>
      </c>
      <c r="AA290" s="190">
        <f t="shared" si="96"/>
        <v>20750175.469999999</v>
      </c>
      <c r="AB290" s="191" t="str">
        <f t="shared" si="109"/>
        <v/>
      </c>
      <c r="AC290" s="190"/>
      <c r="AD290" s="190"/>
      <c r="AE290" s="191" t="str">
        <f t="shared" si="97"/>
        <v/>
      </c>
      <c r="AF290" s="191" t="s">
        <v>313</v>
      </c>
      <c r="AG290" s="190"/>
      <c r="AH290" s="190"/>
      <c r="AI290" s="191" t="str">
        <f t="shared" si="98"/>
        <v/>
      </c>
      <c r="AJ290" s="191" t="s">
        <v>313</v>
      </c>
      <c r="AK290" s="190"/>
      <c r="AL290" s="190"/>
      <c r="AM290" s="191" t="str">
        <f t="shared" si="99"/>
        <v/>
      </c>
      <c r="AN290" s="191" t="s">
        <v>313</v>
      </c>
      <c r="AO290" s="190"/>
      <c r="AP290" s="190"/>
      <c r="AQ290" s="191" t="str">
        <f t="shared" si="100"/>
        <v/>
      </c>
      <c r="AR290" s="191" t="s">
        <v>313</v>
      </c>
      <c r="AS290" s="190"/>
      <c r="AT290" s="190"/>
      <c r="AU290" s="191" t="str">
        <f t="shared" si="101"/>
        <v/>
      </c>
      <c r="AV290" s="191" t="s">
        <v>313</v>
      </c>
      <c r="AW290" s="190"/>
      <c r="AX290" s="190"/>
      <c r="AY290" s="191" t="str">
        <f t="shared" si="102"/>
        <v/>
      </c>
      <c r="AZ290" s="191" t="s">
        <v>313</v>
      </c>
    </row>
    <row r="291" spans="1:52" ht="34" customHeight="1">
      <c r="A291" s="187" t="s">
        <v>328</v>
      </c>
      <c r="B291" s="188" t="s">
        <v>223</v>
      </c>
      <c r="C291" s="188" t="s">
        <v>52</v>
      </c>
      <c r="D291" s="188" t="s">
        <v>54</v>
      </c>
      <c r="E291" s="188" t="s">
        <v>64</v>
      </c>
      <c r="F291" s="188" t="s">
        <v>133</v>
      </c>
      <c r="G291" s="189" t="s">
        <v>775</v>
      </c>
      <c r="H291" s="190">
        <v>1223962.69</v>
      </c>
      <c r="I291" s="190">
        <v>4127360.88</v>
      </c>
      <c r="J291" s="191">
        <f t="shared" si="103"/>
        <v>0.29654850292616042</v>
      </c>
      <c r="K291" s="190">
        <v>869076.66</v>
      </c>
      <c r="L291" s="190">
        <v>2363088.44</v>
      </c>
      <c r="M291" s="191">
        <f t="shared" si="104"/>
        <v>0.3677715337645171</v>
      </c>
      <c r="N291" s="190">
        <v>1645602.19</v>
      </c>
      <c r="O291" s="190">
        <v>4809678.45</v>
      </c>
      <c r="P291" s="191">
        <f t="shared" si="105"/>
        <v>0.34214390984910847</v>
      </c>
      <c r="Q291" s="190">
        <v>761842.32</v>
      </c>
      <c r="R291" s="190">
        <v>2901973.82</v>
      </c>
      <c r="S291" s="191">
        <f t="shared" si="106"/>
        <v>0.26252556613346706</v>
      </c>
      <c r="T291" s="190">
        <v>1026977.81</v>
      </c>
      <c r="U291" s="190">
        <v>3832808.9</v>
      </c>
      <c r="V291" s="191">
        <f t="shared" si="107"/>
        <v>0.26794391183969546</v>
      </c>
      <c r="W291" s="190">
        <v>754847.55</v>
      </c>
      <c r="X291" s="190">
        <v>2715264.98</v>
      </c>
      <c r="Y291" s="191">
        <f t="shared" si="108"/>
        <v>0.27800143100582397</v>
      </c>
      <c r="Z291" s="190">
        <f t="shared" si="95"/>
        <v>6282309.2199999997</v>
      </c>
      <c r="AA291" s="190">
        <f t="shared" si="96"/>
        <v>20750175.469999999</v>
      </c>
      <c r="AB291" s="191">
        <f t="shared" si="109"/>
        <v>0.30275932987086207</v>
      </c>
      <c r="AC291" s="190"/>
      <c r="AD291" s="190"/>
      <c r="AE291" s="191" t="str">
        <f t="shared" si="97"/>
        <v/>
      </c>
      <c r="AF291" s="191" t="s">
        <v>313</v>
      </c>
      <c r="AG291" s="190"/>
      <c r="AH291" s="190"/>
      <c r="AI291" s="191" t="str">
        <f t="shared" si="98"/>
        <v/>
      </c>
      <c r="AJ291" s="191" t="s">
        <v>313</v>
      </c>
      <c r="AK291" s="190"/>
      <c r="AL291" s="190"/>
      <c r="AM291" s="191" t="str">
        <f t="shared" si="99"/>
        <v/>
      </c>
      <c r="AN291" s="191" t="s">
        <v>313</v>
      </c>
      <c r="AO291" s="190"/>
      <c r="AP291" s="190"/>
      <c r="AQ291" s="191" t="str">
        <f t="shared" si="100"/>
        <v/>
      </c>
      <c r="AR291" s="191" t="s">
        <v>313</v>
      </c>
      <c r="AS291" s="190"/>
      <c r="AT291" s="190"/>
      <c r="AU291" s="191" t="str">
        <f t="shared" si="101"/>
        <v/>
      </c>
      <c r="AV291" s="191" t="s">
        <v>313</v>
      </c>
      <c r="AW291" s="190"/>
      <c r="AX291" s="190"/>
      <c r="AY291" s="191" t="str">
        <f t="shared" si="102"/>
        <v/>
      </c>
      <c r="AZ291" s="191" t="s">
        <v>313</v>
      </c>
    </row>
    <row r="292" spans="1:52" ht="34" customHeight="1">
      <c r="A292" s="187" t="s">
        <v>328</v>
      </c>
      <c r="B292" s="188" t="s">
        <v>223</v>
      </c>
      <c r="C292" s="188" t="s">
        <v>52</v>
      </c>
      <c r="D292" s="188" t="s">
        <v>54</v>
      </c>
      <c r="E292" s="188" t="s">
        <v>60</v>
      </c>
      <c r="F292" s="188" t="s">
        <v>777</v>
      </c>
      <c r="G292" s="189" t="s">
        <v>775</v>
      </c>
      <c r="H292" s="190"/>
      <c r="I292" s="190">
        <v>4127360.88</v>
      </c>
      <c r="J292" s="191" t="str">
        <f t="shared" si="103"/>
        <v/>
      </c>
      <c r="K292" s="190"/>
      <c r="L292" s="190">
        <v>2363088.44</v>
      </c>
      <c r="M292" s="191" t="str">
        <f t="shared" si="104"/>
        <v/>
      </c>
      <c r="N292" s="190"/>
      <c r="O292" s="190">
        <v>4809678.45</v>
      </c>
      <c r="P292" s="191" t="str">
        <f t="shared" si="105"/>
        <v/>
      </c>
      <c r="Q292" s="190"/>
      <c r="R292" s="190">
        <v>2901973.82</v>
      </c>
      <c r="S292" s="191" t="str">
        <f t="shared" si="106"/>
        <v/>
      </c>
      <c r="T292" s="190"/>
      <c r="U292" s="190">
        <v>3832808.9</v>
      </c>
      <c r="V292" s="191" t="str">
        <f t="shared" si="107"/>
        <v/>
      </c>
      <c r="W292" s="190"/>
      <c r="X292" s="190">
        <v>2715264.98</v>
      </c>
      <c r="Y292" s="191" t="str">
        <f t="shared" si="108"/>
        <v/>
      </c>
      <c r="Z292" s="190" t="str">
        <f t="shared" si="95"/>
        <v/>
      </c>
      <c r="AA292" s="190">
        <f t="shared" si="96"/>
        <v>20750175.469999999</v>
      </c>
      <c r="AB292" s="191" t="str">
        <f t="shared" si="109"/>
        <v/>
      </c>
      <c r="AC292" s="190"/>
      <c r="AD292" s="190"/>
      <c r="AE292" s="191" t="str">
        <f t="shared" si="97"/>
        <v/>
      </c>
      <c r="AF292" s="191" t="s">
        <v>313</v>
      </c>
      <c r="AG292" s="190"/>
      <c r="AH292" s="190"/>
      <c r="AI292" s="191" t="str">
        <f t="shared" si="98"/>
        <v/>
      </c>
      <c r="AJ292" s="191" t="s">
        <v>313</v>
      </c>
      <c r="AK292" s="190"/>
      <c r="AL292" s="190"/>
      <c r="AM292" s="191" t="str">
        <f t="shared" si="99"/>
        <v/>
      </c>
      <c r="AN292" s="191" t="s">
        <v>313</v>
      </c>
      <c r="AO292" s="190"/>
      <c r="AP292" s="190"/>
      <c r="AQ292" s="191" t="str">
        <f t="shared" si="100"/>
        <v/>
      </c>
      <c r="AR292" s="191" t="s">
        <v>313</v>
      </c>
      <c r="AS292" s="190"/>
      <c r="AT292" s="190"/>
      <c r="AU292" s="191" t="str">
        <f t="shared" si="101"/>
        <v/>
      </c>
      <c r="AV292" s="191" t="s">
        <v>313</v>
      </c>
      <c r="AW292" s="190"/>
      <c r="AX292" s="190"/>
      <c r="AY292" s="191" t="str">
        <f t="shared" si="102"/>
        <v/>
      </c>
      <c r="AZ292" s="191" t="s">
        <v>313</v>
      </c>
    </row>
    <row r="293" spans="1:52" ht="51" customHeight="1">
      <c r="A293" s="187" t="s">
        <v>328</v>
      </c>
      <c r="B293" s="188" t="s">
        <v>223</v>
      </c>
      <c r="C293" s="188" t="s">
        <v>52</v>
      </c>
      <c r="D293" s="188" t="s">
        <v>54</v>
      </c>
      <c r="E293" s="188" t="s">
        <v>61</v>
      </c>
      <c r="F293" s="188" t="s">
        <v>135</v>
      </c>
      <c r="G293" s="189" t="s">
        <v>775</v>
      </c>
      <c r="H293" s="190">
        <v>102646.24677899999</v>
      </c>
      <c r="I293" s="190">
        <v>4127360.88</v>
      </c>
      <c r="J293" s="191">
        <f t="shared" si="103"/>
        <v>2.4869704821886086E-2</v>
      </c>
      <c r="K293" s="190">
        <v>44819.971315000003</v>
      </c>
      <c r="L293" s="190">
        <v>2363088.44</v>
      </c>
      <c r="M293" s="191">
        <f t="shared" si="104"/>
        <v>1.8966692298236627E-2</v>
      </c>
      <c r="N293" s="190">
        <v>134367.30740399999</v>
      </c>
      <c r="O293" s="190">
        <v>4809678.45</v>
      </c>
      <c r="P293" s="191">
        <f t="shared" si="105"/>
        <v>2.7936858732001094E-2</v>
      </c>
      <c r="Q293" s="190">
        <v>77896.590700999994</v>
      </c>
      <c r="R293" s="190">
        <v>2901973.82</v>
      </c>
      <c r="S293" s="191">
        <f t="shared" si="106"/>
        <v>2.6842623515121854E-2</v>
      </c>
      <c r="T293" s="190">
        <v>80043.312829999995</v>
      </c>
      <c r="U293" s="190">
        <v>3832808.9</v>
      </c>
      <c r="V293" s="191">
        <f t="shared" si="107"/>
        <v>2.088372129119195E-2</v>
      </c>
      <c r="W293" s="190">
        <v>52927.497232000002</v>
      </c>
      <c r="X293" s="190">
        <v>2715264.98</v>
      </c>
      <c r="Y293" s="191">
        <f t="shared" si="108"/>
        <v>1.9492571672323489E-2</v>
      </c>
      <c r="Z293" s="190">
        <f t="shared" si="95"/>
        <v>492700.92626099999</v>
      </c>
      <c r="AA293" s="190">
        <f t="shared" si="96"/>
        <v>20750175.469999999</v>
      </c>
      <c r="AB293" s="191">
        <f t="shared" si="109"/>
        <v>2.3744422160349086E-2</v>
      </c>
      <c r="AC293" s="190"/>
      <c r="AD293" s="190"/>
      <c r="AE293" s="191" t="str">
        <f t="shared" si="97"/>
        <v/>
      </c>
      <c r="AF293" s="191" t="s">
        <v>313</v>
      </c>
      <c r="AG293" s="190"/>
      <c r="AH293" s="190"/>
      <c r="AI293" s="191" t="str">
        <f t="shared" si="98"/>
        <v/>
      </c>
      <c r="AJ293" s="191" t="s">
        <v>313</v>
      </c>
      <c r="AK293" s="190"/>
      <c r="AL293" s="190"/>
      <c r="AM293" s="191" t="str">
        <f t="shared" si="99"/>
        <v/>
      </c>
      <c r="AN293" s="191" t="s">
        <v>313</v>
      </c>
      <c r="AO293" s="190"/>
      <c r="AP293" s="190"/>
      <c r="AQ293" s="191" t="str">
        <f t="shared" si="100"/>
        <v/>
      </c>
      <c r="AR293" s="191" t="s">
        <v>313</v>
      </c>
      <c r="AS293" s="190"/>
      <c r="AT293" s="190"/>
      <c r="AU293" s="191" t="str">
        <f t="shared" si="101"/>
        <v/>
      </c>
      <c r="AV293" s="191" t="s">
        <v>313</v>
      </c>
      <c r="AW293" s="190"/>
      <c r="AX293" s="190"/>
      <c r="AY293" s="191" t="str">
        <f t="shared" si="102"/>
        <v/>
      </c>
      <c r="AZ293" s="191" t="s">
        <v>313</v>
      </c>
    </row>
    <row r="294" spans="1:52" ht="34" customHeight="1">
      <c r="A294" s="187" t="s">
        <v>328</v>
      </c>
      <c r="B294" s="188" t="s">
        <v>223</v>
      </c>
      <c r="C294" s="188" t="s">
        <v>52</v>
      </c>
      <c r="D294" s="188" t="s">
        <v>54</v>
      </c>
      <c r="E294" s="188" t="s">
        <v>62</v>
      </c>
      <c r="F294" s="188" t="s">
        <v>777</v>
      </c>
      <c r="G294" s="189" t="s">
        <v>775</v>
      </c>
      <c r="H294" s="190"/>
      <c r="I294" s="190">
        <v>4127360.88</v>
      </c>
      <c r="J294" s="191" t="str">
        <f t="shared" si="103"/>
        <v/>
      </c>
      <c r="K294" s="190"/>
      <c r="L294" s="190">
        <v>2363088.44</v>
      </c>
      <c r="M294" s="191" t="str">
        <f t="shared" si="104"/>
        <v/>
      </c>
      <c r="N294" s="190"/>
      <c r="O294" s="190">
        <v>4809678.45</v>
      </c>
      <c r="P294" s="191" t="str">
        <f t="shared" si="105"/>
        <v/>
      </c>
      <c r="Q294" s="190"/>
      <c r="R294" s="190">
        <v>2901973.82</v>
      </c>
      <c r="S294" s="191" t="str">
        <f t="shared" si="106"/>
        <v/>
      </c>
      <c r="T294" s="190"/>
      <c r="U294" s="190">
        <v>3832808.9</v>
      </c>
      <c r="V294" s="191" t="str">
        <f t="shared" si="107"/>
        <v/>
      </c>
      <c r="W294" s="190"/>
      <c r="X294" s="190">
        <v>2715264.98</v>
      </c>
      <c r="Y294" s="191" t="str">
        <f t="shared" si="108"/>
        <v/>
      </c>
      <c r="Z294" s="190" t="str">
        <f t="shared" si="95"/>
        <v/>
      </c>
      <c r="AA294" s="190">
        <f t="shared" si="96"/>
        <v>20750175.469999999</v>
      </c>
      <c r="AB294" s="191" t="str">
        <f t="shared" si="109"/>
        <v/>
      </c>
      <c r="AC294" s="190"/>
      <c r="AD294" s="190"/>
      <c r="AE294" s="191" t="str">
        <f t="shared" si="97"/>
        <v/>
      </c>
      <c r="AF294" s="191" t="s">
        <v>313</v>
      </c>
      <c r="AG294" s="190"/>
      <c r="AH294" s="190"/>
      <c r="AI294" s="191" t="str">
        <f t="shared" si="98"/>
        <v/>
      </c>
      <c r="AJ294" s="191" t="s">
        <v>313</v>
      </c>
      <c r="AK294" s="190"/>
      <c r="AL294" s="190"/>
      <c r="AM294" s="191" t="str">
        <f t="shared" si="99"/>
        <v/>
      </c>
      <c r="AN294" s="191" t="s">
        <v>313</v>
      </c>
      <c r="AO294" s="190"/>
      <c r="AP294" s="190"/>
      <c r="AQ294" s="191" t="str">
        <f t="shared" si="100"/>
        <v/>
      </c>
      <c r="AR294" s="191" t="s">
        <v>313</v>
      </c>
      <c r="AS294" s="190"/>
      <c r="AT294" s="190"/>
      <c r="AU294" s="191" t="str">
        <f t="shared" si="101"/>
        <v/>
      </c>
      <c r="AV294" s="191" t="s">
        <v>313</v>
      </c>
      <c r="AW294" s="190"/>
      <c r="AX294" s="190"/>
      <c r="AY294" s="191" t="str">
        <f t="shared" si="102"/>
        <v/>
      </c>
      <c r="AZ294" s="191" t="s">
        <v>313</v>
      </c>
    </row>
    <row r="295" spans="1:52" ht="34" customHeight="1">
      <c r="A295" s="187" t="s">
        <v>328</v>
      </c>
      <c r="B295" s="188" t="s">
        <v>223</v>
      </c>
      <c r="C295" s="188" t="s">
        <v>52</v>
      </c>
      <c r="D295" s="188" t="s">
        <v>54</v>
      </c>
      <c r="E295" s="188" t="s">
        <v>63</v>
      </c>
      <c r="F295" s="188" t="s">
        <v>777</v>
      </c>
      <c r="G295" s="189" t="s">
        <v>775</v>
      </c>
      <c r="H295" s="190"/>
      <c r="I295" s="190">
        <v>4127360.88</v>
      </c>
      <c r="J295" s="191" t="str">
        <f t="shared" si="103"/>
        <v/>
      </c>
      <c r="K295" s="190"/>
      <c r="L295" s="190">
        <v>2363088.44</v>
      </c>
      <c r="M295" s="191" t="str">
        <f t="shared" si="104"/>
        <v/>
      </c>
      <c r="N295" s="190"/>
      <c r="O295" s="190">
        <v>4809678.45</v>
      </c>
      <c r="P295" s="191" t="str">
        <f t="shared" si="105"/>
        <v/>
      </c>
      <c r="Q295" s="190"/>
      <c r="R295" s="190">
        <v>2901973.82</v>
      </c>
      <c r="S295" s="191" t="str">
        <f t="shared" si="106"/>
        <v/>
      </c>
      <c r="T295" s="190"/>
      <c r="U295" s="190">
        <v>3832808.9</v>
      </c>
      <c r="V295" s="191" t="str">
        <f t="shared" si="107"/>
        <v/>
      </c>
      <c r="W295" s="190"/>
      <c r="X295" s="190">
        <v>2715264.98</v>
      </c>
      <c r="Y295" s="191" t="str">
        <f t="shared" si="108"/>
        <v/>
      </c>
      <c r="Z295" s="190" t="str">
        <f t="shared" si="95"/>
        <v/>
      </c>
      <c r="AA295" s="190">
        <f t="shared" si="96"/>
        <v>20750175.469999999</v>
      </c>
      <c r="AB295" s="191" t="str">
        <f t="shared" si="109"/>
        <v/>
      </c>
      <c r="AC295" s="190"/>
      <c r="AD295" s="190"/>
      <c r="AE295" s="191" t="str">
        <f t="shared" si="97"/>
        <v/>
      </c>
      <c r="AF295" s="191" t="s">
        <v>313</v>
      </c>
      <c r="AG295" s="190"/>
      <c r="AH295" s="190"/>
      <c r="AI295" s="191" t="str">
        <f t="shared" si="98"/>
        <v/>
      </c>
      <c r="AJ295" s="191" t="s">
        <v>313</v>
      </c>
      <c r="AK295" s="190"/>
      <c r="AL295" s="190"/>
      <c r="AM295" s="191" t="str">
        <f t="shared" si="99"/>
        <v/>
      </c>
      <c r="AN295" s="191" t="s">
        <v>313</v>
      </c>
      <c r="AO295" s="190"/>
      <c r="AP295" s="190"/>
      <c r="AQ295" s="191" t="str">
        <f t="shared" si="100"/>
        <v/>
      </c>
      <c r="AR295" s="191" t="s">
        <v>313</v>
      </c>
      <c r="AS295" s="190"/>
      <c r="AT295" s="190"/>
      <c r="AU295" s="191" t="str">
        <f t="shared" si="101"/>
        <v/>
      </c>
      <c r="AV295" s="191" t="s">
        <v>313</v>
      </c>
      <c r="AW295" s="190"/>
      <c r="AX295" s="190"/>
      <c r="AY295" s="191" t="str">
        <f t="shared" si="102"/>
        <v/>
      </c>
      <c r="AZ295" s="191" t="s">
        <v>313</v>
      </c>
    </row>
    <row r="296" spans="1:52" ht="34" customHeight="1">
      <c r="A296" s="187" t="s">
        <v>328</v>
      </c>
      <c r="B296" s="188" t="s">
        <v>223</v>
      </c>
      <c r="C296" s="188" t="s">
        <v>52</v>
      </c>
      <c r="D296" s="188" t="s">
        <v>65</v>
      </c>
      <c r="E296" s="188" t="s">
        <v>66</v>
      </c>
      <c r="F296" s="188" t="s">
        <v>777</v>
      </c>
      <c r="G296" s="189" t="s">
        <v>775</v>
      </c>
      <c r="H296" s="190"/>
      <c r="I296" s="190">
        <v>4127360.88</v>
      </c>
      <c r="J296" s="191" t="str">
        <f t="shared" si="103"/>
        <v/>
      </c>
      <c r="K296" s="190"/>
      <c r="L296" s="190">
        <v>2363088.44</v>
      </c>
      <c r="M296" s="191" t="str">
        <f t="shared" si="104"/>
        <v/>
      </c>
      <c r="N296" s="190"/>
      <c r="O296" s="190">
        <v>4809678.45</v>
      </c>
      <c r="P296" s="191" t="str">
        <f t="shared" si="105"/>
        <v/>
      </c>
      <c r="Q296" s="190"/>
      <c r="R296" s="190">
        <v>2901973.82</v>
      </c>
      <c r="S296" s="191" t="str">
        <f t="shared" si="106"/>
        <v/>
      </c>
      <c r="T296" s="190"/>
      <c r="U296" s="190">
        <v>3832808.9</v>
      </c>
      <c r="V296" s="191" t="str">
        <f t="shared" si="107"/>
        <v/>
      </c>
      <c r="W296" s="190"/>
      <c r="X296" s="190">
        <v>2715264.98</v>
      </c>
      <c r="Y296" s="191" t="str">
        <f t="shared" si="108"/>
        <v/>
      </c>
      <c r="Z296" s="190" t="str">
        <f t="shared" si="95"/>
        <v/>
      </c>
      <c r="AA296" s="190">
        <f t="shared" si="96"/>
        <v>20750175.469999999</v>
      </c>
      <c r="AB296" s="191" t="str">
        <f t="shared" si="109"/>
        <v/>
      </c>
      <c r="AC296" s="190"/>
      <c r="AD296" s="190"/>
      <c r="AE296" s="191" t="str">
        <f t="shared" si="97"/>
        <v/>
      </c>
      <c r="AF296" s="191" t="s">
        <v>313</v>
      </c>
      <c r="AG296" s="190"/>
      <c r="AH296" s="190"/>
      <c r="AI296" s="191" t="str">
        <f t="shared" si="98"/>
        <v/>
      </c>
      <c r="AJ296" s="191" t="s">
        <v>313</v>
      </c>
      <c r="AK296" s="190"/>
      <c r="AL296" s="190"/>
      <c r="AM296" s="191" t="str">
        <f t="shared" si="99"/>
        <v/>
      </c>
      <c r="AN296" s="191" t="s">
        <v>313</v>
      </c>
      <c r="AO296" s="190"/>
      <c r="AP296" s="190"/>
      <c r="AQ296" s="191" t="str">
        <f t="shared" si="100"/>
        <v/>
      </c>
      <c r="AR296" s="191" t="s">
        <v>313</v>
      </c>
      <c r="AS296" s="190"/>
      <c r="AT296" s="190"/>
      <c r="AU296" s="191" t="str">
        <f t="shared" si="101"/>
        <v/>
      </c>
      <c r="AV296" s="191" t="s">
        <v>313</v>
      </c>
      <c r="AW296" s="190"/>
      <c r="AX296" s="190"/>
      <c r="AY296" s="191" t="str">
        <f t="shared" si="102"/>
        <v/>
      </c>
      <c r="AZ296" s="191" t="s">
        <v>313</v>
      </c>
    </row>
    <row r="297" spans="1:52" ht="34" customHeight="1">
      <c r="A297" s="187" t="s">
        <v>328</v>
      </c>
      <c r="B297" s="188" t="s">
        <v>223</v>
      </c>
      <c r="C297" s="188" t="s">
        <v>52</v>
      </c>
      <c r="D297" s="188" t="s">
        <v>65</v>
      </c>
      <c r="E297" s="188" t="s">
        <v>67</v>
      </c>
      <c r="F297" s="188" t="s">
        <v>777</v>
      </c>
      <c r="G297" s="189" t="s">
        <v>775</v>
      </c>
      <c r="H297" s="190"/>
      <c r="I297" s="190">
        <v>4127360.88</v>
      </c>
      <c r="J297" s="191" t="str">
        <f t="shared" si="103"/>
        <v/>
      </c>
      <c r="K297" s="190"/>
      <c r="L297" s="190">
        <v>2363088.44</v>
      </c>
      <c r="M297" s="191" t="str">
        <f t="shared" si="104"/>
        <v/>
      </c>
      <c r="N297" s="190"/>
      <c r="O297" s="190">
        <v>4809678.45</v>
      </c>
      <c r="P297" s="191" t="str">
        <f t="shared" si="105"/>
        <v/>
      </c>
      <c r="Q297" s="190"/>
      <c r="R297" s="190">
        <v>2901973.82</v>
      </c>
      <c r="S297" s="191" t="str">
        <f t="shared" si="106"/>
        <v/>
      </c>
      <c r="T297" s="190"/>
      <c r="U297" s="190">
        <v>3832808.9</v>
      </c>
      <c r="V297" s="191" t="str">
        <f t="shared" si="107"/>
        <v/>
      </c>
      <c r="W297" s="190"/>
      <c r="X297" s="190">
        <v>2715264.98</v>
      </c>
      <c r="Y297" s="191" t="str">
        <f t="shared" si="108"/>
        <v/>
      </c>
      <c r="Z297" s="190" t="str">
        <f t="shared" si="95"/>
        <v/>
      </c>
      <c r="AA297" s="190">
        <f t="shared" si="96"/>
        <v>20750175.469999999</v>
      </c>
      <c r="AB297" s="191" t="str">
        <f t="shared" si="109"/>
        <v/>
      </c>
      <c r="AC297" s="190"/>
      <c r="AD297" s="190"/>
      <c r="AE297" s="191" t="str">
        <f t="shared" si="97"/>
        <v/>
      </c>
      <c r="AF297" s="191" t="s">
        <v>313</v>
      </c>
      <c r="AG297" s="190"/>
      <c r="AH297" s="190"/>
      <c r="AI297" s="191" t="str">
        <f t="shared" si="98"/>
        <v/>
      </c>
      <c r="AJ297" s="191" t="s">
        <v>313</v>
      </c>
      <c r="AK297" s="190"/>
      <c r="AL297" s="190"/>
      <c r="AM297" s="191" t="str">
        <f t="shared" si="99"/>
        <v/>
      </c>
      <c r="AN297" s="191" t="s">
        <v>313</v>
      </c>
      <c r="AO297" s="190"/>
      <c r="AP297" s="190"/>
      <c r="AQ297" s="191" t="str">
        <f t="shared" si="100"/>
        <v/>
      </c>
      <c r="AR297" s="191" t="s">
        <v>313</v>
      </c>
      <c r="AS297" s="190"/>
      <c r="AT297" s="190"/>
      <c r="AU297" s="191" t="str">
        <f t="shared" si="101"/>
        <v/>
      </c>
      <c r="AV297" s="191" t="s">
        <v>313</v>
      </c>
      <c r="AW297" s="190"/>
      <c r="AX297" s="190"/>
      <c r="AY297" s="191" t="str">
        <f t="shared" si="102"/>
        <v/>
      </c>
      <c r="AZ297" s="191" t="s">
        <v>313</v>
      </c>
    </row>
    <row r="298" spans="1:52" ht="34" customHeight="1">
      <c r="A298" s="187" t="s">
        <v>328</v>
      </c>
      <c r="B298" s="188" t="s">
        <v>223</v>
      </c>
      <c r="C298" s="188" t="s">
        <v>52</v>
      </c>
      <c r="D298" s="188" t="s">
        <v>65</v>
      </c>
      <c r="E298" s="188" t="s">
        <v>68</v>
      </c>
      <c r="F298" s="188" t="s">
        <v>777</v>
      </c>
      <c r="G298" s="189" t="s">
        <v>775</v>
      </c>
      <c r="H298" s="190"/>
      <c r="I298" s="190">
        <v>4127360.88</v>
      </c>
      <c r="J298" s="191" t="str">
        <f t="shared" si="103"/>
        <v/>
      </c>
      <c r="K298" s="190"/>
      <c r="L298" s="190">
        <v>2363088.44</v>
      </c>
      <c r="M298" s="191" t="str">
        <f t="shared" si="104"/>
        <v/>
      </c>
      <c r="N298" s="190"/>
      <c r="O298" s="190">
        <v>4809678.45</v>
      </c>
      <c r="P298" s="191" t="str">
        <f t="shared" si="105"/>
        <v/>
      </c>
      <c r="Q298" s="190"/>
      <c r="R298" s="190">
        <v>2901973.82</v>
      </c>
      <c r="S298" s="191" t="str">
        <f t="shared" si="106"/>
        <v/>
      </c>
      <c r="T298" s="190"/>
      <c r="U298" s="190">
        <v>3832808.9</v>
      </c>
      <c r="V298" s="191" t="str">
        <f t="shared" si="107"/>
        <v/>
      </c>
      <c r="W298" s="190"/>
      <c r="X298" s="190">
        <v>2715264.98</v>
      </c>
      <c r="Y298" s="191" t="str">
        <f t="shared" si="108"/>
        <v/>
      </c>
      <c r="Z298" s="190" t="str">
        <f t="shared" si="95"/>
        <v/>
      </c>
      <c r="AA298" s="190">
        <f t="shared" si="96"/>
        <v>20750175.469999999</v>
      </c>
      <c r="AB298" s="191" t="str">
        <f t="shared" si="109"/>
        <v/>
      </c>
      <c r="AC298" s="190"/>
      <c r="AD298" s="190"/>
      <c r="AE298" s="191" t="str">
        <f t="shared" si="97"/>
        <v/>
      </c>
      <c r="AF298" s="191" t="s">
        <v>313</v>
      </c>
      <c r="AG298" s="190"/>
      <c r="AH298" s="190"/>
      <c r="AI298" s="191" t="str">
        <f t="shared" si="98"/>
        <v/>
      </c>
      <c r="AJ298" s="191" t="s">
        <v>313</v>
      </c>
      <c r="AK298" s="190"/>
      <c r="AL298" s="190"/>
      <c r="AM298" s="191" t="str">
        <f t="shared" si="99"/>
        <v/>
      </c>
      <c r="AN298" s="191" t="s">
        <v>313</v>
      </c>
      <c r="AO298" s="190"/>
      <c r="AP298" s="190"/>
      <c r="AQ298" s="191" t="str">
        <f t="shared" si="100"/>
        <v/>
      </c>
      <c r="AR298" s="191" t="s">
        <v>313</v>
      </c>
      <c r="AS298" s="190"/>
      <c r="AT298" s="190"/>
      <c r="AU298" s="191" t="str">
        <f t="shared" si="101"/>
        <v/>
      </c>
      <c r="AV298" s="191" t="s">
        <v>313</v>
      </c>
      <c r="AW298" s="190"/>
      <c r="AX298" s="190"/>
      <c r="AY298" s="191" t="str">
        <f t="shared" si="102"/>
        <v/>
      </c>
      <c r="AZ298" s="191" t="s">
        <v>313</v>
      </c>
    </row>
    <row r="299" spans="1:52" ht="34" customHeight="1">
      <c r="A299" s="187" t="s">
        <v>328</v>
      </c>
      <c r="B299" s="188" t="s">
        <v>223</v>
      </c>
      <c r="C299" s="188" t="s">
        <v>52</v>
      </c>
      <c r="D299" s="188" t="s">
        <v>65</v>
      </c>
      <c r="E299" s="188" t="s">
        <v>69</v>
      </c>
      <c r="F299" s="188" t="s">
        <v>777</v>
      </c>
      <c r="G299" s="189" t="s">
        <v>775</v>
      </c>
      <c r="H299" s="190"/>
      <c r="I299" s="190">
        <v>4127360.88</v>
      </c>
      <c r="J299" s="191" t="str">
        <f t="shared" si="103"/>
        <v/>
      </c>
      <c r="K299" s="190"/>
      <c r="L299" s="190">
        <v>2363088.44</v>
      </c>
      <c r="M299" s="191" t="str">
        <f t="shared" si="104"/>
        <v/>
      </c>
      <c r="N299" s="190"/>
      <c r="O299" s="190">
        <v>4809678.45</v>
      </c>
      <c r="P299" s="191" t="str">
        <f t="shared" si="105"/>
        <v/>
      </c>
      <c r="Q299" s="190"/>
      <c r="R299" s="190">
        <v>2901973.82</v>
      </c>
      <c r="S299" s="191" t="str">
        <f t="shared" si="106"/>
        <v/>
      </c>
      <c r="T299" s="190"/>
      <c r="U299" s="190">
        <v>3832808.9</v>
      </c>
      <c r="V299" s="191" t="str">
        <f t="shared" si="107"/>
        <v/>
      </c>
      <c r="W299" s="190"/>
      <c r="X299" s="190">
        <v>2715264.98</v>
      </c>
      <c r="Y299" s="191" t="str">
        <f t="shared" si="108"/>
        <v/>
      </c>
      <c r="Z299" s="190" t="str">
        <f t="shared" si="95"/>
        <v/>
      </c>
      <c r="AA299" s="190">
        <f t="shared" si="96"/>
        <v>20750175.469999999</v>
      </c>
      <c r="AB299" s="191" t="str">
        <f t="shared" si="109"/>
        <v/>
      </c>
      <c r="AC299" s="190"/>
      <c r="AD299" s="190"/>
      <c r="AE299" s="191" t="str">
        <f t="shared" si="97"/>
        <v/>
      </c>
      <c r="AF299" s="191" t="s">
        <v>313</v>
      </c>
      <c r="AG299" s="190"/>
      <c r="AH299" s="190"/>
      <c r="AI299" s="191" t="str">
        <f t="shared" si="98"/>
        <v/>
      </c>
      <c r="AJ299" s="191" t="s">
        <v>313</v>
      </c>
      <c r="AK299" s="190"/>
      <c r="AL299" s="190"/>
      <c r="AM299" s="191" t="str">
        <f t="shared" si="99"/>
        <v/>
      </c>
      <c r="AN299" s="191" t="s">
        <v>313</v>
      </c>
      <c r="AO299" s="190"/>
      <c r="AP299" s="190"/>
      <c r="AQ299" s="191" t="str">
        <f t="shared" si="100"/>
        <v/>
      </c>
      <c r="AR299" s="191" t="s">
        <v>313</v>
      </c>
      <c r="AS299" s="190"/>
      <c r="AT299" s="190"/>
      <c r="AU299" s="191" t="str">
        <f t="shared" si="101"/>
        <v/>
      </c>
      <c r="AV299" s="191" t="s">
        <v>313</v>
      </c>
      <c r="AW299" s="190"/>
      <c r="AX299" s="190"/>
      <c r="AY299" s="191" t="str">
        <f t="shared" si="102"/>
        <v/>
      </c>
      <c r="AZ299" s="191" t="s">
        <v>313</v>
      </c>
    </row>
    <row r="300" spans="1:52" ht="68" customHeight="1">
      <c r="A300" s="187" t="s">
        <v>328</v>
      </c>
      <c r="B300" s="188" t="s">
        <v>223</v>
      </c>
      <c r="C300" s="188" t="s">
        <v>52</v>
      </c>
      <c r="D300" s="188" t="s">
        <v>70</v>
      </c>
      <c r="E300" s="188" t="s">
        <v>73</v>
      </c>
      <c r="F300" s="188" t="s">
        <v>778</v>
      </c>
      <c r="G300" s="189" t="s">
        <v>775</v>
      </c>
      <c r="H300" s="190">
        <v>145575.41</v>
      </c>
      <c r="I300" s="190">
        <v>4127360.88</v>
      </c>
      <c r="J300" s="191">
        <f t="shared" si="103"/>
        <v>3.5270821775100027E-2</v>
      </c>
      <c r="K300" s="190">
        <v>72258.61</v>
      </c>
      <c r="L300" s="190">
        <v>2363088.44</v>
      </c>
      <c r="M300" s="191">
        <f t="shared" si="104"/>
        <v>3.0578038797396852E-2</v>
      </c>
      <c r="N300" s="190">
        <v>171889.09</v>
      </c>
      <c r="O300" s="190">
        <v>4809678.45</v>
      </c>
      <c r="P300" s="191">
        <f t="shared" si="105"/>
        <v>3.573816665436335E-2</v>
      </c>
      <c r="Q300" s="190">
        <v>106861.54</v>
      </c>
      <c r="R300" s="190">
        <v>2901973.82</v>
      </c>
      <c r="S300" s="191">
        <f t="shared" si="106"/>
        <v>3.6823743640802382E-2</v>
      </c>
      <c r="T300" s="190">
        <v>146275.60999999999</v>
      </c>
      <c r="U300" s="190">
        <v>3832808.9</v>
      </c>
      <c r="V300" s="191">
        <f t="shared" si="107"/>
        <v>3.8164075960061557E-2</v>
      </c>
      <c r="W300" s="190">
        <v>102341.44</v>
      </c>
      <c r="X300" s="190">
        <v>2715264.98</v>
      </c>
      <c r="Y300" s="191">
        <f t="shared" si="108"/>
        <v>3.7691142762795844E-2</v>
      </c>
      <c r="Z300" s="190">
        <f t="shared" si="95"/>
        <v>745201.7</v>
      </c>
      <c r="AA300" s="190">
        <f t="shared" si="96"/>
        <v>20750175.469999999</v>
      </c>
      <c r="AB300" s="191">
        <f t="shared" si="109"/>
        <v>3.5913031245320838E-2</v>
      </c>
      <c r="AC300" s="190"/>
      <c r="AD300" s="190"/>
      <c r="AE300" s="191" t="str">
        <f t="shared" si="97"/>
        <v/>
      </c>
      <c r="AF300" s="191" t="s">
        <v>313</v>
      </c>
      <c r="AG300" s="190"/>
      <c r="AH300" s="190"/>
      <c r="AI300" s="191" t="str">
        <f t="shared" si="98"/>
        <v/>
      </c>
      <c r="AJ300" s="191" t="s">
        <v>313</v>
      </c>
      <c r="AK300" s="190"/>
      <c r="AL300" s="190"/>
      <c r="AM300" s="191" t="str">
        <f t="shared" si="99"/>
        <v/>
      </c>
      <c r="AN300" s="191" t="s">
        <v>313</v>
      </c>
      <c r="AO300" s="190"/>
      <c r="AP300" s="190"/>
      <c r="AQ300" s="191" t="str">
        <f t="shared" si="100"/>
        <v/>
      </c>
      <c r="AR300" s="191" t="s">
        <v>313</v>
      </c>
      <c r="AS300" s="190"/>
      <c r="AT300" s="190"/>
      <c r="AU300" s="191" t="str">
        <f t="shared" si="101"/>
        <v/>
      </c>
      <c r="AV300" s="191" t="s">
        <v>313</v>
      </c>
      <c r="AW300" s="190"/>
      <c r="AX300" s="190"/>
      <c r="AY300" s="191" t="str">
        <f t="shared" si="102"/>
        <v/>
      </c>
      <c r="AZ300" s="191" t="s">
        <v>313</v>
      </c>
    </row>
    <row r="301" spans="1:52" ht="34" customHeight="1">
      <c r="A301" s="187" t="s">
        <v>328</v>
      </c>
      <c r="B301" s="188" t="s">
        <v>223</v>
      </c>
      <c r="C301" s="188" t="s">
        <v>52</v>
      </c>
      <c r="D301" s="188" t="s">
        <v>70</v>
      </c>
      <c r="E301" s="188" t="s">
        <v>71</v>
      </c>
      <c r="F301" s="188" t="s">
        <v>777</v>
      </c>
      <c r="G301" s="189" t="s">
        <v>775</v>
      </c>
      <c r="H301" s="190"/>
      <c r="I301" s="190">
        <v>4127360.88</v>
      </c>
      <c r="J301" s="191" t="str">
        <f t="shared" si="103"/>
        <v/>
      </c>
      <c r="K301" s="190"/>
      <c r="L301" s="190">
        <v>2363088.44</v>
      </c>
      <c r="M301" s="191" t="str">
        <f t="shared" si="104"/>
        <v/>
      </c>
      <c r="N301" s="190"/>
      <c r="O301" s="190">
        <v>4809678.45</v>
      </c>
      <c r="P301" s="191" t="str">
        <f t="shared" si="105"/>
        <v/>
      </c>
      <c r="Q301" s="190"/>
      <c r="R301" s="190">
        <v>2901973.82</v>
      </c>
      <c r="S301" s="191" t="str">
        <f t="shared" si="106"/>
        <v/>
      </c>
      <c r="T301" s="190"/>
      <c r="U301" s="190">
        <v>3832808.9</v>
      </c>
      <c r="V301" s="191" t="str">
        <f t="shared" si="107"/>
        <v/>
      </c>
      <c r="W301" s="190"/>
      <c r="X301" s="190">
        <v>2715264.98</v>
      </c>
      <c r="Y301" s="191" t="str">
        <f t="shared" si="108"/>
        <v/>
      </c>
      <c r="Z301" s="190" t="str">
        <f t="shared" si="95"/>
        <v/>
      </c>
      <c r="AA301" s="190">
        <f t="shared" si="96"/>
        <v>20750175.469999999</v>
      </c>
      <c r="AB301" s="191" t="str">
        <f t="shared" si="109"/>
        <v/>
      </c>
      <c r="AC301" s="190"/>
      <c r="AD301" s="190"/>
      <c r="AE301" s="191" t="str">
        <f t="shared" si="97"/>
        <v/>
      </c>
      <c r="AF301" s="191" t="s">
        <v>313</v>
      </c>
      <c r="AG301" s="190"/>
      <c r="AH301" s="190"/>
      <c r="AI301" s="191" t="str">
        <f t="shared" si="98"/>
        <v/>
      </c>
      <c r="AJ301" s="191" t="s">
        <v>313</v>
      </c>
      <c r="AK301" s="190"/>
      <c r="AL301" s="190"/>
      <c r="AM301" s="191" t="str">
        <f t="shared" si="99"/>
        <v/>
      </c>
      <c r="AN301" s="191" t="s">
        <v>313</v>
      </c>
      <c r="AO301" s="190"/>
      <c r="AP301" s="190"/>
      <c r="AQ301" s="191" t="str">
        <f t="shared" si="100"/>
        <v/>
      </c>
      <c r="AR301" s="191" t="s">
        <v>313</v>
      </c>
      <c r="AS301" s="190"/>
      <c r="AT301" s="190"/>
      <c r="AU301" s="191" t="str">
        <f t="shared" si="101"/>
        <v/>
      </c>
      <c r="AV301" s="191" t="s">
        <v>313</v>
      </c>
      <c r="AW301" s="190"/>
      <c r="AX301" s="190"/>
      <c r="AY301" s="191" t="str">
        <f t="shared" si="102"/>
        <v/>
      </c>
      <c r="AZ301" s="191" t="s">
        <v>313</v>
      </c>
    </row>
    <row r="302" spans="1:52" ht="34" customHeight="1">
      <c r="A302" s="187" t="s">
        <v>328</v>
      </c>
      <c r="B302" s="188" t="s">
        <v>223</v>
      </c>
      <c r="C302" s="188" t="s">
        <v>52</v>
      </c>
      <c r="D302" s="188" t="s">
        <v>70</v>
      </c>
      <c r="E302" s="188" t="s">
        <v>72</v>
      </c>
      <c r="F302" s="188" t="s">
        <v>777</v>
      </c>
      <c r="G302" s="189" t="s">
        <v>775</v>
      </c>
      <c r="H302" s="190"/>
      <c r="I302" s="190">
        <v>4127360.88</v>
      </c>
      <c r="J302" s="191" t="str">
        <f t="shared" si="103"/>
        <v/>
      </c>
      <c r="K302" s="190"/>
      <c r="L302" s="190">
        <v>2363088.44</v>
      </c>
      <c r="M302" s="191" t="str">
        <f t="shared" si="104"/>
        <v/>
      </c>
      <c r="N302" s="190"/>
      <c r="O302" s="190">
        <v>4809678.45</v>
      </c>
      <c r="P302" s="191" t="str">
        <f t="shared" si="105"/>
        <v/>
      </c>
      <c r="Q302" s="190"/>
      <c r="R302" s="190">
        <v>2901973.82</v>
      </c>
      <c r="S302" s="191" t="str">
        <f t="shared" si="106"/>
        <v/>
      </c>
      <c r="T302" s="190"/>
      <c r="U302" s="190">
        <v>3832808.9</v>
      </c>
      <c r="V302" s="191" t="str">
        <f t="shared" si="107"/>
        <v/>
      </c>
      <c r="W302" s="190"/>
      <c r="X302" s="190">
        <v>2715264.98</v>
      </c>
      <c r="Y302" s="191" t="str">
        <f t="shared" si="108"/>
        <v/>
      </c>
      <c r="Z302" s="190" t="str">
        <f t="shared" si="95"/>
        <v/>
      </c>
      <c r="AA302" s="190">
        <f t="shared" si="96"/>
        <v>20750175.469999999</v>
      </c>
      <c r="AB302" s="191" t="str">
        <f t="shared" si="109"/>
        <v/>
      </c>
      <c r="AC302" s="190"/>
      <c r="AD302" s="190"/>
      <c r="AE302" s="191" t="str">
        <f t="shared" si="97"/>
        <v/>
      </c>
      <c r="AF302" s="191" t="s">
        <v>313</v>
      </c>
      <c r="AG302" s="190"/>
      <c r="AH302" s="190"/>
      <c r="AI302" s="191" t="str">
        <f t="shared" si="98"/>
        <v/>
      </c>
      <c r="AJ302" s="191" t="s">
        <v>313</v>
      </c>
      <c r="AK302" s="190"/>
      <c r="AL302" s="190"/>
      <c r="AM302" s="191" t="str">
        <f t="shared" si="99"/>
        <v/>
      </c>
      <c r="AN302" s="191" t="s">
        <v>313</v>
      </c>
      <c r="AO302" s="190"/>
      <c r="AP302" s="190"/>
      <c r="AQ302" s="191" t="str">
        <f t="shared" si="100"/>
        <v/>
      </c>
      <c r="AR302" s="191" t="s">
        <v>313</v>
      </c>
      <c r="AS302" s="190"/>
      <c r="AT302" s="190"/>
      <c r="AU302" s="191" t="str">
        <f t="shared" si="101"/>
        <v/>
      </c>
      <c r="AV302" s="191" t="s">
        <v>313</v>
      </c>
      <c r="AW302" s="190"/>
      <c r="AX302" s="190"/>
      <c r="AY302" s="191" t="str">
        <f t="shared" si="102"/>
        <v/>
      </c>
      <c r="AZ302" s="191" t="s">
        <v>313</v>
      </c>
    </row>
    <row r="303" spans="1:52" ht="34" customHeight="1">
      <c r="A303" s="187" t="s">
        <v>328</v>
      </c>
      <c r="B303" s="188" t="s">
        <v>223</v>
      </c>
      <c r="C303" s="188" t="s">
        <v>52</v>
      </c>
      <c r="D303" s="188" t="s">
        <v>74</v>
      </c>
      <c r="E303" s="188" t="s">
        <v>75</v>
      </c>
      <c r="F303" s="188" t="s">
        <v>139</v>
      </c>
      <c r="G303" s="189" t="s">
        <v>775</v>
      </c>
      <c r="H303" s="190">
        <v>65172.5</v>
      </c>
      <c r="I303" s="190">
        <v>4127360.88</v>
      </c>
      <c r="J303" s="191">
        <f t="shared" si="103"/>
        <v>1.5790356572842258E-2</v>
      </c>
      <c r="K303" s="190">
        <v>50262.6</v>
      </c>
      <c r="L303" s="190">
        <v>2363088.44</v>
      </c>
      <c r="M303" s="191">
        <f t="shared" si="104"/>
        <v>2.1269876805795725E-2</v>
      </c>
      <c r="N303" s="190">
        <v>88800.9</v>
      </c>
      <c r="O303" s="190">
        <v>4809678.45</v>
      </c>
      <c r="P303" s="191">
        <f t="shared" si="105"/>
        <v>1.8462959826347641E-2</v>
      </c>
      <c r="Q303" s="190">
        <v>49522</v>
      </c>
      <c r="R303" s="190">
        <v>2901973.82</v>
      </c>
      <c r="S303" s="191">
        <f t="shared" si="106"/>
        <v>1.7064936857355936E-2</v>
      </c>
      <c r="T303" s="190">
        <v>56709.52</v>
      </c>
      <c r="U303" s="190">
        <v>3832808.9</v>
      </c>
      <c r="V303" s="191">
        <f t="shared" si="107"/>
        <v>1.4795812021830777E-2</v>
      </c>
      <c r="W303" s="190">
        <v>44086</v>
      </c>
      <c r="X303" s="190">
        <v>2715264.98</v>
      </c>
      <c r="Y303" s="191">
        <f t="shared" si="108"/>
        <v>1.623635274079217E-2</v>
      </c>
      <c r="Z303" s="190">
        <f t="shared" si="95"/>
        <v>354553.52</v>
      </c>
      <c r="AA303" s="190">
        <f t="shared" si="96"/>
        <v>20750175.469999999</v>
      </c>
      <c r="AB303" s="191">
        <f t="shared" si="109"/>
        <v>1.7086772134173187E-2</v>
      </c>
      <c r="AC303" s="190"/>
      <c r="AD303" s="190"/>
      <c r="AE303" s="191" t="str">
        <f t="shared" si="97"/>
        <v/>
      </c>
      <c r="AF303" s="191" t="s">
        <v>313</v>
      </c>
      <c r="AG303" s="190"/>
      <c r="AH303" s="190"/>
      <c r="AI303" s="191" t="str">
        <f t="shared" si="98"/>
        <v/>
      </c>
      <c r="AJ303" s="191" t="s">
        <v>313</v>
      </c>
      <c r="AK303" s="190"/>
      <c r="AL303" s="190"/>
      <c r="AM303" s="191" t="str">
        <f t="shared" si="99"/>
        <v/>
      </c>
      <c r="AN303" s="191" t="s">
        <v>313</v>
      </c>
      <c r="AO303" s="190"/>
      <c r="AP303" s="190"/>
      <c r="AQ303" s="191" t="str">
        <f t="shared" si="100"/>
        <v/>
      </c>
      <c r="AR303" s="191" t="s">
        <v>313</v>
      </c>
      <c r="AS303" s="190"/>
      <c r="AT303" s="190"/>
      <c r="AU303" s="191" t="str">
        <f t="shared" si="101"/>
        <v/>
      </c>
      <c r="AV303" s="191" t="s">
        <v>313</v>
      </c>
      <c r="AW303" s="190"/>
      <c r="AX303" s="190"/>
      <c r="AY303" s="191" t="str">
        <f t="shared" si="102"/>
        <v/>
      </c>
      <c r="AZ303" s="191" t="s">
        <v>313</v>
      </c>
    </row>
    <row r="304" spans="1:52" ht="34" customHeight="1">
      <c r="A304" s="187" t="s">
        <v>328</v>
      </c>
      <c r="B304" s="188" t="s">
        <v>223</v>
      </c>
      <c r="C304" s="188" t="s">
        <v>52</v>
      </c>
      <c r="D304" s="188" t="s">
        <v>74</v>
      </c>
      <c r="E304" s="188" t="s">
        <v>76</v>
      </c>
      <c r="F304" s="188" t="s">
        <v>141</v>
      </c>
      <c r="G304" s="189" t="s">
        <v>775</v>
      </c>
      <c r="H304" s="190">
        <v>32559.472665000001</v>
      </c>
      <c r="I304" s="190">
        <v>4127360.88</v>
      </c>
      <c r="J304" s="191">
        <f t="shared" si="103"/>
        <v>7.8886905244399189E-3</v>
      </c>
      <c r="K304" s="190">
        <v>19615.736123835901</v>
      </c>
      <c r="L304" s="190">
        <v>2363088.44</v>
      </c>
      <c r="M304" s="191">
        <f t="shared" si="104"/>
        <v>8.3008895442931042E-3</v>
      </c>
      <c r="N304" s="190">
        <v>36883.519999999997</v>
      </c>
      <c r="O304" s="190">
        <v>4809678.45</v>
      </c>
      <c r="P304" s="191">
        <f t="shared" si="105"/>
        <v>7.6686041246686659E-3</v>
      </c>
      <c r="Q304" s="190">
        <v>21935.35</v>
      </c>
      <c r="R304" s="190">
        <v>2901973.82</v>
      </c>
      <c r="S304" s="191">
        <f t="shared" si="106"/>
        <v>7.558769086345514E-3</v>
      </c>
      <c r="T304" s="190">
        <v>25830.76</v>
      </c>
      <c r="U304" s="190">
        <v>3832808.9</v>
      </c>
      <c r="V304" s="191">
        <f t="shared" si="107"/>
        <v>6.7393811363775534E-3</v>
      </c>
      <c r="W304" s="190">
        <v>19024.580000000002</v>
      </c>
      <c r="X304" s="190">
        <v>2715264.98</v>
      </c>
      <c r="Y304" s="191">
        <f t="shared" si="108"/>
        <v>7.0065279595658472E-3</v>
      </c>
      <c r="Z304" s="190">
        <f t="shared" si="95"/>
        <v>155849.41878883593</v>
      </c>
      <c r="AA304" s="190">
        <f t="shared" si="96"/>
        <v>20750175.469999999</v>
      </c>
      <c r="AB304" s="191">
        <f t="shared" si="109"/>
        <v>7.5107518495040439E-3</v>
      </c>
      <c r="AC304" s="190"/>
      <c r="AD304" s="190"/>
      <c r="AE304" s="191" t="str">
        <f t="shared" si="97"/>
        <v/>
      </c>
      <c r="AF304" s="191" t="s">
        <v>313</v>
      </c>
      <c r="AG304" s="190"/>
      <c r="AH304" s="190"/>
      <c r="AI304" s="191" t="str">
        <f t="shared" si="98"/>
        <v/>
      </c>
      <c r="AJ304" s="191" t="s">
        <v>313</v>
      </c>
      <c r="AK304" s="190"/>
      <c r="AL304" s="190"/>
      <c r="AM304" s="191" t="str">
        <f t="shared" si="99"/>
        <v/>
      </c>
      <c r="AN304" s="191" t="s">
        <v>313</v>
      </c>
      <c r="AO304" s="190"/>
      <c r="AP304" s="190"/>
      <c r="AQ304" s="191" t="str">
        <f t="shared" si="100"/>
        <v/>
      </c>
      <c r="AR304" s="191" t="s">
        <v>313</v>
      </c>
      <c r="AS304" s="190"/>
      <c r="AT304" s="190"/>
      <c r="AU304" s="191" t="str">
        <f t="shared" si="101"/>
        <v/>
      </c>
      <c r="AV304" s="191" t="s">
        <v>313</v>
      </c>
      <c r="AW304" s="190"/>
      <c r="AX304" s="190"/>
      <c r="AY304" s="191" t="str">
        <f t="shared" si="102"/>
        <v/>
      </c>
      <c r="AZ304" s="191" t="s">
        <v>313</v>
      </c>
    </row>
    <row r="305" spans="1:52" ht="34" customHeight="1">
      <c r="A305" s="187" t="s">
        <v>328</v>
      </c>
      <c r="B305" s="188" t="s">
        <v>223</v>
      </c>
      <c r="C305" s="188" t="s">
        <v>52</v>
      </c>
      <c r="D305" s="188" t="s">
        <v>74</v>
      </c>
      <c r="E305" s="188" t="s">
        <v>77</v>
      </c>
      <c r="F305" s="188" t="s">
        <v>777</v>
      </c>
      <c r="G305" s="189" t="s">
        <v>775</v>
      </c>
      <c r="H305" s="190"/>
      <c r="I305" s="190">
        <v>4127360.88</v>
      </c>
      <c r="J305" s="191" t="str">
        <f t="shared" si="103"/>
        <v/>
      </c>
      <c r="K305" s="190"/>
      <c r="L305" s="190">
        <v>2363088.44</v>
      </c>
      <c r="M305" s="191" t="str">
        <f t="shared" si="104"/>
        <v/>
      </c>
      <c r="N305" s="190"/>
      <c r="O305" s="190">
        <v>4809678.45</v>
      </c>
      <c r="P305" s="191" t="str">
        <f t="shared" si="105"/>
        <v/>
      </c>
      <c r="Q305" s="190"/>
      <c r="R305" s="190">
        <v>2901973.82</v>
      </c>
      <c r="S305" s="191" t="str">
        <f t="shared" si="106"/>
        <v/>
      </c>
      <c r="T305" s="190"/>
      <c r="U305" s="190">
        <v>3832808.9</v>
      </c>
      <c r="V305" s="191" t="str">
        <f t="shared" si="107"/>
        <v/>
      </c>
      <c r="W305" s="190"/>
      <c r="X305" s="190">
        <v>2715264.98</v>
      </c>
      <c r="Y305" s="191" t="str">
        <f t="shared" si="108"/>
        <v/>
      </c>
      <c r="Z305" s="190" t="str">
        <f t="shared" si="95"/>
        <v/>
      </c>
      <c r="AA305" s="190">
        <f t="shared" si="96"/>
        <v>20750175.469999999</v>
      </c>
      <c r="AB305" s="191" t="str">
        <f t="shared" si="109"/>
        <v/>
      </c>
      <c r="AC305" s="190"/>
      <c r="AD305" s="190"/>
      <c r="AE305" s="191" t="str">
        <f t="shared" si="97"/>
        <v/>
      </c>
      <c r="AF305" s="191" t="s">
        <v>313</v>
      </c>
      <c r="AG305" s="190"/>
      <c r="AH305" s="190"/>
      <c r="AI305" s="191" t="str">
        <f t="shared" si="98"/>
        <v/>
      </c>
      <c r="AJ305" s="191" t="s">
        <v>313</v>
      </c>
      <c r="AK305" s="190"/>
      <c r="AL305" s="190"/>
      <c r="AM305" s="191" t="str">
        <f t="shared" si="99"/>
        <v/>
      </c>
      <c r="AN305" s="191" t="s">
        <v>313</v>
      </c>
      <c r="AO305" s="190"/>
      <c r="AP305" s="190"/>
      <c r="AQ305" s="191" t="str">
        <f t="shared" si="100"/>
        <v/>
      </c>
      <c r="AR305" s="191" t="s">
        <v>313</v>
      </c>
      <c r="AS305" s="190"/>
      <c r="AT305" s="190"/>
      <c r="AU305" s="191" t="str">
        <f t="shared" si="101"/>
        <v/>
      </c>
      <c r="AV305" s="191" t="s">
        <v>313</v>
      </c>
      <c r="AW305" s="190"/>
      <c r="AX305" s="190"/>
      <c r="AY305" s="191" t="str">
        <f t="shared" si="102"/>
        <v/>
      </c>
      <c r="AZ305" s="191" t="s">
        <v>313</v>
      </c>
    </row>
    <row r="306" spans="1:52" ht="34" customHeight="1">
      <c r="A306" s="187" t="s">
        <v>328</v>
      </c>
      <c r="B306" s="188" t="s">
        <v>223</v>
      </c>
      <c r="C306" s="188" t="s">
        <v>52</v>
      </c>
      <c r="D306" s="188" t="s">
        <v>74</v>
      </c>
      <c r="E306" s="188" t="s">
        <v>78</v>
      </c>
      <c r="F306" s="188" t="s">
        <v>144</v>
      </c>
      <c r="G306" s="189" t="s">
        <v>775</v>
      </c>
      <c r="H306" s="190">
        <v>55686.366592186001</v>
      </c>
      <c r="I306" s="190">
        <v>4127360.88</v>
      </c>
      <c r="J306" s="191">
        <f t="shared" si="103"/>
        <v>1.3492003294896278E-2</v>
      </c>
      <c r="K306" s="190">
        <v>67634.73893747</v>
      </c>
      <c r="L306" s="190">
        <v>2363088.44</v>
      </c>
      <c r="M306" s="191">
        <f t="shared" si="104"/>
        <v>2.8621332063843537E-2</v>
      </c>
      <c r="N306" s="190">
        <v>18072.9169686639</v>
      </c>
      <c r="O306" s="190">
        <v>4809678.45</v>
      </c>
      <c r="P306" s="191">
        <f t="shared" si="105"/>
        <v>3.7576143928423943E-3</v>
      </c>
      <c r="Q306" s="190">
        <v>38740.774376061498</v>
      </c>
      <c r="R306" s="190">
        <v>2901973.82</v>
      </c>
      <c r="S306" s="191">
        <f t="shared" si="106"/>
        <v>1.3349801472730551E-2</v>
      </c>
      <c r="T306" s="190">
        <v>24067.638991418498</v>
      </c>
      <c r="U306" s="190">
        <v>3832808.9</v>
      </c>
      <c r="V306" s="191">
        <f t="shared" si="107"/>
        <v>6.2793735924111683E-3</v>
      </c>
      <c r="W306" s="190">
        <v>37255.898466951301</v>
      </c>
      <c r="X306" s="190">
        <v>2715264.98</v>
      </c>
      <c r="Y306" s="191">
        <f t="shared" si="108"/>
        <v>1.3720907072189802E-2</v>
      </c>
      <c r="Z306" s="190">
        <f t="shared" si="95"/>
        <v>241458.33433275117</v>
      </c>
      <c r="AA306" s="190">
        <f t="shared" si="96"/>
        <v>20750175.469999999</v>
      </c>
      <c r="AB306" s="191">
        <f t="shared" si="109"/>
        <v>1.1636447830614474E-2</v>
      </c>
      <c r="AC306" s="190"/>
      <c r="AD306" s="190"/>
      <c r="AE306" s="191" t="str">
        <f t="shared" si="97"/>
        <v/>
      </c>
      <c r="AF306" s="191" t="s">
        <v>313</v>
      </c>
      <c r="AG306" s="190"/>
      <c r="AH306" s="190"/>
      <c r="AI306" s="191" t="str">
        <f t="shared" si="98"/>
        <v/>
      </c>
      <c r="AJ306" s="191" t="s">
        <v>313</v>
      </c>
      <c r="AK306" s="190"/>
      <c r="AL306" s="190"/>
      <c r="AM306" s="191" t="str">
        <f t="shared" si="99"/>
        <v/>
      </c>
      <c r="AN306" s="191" t="s">
        <v>313</v>
      </c>
      <c r="AO306" s="190"/>
      <c r="AP306" s="190"/>
      <c r="AQ306" s="191" t="str">
        <f t="shared" si="100"/>
        <v/>
      </c>
      <c r="AR306" s="191" t="s">
        <v>313</v>
      </c>
      <c r="AS306" s="190"/>
      <c r="AT306" s="190"/>
      <c r="AU306" s="191" t="str">
        <f t="shared" si="101"/>
        <v/>
      </c>
      <c r="AV306" s="191" t="s">
        <v>313</v>
      </c>
      <c r="AW306" s="190"/>
      <c r="AX306" s="190"/>
      <c r="AY306" s="191" t="str">
        <f t="shared" si="102"/>
        <v/>
      </c>
      <c r="AZ306" s="191" t="s">
        <v>313</v>
      </c>
    </row>
    <row r="307" spans="1:52" ht="34" customHeight="1">
      <c r="A307" s="187" t="s">
        <v>328</v>
      </c>
      <c r="B307" s="188" t="s">
        <v>223</v>
      </c>
      <c r="C307" s="188" t="s">
        <v>52</v>
      </c>
      <c r="D307" s="188" t="s">
        <v>79</v>
      </c>
      <c r="E307" s="188" t="s">
        <v>80</v>
      </c>
      <c r="F307" s="188" t="s">
        <v>779</v>
      </c>
      <c r="G307" s="189" t="s">
        <v>775</v>
      </c>
      <c r="H307" s="190">
        <v>0</v>
      </c>
      <c r="I307" s="190">
        <v>4127360.88</v>
      </c>
      <c r="J307" s="191">
        <f t="shared" si="103"/>
        <v>0</v>
      </c>
      <c r="K307" s="190">
        <v>0</v>
      </c>
      <c r="L307" s="190">
        <v>2363088.44</v>
      </c>
      <c r="M307" s="191">
        <f t="shared" si="104"/>
        <v>0</v>
      </c>
      <c r="N307" s="190">
        <v>208263.756833097</v>
      </c>
      <c r="O307" s="190">
        <v>4809678.45</v>
      </c>
      <c r="P307" s="191">
        <f t="shared" si="105"/>
        <v>4.3300973027229503E-2</v>
      </c>
      <c r="Q307" s="190">
        <v>249888.18023797299</v>
      </c>
      <c r="R307" s="190">
        <v>2901973.82</v>
      </c>
      <c r="S307" s="191">
        <f t="shared" si="106"/>
        <v>8.6109729355853731E-2</v>
      </c>
      <c r="T307" s="190">
        <v>273057.01172340399</v>
      </c>
      <c r="U307" s="190">
        <v>3832808.9</v>
      </c>
      <c r="V307" s="191">
        <f t="shared" si="107"/>
        <v>7.1242010454370425E-2</v>
      </c>
      <c r="W307" s="190">
        <v>290574.229151003</v>
      </c>
      <c r="X307" s="190">
        <v>2715264.98</v>
      </c>
      <c r="Y307" s="191">
        <f t="shared" si="108"/>
        <v>0.10701505425485325</v>
      </c>
      <c r="Z307" s="190">
        <f t="shared" si="95"/>
        <v>1021783.177945477</v>
      </c>
      <c r="AA307" s="190">
        <f t="shared" si="96"/>
        <v>20750175.469999999</v>
      </c>
      <c r="AB307" s="191">
        <f t="shared" si="109"/>
        <v>4.924214638197838E-2</v>
      </c>
      <c r="AC307" s="190"/>
      <c r="AD307" s="190"/>
      <c r="AE307" s="191" t="str">
        <f t="shared" si="97"/>
        <v/>
      </c>
      <c r="AF307" s="191" t="s">
        <v>313</v>
      </c>
      <c r="AG307" s="190"/>
      <c r="AH307" s="190"/>
      <c r="AI307" s="191" t="str">
        <f t="shared" si="98"/>
        <v/>
      </c>
      <c r="AJ307" s="191" t="s">
        <v>313</v>
      </c>
      <c r="AK307" s="190"/>
      <c r="AL307" s="190"/>
      <c r="AM307" s="191" t="str">
        <f t="shared" si="99"/>
        <v/>
      </c>
      <c r="AN307" s="191" t="s">
        <v>313</v>
      </c>
      <c r="AO307" s="190"/>
      <c r="AP307" s="190"/>
      <c r="AQ307" s="191" t="str">
        <f t="shared" si="100"/>
        <v/>
      </c>
      <c r="AR307" s="191" t="s">
        <v>313</v>
      </c>
      <c r="AS307" s="190"/>
      <c r="AT307" s="190"/>
      <c r="AU307" s="191" t="str">
        <f t="shared" si="101"/>
        <v/>
      </c>
      <c r="AV307" s="191" t="s">
        <v>313</v>
      </c>
      <c r="AW307" s="190"/>
      <c r="AX307" s="190"/>
      <c r="AY307" s="191" t="str">
        <f t="shared" si="102"/>
        <v/>
      </c>
      <c r="AZ307" s="191" t="s">
        <v>313</v>
      </c>
    </row>
    <row r="308" spans="1:52" ht="34" customHeight="1">
      <c r="A308" s="187" t="s">
        <v>328</v>
      </c>
      <c r="B308" s="188" t="s">
        <v>223</v>
      </c>
      <c r="C308" s="188" t="s">
        <v>52</v>
      </c>
      <c r="D308" s="188" t="s">
        <v>79</v>
      </c>
      <c r="E308" s="188" t="s">
        <v>81</v>
      </c>
      <c r="F308" s="188" t="s">
        <v>777</v>
      </c>
      <c r="G308" s="189" t="s">
        <v>775</v>
      </c>
      <c r="H308" s="190"/>
      <c r="I308" s="190">
        <v>4127360.88</v>
      </c>
      <c r="J308" s="191" t="str">
        <f t="shared" si="103"/>
        <v/>
      </c>
      <c r="K308" s="190"/>
      <c r="L308" s="190">
        <v>2363088.44</v>
      </c>
      <c r="M308" s="191" t="str">
        <f t="shared" si="104"/>
        <v/>
      </c>
      <c r="N308" s="190"/>
      <c r="O308" s="190">
        <v>4809678.45</v>
      </c>
      <c r="P308" s="191" t="str">
        <f t="shared" si="105"/>
        <v/>
      </c>
      <c r="Q308" s="190"/>
      <c r="R308" s="190">
        <v>2901973.82</v>
      </c>
      <c r="S308" s="191" t="str">
        <f t="shared" si="106"/>
        <v/>
      </c>
      <c r="T308" s="190"/>
      <c r="U308" s="190">
        <v>3832808.9</v>
      </c>
      <c r="V308" s="191" t="str">
        <f t="shared" si="107"/>
        <v/>
      </c>
      <c r="W308" s="190"/>
      <c r="X308" s="190">
        <v>2715264.98</v>
      </c>
      <c r="Y308" s="191" t="str">
        <f t="shared" si="108"/>
        <v/>
      </c>
      <c r="Z308" s="190" t="str">
        <f t="shared" si="95"/>
        <v/>
      </c>
      <c r="AA308" s="190">
        <f t="shared" si="96"/>
        <v>20750175.469999999</v>
      </c>
      <c r="AB308" s="191" t="str">
        <f t="shared" si="109"/>
        <v/>
      </c>
      <c r="AC308" s="190"/>
      <c r="AD308" s="190"/>
      <c r="AE308" s="191" t="str">
        <f t="shared" si="97"/>
        <v/>
      </c>
      <c r="AF308" s="191" t="s">
        <v>313</v>
      </c>
      <c r="AG308" s="190"/>
      <c r="AH308" s="190"/>
      <c r="AI308" s="191" t="str">
        <f t="shared" si="98"/>
        <v/>
      </c>
      <c r="AJ308" s="191" t="s">
        <v>313</v>
      </c>
      <c r="AK308" s="190"/>
      <c r="AL308" s="190"/>
      <c r="AM308" s="191" t="str">
        <f t="shared" si="99"/>
        <v/>
      </c>
      <c r="AN308" s="191" t="s">
        <v>313</v>
      </c>
      <c r="AO308" s="190"/>
      <c r="AP308" s="190"/>
      <c r="AQ308" s="191" t="str">
        <f t="shared" si="100"/>
        <v/>
      </c>
      <c r="AR308" s="191" t="s">
        <v>313</v>
      </c>
      <c r="AS308" s="190"/>
      <c r="AT308" s="190"/>
      <c r="AU308" s="191" t="str">
        <f t="shared" si="101"/>
        <v/>
      </c>
      <c r="AV308" s="191" t="s">
        <v>313</v>
      </c>
      <c r="AW308" s="190"/>
      <c r="AX308" s="190"/>
      <c r="AY308" s="191" t="str">
        <f t="shared" si="102"/>
        <v/>
      </c>
      <c r="AZ308" s="191" t="s">
        <v>313</v>
      </c>
    </row>
    <row r="309" spans="1:52" ht="34" customHeight="1">
      <c r="A309" s="187" t="s">
        <v>328</v>
      </c>
      <c r="B309" s="188" t="s">
        <v>223</v>
      </c>
      <c r="C309" s="188" t="s">
        <v>52</v>
      </c>
      <c r="D309" s="188" t="s">
        <v>79</v>
      </c>
      <c r="E309" s="188" t="s">
        <v>82</v>
      </c>
      <c r="F309" s="188" t="s">
        <v>777</v>
      </c>
      <c r="G309" s="189" t="s">
        <v>775</v>
      </c>
      <c r="H309" s="190"/>
      <c r="I309" s="190">
        <v>4127360.88</v>
      </c>
      <c r="J309" s="191" t="str">
        <f t="shared" si="103"/>
        <v/>
      </c>
      <c r="K309" s="190"/>
      <c r="L309" s="190">
        <v>2363088.44</v>
      </c>
      <c r="M309" s="191" t="str">
        <f t="shared" si="104"/>
        <v/>
      </c>
      <c r="N309" s="190"/>
      <c r="O309" s="190">
        <v>4809678.45</v>
      </c>
      <c r="P309" s="191" t="str">
        <f t="shared" si="105"/>
        <v/>
      </c>
      <c r="Q309" s="190"/>
      <c r="R309" s="190">
        <v>2901973.82</v>
      </c>
      <c r="S309" s="191" t="str">
        <f t="shared" si="106"/>
        <v/>
      </c>
      <c r="T309" s="190"/>
      <c r="U309" s="190">
        <v>3832808.9</v>
      </c>
      <c r="V309" s="191" t="str">
        <f t="shared" si="107"/>
        <v/>
      </c>
      <c r="W309" s="190"/>
      <c r="X309" s="190">
        <v>2715264.98</v>
      </c>
      <c r="Y309" s="191" t="str">
        <f t="shared" si="108"/>
        <v/>
      </c>
      <c r="Z309" s="190" t="str">
        <f t="shared" si="95"/>
        <v/>
      </c>
      <c r="AA309" s="190">
        <f t="shared" si="96"/>
        <v>20750175.469999999</v>
      </c>
      <c r="AB309" s="191" t="str">
        <f t="shared" si="109"/>
        <v/>
      </c>
      <c r="AC309" s="190"/>
      <c r="AD309" s="190"/>
      <c r="AE309" s="191" t="str">
        <f t="shared" si="97"/>
        <v/>
      </c>
      <c r="AF309" s="191" t="s">
        <v>313</v>
      </c>
      <c r="AG309" s="190"/>
      <c r="AH309" s="190"/>
      <c r="AI309" s="191" t="str">
        <f t="shared" si="98"/>
        <v/>
      </c>
      <c r="AJ309" s="191" t="s">
        <v>313</v>
      </c>
      <c r="AK309" s="190"/>
      <c r="AL309" s="190"/>
      <c r="AM309" s="191" t="str">
        <f t="shared" si="99"/>
        <v/>
      </c>
      <c r="AN309" s="191" t="s">
        <v>313</v>
      </c>
      <c r="AO309" s="190"/>
      <c r="AP309" s="190"/>
      <c r="AQ309" s="191" t="str">
        <f t="shared" si="100"/>
        <v/>
      </c>
      <c r="AR309" s="191" t="s">
        <v>313</v>
      </c>
      <c r="AS309" s="190"/>
      <c r="AT309" s="190"/>
      <c r="AU309" s="191" t="str">
        <f t="shared" si="101"/>
        <v/>
      </c>
      <c r="AV309" s="191" t="s">
        <v>313</v>
      </c>
      <c r="AW309" s="190"/>
      <c r="AX309" s="190"/>
      <c r="AY309" s="191" t="str">
        <f t="shared" si="102"/>
        <v/>
      </c>
      <c r="AZ309" s="191" t="s">
        <v>313</v>
      </c>
    </row>
    <row r="310" spans="1:52" ht="34" customHeight="1">
      <c r="A310" s="187" t="s">
        <v>328</v>
      </c>
      <c r="B310" s="188" t="s">
        <v>223</v>
      </c>
      <c r="C310" s="188" t="s">
        <v>85</v>
      </c>
      <c r="D310" s="188" t="s">
        <v>79</v>
      </c>
      <c r="E310" s="188" t="s">
        <v>80</v>
      </c>
      <c r="F310" s="188" t="s">
        <v>777</v>
      </c>
      <c r="G310" s="189" t="s">
        <v>775</v>
      </c>
      <c r="H310" s="190"/>
      <c r="I310" s="190">
        <v>4127360.88</v>
      </c>
      <c r="J310" s="191" t="str">
        <f t="shared" si="103"/>
        <v/>
      </c>
      <c r="K310" s="190"/>
      <c r="L310" s="190">
        <v>2363088.44</v>
      </c>
      <c r="M310" s="191" t="str">
        <f t="shared" si="104"/>
        <v/>
      </c>
      <c r="N310" s="190"/>
      <c r="O310" s="190">
        <v>4809678.45</v>
      </c>
      <c r="P310" s="191" t="str">
        <f t="shared" si="105"/>
        <v/>
      </c>
      <c r="Q310" s="190"/>
      <c r="R310" s="190">
        <v>2901973.82</v>
      </c>
      <c r="S310" s="191" t="str">
        <f t="shared" si="106"/>
        <v/>
      </c>
      <c r="T310" s="190"/>
      <c r="U310" s="190">
        <v>3832808.9</v>
      </c>
      <c r="V310" s="191" t="str">
        <f t="shared" si="107"/>
        <v/>
      </c>
      <c r="W310" s="190"/>
      <c r="X310" s="190">
        <v>2715264.98</v>
      </c>
      <c r="Y310" s="191" t="str">
        <f t="shared" si="108"/>
        <v/>
      </c>
      <c r="Z310" s="190" t="str">
        <f t="shared" si="95"/>
        <v/>
      </c>
      <c r="AA310" s="190">
        <f t="shared" si="96"/>
        <v>20750175.469999999</v>
      </c>
      <c r="AB310" s="191" t="str">
        <f t="shared" si="109"/>
        <v/>
      </c>
      <c r="AC310" s="190"/>
      <c r="AD310" s="190"/>
      <c r="AE310" s="191" t="str">
        <f t="shared" si="97"/>
        <v/>
      </c>
      <c r="AF310" s="191" t="s">
        <v>313</v>
      </c>
      <c r="AG310" s="190"/>
      <c r="AH310" s="190"/>
      <c r="AI310" s="191" t="str">
        <f t="shared" si="98"/>
        <v/>
      </c>
      <c r="AJ310" s="191" t="s">
        <v>313</v>
      </c>
      <c r="AK310" s="190"/>
      <c r="AL310" s="190"/>
      <c r="AM310" s="191" t="str">
        <f t="shared" si="99"/>
        <v/>
      </c>
      <c r="AN310" s="191" t="s">
        <v>313</v>
      </c>
      <c r="AO310" s="190"/>
      <c r="AP310" s="190"/>
      <c r="AQ310" s="191" t="str">
        <f t="shared" si="100"/>
        <v/>
      </c>
      <c r="AR310" s="191" t="s">
        <v>313</v>
      </c>
      <c r="AS310" s="190"/>
      <c r="AT310" s="190"/>
      <c r="AU310" s="191" t="str">
        <f t="shared" si="101"/>
        <v/>
      </c>
      <c r="AV310" s="191" t="s">
        <v>313</v>
      </c>
      <c r="AW310" s="190"/>
      <c r="AX310" s="190"/>
      <c r="AY310" s="191" t="str">
        <f t="shared" si="102"/>
        <v/>
      </c>
      <c r="AZ310" s="191" t="s">
        <v>313</v>
      </c>
    </row>
    <row r="311" spans="1:52" ht="34" customHeight="1">
      <c r="A311" s="187" t="s">
        <v>328</v>
      </c>
      <c r="B311" s="188" t="s">
        <v>223</v>
      </c>
      <c r="C311" s="188" t="s">
        <v>85</v>
      </c>
      <c r="D311" s="188" t="s">
        <v>79</v>
      </c>
      <c r="E311" s="188" t="s">
        <v>81</v>
      </c>
      <c r="F311" s="188" t="s">
        <v>777</v>
      </c>
      <c r="G311" s="189" t="s">
        <v>775</v>
      </c>
      <c r="H311" s="190"/>
      <c r="I311" s="190">
        <v>4127360.88</v>
      </c>
      <c r="J311" s="191" t="str">
        <f t="shared" si="103"/>
        <v/>
      </c>
      <c r="K311" s="190"/>
      <c r="L311" s="190">
        <v>2363088.44</v>
      </c>
      <c r="M311" s="191" t="str">
        <f t="shared" si="104"/>
        <v/>
      </c>
      <c r="N311" s="190"/>
      <c r="O311" s="190">
        <v>4809678.45</v>
      </c>
      <c r="P311" s="191" t="str">
        <f t="shared" si="105"/>
        <v/>
      </c>
      <c r="Q311" s="190"/>
      <c r="R311" s="190">
        <v>2901973.82</v>
      </c>
      <c r="S311" s="191" t="str">
        <f t="shared" si="106"/>
        <v/>
      </c>
      <c r="T311" s="190"/>
      <c r="U311" s="190">
        <v>3832808.9</v>
      </c>
      <c r="V311" s="191" t="str">
        <f t="shared" si="107"/>
        <v/>
      </c>
      <c r="W311" s="190"/>
      <c r="X311" s="190">
        <v>2715264.98</v>
      </c>
      <c r="Y311" s="191" t="str">
        <f t="shared" si="108"/>
        <v/>
      </c>
      <c r="Z311" s="190" t="str">
        <f t="shared" si="95"/>
        <v/>
      </c>
      <c r="AA311" s="190">
        <f t="shared" si="96"/>
        <v>20750175.469999999</v>
      </c>
      <c r="AB311" s="191" t="str">
        <f t="shared" si="109"/>
        <v/>
      </c>
      <c r="AC311" s="190"/>
      <c r="AD311" s="190"/>
      <c r="AE311" s="191" t="str">
        <f t="shared" si="97"/>
        <v/>
      </c>
      <c r="AF311" s="191" t="s">
        <v>313</v>
      </c>
      <c r="AG311" s="190"/>
      <c r="AH311" s="190"/>
      <c r="AI311" s="191" t="str">
        <f t="shared" si="98"/>
        <v/>
      </c>
      <c r="AJ311" s="191" t="s">
        <v>313</v>
      </c>
      <c r="AK311" s="190"/>
      <c r="AL311" s="190"/>
      <c r="AM311" s="191" t="str">
        <f t="shared" si="99"/>
        <v/>
      </c>
      <c r="AN311" s="191" t="s">
        <v>313</v>
      </c>
      <c r="AO311" s="190"/>
      <c r="AP311" s="190"/>
      <c r="AQ311" s="191" t="str">
        <f t="shared" si="100"/>
        <v/>
      </c>
      <c r="AR311" s="191" t="s">
        <v>313</v>
      </c>
      <c r="AS311" s="190"/>
      <c r="AT311" s="190"/>
      <c r="AU311" s="191" t="str">
        <f t="shared" si="101"/>
        <v/>
      </c>
      <c r="AV311" s="191" t="s">
        <v>313</v>
      </c>
      <c r="AW311" s="190"/>
      <c r="AX311" s="190"/>
      <c r="AY311" s="191" t="str">
        <f t="shared" si="102"/>
        <v/>
      </c>
      <c r="AZ311" s="191" t="s">
        <v>313</v>
      </c>
    </row>
    <row r="312" spans="1:52" ht="34" customHeight="1">
      <c r="A312" s="187" t="s">
        <v>328</v>
      </c>
      <c r="B312" s="188" t="s">
        <v>223</v>
      </c>
      <c r="C312" s="188" t="s">
        <v>85</v>
      </c>
      <c r="D312" s="188" t="s">
        <v>79</v>
      </c>
      <c r="E312" s="188" t="s">
        <v>82</v>
      </c>
      <c r="F312" s="188" t="s">
        <v>319</v>
      </c>
      <c r="G312" s="189" t="s">
        <v>775</v>
      </c>
      <c r="H312" s="190">
        <v>0</v>
      </c>
      <c r="I312" s="190">
        <v>4127360.88</v>
      </c>
      <c r="J312" s="191">
        <f t="shared" si="103"/>
        <v>0</v>
      </c>
      <c r="K312" s="190">
        <v>0</v>
      </c>
      <c r="L312" s="190">
        <v>2363088.44</v>
      </c>
      <c r="M312" s="191">
        <f t="shared" si="104"/>
        <v>0</v>
      </c>
      <c r="N312" s="190">
        <v>26630.796151596202</v>
      </c>
      <c r="O312" s="190">
        <v>4809678.45</v>
      </c>
      <c r="P312" s="191">
        <f t="shared" si="105"/>
        <v>5.5369182011733445E-3</v>
      </c>
      <c r="Q312" s="190">
        <v>27205.3455451675</v>
      </c>
      <c r="R312" s="190">
        <v>2901973.82</v>
      </c>
      <c r="S312" s="191">
        <f t="shared" si="106"/>
        <v>9.3747729072095835E-3</v>
      </c>
      <c r="T312" s="190">
        <v>22134.411132705201</v>
      </c>
      <c r="U312" s="190">
        <v>3832808.9</v>
      </c>
      <c r="V312" s="191">
        <f t="shared" si="107"/>
        <v>5.7749842765980851E-3</v>
      </c>
      <c r="W312" s="190">
        <v>16693.4824334691</v>
      </c>
      <c r="X312" s="190">
        <v>2715264.98</v>
      </c>
      <c r="Y312" s="191">
        <f t="shared" si="108"/>
        <v>6.1480122774128293E-3</v>
      </c>
      <c r="Z312" s="190">
        <f t="shared" si="95"/>
        <v>92664.035262938007</v>
      </c>
      <c r="AA312" s="190">
        <f t="shared" si="96"/>
        <v>20750175.469999999</v>
      </c>
      <c r="AB312" s="191">
        <f t="shared" si="109"/>
        <v>4.4656988755063286E-3</v>
      </c>
      <c r="AC312" s="190"/>
      <c r="AD312" s="190"/>
      <c r="AE312" s="191" t="str">
        <f t="shared" si="97"/>
        <v/>
      </c>
      <c r="AF312" s="191" t="s">
        <v>313</v>
      </c>
      <c r="AG312" s="190"/>
      <c r="AH312" s="190"/>
      <c r="AI312" s="191" t="str">
        <f t="shared" si="98"/>
        <v/>
      </c>
      <c r="AJ312" s="191" t="s">
        <v>313</v>
      </c>
      <c r="AK312" s="190"/>
      <c r="AL312" s="190"/>
      <c r="AM312" s="191" t="str">
        <f t="shared" si="99"/>
        <v/>
      </c>
      <c r="AN312" s="191" t="s">
        <v>313</v>
      </c>
      <c r="AO312" s="190"/>
      <c r="AP312" s="190"/>
      <c r="AQ312" s="191" t="str">
        <f t="shared" si="100"/>
        <v/>
      </c>
      <c r="AR312" s="191" t="s">
        <v>313</v>
      </c>
      <c r="AS312" s="190"/>
      <c r="AT312" s="190"/>
      <c r="AU312" s="191" t="str">
        <f t="shared" si="101"/>
        <v/>
      </c>
      <c r="AV312" s="191" t="s">
        <v>313</v>
      </c>
      <c r="AW312" s="190"/>
      <c r="AX312" s="190"/>
      <c r="AY312" s="191" t="str">
        <f t="shared" si="102"/>
        <v/>
      </c>
      <c r="AZ312" s="191" t="s">
        <v>313</v>
      </c>
    </row>
    <row r="313" spans="1:52" ht="34" customHeight="1">
      <c r="A313" s="187" t="s">
        <v>328</v>
      </c>
      <c r="B313" s="188" t="s">
        <v>223</v>
      </c>
      <c r="C313" s="188" t="s">
        <v>85</v>
      </c>
      <c r="D313" s="188" t="s">
        <v>90</v>
      </c>
      <c r="E313" s="188" t="s">
        <v>90</v>
      </c>
      <c r="F313" s="188" t="s">
        <v>777</v>
      </c>
      <c r="G313" s="189" t="s">
        <v>775</v>
      </c>
      <c r="H313" s="190"/>
      <c r="I313" s="190">
        <v>4127360.88</v>
      </c>
      <c r="J313" s="191" t="str">
        <f t="shared" si="103"/>
        <v/>
      </c>
      <c r="K313" s="190"/>
      <c r="L313" s="190">
        <v>2363088.44</v>
      </c>
      <c r="M313" s="191" t="str">
        <f t="shared" si="104"/>
        <v/>
      </c>
      <c r="N313" s="190"/>
      <c r="O313" s="190">
        <v>4809678.45</v>
      </c>
      <c r="P313" s="191" t="str">
        <f t="shared" si="105"/>
        <v/>
      </c>
      <c r="Q313" s="190"/>
      <c r="R313" s="190">
        <v>2901973.82</v>
      </c>
      <c r="S313" s="191" t="str">
        <f t="shared" si="106"/>
        <v/>
      </c>
      <c r="T313" s="190"/>
      <c r="U313" s="190">
        <v>3832808.9</v>
      </c>
      <c r="V313" s="191" t="str">
        <f t="shared" si="107"/>
        <v/>
      </c>
      <c r="W313" s="190"/>
      <c r="X313" s="190">
        <v>2715264.98</v>
      </c>
      <c r="Y313" s="191" t="str">
        <f t="shared" si="108"/>
        <v/>
      </c>
      <c r="Z313" s="190" t="str">
        <f t="shared" si="95"/>
        <v/>
      </c>
      <c r="AA313" s="190">
        <f t="shared" si="96"/>
        <v>20750175.469999999</v>
      </c>
      <c r="AB313" s="191" t="str">
        <f t="shared" si="109"/>
        <v/>
      </c>
      <c r="AC313" s="190"/>
      <c r="AD313" s="190"/>
      <c r="AE313" s="191" t="str">
        <f t="shared" si="97"/>
        <v/>
      </c>
      <c r="AF313" s="191" t="s">
        <v>313</v>
      </c>
      <c r="AG313" s="190"/>
      <c r="AH313" s="190"/>
      <c r="AI313" s="191" t="str">
        <f t="shared" si="98"/>
        <v/>
      </c>
      <c r="AJ313" s="191" t="s">
        <v>313</v>
      </c>
      <c r="AK313" s="190"/>
      <c r="AL313" s="190"/>
      <c r="AM313" s="191" t="str">
        <f t="shared" si="99"/>
        <v/>
      </c>
      <c r="AN313" s="191" t="s">
        <v>313</v>
      </c>
      <c r="AO313" s="190"/>
      <c r="AP313" s="190"/>
      <c r="AQ313" s="191" t="str">
        <f t="shared" si="100"/>
        <v/>
      </c>
      <c r="AR313" s="191" t="s">
        <v>313</v>
      </c>
      <c r="AS313" s="190"/>
      <c r="AT313" s="190"/>
      <c r="AU313" s="191" t="str">
        <f t="shared" si="101"/>
        <v/>
      </c>
      <c r="AV313" s="191" t="s">
        <v>313</v>
      </c>
      <c r="AW313" s="190"/>
      <c r="AX313" s="190"/>
      <c r="AY313" s="191" t="str">
        <f t="shared" si="102"/>
        <v/>
      </c>
      <c r="AZ313" s="191" t="s">
        <v>313</v>
      </c>
    </row>
    <row r="314" spans="1:52" ht="34" customHeight="1">
      <c r="A314" s="187" t="s">
        <v>328</v>
      </c>
      <c r="B314" s="188" t="s">
        <v>223</v>
      </c>
      <c r="C314" s="188" t="s">
        <v>85</v>
      </c>
      <c r="D314" s="188" t="s">
        <v>93</v>
      </c>
      <c r="E314" s="188" t="s">
        <v>143</v>
      </c>
      <c r="F314" s="188" t="s">
        <v>320</v>
      </c>
      <c r="G314" s="189" t="s">
        <v>775</v>
      </c>
      <c r="H314" s="190">
        <v>55686.366592186001</v>
      </c>
      <c r="I314" s="190">
        <v>4127360.88</v>
      </c>
      <c r="J314" s="191">
        <f t="shared" si="103"/>
        <v>1.3492003294896278E-2</v>
      </c>
      <c r="K314" s="190">
        <v>67634.73893747</v>
      </c>
      <c r="L314" s="190">
        <v>2363088.44</v>
      </c>
      <c r="M314" s="191">
        <f t="shared" si="104"/>
        <v>2.8621332063843537E-2</v>
      </c>
      <c r="N314" s="190">
        <v>18072.9169686639</v>
      </c>
      <c r="O314" s="190">
        <v>4809678.45</v>
      </c>
      <c r="P314" s="191">
        <f t="shared" si="105"/>
        <v>3.7576143928423943E-3</v>
      </c>
      <c r="Q314" s="190">
        <v>38740.774376061498</v>
      </c>
      <c r="R314" s="190">
        <v>2901973.82</v>
      </c>
      <c r="S314" s="191">
        <f t="shared" si="106"/>
        <v>1.3349801472730551E-2</v>
      </c>
      <c r="T314" s="190">
        <v>24067.638991418498</v>
      </c>
      <c r="U314" s="190">
        <v>3832808.9</v>
      </c>
      <c r="V314" s="191">
        <f t="shared" si="107"/>
        <v>6.2793735924111683E-3</v>
      </c>
      <c r="W314" s="190">
        <v>37255.898466951301</v>
      </c>
      <c r="X314" s="190">
        <v>2715264.98</v>
      </c>
      <c r="Y314" s="191">
        <f t="shared" si="108"/>
        <v>1.3720907072189802E-2</v>
      </c>
      <c r="Z314" s="190">
        <f t="shared" si="95"/>
        <v>241458.33433275117</v>
      </c>
      <c r="AA314" s="190">
        <f t="shared" si="96"/>
        <v>20750175.469999999</v>
      </c>
      <c r="AB314" s="191">
        <f t="shared" si="109"/>
        <v>1.1636447830614474E-2</v>
      </c>
      <c r="AC314" s="190"/>
      <c r="AD314" s="190"/>
      <c r="AE314" s="191" t="str">
        <f t="shared" si="97"/>
        <v/>
      </c>
      <c r="AF314" s="191" t="s">
        <v>313</v>
      </c>
      <c r="AG314" s="190"/>
      <c r="AH314" s="190"/>
      <c r="AI314" s="191" t="str">
        <f t="shared" si="98"/>
        <v/>
      </c>
      <c r="AJ314" s="191" t="s">
        <v>313</v>
      </c>
      <c r="AK314" s="190"/>
      <c r="AL314" s="190"/>
      <c r="AM314" s="191" t="str">
        <f t="shared" si="99"/>
        <v/>
      </c>
      <c r="AN314" s="191" t="s">
        <v>313</v>
      </c>
      <c r="AO314" s="190"/>
      <c r="AP314" s="190"/>
      <c r="AQ314" s="191" t="str">
        <f t="shared" si="100"/>
        <v/>
      </c>
      <c r="AR314" s="191" t="s">
        <v>313</v>
      </c>
      <c r="AS314" s="190"/>
      <c r="AT314" s="190"/>
      <c r="AU314" s="191" t="str">
        <f t="shared" si="101"/>
        <v/>
      </c>
      <c r="AV314" s="191" t="s">
        <v>313</v>
      </c>
      <c r="AW314" s="190"/>
      <c r="AX314" s="190"/>
      <c r="AY314" s="191" t="str">
        <f t="shared" si="102"/>
        <v/>
      </c>
      <c r="AZ314" s="191" t="s">
        <v>313</v>
      </c>
    </row>
    <row r="315" spans="1:52" ht="34" customHeight="1">
      <c r="A315" s="187" t="s">
        <v>328</v>
      </c>
      <c r="B315" s="188" t="s">
        <v>223</v>
      </c>
      <c r="C315" s="188" t="s">
        <v>85</v>
      </c>
      <c r="D315" s="188" t="s">
        <v>152</v>
      </c>
      <c r="E315" s="188" t="s">
        <v>152</v>
      </c>
      <c r="F315" s="188" t="s">
        <v>777</v>
      </c>
      <c r="G315" s="189" t="s">
        <v>775</v>
      </c>
      <c r="H315" s="190"/>
      <c r="I315" s="190">
        <v>4127360.88</v>
      </c>
      <c r="J315" s="191" t="str">
        <f t="shared" si="103"/>
        <v/>
      </c>
      <c r="K315" s="190"/>
      <c r="L315" s="190">
        <v>2363088.44</v>
      </c>
      <c r="M315" s="191" t="str">
        <f t="shared" si="104"/>
        <v/>
      </c>
      <c r="N315" s="190"/>
      <c r="O315" s="190">
        <v>4809678.45</v>
      </c>
      <c r="P315" s="191" t="str">
        <f t="shared" si="105"/>
        <v/>
      </c>
      <c r="Q315" s="190"/>
      <c r="R315" s="190">
        <v>2901973.82</v>
      </c>
      <c r="S315" s="191" t="str">
        <f t="shared" si="106"/>
        <v/>
      </c>
      <c r="T315" s="190"/>
      <c r="U315" s="190">
        <v>3832808.9</v>
      </c>
      <c r="V315" s="191" t="str">
        <f t="shared" si="107"/>
        <v/>
      </c>
      <c r="W315" s="190"/>
      <c r="X315" s="190">
        <v>2715264.98</v>
      </c>
      <c r="Y315" s="191" t="str">
        <f t="shared" si="108"/>
        <v/>
      </c>
      <c r="Z315" s="190" t="str">
        <f t="shared" si="95"/>
        <v/>
      </c>
      <c r="AA315" s="190">
        <f t="shared" si="96"/>
        <v>20750175.469999999</v>
      </c>
      <c r="AB315" s="191" t="str">
        <f t="shared" si="109"/>
        <v/>
      </c>
      <c r="AC315" s="190"/>
      <c r="AD315" s="190"/>
      <c r="AE315" s="191" t="str">
        <f t="shared" si="97"/>
        <v/>
      </c>
      <c r="AF315" s="191" t="s">
        <v>313</v>
      </c>
      <c r="AG315" s="190"/>
      <c r="AH315" s="190"/>
      <c r="AI315" s="191" t="str">
        <f t="shared" si="98"/>
        <v/>
      </c>
      <c r="AJ315" s="191" t="s">
        <v>313</v>
      </c>
      <c r="AK315" s="190"/>
      <c r="AL315" s="190"/>
      <c r="AM315" s="191" t="str">
        <f t="shared" si="99"/>
        <v/>
      </c>
      <c r="AN315" s="191" t="s">
        <v>313</v>
      </c>
      <c r="AO315" s="190"/>
      <c r="AP315" s="190"/>
      <c r="AQ315" s="191" t="str">
        <f t="shared" si="100"/>
        <v/>
      </c>
      <c r="AR315" s="191" t="s">
        <v>313</v>
      </c>
      <c r="AS315" s="190"/>
      <c r="AT315" s="190"/>
      <c r="AU315" s="191" t="str">
        <f t="shared" si="101"/>
        <v/>
      </c>
      <c r="AV315" s="191" t="s">
        <v>313</v>
      </c>
      <c r="AW315" s="190"/>
      <c r="AX315" s="190"/>
      <c r="AY315" s="191" t="str">
        <f t="shared" si="102"/>
        <v/>
      </c>
      <c r="AZ315" s="191" t="s">
        <v>313</v>
      </c>
    </row>
    <row r="316" spans="1:52" ht="34" customHeight="1">
      <c r="A316" s="28" t="s">
        <v>328</v>
      </c>
      <c r="B316" s="29" t="s">
        <v>225</v>
      </c>
      <c r="C316" s="29" t="s">
        <v>46</v>
      </c>
      <c r="D316" s="29"/>
      <c r="E316" s="29" t="s">
        <v>46</v>
      </c>
      <c r="F316" s="29" t="s">
        <v>311</v>
      </c>
      <c r="G316" s="30" t="s">
        <v>312</v>
      </c>
      <c r="H316" s="31">
        <v>136081</v>
      </c>
      <c r="I316" s="31">
        <v>136692</v>
      </c>
      <c r="J316" s="32"/>
      <c r="K316" s="31">
        <v>87972</v>
      </c>
      <c r="L316" s="31">
        <v>85720.73</v>
      </c>
      <c r="M316" s="32"/>
      <c r="N316" s="31">
        <v>240848</v>
      </c>
      <c r="O316" s="31">
        <v>232636.56</v>
      </c>
      <c r="P316" s="32"/>
      <c r="Q316" s="31">
        <v>197193</v>
      </c>
      <c r="R316" s="31">
        <v>194663</v>
      </c>
      <c r="S316" s="32"/>
      <c r="T316" s="31">
        <v>195726.47</v>
      </c>
      <c r="U316" s="31">
        <v>192214.55</v>
      </c>
      <c r="V316" s="32"/>
      <c r="W316" s="31">
        <v>170624.94</v>
      </c>
      <c r="X316" s="31">
        <v>166707.37</v>
      </c>
      <c r="Y316" s="32"/>
      <c r="Z316" s="31">
        <f t="shared" si="95"/>
        <v>1028445.4099999999</v>
      </c>
      <c r="AA316" s="31">
        <f t="shared" si="96"/>
        <v>1008634.2100000001</v>
      </c>
      <c r="AB316" s="32"/>
      <c r="AC316" s="31"/>
      <c r="AD316" s="31"/>
      <c r="AE316" s="32" t="str">
        <f t="shared" si="97"/>
        <v/>
      </c>
      <c r="AF316" s="32" t="s">
        <v>313</v>
      </c>
      <c r="AG316" s="31"/>
      <c r="AH316" s="31"/>
      <c r="AI316" s="32" t="str">
        <f t="shared" si="98"/>
        <v/>
      </c>
      <c r="AJ316" s="32" t="s">
        <v>313</v>
      </c>
      <c r="AK316" s="31"/>
      <c r="AL316" s="31"/>
      <c r="AM316" s="32" t="str">
        <f t="shared" si="99"/>
        <v/>
      </c>
      <c r="AN316" s="32" t="s">
        <v>313</v>
      </c>
      <c r="AO316" s="31"/>
      <c r="AP316" s="31"/>
      <c r="AQ316" s="32" t="str">
        <f t="shared" si="100"/>
        <v/>
      </c>
      <c r="AR316" s="32" t="s">
        <v>313</v>
      </c>
      <c r="AS316" s="31"/>
      <c r="AT316" s="31"/>
      <c r="AU316" s="32" t="str">
        <f t="shared" si="101"/>
        <v/>
      </c>
      <c r="AV316" s="32" t="s">
        <v>313</v>
      </c>
      <c r="AW316" s="31"/>
      <c r="AX316" s="31"/>
      <c r="AY316" s="32" t="str">
        <f t="shared" si="102"/>
        <v/>
      </c>
      <c r="AZ316" s="32" t="s">
        <v>313</v>
      </c>
    </row>
    <row r="317" spans="1:52" ht="34" customHeight="1">
      <c r="A317" s="28" t="s">
        <v>328</v>
      </c>
      <c r="B317" s="29" t="s">
        <v>225</v>
      </c>
      <c r="C317" s="29" t="s">
        <v>121</v>
      </c>
      <c r="D317" s="29"/>
      <c r="E317" s="29" t="s">
        <v>125</v>
      </c>
      <c r="F317" s="29" t="s">
        <v>314</v>
      </c>
      <c r="G317" s="30" t="s">
        <v>312</v>
      </c>
      <c r="H317" s="31">
        <v>2349</v>
      </c>
      <c r="I317" s="31">
        <v>136692</v>
      </c>
      <c r="J317" s="32">
        <f t="shared" ref="J317:J346" si="110">IF(H317="","",IFERROR(H317/I317,""))</f>
        <v>1.7184619436397156E-2</v>
      </c>
      <c r="K317" s="31">
        <v>484.73</v>
      </c>
      <c r="L317" s="31">
        <v>85720.73</v>
      </c>
      <c r="M317" s="32">
        <f t="shared" ref="M317:M346" si="111">IF(K317="","",IFERROR(K317/L317,""))</f>
        <v>5.6547581897634334E-3</v>
      </c>
      <c r="N317" s="31">
        <v>1734.56</v>
      </c>
      <c r="O317" s="31">
        <v>232636.56</v>
      </c>
      <c r="P317" s="32">
        <f t="shared" ref="P317:P346" si="112">IF(N317="","",IFERROR(N317/O317,""))</f>
        <v>7.4560937455402541E-3</v>
      </c>
      <c r="Q317" s="31">
        <v>647</v>
      </c>
      <c r="R317" s="31">
        <v>194663</v>
      </c>
      <c r="S317" s="32">
        <f t="shared" ref="S317:S346" si="113">IF(Q317="","",IFERROR(Q317/R317,""))</f>
        <v>3.3236927407879258E-3</v>
      </c>
      <c r="T317" s="31">
        <v>10</v>
      </c>
      <c r="U317" s="31">
        <v>192214.55</v>
      </c>
      <c r="V317" s="32">
        <f t="shared" ref="V317:V346" si="114">IF(T317="","",IFERROR(T317/U317,""))</f>
        <v>5.2025197884343308E-5</v>
      </c>
      <c r="W317" s="31">
        <v>5</v>
      </c>
      <c r="X317" s="31">
        <v>166707.37</v>
      </c>
      <c r="Y317" s="32">
        <f t="shared" ref="Y317:Y348" si="115">IF(W317="","",IFERROR(W317/X317,""))</f>
        <v>2.9992675188865376E-5</v>
      </c>
      <c r="Z317" s="31">
        <f t="shared" si="95"/>
        <v>5230.29</v>
      </c>
      <c r="AA317" s="31">
        <f t="shared" si="96"/>
        <v>1008634.2100000001</v>
      </c>
      <c r="AB317" s="32">
        <f t="shared" ref="AB317:AB346" si="116">IF(Z317="","",IFERROR(Z317/AA317,""))</f>
        <v>5.1855171559172077E-3</v>
      </c>
      <c r="AC317" s="31"/>
      <c r="AD317" s="31"/>
      <c r="AE317" s="32" t="str">
        <f t="shared" si="97"/>
        <v/>
      </c>
      <c r="AF317" s="32" t="s">
        <v>313</v>
      </c>
      <c r="AG317" s="31"/>
      <c r="AH317" s="31"/>
      <c r="AI317" s="32" t="str">
        <f t="shared" si="98"/>
        <v/>
      </c>
      <c r="AJ317" s="32" t="s">
        <v>313</v>
      </c>
      <c r="AK317" s="31"/>
      <c r="AL317" s="31"/>
      <c r="AM317" s="32" t="str">
        <f t="shared" si="99"/>
        <v/>
      </c>
      <c r="AN317" s="32" t="s">
        <v>313</v>
      </c>
      <c r="AO317" s="31"/>
      <c r="AP317" s="31"/>
      <c r="AQ317" s="32" t="str">
        <f t="shared" si="100"/>
        <v/>
      </c>
      <c r="AR317" s="32" t="s">
        <v>313</v>
      </c>
      <c r="AS317" s="31"/>
      <c r="AT317" s="31"/>
      <c r="AU317" s="32" t="str">
        <f t="shared" si="101"/>
        <v/>
      </c>
      <c r="AV317" s="32" t="s">
        <v>313</v>
      </c>
      <c r="AW317" s="31"/>
      <c r="AX317" s="31"/>
      <c r="AY317" s="32" t="str">
        <f t="shared" si="102"/>
        <v/>
      </c>
      <c r="AZ317" s="32" t="s">
        <v>313</v>
      </c>
    </row>
    <row r="318" spans="1:52" ht="34" customHeight="1">
      <c r="A318" s="28" t="s">
        <v>328</v>
      </c>
      <c r="B318" s="29" t="s">
        <v>225</v>
      </c>
      <c r="C318" s="29" t="s">
        <v>48</v>
      </c>
      <c r="D318" s="29"/>
      <c r="E318" s="29" t="s">
        <v>127</v>
      </c>
      <c r="F318" s="29" t="s">
        <v>315</v>
      </c>
      <c r="G318" s="30" t="s">
        <v>312</v>
      </c>
      <c r="H318" s="31">
        <v>41295.300000000003</v>
      </c>
      <c r="I318" s="31">
        <v>136692</v>
      </c>
      <c r="J318" s="32">
        <f t="shared" si="110"/>
        <v>0.3021047318058116</v>
      </c>
      <c r="K318" s="31">
        <v>27876.31</v>
      </c>
      <c r="L318" s="31">
        <v>85720.73</v>
      </c>
      <c r="M318" s="32">
        <f t="shared" si="111"/>
        <v>0.3251991671092862</v>
      </c>
      <c r="N318" s="31">
        <v>83119.11</v>
      </c>
      <c r="O318" s="31">
        <v>232636.56</v>
      </c>
      <c r="P318" s="32">
        <f t="shared" si="112"/>
        <v>0.357291691383332</v>
      </c>
      <c r="Q318" s="31">
        <v>68886.039999999994</v>
      </c>
      <c r="R318" s="31">
        <v>194663</v>
      </c>
      <c r="S318" s="32">
        <f t="shared" si="113"/>
        <v>0.35387330925753735</v>
      </c>
      <c r="T318" s="31">
        <v>69706.320000000007</v>
      </c>
      <c r="U318" s="31">
        <v>192214.55</v>
      </c>
      <c r="V318" s="32">
        <f t="shared" si="114"/>
        <v>0.36264850917893576</v>
      </c>
      <c r="W318" s="31">
        <v>61834.83</v>
      </c>
      <c r="X318" s="31">
        <v>166707.37</v>
      </c>
      <c r="Y318" s="32">
        <f t="shared" si="115"/>
        <v>0.37091839430974172</v>
      </c>
      <c r="Z318" s="31">
        <f t="shared" si="95"/>
        <v>352717.91000000003</v>
      </c>
      <c r="AA318" s="31">
        <f t="shared" si="96"/>
        <v>1008634.2100000001</v>
      </c>
      <c r="AB318" s="32">
        <f t="shared" si="116"/>
        <v>0.34969853937434864</v>
      </c>
      <c r="AC318" s="31"/>
      <c r="AD318" s="31"/>
      <c r="AE318" s="32" t="str">
        <f t="shared" si="97"/>
        <v/>
      </c>
      <c r="AF318" s="32" t="s">
        <v>313</v>
      </c>
      <c r="AG318" s="31"/>
      <c r="AH318" s="31"/>
      <c r="AI318" s="32" t="str">
        <f t="shared" si="98"/>
        <v/>
      </c>
      <c r="AJ318" s="32" t="s">
        <v>313</v>
      </c>
      <c r="AK318" s="31"/>
      <c r="AL318" s="31"/>
      <c r="AM318" s="32" t="str">
        <f t="shared" si="99"/>
        <v/>
      </c>
      <c r="AN318" s="32" t="s">
        <v>313</v>
      </c>
      <c r="AO318" s="31"/>
      <c r="AP318" s="31"/>
      <c r="AQ318" s="32" t="str">
        <f t="shared" si="100"/>
        <v/>
      </c>
      <c r="AR318" s="32" t="s">
        <v>313</v>
      </c>
      <c r="AS318" s="31"/>
      <c r="AT318" s="31"/>
      <c r="AU318" s="32" t="str">
        <f t="shared" si="101"/>
        <v/>
      </c>
      <c r="AV318" s="32" t="s">
        <v>313</v>
      </c>
      <c r="AW318" s="31"/>
      <c r="AX318" s="31"/>
      <c r="AY318" s="32" t="str">
        <f t="shared" si="102"/>
        <v/>
      </c>
      <c r="AZ318" s="32" t="s">
        <v>313</v>
      </c>
    </row>
    <row r="319" spans="1:52" ht="34" customHeight="1">
      <c r="A319" s="28" t="s">
        <v>328</v>
      </c>
      <c r="B319" s="29" t="s">
        <v>225</v>
      </c>
      <c r="C319" s="29" t="s">
        <v>52</v>
      </c>
      <c r="D319" s="29" t="s">
        <v>54</v>
      </c>
      <c r="E319" s="29" t="s">
        <v>55</v>
      </c>
      <c r="F319" s="29" t="s">
        <v>130</v>
      </c>
      <c r="G319" s="30" t="s">
        <v>312</v>
      </c>
      <c r="H319" s="31">
        <v>34212.32</v>
      </c>
      <c r="I319" s="31">
        <v>136692</v>
      </c>
      <c r="J319" s="32">
        <f t="shared" si="110"/>
        <v>0.25028765399584468</v>
      </c>
      <c r="K319" s="31">
        <v>21340.51</v>
      </c>
      <c r="L319" s="31">
        <v>85720.73</v>
      </c>
      <c r="M319" s="32">
        <f t="shared" si="111"/>
        <v>0.24895389948265723</v>
      </c>
      <c r="N319" s="31">
        <v>48647.13</v>
      </c>
      <c r="O319" s="31">
        <v>232636.56</v>
      </c>
      <c r="P319" s="32">
        <f t="shared" si="112"/>
        <v>0.20911214471190598</v>
      </c>
      <c r="Q319" s="31">
        <v>40773.660000000003</v>
      </c>
      <c r="R319" s="31">
        <v>194663</v>
      </c>
      <c r="S319" s="32">
        <f t="shared" si="113"/>
        <v>0.20945767814119789</v>
      </c>
      <c r="T319" s="31">
        <v>49455.32</v>
      </c>
      <c r="U319" s="31">
        <v>192214.55</v>
      </c>
      <c r="V319" s="32">
        <f t="shared" si="114"/>
        <v>0.2572922809433521</v>
      </c>
      <c r="W319" s="31">
        <v>47959.98</v>
      </c>
      <c r="X319" s="31">
        <v>166707.37</v>
      </c>
      <c r="Y319" s="32">
        <f t="shared" si="115"/>
        <v>0.28768962044089597</v>
      </c>
      <c r="Z319" s="31">
        <f t="shared" si="95"/>
        <v>242388.92</v>
      </c>
      <c r="AA319" s="31">
        <f t="shared" si="96"/>
        <v>1008634.2100000001</v>
      </c>
      <c r="AB319" s="32">
        <f t="shared" si="116"/>
        <v>0.24031399847125945</v>
      </c>
      <c r="AC319" s="31"/>
      <c r="AD319" s="31"/>
      <c r="AE319" s="32" t="str">
        <f t="shared" si="97"/>
        <v/>
      </c>
      <c r="AF319" s="32" t="s">
        <v>313</v>
      </c>
      <c r="AG319" s="31"/>
      <c r="AH319" s="31"/>
      <c r="AI319" s="32" t="str">
        <f t="shared" si="98"/>
        <v/>
      </c>
      <c r="AJ319" s="32" t="s">
        <v>313</v>
      </c>
      <c r="AK319" s="31"/>
      <c r="AL319" s="31"/>
      <c r="AM319" s="32" t="str">
        <f t="shared" si="99"/>
        <v/>
      </c>
      <c r="AN319" s="32" t="s">
        <v>313</v>
      </c>
      <c r="AO319" s="31"/>
      <c r="AP319" s="31"/>
      <c r="AQ319" s="32" t="str">
        <f t="shared" si="100"/>
        <v/>
      </c>
      <c r="AR319" s="32" t="s">
        <v>313</v>
      </c>
      <c r="AS319" s="31"/>
      <c r="AT319" s="31"/>
      <c r="AU319" s="32" t="str">
        <f t="shared" si="101"/>
        <v/>
      </c>
      <c r="AV319" s="32" t="s">
        <v>313</v>
      </c>
      <c r="AW319" s="31"/>
      <c r="AX319" s="31"/>
      <c r="AY319" s="32" t="str">
        <f t="shared" si="102"/>
        <v/>
      </c>
      <c r="AZ319" s="32" t="s">
        <v>313</v>
      </c>
    </row>
    <row r="320" spans="1:52" ht="34" customHeight="1">
      <c r="A320" s="28" t="s">
        <v>328</v>
      </c>
      <c r="B320" s="29" t="s">
        <v>225</v>
      </c>
      <c r="C320" s="29" t="s">
        <v>52</v>
      </c>
      <c r="D320" s="29" t="s">
        <v>54</v>
      </c>
      <c r="E320" s="29" t="s">
        <v>58</v>
      </c>
      <c r="F320" s="29" t="s">
        <v>316</v>
      </c>
      <c r="G320" s="30" t="s">
        <v>312</v>
      </c>
      <c r="H320" s="31"/>
      <c r="I320" s="31">
        <v>136692</v>
      </c>
      <c r="J320" s="32" t="str">
        <f t="shared" si="110"/>
        <v/>
      </c>
      <c r="K320" s="31"/>
      <c r="L320" s="31">
        <v>85720.73</v>
      </c>
      <c r="M320" s="32" t="str">
        <f t="shared" si="111"/>
        <v/>
      </c>
      <c r="N320" s="31"/>
      <c r="O320" s="31">
        <v>232636.56</v>
      </c>
      <c r="P320" s="32" t="str">
        <f t="shared" si="112"/>
        <v/>
      </c>
      <c r="Q320" s="31"/>
      <c r="R320" s="31">
        <v>194663</v>
      </c>
      <c r="S320" s="32" t="str">
        <f t="shared" si="113"/>
        <v/>
      </c>
      <c r="T320" s="31"/>
      <c r="U320" s="31">
        <v>192214.55</v>
      </c>
      <c r="V320" s="32" t="str">
        <f t="shared" si="114"/>
        <v/>
      </c>
      <c r="W320" s="31"/>
      <c r="X320" s="31">
        <v>166707.37</v>
      </c>
      <c r="Y320" s="32" t="str">
        <f t="shared" si="115"/>
        <v/>
      </c>
      <c r="Z320" s="31" t="str">
        <f t="shared" si="95"/>
        <v/>
      </c>
      <c r="AA320" s="31">
        <f t="shared" si="96"/>
        <v>1008634.2100000001</v>
      </c>
      <c r="AB320" s="32" t="str">
        <f t="shared" si="116"/>
        <v/>
      </c>
      <c r="AC320" s="31"/>
      <c r="AD320" s="31"/>
      <c r="AE320" s="32" t="str">
        <f t="shared" si="97"/>
        <v/>
      </c>
      <c r="AF320" s="32" t="s">
        <v>313</v>
      </c>
      <c r="AG320" s="31"/>
      <c r="AH320" s="31"/>
      <c r="AI320" s="32" t="str">
        <f t="shared" si="98"/>
        <v/>
      </c>
      <c r="AJ320" s="32" t="s">
        <v>313</v>
      </c>
      <c r="AK320" s="31"/>
      <c r="AL320" s="31"/>
      <c r="AM320" s="32" t="str">
        <f t="shared" si="99"/>
        <v/>
      </c>
      <c r="AN320" s="32" t="s">
        <v>313</v>
      </c>
      <c r="AO320" s="31"/>
      <c r="AP320" s="31"/>
      <c r="AQ320" s="32" t="str">
        <f t="shared" si="100"/>
        <v/>
      </c>
      <c r="AR320" s="32" t="s">
        <v>313</v>
      </c>
      <c r="AS320" s="31"/>
      <c r="AT320" s="31"/>
      <c r="AU320" s="32" t="str">
        <f t="shared" si="101"/>
        <v/>
      </c>
      <c r="AV320" s="32" t="s">
        <v>313</v>
      </c>
      <c r="AW320" s="31"/>
      <c r="AX320" s="31"/>
      <c r="AY320" s="32" t="str">
        <f t="shared" si="102"/>
        <v/>
      </c>
      <c r="AZ320" s="32" t="s">
        <v>313</v>
      </c>
    </row>
    <row r="321" spans="1:52" ht="34" customHeight="1">
      <c r="A321" s="28" t="s">
        <v>328</v>
      </c>
      <c r="B321" s="29" t="s">
        <v>225</v>
      </c>
      <c r="C321" s="29" t="s">
        <v>52</v>
      </c>
      <c r="D321" s="29" t="s">
        <v>54</v>
      </c>
      <c r="E321" s="29" t="s">
        <v>59</v>
      </c>
      <c r="F321" s="29" t="s">
        <v>316</v>
      </c>
      <c r="G321" s="30" t="s">
        <v>312</v>
      </c>
      <c r="H321" s="31"/>
      <c r="I321" s="31">
        <v>136692</v>
      </c>
      <c r="J321" s="32" t="str">
        <f t="shared" si="110"/>
        <v/>
      </c>
      <c r="K321" s="31"/>
      <c r="L321" s="31">
        <v>85720.73</v>
      </c>
      <c r="M321" s="32" t="str">
        <f t="shared" si="111"/>
        <v/>
      </c>
      <c r="N321" s="31"/>
      <c r="O321" s="31">
        <v>232636.56</v>
      </c>
      <c r="P321" s="32" t="str">
        <f t="shared" si="112"/>
        <v/>
      </c>
      <c r="Q321" s="31"/>
      <c r="R321" s="31">
        <v>194663</v>
      </c>
      <c r="S321" s="32" t="str">
        <f t="shared" si="113"/>
        <v/>
      </c>
      <c r="T321" s="31"/>
      <c r="U321" s="31">
        <v>192214.55</v>
      </c>
      <c r="V321" s="32" t="str">
        <f t="shared" si="114"/>
        <v/>
      </c>
      <c r="W321" s="31"/>
      <c r="X321" s="31">
        <v>166707.37</v>
      </c>
      <c r="Y321" s="32" t="str">
        <f t="shared" si="115"/>
        <v/>
      </c>
      <c r="Z321" s="31" t="str">
        <f t="shared" si="95"/>
        <v/>
      </c>
      <c r="AA321" s="31">
        <f t="shared" si="96"/>
        <v>1008634.2100000001</v>
      </c>
      <c r="AB321" s="32" t="str">
        <f t="shared" si="116"/>
        <v/>
      </c>
      <c r="AC321" s="31"/>
      <c r="AD321" s="31"/>
      <c r="AE321" s="32" t="str">
        <f t="shared" si="97"/>
        <v/>
      </c>
      <c r="AF321" s="32" t="s">
        <v>313</v>
      </c>
      <c r="AG321" s="31"/>
      <c r="AH321" s="31"/>
      <c r="AI321" s="32" t="str">
        <f t="shared" si="98"/>
        <v/>
      </c>
      <c r="AJ321" s="32" t="s">
        <v>313</v>
      </c>
      <c r="AK321" s="31"/>
      <c r="AL321" s="31"/>
      <c r="AM321" s="32" t="str">
        <f t="shared" si="99"/>
        <v/>
      </c>
      <c r="AN321" s="32" t="s">
        <v>313</v>
      </c>
      <c r="AO321" s="31"/>
      <c r="AP321" s="31"/>
      <c r="AQ321" s="32" t="str">
        <f t="shared" si="100"/>
        <v/>
      </c>
      <c r="AR321" s="32" t="s">
        <v>313</v>
      </c>
      <c r="AS321" s="31"/>
      <c r="AT321" s="31"/>
      <c r="AU321" s="32" t="str">
        <f t="shared" si="101"/>
        <v/>
      </c>
      <c r="AV321" s="32" t="s">
        <v>313</v>
      </c>
      <c r="AW321" s="31"/>
      <c r="AX321" s="31"/>
      <c r="AY321" s="32" t="str">
        <f t="shared" si="102"/>
        <v/>
      </c>
      <c r="AZ321" s="32" t="s">
        <v>313</v>
      </c>
    </row>
    <row r="322" spans="1:52" ht="34" customHeight="1">
      <c r="A322" s="28" t="s">
        <v>328</v>
      </c>
      <c r="B322" s="29" t="s">
        <v>225</v>
      </c>
      <c r="C322" s="29" t="s">
        <v>52</v>
      </c>
      <c r="D322" s="29" t="s">
        <v>54</v>
      </c>
      <c r="E322" s="29" t="s">
        <v>64</v>
      </c>
      <c r="F322" s="29" t="s">
        <v>133</v>
      </c>
      <c r="G322" s="30" t="s">
        <v>312</v>
      </c>
      <c r="H322" s="31">
        <v>1738</v>
      </c>
      <c r="I322" s="31">
        <v>136692</v>
      </c>
      <c r="J322" s="32">
        <f t="shared" si="110"/>
        <v>1.2714716296491383E-2</v>
      </c>
      <c r="K322" s="31">
        <v>2736</v>
      </c>
      <c r="L322" s="31">
        <v>85720.73</v>
      </c>
      <c r="M322" s="32">
        <f t="shared" si="111"/>
        <v>3.1917600328415313E-2</v>
      </c>
      <c r="N322" s="31">
        <v>9946</v>
      </c>
      <c r="O322" s="31">
        <v>232636.56</v>
      </c>
      <c r="P322" s="32">
        <f t="shared" si="112"/>
        <v>4.2753383217152108E-2</v>
      </c>
      <c r="Q322" s="31">
        <v>3177</v>
      </c>
      <c r="R322" s="31">
        <v>194663</v>
      </c>
      <c r="S322" s="32">
        <f t="shared" si="113"/>
        <v>1.6320512886372859E-2</v>
      </c>
      <c r="T322" s="31">
        <v>3521.92</v>
      </c>
      <c r="U322" s="31">
        <v>192214.55</v>
      </c>
      <c r="V322" s="32">
        <f t="shared" si="114"/>
        <v>1.8322858493282638E-2</v>
      </c>
      <c r="W322" s="31">
        <v>3922.57</v>
      </c>
      <c r="X322" s="31">
        <v>166707.37</v>
      </c>
      <c r="Y322" s="32">
        <f t="shared" si="115"/>
        <v>2.3529673583117534E-2</v>
      </c>
      <c r="Z322" s="31">
        <f t="shared" si="95"/>
        <v>25041.489999999998</v>
      </c>
      <c r="AA322" s="31">
        <f t="shared" si="96"/>
        <v>1008634.2100000001</v>
      </c>
      <c r="AB322" s="32">
        <f t="shared" si="116"/>
        <v>2.4827127368602733E-2</v>
      </c>
      <c r="AC322" s="31"/>
      <c r="AD322" s="31"/>
      <c r="AE322" s="32" t="str">
        <f t="shared" si="97"/>
        <v/>
      </c>
      <c r="AF322" s="32" t="s">
        <v>313</v>
      </c>
      <c r="AG322" s="31"/>
      <c r="AH322" s="31"/>
      <c r="AI322" s="32" t="str">
        <f t="shared" si="98"/>
        <v/>
      </c>
      <c r="AJ322" s="32" t="s">
        <v>313</v>
      </c>
      <c r="AK322" s="31"/>
      <c r="AL322" s="31"/>
      <c r="AM322" s="32" t="str">
        <f t="shared" si="99"/>
        <v/>
      </c>
      <c r="AN322" s="32" t="s">
        <v>313</v>
      </c>
      <c r="AO322" s="31"/>
      <c r="AP322" s="31"/>
      <c r="AQ322" s="32" t="str">
        <f t="shared" si="100"/>
        <v/>
      </c>
      <c r="AR322" s="32" t="s">
        <v>313</v>
      </c>
      <c r="AS322" s="31"/>
      <c r="AT322" s="31"/>
      <c r="AU322" s="32" t="str">
        <f t="shared" si="101"/>
        <v/>
      </c>
      <c r="AV322" s="32" t="s">
        <v>313</v>
      </c>
      <c r="AW322" s="31"/>
      <c r="AX322" s="31"/>
      <c r="AY322" s="32" t="str">
        <f t="shared" si="102"/>
        <v/>
      </c>
      <c r="AZ322" s="32" t="s">
        <v>313</v>
      </c>
    </row>
    <row r="323" spans="1:52" ht="34" customHeight="1">
      <c r="A323" s="28" t="s">
        <v>328</v>
      </c>
      <c r="B323" s="29" t="s">
        <v>225</v>
      </c>
      <c r="C323" s="29" t="s">
        <v>52</v>
      </c>
      <c r="D323" s="29" t="s">
        <v>54</v>
      </c>
      <c r="E323" s="29" t="s">
        <v>60</v>
      </c>
      <c r="F323" s="29" t="s">
        <v>316</v>
      </c>
      <c r="G323" s="30" t="s">
        <v>312</v>
      </c>
      <c r="H323" s="31"/>
      <c r="I323" s="31">
        <v>136692</v>
      </c>
      <c r="J323" s="32" t="str">
        <f t="shared" si="110"/>
        <v/>
      </c>
      <c r="K323" s="31"/>
      <c r="L323" s="31">
        <v>85720.73</v>
      </c>
      <c r="M323" s="32" t="str">
        <f t="shared" si="111"/>
        <v/>
      </c>
      <c r="N323" s="31"/>
      <c r="O323" s="31">
        <v>232636.56</v>
      </c>
      <c r="P323" s="32" t="str">
        <f t="shared" si="112"/>
        <v/>
      </c>
      <c r="Q323" s="31"/>
      <c r="R323" s="31">
        <v>194663</v>
      </c>
      <c r="S323" s="32" t="str">
        <f t="shared" si="113"/>
        <v/>
      </c>
      <c r="T323" s="31"/>
      <c r="U323" s="31">
        <v>192214.55</v>
      </c>
      <c r="V323" s="32" t="str">
        <f t="shared" si="114"/>
        <v/>
      </c>
      <c r="W323" s="31"/>
      <c r="X323" s="31">
        <v>166707.37</v>
      </c>
      <c r="Y323" s="32" t="str">
        <f t="shared" si="115"/>
        <v/>
      </c>
      <c r="Z323" s="31" t="str">
        <f t="shared" si="95"/>
        <v/>
      </c>
      <c r="AA323" s="31">
        <f t="shared" si="96"/>
        <v>1008634.2100000001</v>
      </c>
      <c r="AB323" s="32" t="str">
        <f t="shared" si="116"/>
        <v/>
      </c>
      <c r="AC323" s="31"/>
      <c r="AD323" s="31"/>
      <c r="AE323" s="32" t="str">
        <f t="shared" si="97"/>
        <v/>
      </c>
      <c r="AF323" s="32" t="s">
        <v>313</v>
      </c>
      <c r="AG323" s="31"/>
      <c r="AH323" s="31"/>
      <c r="AI323" s="32" t="str">
        <f t="shared" si="98"/>
        <v/>
      </c>
      <c r="AJ323" s="32" t="s">
        <v>313</v>
      </c>
      <c r="AK323" s="31"/>
      <c r="AL323" s="31"/>
      <c r="AM323" s="32" t="str">
        <f t="shared" si="99"/>
        <v/>
      </c>
      <c r="AN323" s="32" t="s">
        <v>313</v>
      </c>
      <c r="AO323" s="31"/>
      <c r="AP323" s="31"/>
      <c r="AQ323" s="32" t="str">
        <f t="shared" si="100"/>
        <v/>
      </c>
      <c r="AR323" s="32" t="s">
        <v>313</v>
      </c>
      <c r="AS323" s="31"/>
      <c r="AT323" s="31"/>
      <c r="AU323" s="32" t="str">
        <f t="shared" si="101"/>
        <v/>
      </c>
      <c r="AV323" s="32" t="s">
        <v>313</v>
      </c>
      <c r="AW323" s="31"/>
      <c r="AX323" s="31"/>
      <c r="AY323" s="32" t="str">
        <f t="shared" si="102"/>
        <v/>
      </c>
      <c r="AZ323" s="32" t="s">
        <v>313</v>
      </c>
    </row>
    <row r="324" spans="1:52" ht="51" customHeight="1">
      <c r="A324" s="28" t="s">
        <v>328</v>
      </c>
      <c r="B324" s="29" t="s">
        <v>225</v>
      </c>
      <c r="C324" s="29" t="s">
        <v>52</v>
      </c>
      <c r="D324" s="29" t="s">
        <v>54</v>
      </c>
      <c r="E324" s="29" t="s">
        <v>61</v>
      </c>
      <c r="F324" s="29" t="s">
        <v>135</v>
      </c>
      <c r="G324" s="30" t="s">
        <v>312</v>
      </c>
      <c r="H324" s="31">
        <v>6474.4156000000003</v>
      </c>
      <c r="I324" s="31">
        <v>136692</v>
      </c>
      <c r="J324" s="32">
        <f t="shared" si="110"/>
        <v>4.7364992830597259E-2</v>
      </c>
      <c r="K324" s="31">
        <v>7436.1259419999997</v>
      </c>
      <c r="L324" s="31">
        <v>85720.73</v>
      </c>
      <c r="M324" s="32">
        <f t="shared" si="111"/>
        <v>8.674828063176783E-2</v>
      </c>
      <c r="N324" s="31">
        <v>16907.950803</v>
      </c>
      <c r="O324" s="31">
        <v>232636.56</v>
      </c>
      <c r="P324" s="32">
        <f t="shared" si="112"/>
        <v>7.2679680283271042E-2</v>
      </c>
      <c r="Q324" s="31">
        <v>12072.685556</v>
      </c>
      <c r="R324" s="31">
        <v>194663</v>
      </c>
      <c r="S324" s="32">
        <f t="shared" si="113"/>
        <v>6.2018388476495281E-2</v>
      </c>
      <c r="T324" s="31">
        <v>9968.8055359999998</v>
      </c>
      <c r="U324" s="31">
        <v>192214.55</v>
      </c>
      <c r="V324" s="32">
        <f t="shared" si="114"/>
        <v>5.1862908068093704E-2</v>
      </c>
      <c r="W324" s="31">
        <v>11410.618076000001</v>
      </c>
      <c r="X324" s="31">
        <v>166707.37</v>
      </c>
      <c r="Y324" s="32">
        <f t="shared" si="115"/>
        <v>6.8446992331532799E-2</v>
      </c>
      <c r="Z324" s="31">
        <f t="shared" si="95"/>
        <v>64270.601513000001</v>
      </c>
      <c r="AA324" s="31">
        <f t="shared" si="96"/>
        <v>1008634.2100000001</v>
      </c>
      <c r="AB324" s="32">
        <f t="shared" si="116"/>
        <v>6.3720425973852302E-2</v>
      </c>
      <c r="AC324" s="31"/>
      <c r="AD324" s="31"/>
      <c r="AE324" s="32" t="str">
        <f t="shared" si="97"/>
        <v/>
      </c>
      <c r="AF324" s="32" t="s">
        <v>313</v>
      </c>
      <c r="AG324" s="31"/>
      <c r="AH324" s="31"/>
      <c r="AI324" s="32" t="str">
        <f t="shared" si="98"/>
        <v/>
      </c>
      <c r="AJ324" s="32" t="s">
        <v>313</v>
      </c>
      <c r="AK324" s="31"/>
      <c r="AL324" s="31"/>
      <c r="AM324" s="32" t="str">
        <f t="shared" si="99"/>
        <v/>
      </c>
      <c r="AN324" s="32" t="s">
        <v>313</v>
      </c>
      <c r="AO324" s="31"/>
      <c r="AP324" s="31"/>
      <c r="AQ324" s="32" t="str">
        <f t="shared" si="100"/>
        <v/>
      </c>
      <c r="AR324" s="32" t="s">
        <v>313</v>
      </c>
      <c r="AS324" s="31"/>
      <c r="AT324" s="31"/>
      <c r="AU324" s="32" t="str">
        <f t="shared" si="101"/>
        <v/>
      </c>
      <c r="AV324" s="32" t="s">
        <v>313</v>
      </c>
      <c r="AW324" s="31"/>
      <c r="AX324" s="31"/>
      <c r="AY324" s="32" t="str">
        <f t="shared" si="102"/>
        <v/>
      </c>
      <c r="AZ324" s="32" t="s">
        <v>313</v>
      </c>
    </row>
    <row r="325" spans="1:52" ht="34" customHeight="1">
      <c r="A325" s="28" t="s">
        <v>328</v>
      </c>
      <c r="B325" s="29" t="s">
        <v>225</v>
      </c>
      <c r="C325" s="29" t="s">
        <v>52</v>
      </c>
      <c r="D325" s="29" t="s">
        <v>54</v>
      </c>
      <c r="E325" s="29" t="s">
        <v>62</v>
      </c>
      <c r="F325" s="29" t="s">
        <v>316</v>
      </c>
      <c r="G325" s="30" t="s">
        <v>312</v>
      </c>
      <c r="H325" s="31"/>
      <c r="I325" s="31">
        <v>136692</v>
      </c>
      <c r="J325" s="32" t="str">
        <f t="shared" si="110"/>
        <v/>
      </c>
      <c r="K325" s="31"/>
      <c r="L325" s="31">
        <v>85720.73</v>
      </c>
      <c r="M325" s="32" t="str">
        <f t="shared" si="111"/>
        <v/>
      </c>
      <c r="N325" s="31"/>
      <c r="O325" s="31">
        <v>232636.56</v>
      </c>
      <c r="P325" s="32" t="str">
        <f t="shared" si="112"/>
        <v/>
      </c>
      <c r="Q325" s="31"/>
      <c r="R325" s="31">
        <v>194663</v>
      </c>
      <c r="S325" s="32" t="str">
        <f t="shared" si="113"/>
        <v/>
      </c>
      <c r="T325" s="31"/>
      <c r="U325" s="31">
        <v>192214.55</v>
      </c>
      <c r="V325" s="32" t="str">
        <f t="shared" si="114"/>
        <v/>
      </c>
      <c r="W325" s="31"/>
      <c r="X325" s="31">
        <v>166707.37</v>
      </c>
      <c r="Y325" s="32" t="str">
        <f t="shared" si="115"/>
        <v/>
      </c>
      <c r="Z325" s="31" t="str">
        <f t="shared" si="95"/>
        <v/>
      </c>
      <c r="AA325" s="31">
        <f t="shared" si="96"/>
        <v>1008634.2100000001</v>
      </c>
      <c r="AB325" s="32" t="str">
        <f t="shared" si="116"/>
        <v/>
      </c>
      <c r="AC325" s="31"/>
      <c r="AD325" s="31"/>
      <c r="AE325" s="32" t="str">
        <f t="shared" si="97"/>
        <v/>
      </c>
      <c r="AF325" s="32" t="s">
        <v>313</v>
      </c>
      <c r="AG325" s="31"/>
      <c r="AH325" s="31"/>
      <c r="AI325" s="32" t="str">
        <f t="shared" si="98"/>
        <v/>
      </c>
      <c r="AJ325" s="32" t="s">
        <v>313</v>
      </c>
      <c r="AK325" s="31"/>
      <c r="AL325" s="31"/>
      <c r="AM325" s="32" t="str">
        <f t="shared" si="99"/>
        <v/>
      </c>
      <c r="AN325" s="32" t="s">
        <v>313</v>
      </c>
      <c r="AO325" s="31"/>
      <c r="AP325" s="31"/>
      <c r="AQ325" s="32" t="str">
        <f t="shared" si="100"/>
        <v/>
      </c>
      <c r="AR325" s="32" t="s">
        <v>313</v>
      </c>
      <c r="AS325" s="31"/>
      <c r="AT325" s="31"/>
      <c r="AU325" s="32" t="str">
        <f t="shared" si="101"/>
        <v/>
      </c>
      <c r="AV325" s="32" t="s">
        <v>313</v>
      </c>
      <c r="AW325" s="31"/>
      <c r="AX325" s="31"/>
      <c r="AY325" s="32" t="str">
        <f t="shared" si="102"/>
        <v/>
      </c>
      <c r="AZ325" s="32" t="s">
        <v>313</v>
      </c>
    </row>
    <row r="326" spans="1:52" ht="34" customHeight="1">
      <c r="A326" s="28" t="s">
        <v>328</v>
      </c>
      <c r="B326" s="29" t="s">
        <v>225</v>
      </c>
      <c r="C326" s="29" t="s">
        <v>52</v>
      </c>
      <c r="D326" s="29" t="s">
        <v>54</v>
      </c>
      <c r="E326" s="29" t="s">
        <v>63</v>
      </c>
      <c r="F326" s="29" t="s">
        <v>316</v>
      </c>
      <c r="G326" s="30" t="s">
        <v>312</v>
      </c>
      <c r="H326" s="31"/>
      <c r="I326" s="31">
        <v>136692</v>
      </c>
      <c r="J326" s="32" t="str">
        <f t="shared" si="110"/>
        <v/>
      </c>
      <c r="K326" s="31"/>
      <c r="L326" s="31">
        <v>85720.73</v>
      </c>
      <c r="M326" s="32" t="str">
        <f t="shared" si="111"/>
        <v/>
      </c>
      <c r="N326" s="31"/>
      <c r="O326" s="31">
        <v>232636.56</v>
      </c>
      <c r="P326" s="32" t="str">
        <f t="shared" si="112"/>
        <v/>
      </c>
      <c r="Q326" s="31"/>
      <c r="R326" s="31">
        <v>194663</v>
      </c>
      <c r="S326" s="32" t="str">
        <f t="shared" si="113"/>
        <v/>
      </c>
      <c r="T326" s="31"/>
      <c r="U326" s="31">
        <v>192214.55</v>
      </c>
      <c r="V326" s="32" t="str">
        <f t="shared" si="114"/>
        <v/>
      </c>
      <c r="W326" s="31"/>
      <c r="X326" s="31">
        <v>166707.37</v>
      </c>
      <c r="Y326" s="32" t="str">
        <f t="shared" si="115"/>
        <v/>
      </c>
      <c r="Z326" s="31" t="str">
        <f t="shared" ref="Z326:Z389" si="117">IF(COUNT(H326,K326,N326,Q326,T326,W326)=0,"",SUM(H326,K326,N326,Q326,T326,W326))</f>
        <v/>
      </c>
      <c r="AA326" s="31">
        <f t="shared" ref="AA326:AA389" si="118">IF(COUNT(I326,L326,O326,R326,U326,X326)=0,"",SUM(I326,L326,O326,R326,U326,X326))</f>
        <v>1008634.2100000001</v>
      </c>
      <c r="AB326" s="32" t="str">
        <f t="shared" si="116"/>
        <v/>
      </c>
      <c r="AC326" s="31"/>
      <c r="AD326" s="31"/>
      <c r="AE326" s="32" t="str">
        <f t="shared" ref="AE326:AE389" si="119">IF(AC326="","",IFERROR(AC326/AD326,""))</f>
        <v/>
      </c>
      <c r="AF326" s="32" t="s">
        <v>313</v>
      </c>
      <c r="AG326" s="31"/>
      <c r="AH326" s="31"/>
      <c r="AI326" s="32" t="str">
        <f t="shared" ref="AI326:AI389" si="120">IF(AG326="","",IFERROR(AG326/AH326,""))</f>
        <v/>
      </c>
      <c r="AJ326" s="32" t="s">
        <v>313</v>
      </c>
      <c r="AK326" s="31"/>
      <c r="AL326" s="31"/>
      <c r="AM326" s="32" t="str">
        <f t="shared" ref="AM326:AM389" si="121">IF(AK326="","",IFERROR(AK326/AL326,""))</f>
        <v/>
      </c>
      <c r="AN326" s="32" t="s">
        <v>313</v>
      </c>
      <c r="AO326" s="31"/>
      <c r="AP326" s="31"/>
      <c r="AQ326" s="32" t="str">
        <f t="shared" ref="AQ326:AQ389" si="122">IF(AO326="","",IFERROR(AO326/AP326,""))</f>
        <v/>
      </c>
      <c r="AR326" s="32" t="s">
        <v>313</v>
      </c>
      <c r="AS326" s="31"/>
      <c r="AT326" s="31"/>
      <c r="AU326" s="32" t="str">
        <f t="shared" ref="AU326:AU389" si="123">IF(AS326="","",IFERROR(AS326/AT326,""))</f>
        <v/>
      </c>
      <c r="AV326" s="32" t="s">
        <v>313</v>
      </c>
      <c r="AW326" s="31"/>
      <c r="AX326" s="31"/>
      <c r="AY326" s="32" t="str">
        <f t="shared" ref="AY326:AY389" si="124">IF(AW326="","",IFERROR(AW326/AX326,""))</f>
        <v/>
      </c>
      <c r="AZ326" s="32" t="s">
        <v>313</v>
      </c>
    </row>
    <row r="327" spans="1:52" ht="34" customHeight="1">
      <c r="A327" s="28" t="s">
        <v>328</v>
      </c>
      <c r="B327" s="29" t="s">
        <v>225</v>
      </c>
      <c r="C327" s="29" t="s">
        <v>52</v>
      </c>
      <c r="D327" s="29" t="s">
        <v>65</v>
      </c>
      <c r="E327" s="29" t="s">
        <v>66</v>
      </c>
      <c r="F327" s="29" t="s">
        <v>316</v>
      </c>
      <c r="G327" s="30" t="s">
        <v>312</v>
      </c>
      <c r="H327" s="31"/>
      <c r="I327" s="31">
        <v>136692</v>
      </c>
      <c r="J327" s="32" t="str">
        <f t="shared" si="110"/>
        <v/>
      </c>
      <c r="K327" s="31"/>
      <c r="L327" s="31">
        <v>85720.73</v>
      </c>
      <c r="M327" s="32" t="str">
        <f t="shared" si="111"/>
        <v/>
      </c>
      <c r="N327" s="31"/>
      <c r="O327" s="31">
        <v>232636.56</v>
      </c>
      <c r="P327" s="32" t="str">
        <f t="shared" si="112"/>
        <v/>
      </c>
      <c r="Q327" s="31"/>
      <c r="R327" s="31">
        <v>194663</v>
      </c>
      <c r="S327" s="32" t="str">
        <f t="shared" si="113"/>
        <v/>
      </c>
      <c r="T327" s="31"/>
      <c r="U327" s="31">
        <v>192214.55</v>
      </c>
      <c r="V327" s="32" t="str">
        <f t="shared" si="114"/>
        <v/>
      </c>
      <c r="W327" s="31"/>
      <c r="X327" s="31">
        <v>166707.37</v>
      </c>
      <c r="Y327" s="32" t="str">
        <f t="shared" si="115"/>
        <v/>
      </c>
      <c r="Z327" s="31" t="str">
        <f t="shared" si="117"/>
        <v/>
      </c>
      <c r="AA327" s="31">
        <f t="shared" si="118"/>
        <v>1008634.2100000001</v>
      </c>
      <c r="AB327" s="32" t="str">
        <f t="shared" si="116"/>
        <v/>
      </c>
      <c r="AC327" s="31"/>
      <c r="AD327" s="31"/>
      <c r="AE327" s="32" t="str">
        <f t="shared" si="119"/>
        <v/>
      </c>
      <c r="AF327" s="32" t="s">
        <v>313</v>
      </c>
      <c r="AG327" s="31"/>
      <c r="AH327" s="31"/>
      <c r="AI327" s="32" t="str">
        <f t="shared" si="120"/>
        <v/>
      </c>
      <c r="AJ327" s="32" t="s">
        <v>313</v>
      </c>
      <c r="AK327" s="31"/>
      <c r="AL327" s="31"/>
      <c r="AM327" s="32" t="str">
        <f t="shared" si="121"/>
        <v/>
      </c>
      <c r="AN327" s="32" t="s">
        <v>313</v>
      </c>
      <c r="AO327" s="31"/>
      <c r="AP327" s="31"/>
      <c r="AQ327" s="32" t="str">
        <f t="shared" si="122"/>
        <v/>
      </c>
      <c r="AR327" s="32" t="s">
        <v>313</v>
      </c>
      <c r="AS327" s="31"/>
      <c r="AT327" s="31"/>
      <c r="AU327" s="32" t="str">
        <f t="shared" si="123"/>
        <v/>
      </c>
      <c r="AV327" s="32" t="s">
        <v>313</v>
      </c>
      <c r="AW327" s="31"/>
      <c r="AX327" s="31"/>
      <c r="AY327" s="32" t="str">
        <f t="shared" si="124"/>
        <v/>
      </c>
      <c r="AZ327" s="32" t="s">
        <v>313</v>
      </c>
    </row>
    <row r="328" spans="1:52" ht="34" customHeight="1">
      <c r="A328" s="28" t="s">
        <v>328</v>
      </c>
      <c r="B328" s="29" t="s">
        <v>225</v>
      </c>
      <c r="C328" s="29" t="s">
        <v>52</v>
      </c>
      <c r="D328" s="29" t="s">
        <v>65</v>
      </c>
      <c r="E328" s="29" t="s">
        <v>67</v>
      </c>
      <c r="F328" s="29" t="s">
        <v>316</v>
      </c>
      <c r="G328" s="30" t="s">
        <v>312</v>
      </c>
      <c r="H328" s="31"/>
      <c r="I328" s="31">
        <v>136692</v>
      </c>
      <c r="J328" s="32" t="str">
        <f t="shared" si="110"/>
        <v/>
      </c>
      <c r="K328" s="31"/>
      <c r="L328" s="31">
        <v>85720.73</v>
      </c>
      <c r="M328" s="32" t="str">
        <f t="shared" si="111"/>
        <v/>
      </c>
      <c r="N328" s="31"/>
      <c r="O328" s="31">
        <v>232636.56</v>
      </c>
      <c r="P328" s="32" t="str">
        <f t="shared" si="112"/>
        <v/>
      </c>
      <c r="Q328" s="31"/>
      <c r="R328" s="31">
        <v>194663</v>
      </c>
      <c r="S328" s="32" t="str">
        <f t="shared" si="113"/>
        <v/>
      </c>
      <c r="T328" s="31"/>
      <c r="U328" s="31">
        <v>192214.55</v>
      </c>
      <c r="V328" s="32" t="str">
        <f t="shared" si="114"/>
        <v/>
      </c>
      <c r="W328" s="31"/>
      <c r="X328" s="31">
        <v>166707.37</v>
      </c>
      <c r="Y328" s="32" t="str">
        <f t="shared" si="115"/>
        <v/>
      </c>
      <c r="Z328" s="31" t="str">
        <f t="shared" si="117"/>
        <v/>
      </c>
      <c r="AA328" s="31">
        <f t="shared" si="118"/>
        <v>1008634.2100000001</v>
      </c>
      <c r="AB328" s="32" t="str">
        <f t="shared" si="116"/>
        <v/>
      </c>
      <c r="AC328" s="31"/>
      <c r="AD328" s="31"/>
      <c r="AE328" s="32" t="str">
        <f t="shared" si="119"/>
        <v/>
      </c>
      <c r="AF328" s="32" t="s">
        <v>313</v>
      </c>
      <c r="AG328" s="31"/>
      <c r="AH328" s="31"/>
      <c r="AI328" s="32" t="str">
        <f t="shared" si="120"/>
        <v/>
      </c>
      <c r="AJ328" s="32" t="s">
        <v>313</v>
      </c>
      <c r="AK328" s="31"/>
      <c r="AL328" s="31"/>
      <c r="AM328" s="32" t="str">
        <f t="shared" si="121"/>
        <v/>
      </c>
      <c r="AN328" s="32" t="s">
        <v>313</v>
      </c>
      <c r="AO328" s="31"/>
      <c r="AP328" s="31"/>
      <c r="AQ328" s="32" t="str">
        <f t="shared" si="122"/>
        <v/>
      </c>
      <c r="AR328" s="32" t="s">
        <v>313</v>
      </c>
      <c r="AS328" s="31"/>
      <c r="AT328" s="31"/>
      <c r="AU328" s="32" t="str">
        <f t="shared" si="123"/>
        <v/>
      </c>
      <c r="AV328" s="32" t="s">
        <v>313</v>
      </c>
      <c r="AW328" s="31"/>
      <c r="AX328" s="31"/>
      <c r="AY328" s="32" t="str">
        <f t="shared" si="124"/>
        <v/>
      </c>
      <c r="AZ328" s="32" t="s">
        <v>313</v>
      </c>
    </row>
    <row r="329" spans="1:52" ht="34" customHeight="1">
      <c r="A329" s="28" t="s">
        <v>328</v>
      </c>
      <c r="B329" s="29" t="s">
        <v>225</v>
      </c>
      <c r="C329" s="29" t="s">
        <v>52</v>
      </c>
      <c r="D329" s="29" t="s">
        <v>65</v>
      </c>
      <c r="E329" s="29" t="s">
        <v>68</v>
      </c>
      <c r="F329" s="29" t="s">
        <v>316</v>
      </c>
      <c r="G329" s="30" t="s">
        <v>312</v>
      </c>
      <c r="H329" s="31"/>
      <c r="I329" s="31">
        <v>136692</v>
      </c>
      <c r="J329" s="32" t="str">
        <f t="shared" si="110"/>
        <v/>
      </c>
      <c r="K329" s="31"/>
      <c r="L329" s="31">
        <v>85720.73</v>
      </c>
      <c r="M329" s="32" t="str">
        <f t="shared" si="111"/>
        <v/>
      </c>
      <c r="N329" s="31"/>
      <c r="O329" s="31">
        <v>232636.56</v>
      </c>
      <c r="P329" s="32" t="str">
        <f t="shared" si="112"/>
        <v/>
      </c>
      <c r="Q329" s="31"/>
      <c r="R329" s="31">
        <v>194663</v>
      </c>
      <c r="S329" s="32" t="str">
        <f t="shared" si="113"/>
        <v/>
      </c>
      <c r="T329" s="31"/>
      <c r="U329" s="31">
        <v>192214.55</v>
      </c>
      <c r="V329" s="32" t="str">
        <f t="shared" si="114"/>
        <v/>
      </c>
      <c r="W329" s="31"/>
      <c r="X329" s="31">
        <v>166707.37</v>
      </c>
      <c r="Y329" s="32" t="str">
        <f t="shared" si="115"/>
        <v/>
      </c>
      <c r="Z329" s="31" t="str">
        <f t="shared" si="117"/>
        <v/>
      </c>
      <c r="AA329" s="31">
        <f t="shared" si="118"/>
        <v>1008634.2100000001</v>
      </c>
      <c r="AB329" s="32" t="str">
        <f t="shared" si="116"/>
        <v/>
      </c>
      <c r="AC329" s="31"/>
      <c r="AD329" s="31"/>
      <c r="AE329" s="32" t="str">
        <f t="shared" si="119"/>
        <v/>
      </c>
      <c r="AF329" s="32" t="s">
        <v>313</v>
      </c>
      <c r="AG329" s="31"/>
      <c r="AH329" s="31"/>
      <c r="AI329" s="32" t="str">
        <f t="shared" si="120"/>
        <v/>
      </c>
      <c r="AJ329" s="32" t="s">
        <v>313</v>
      </c>
      <c r="AK329" s="31"/>
      <c r="AL329" s="31"/>
      <c r="AM329" s="32" t="str">
        <f t="shared" si="121"/>
        <v/>
      </c>
      <c r="AN329" s="32" t="s">
        <v>313</v>
      </c>
      <c r="AO329" s="31"/>
      <c r="AP329" s="31"/>
      <c r="AQ329" s="32" t="str">
        <f t="shared" si="122"/>
        <v/>
      </c>
      <c r="AR329" s="32" t="s">
        <v>313</v>
      </c>
      <c r="AS329" s="31"/>
      <c r="AT329" s="31"/>
      <c r="AU329" s="32" t="str">
        <f t="shared" si="123"/>
        <v/>
      </c>
      <c r="AV329" s="32" t="s">
        <v>313</v>
      </c>
      <c r="AW329" s="31"/>
      <c r="AX329" s="31"/>
      <c r="AY329" s="32" t="str">
        <f t="shared" si="124"/>
        <v/>
      </c>
      <c r="AZ329" s="32" t="s">
        <v>313</v>
      </c>
    </row>
    <row r="330" spans="1:52" ht="34" customHeight="1">
      <c r="A330" s="28" t="s">
        <v>328</v>
      </c>
      <c r="B330" s="29" t="s">
        <v>225</v>
      </c>
      <c r="C330" s="29" t="s">
        <v>52</v>
      </c>
      <c r="D330" s="29" t="s">
        <v>65</v>
      </c>
      <c r="E330" s="29" t="s">
        <v>69</v>
      </c>
      <c r="F330" s="29" t="s">
        <v>316</v>
      </c>
      <c r="G330" s="30" t="s">
        <v>312</v>
      </c>
      <c r="H330" s="31"/>
      <c r="I330" s="31">
        <v>136692</v>
      </c>
      <c r="J330" s="32" t="str">
        <f t="shared" si="110"/>
        <v/>
      </c>
      <c r="K330" s="31"/>
      <c r="L330" s="31">
        <v>85720.73</v>
      </c>
      <c r="M330" s="32" t="str">
        <f t="shared" si="111"/>
        <v/>
      </c>
      <c r="N330" s="31"/>
      <c r="O330" s="31">
        <v>232636.56</v>
      </c>
      <c r="P330" s="32" t="str">
        <f t="shared" si="112"/>
        <v/>
      </c>
      <c r="Q330" s="31"/>
      <c r="R330" s="31">
        <v>194663</v>
      </c>
      <c r="S330" s="32" t="str">
        <f t="shared" si="113"/>
        <v/>
      </c>
      <c r="T330" s="31"/>
      <c r="U330" s="31">
        <v>192214.55</v>
      </c>
      <c r="V330" s="32" t="str">
        <f t="shared" si="114"/>
        <v/>
      </c>
      <c r="W330" s="31"/>
      <c r="X330" s="31">
        <v>166707.37</v>
      </c>
      <c r="Y330" s="32" t="str">
        <f t="shared" si="115"/>
        <v/>
      </c>
      <c r="Z330" s="31" t="str">
        <f t="shared" si="117"/>
        <v/>
      </c>
      <c r="AA330" s="31">
        <f t="shared" si="118"/>
        <v>1008634.2100000001</v>
      </c>
      <c r="AB330" s="32" t="str">
        <f t="shared" si="116"/>
        <v/>
      </c>
      <c r="AC330" s="31"/>
      <c r="AD330" s="31"/>
      <c r="AE330" s="32" t="str">
        <f t="shared" si="119"/>
        <v/>
      </c>
      <c r="AF330" s="32" t="s">
        <v>313</v>
      </c>
      <c r="AG330" s="31"/>
      <c r="AH330" s="31"/>
      <c r="AI330" s="32" t="str">
        <f t="shared" si="120"/>
        <v/>
      </c>
      <c r="AJ330" s="32" t="s">
        <v>313</v>
      </c>
      <c r="AK330" s="31"/>
      <c r="AL330" s="31"/>
      <c r="AM330" s="32" t="str">
        <f t="shared" si="121"/>
        <v/>
      </c>
      <c r="AN330" s="32" t="s">
        <v>313</v>
      </c>
      <c r="AO330" s="31"/>
      <c r="AP330" s="31"/>
      <c r="AQ330" s="32" t="str">
        <f t="shared" si="122"/>
        <v/>
      </c>
      <c r="AR330" s="32" t="s">
        <v>313</v>
      </c>
      <c r="AS330" s="31"/>
      <c r="AT330" s="31"/>
      <c r="AU330" s="32" t="str">
        <f t="shared" si="123"/>
        <v/>
      </c>
      <c r="AV330" s="32" t="s">
        <v>313</v>
      </c>
      <c r="AW330" s="31"/>
      <c r="AX330" s="31"/>
      <c r="AY330" s="32" t="str">
        <f t="shared" si="124"/>
        <v/>
      </c>
      <c r="AZ330" s="32" t="s">
        <v>313</v>
      </c>
    </row>
    <row r="331" spans="1:52" ht="68" customHeight="1">
      <c r="A331" s="28" t="s">
        <v>328</v>
      </c>
      <c r="B331" s="29" t="s">
        <v>225</v>
      </c>
      <c r="C331" s="29" t="s">
        <v>52</v>
      </c>
      <c r="D331" s="29" t="s">
        <v>70</v>
      </c>
      <c r="E331" s="29" t="s">
        <v>73</v>
      </c>
      <c r="F331" s="29" t="s">
        <v>317</v>
      </c>
      <c r="G331" s="30" t="s">
        <v>312</v>
      </c>
      <c r="H331" s="31">
        <v>5355.44</v>
      </c>
      <c r="I331" s="31">
        <v>136692</v>
      </c>
      <c r="J331" s="32">
        <f t="shared" si="110"/>
        <v>3.9178883914201268E-2</v>
      </c>
      <c r="K331" s="31">
        <v>3253.08</v>
      </c>
      <c r="L331" s="31">
        <v>85720.73</v>
      </c>
      <c r="M331" s="32">
        <f t="shared" si="111"/>
        <v>3.7949746811535554E-2</v>
      </c>
      <c r="N331" s="31">
        <v>8885.4599999999991</v>
      </c>
      <c r="O331" s="31">
        <v>232636.56</v>
      </c>
      <c r="P331" s="32">
        <f t="shared" si="112"/>
        <v>3.8194598475837158E-2</v>
      </c>
      <c r="Q331" s="31">
        <v>6832.85</v>
      </c>
      <c r="R331" s="31">
        <v>194663</v>
      </c>
      <c r="S331" s="32">
        <f t="shared" si="113"/>
        <v>3.5100917996743093E-2</v>
      </c>
      <c r="T331" s="31">
        <v>6817.78</v>
      </c>
      <c r="U331" s="31">
        <v>192214.55</v>
      </c>
      <c r="V331" s="32">
        <f t="shared" si="114"/>
        <v>3.5469635363191809E-2</v>
      </c>
      <c r="W331" s="31">
        <v>5866.97</v>
      </c>
      <c r="X331" s="31">
        <v>166707.37</v>
      </c>
      <c r="Y331" s="32">
        <f t="shared" si="115"/>
        <v>3.5193225110563497E-2</v>
      </c>
      <c r="Z331" s="31">
        <f t="shared" si="117"/>
        <v>37011.58</v>
      </c>
      <c r="AA331" s="31">
        <f t="shared" si="118"/>
        <v>1008634.2100000001</v>
      </c>
      <c r="AB331" s="32">
        <f t="shared" si="116"/>
        <v>3.6694749824121076E-2</v>
      </c>
      <c r="AC331" s="31"/>
      <c r="AD331" s="31"/>
      <c r="AE331" s="32" t="str">
        <f t="shared" si="119"/>
        <v/>
      </c>
      <c r="AF331" s="32" t="s">
        <v>313</v>
      </c>
      <c r="AG331" s="31"/>
      <c r="AH331" s="31"/>
      <c r="AI331" s="32" t="str">
        <f t="shared" si="120"/>
        <v/>
      </c>
      <c r="AJ331" s="32" t="s">
        <v>313</v>
      </c>
      <c r="AK331" s="31"/>
      <c r="AL331" s="31"/>
      <c r="AM331" s="32" t="str">
        <f t="shared" si="121"/>
        <v/>
      </c>
      <c r="AN331" s="32" t="s">
        <v>313</v>
      </c>
      <c r="AO331" s="31"/>
      <c r="AP331" s="31"/>
      <c r="AQ331" s="32" t="str">
        <f t="shared" si="122"/>
        <v/>
      </c>
      <c r="AR331" s="32" t="s">
        <v>313</v>
      </c>
      <c r="AS331" s="31"/>
      <c r="AT331" s="31"/>
      <c r="AU331" s="32" t="str">
        <f t="shared" si="123"/>
        <v/>
      </c>
      <c r="AV331" s="32" t="s">
        <v>313</v>
      </c>
      <c r="AW331" s="31"/>
      <c r="AX331" s="31"/>
      <c r="AY331" s="32" t="str">
        <f t="shared" si="124"/>
        <v/>
      </c>
      <c r="AZ331" s="32" t="s">
        <v>313</v>
      </c>
    </row>
    <row r="332" spans="1:52" ht="34" customHeight="1">
      <c r="A332" s="28" t="s">
        <v>328</v>
      </c>
      <c r="B332" s="29" t="s">
        <v>225</v>
      </c>
      <c r="C332" s="29" t="s">
        <v>52</v>
      </c>
      <c r="D332" s="29" t="s">
        <v>70</v>
      </c>
      <c r="E332" s="29" t="s">
        <v>71</v>
      </c>
      <c r="F332" s="29" t="s">
        <v>316</v>
      </c>
      <c r="G332" s="30" t="s">
        <v>312</v>
      </c>
      <c r="H332" s="31"/>
      <c r="I332" s="31">
        <v>136692</v>
      </c>
      <c r="J332" s="32" t="str">
        <f t="shared" si="110"/>
        <v/>
      </c>
      <c r="K332" s="31"/>
      <c r="L332" s="31">
        <v>85720.73</v>
      </c>
      <c r="M332" s="32" t="str">
        <f t="shared" si="111"/>
        <v/>
      </c>
      <c r="N332" s="31"/>
      <c r="O332" s="31">
        <v>232636.56</v>
      </c>
      <c r="P332" s="32" t="str">
        <f t="shared" si="112"/>
        <v/>
      </c>
      <c r="Q332" s="31"/>
      <c r="R332" s="31">
        <v>194663</v>
      </c>
      <c r="S332" s="32" t="str">
        <f t="shared" si="113"/>
        <v/>
      </c>
      <c r="T332" s="31"/>
      <c r="U332" s="31">
        <v>192214.55</v>
      </c>
      <c r="V332" s="32" t="str">
        <f t="shared" si="114"/>
        <v/>
      </c>
      <c r="W332" s="31"/>
      <c r="X332" s="31">
        <v>166707.37</v>
      </c>
      <c r="Y332" s="32" t="str">
        <f t="shared" si="115"/>
        <v/>
      </c>
      <c r="Z332" s="31" t="str">
        <f t="shared" si="117"/>
        <v/>
      </c>
      <c r="AA332" s="31">
        <f t="shared" si="118"/>
        <v>1008634.2100000001</v>
      </c>
      <c r="AB332" s="32" t="str">
        <f t="shared" si="116"/>
        <v/>
      </c>
      <c r="AC332" s="31"/>
      <c r="AD332" s="31"/>
      <c r="AE332" s="32" t="str">
        <f t="shared" si="119"/>
        <v/>
      </c>
      <c r="AF332" s="32" t="s">
        <v>313</v>
      </c>
      <c r="AG332" s="31"/>
      <c r="AH332" s="31"/>
      <c r="AI332" s="32" t="str">
        <f t="shared" si="120"/>
        <v/>
      </c>
      <c r="AJ332" s="32" t="s">
        <v>313</v>
      </c>
      <c r="AK332" s="31"/>
      <c r="AL332" s="31"/>
      <c r="AM332" s="32" t="str">
        <f t="shared" si="121"/>
        <v/>
      </c>
      <c r="AN332" s="32" t="s">
        <v>313</v>
      </c>
      <c r="AO332" s="31"/>
      <c r="AP332" s="31"/>
      <c r="AQ332" s="32" t="str">
        <f t="shared" si="122"/>
        <v/>
      </c>
      <c r="AR332" s="32" t="s">
        <v>313</v>
      </c>
      <c r="AS332" s="31"/>
      <c r="AT332" s="31"/>
      <c r="AU332" s="32" t="str">
        <f t="shared" si="123"/>
        <v/>
      </c>
      <c r="AV332" s="32" t="s">
        <v>313</v>
      </c>
      <c r="AW332" s="31"/>
      <c r="AX332" s="31"/>
      <c r="AY332" s="32" t="str">
        <f t="shared" si="124"/>
        <v/>
      </c>
      <c r="AZ332" s="32" t="s">
        <v>313</v>
      </c>
    </row>
    <row r="333" spans="1:52" ht="34" customHeight="1">
      <c r="A333" s="28" t="s">
        <v>328</v>
      </c>
      <c r="B333" s="29" t="s">
        <v>225</v>
      </c>
      <c r="C333" s="29" t="s">
        <v>52</v>
      </c>
      <c r="D333" s="29" t="s">
        <v>70</v>
      </c>
      <c r="E333" s="29" t="s">
        <v>72</v>
      </c>
      <c r="F333" s="29" t="s">
        <v>316</v>
      </c>
      <c r="G333" s="30" t="s">
        <v>312</v>
      </c>
      <c r="H333" s="31"/>
      <c r="I333" s="31">
        <v>136692</v>
      </c>
      <c r="J333" s="32" t="str">
        <f t="shared" si="110"/>
        <v/>
      </c>
      <c r="K333" s="31"/>
      <c r="L333" s="31">
        <v>85720.73</v>
      </c>
      <c r="M333" s="32" t="str">
        <f t="shared" si="111"/>
        <v/>
      </c>
      <c r="N333" s="31"/>
      <c r="O333" s="31">
        <v>232636.56</v>
      </c>
      <c r="P333" s="32" t="str">
        <f t="shared" si="112"/>
        <v/>
      </c>
      <c r="Q333" s="31"/>
      <c r="R333" s="31">
        <v>194663</v>
      </c>
      <c r="S333" s="32" t="str">
        <f t="shared" si="113"/>
        <v/>
      </c>
      <c r="T333" s="31"/>
      <c r="U333" s="31">
        <v>192214.55</v>
      </c>
      <c r="V333" s="32" t="str">
        <f t="shared" si="114"/>
        <v/>
      </c>
      <c r="W333" s="31"/>
      <c r="X333" s="31">
        <v>166707.37</v>
      </c>
      <c r="Y333" s="32" t="str">
        <f t="shared" si="115"/>
        <v/>
      </c>
      <c r="Z333" s="31" t="str">
        <f t="shared" si="117"/>
        <v/>
      </c>
      <c r="AA333" s="31">
        <f t="shared" si="118"/>
        <v>1008634.2100000001</v>
      </c>
      <c r="AB333" s="32" t="str">
        <f t="shared" si="116"/>
        <v/>
      </c>
      <c r="AC333" s="31"/>
      <c r="AD333" s="31"/>
      <c r="AE333" s="32" t="str">
        <f t="shared" si="119"/>
        <v/>
      </c>
      <c r="AF333" s="32" t="s">
        <v>313</v>
      </c>
      <c r="AG333" s="31"/>
      <c r="AH333" s="31"/>
      <c r="AI333" s="32" t="str">
        <f t="shared" si="120"/>
        <v/>
      </c>
      <c r="AJ333" s="32" t="s">
        <v>313</v>
      </c>
      <c r="AK333" s="31"/>
      <c r="AL333" s="31"/>
      <c r="AM333" s="32" t="str">
        <f t="shared" si="121"/>
        <v/>
      </c>
      <c r="AN333" s="32" t="s">
        <v>313</v>
      </c>
      <c r="AO333" s="31"/>
      <c r="AP333" s="31"/>
      <c r="AQ333" s="32" t="str">
        <f t="shared" si="122"/>
        <v/>
      </c>
      <c r="AR333" s="32" t="s">
        <v>313</v>
      </c>
      <c r="AS333" s="31"/>
      <c r="AT333" s="31"/>
      <c r="AU333" s="32" t="str">
        <f t="shared" si="123"/>
        <v/>
      </c>
      <c r="AV333" s="32" t="s">
        <v>313</v>
      </c>
      <c r="AW333" s="31"/>
      <c r="AX333" s="31"/>
      <c r="AY333" s="32" t="str">
        <f t="shared" si="124"/>
        <v/>
      </c>
      <c r="AZ333" s="32" t="s">
        <v>313</v>
      </c>
    </row>
    <row r="334" spans="1:52" ht="34" customHeight="1">
      <c r="A334" s="28" t="s">
        <v>328</v>
      </c>
      <c r="B334" s="29" t="s">
        <v>225</v>
      </c>
      <c r="C334" s="29" t="s">
        <v>52</v>
      </c>
      <c r="D334" s="29" t="s">
        <v>74</v>
      </c>
      <c r="E334" s="29" t="s">
        <v>75</v>
      </c>
      <c r="F334" s="29" t="s">
        <v>139</v>
      </c>
      <c r="G334" s="30" t="s">
        <v>312</v>
      </c>
      <c r="H334" s="31">
        <v>2860</v>
      </c>
      <c r="I334" s="31">
        <v>136692</v>
      </c>
      <c r="J334" s="32">
        <f t="shared" si="110"/>
        <v>2.0922950867644046E-2</v>
      </c>
      <c r="K334" s="31">
        <v>2145.9</v>
      </c>
      <c r="L334" s="31">
        <v>85720.73</v>
      </c>
      <c r="M334" s="32">
        <f t="shared" si="111"/>
        <v>2.5033617889161704E-2</v>
      </c>
      <c r="N334" s="31">
        <v>4332.95</v>
      </c>
      <c r="O334" s="31">
        <v>232636.56</v>
      </c>
      <c r="P334" s="32">
        <f t="shared" si="112"/>
        <v>1.8625404364645007E-2</v>
      </c>
      <c r="Q334" s="31">
        <v>3910.11</v>
      </c>
      <c r="R334" s="31">
        <v>194663</v>
      </c>
      <c r="S334" s="32">
        <f t="shared" si="113"/>
        <v>2.0086559849586207E-2</v>
      </c>
      <c r="T334" s="31">
        <v>3851.8</v>
      </c>
      <c r="U334" s="31">
        <v>192214.55</v>
      </c>
      <c r="V334" s="32">
        <f t="shared" si="114"/>
        <v>2.0039065721091355E-2</v>
      </c>
      <c r="W334" s="31">
        <v>3552.2</v>
      </c>
      <c r="X334" s="31">
        <v>166707.37</v>
      </c>
      <c r="Y334" s="32">
        <f t="shared" si="115"/>
        <v>2.1307996161177518E-2</v>
      </c>
      <c r="Z334" s="31">
        <f t="shared" si="117"/>
        <v>20652.96</v>
      </c>
      <c r="AA334" s="31">
        <f t="shared" si="118"/>
        <v>1008634.2100000001</v>
      </c>
      <c r="AB334" s="32">
        <f t="shared" si="116"/>
        <v>2.0476164495749155E-2</v>
      </c>
      <c r="AC334" s="31"/>
      <c r="AD334" s="31"/>
      <c r="AE334" s="32" t="str">
        <f t="shared" si="119"/>
        <v/>
      </c>
      <c r="AF334" s="32" t="s">
        <v>313</v>
      </c>
      <c r="AG334" s="31"/>
      <c r="AH334" s="31"/>
      <c r="AI334" s="32" t="str">
        <f t="shared" si="120"/>
        <v/>
      </c>
      <c r="AJ334" s="32" t="s">
        <v>313</v>
      </c>
      <c r="AK334" s="31"/>
      <c r="AL334" s="31"/>
      <c r="AM334" s="32" t="str">
        <f t="shared" si="121"/>
        <v/>
      </c>
      <c r="AN334" s="32" t="s">
        <v>313</v>
      </c>
      <c r="AO334" s="31"/>
      <c r="AP334" s="31"/>
      <c r="AQ334" s="32" t="str">
        <f t="shared" si="122"/>
        <v/>
      </c>
      <c r="AR334" s="32" t="s">
        <v>313</v>
      </c>
      <c r="AS334" s="31"/>
      <c r="AT334" s="31"/>
      <c r="AU334" s="32" t="str">
        <f t="shared" si="123"/>
        <v/>
      </c>
      <c r="AV334" s="32" t="s">
        <v>313</v>
      </c>
      <c r="AW334" s="31"/>
      <c r="AX334" s="31"/>
      <c r="AY334" s="32" t="str">
        <f t="shared" si="124"/>
        <v/>
      </c>
      <c r="AZ334" s="32" t="s">
        <v>313</v>
      </c>
    </row>
    <row r="335" spans="1:52" ht="34" customHeight="1">
      <c r="A335" s="28" t="s">
        <v>328</v>
      </c>
      <c r="B335" s="29" t="s">
        <v>225</v>
      </c>
      <c r="C335" s="29" t="s">
        <v>52</v>
      </c>
      <c r="D335" s="29" t="s">
        <v>74</v>
      </c>
      <c r="E335" s="29" t="s">
        <v>76</v>
      </c>
      <c r="F335" s="29" t="s">
        <v>141</v>
      </c>
      <c r="G335" s="30" t="s">
        <v>312</v>
      </c>
      <c r="H335" s="31">
        <v>1772.76169</v>
      </c>
      <c r="I335" s="31">
        <v>136692</v>
      </c>
      <c r="J335" s="32">
        <f t="shared" si="110"/>
        <v>1.2969022985983087E-2</v>
      </c>
      <c r="K335" s="31">
        <v>760.33862488463797</v>
      </c>
      <c r="L335" s="31">
        <v>85720.73</v>
      </c>
      <c r="M335" s="32">
        <f t="shared" si="111"/>
        <v>8.869950417881859E-3</v>
      </c>
      <c r="N335" s="31">
        <v>1761.58</v>
      </c>
      <c r="O335" s="31">
        <v>232636.56</v>
      </c>
      <c r="P335" s="32">
        <f t="shared" si="112"/>
        <v>7.5722405798985338E-3</v>
      </c>
      <c r="Q335" s="31">
        <v>1963.32</v>
      </c>
      <c r="R335" s="31">
        <v>194663</v>
      </c>
      <c r="S335" s="32">
        <f t="shared" si="113"/>
        <v>1.0085737916296368E-2</v>
      </c>
      <c r="T335" s="31">
        <v>1525.29</v>
      </c>
      <c r="U335" s="31">
        <v>192214.55</v>
      </c>
      <c r="V335" s="32">
        <f t="shared" si="114"/>
        <v>7.9353514081009994E-3</v>
      </c>
      <c r="W335" s="31">
        <v>1338.76</v>
      </c>
      <c r="X335" s="31">
        <v>166707.37</v>
      </c>
      <c r="Y335" s="32">
        <f t="shared" si="115"/>
        <v>8.0305987671690816E-3</v>
      </c>
      <c r="Z335" s="31">
        <f t="shared" si="117"/>
        <v>9122.0503148846365</v>
      </c>
      <c r="AA335" s="31">
        <f t="shared" si="118"/>
        <v>1008634.2100000001</v>
      </c>
      <c r="AB335" s="32">
        <f t="shared" si="116"/>
        <v>9.0439628404876682E-3</v>
      </c>
      <c r="AC335" s="31"/>
      <c r="AD335" s="31"/>
      <c r="AE335" s="32" t="str">
        <f t="shared" si="119"/>
        <v/>
      </c>
      <c r="AF335" s="32" t="s">
        <v>313</v>
      </c>
      <c r="AG335" s="31"/>
      <c r="AH335" s="31"/>
      <c r="AI335" s="32" t="str">
        <f t="shared" si="120"/>
        <v/>
      </c>
      <c r="AJ335" s="32" t="s">
        <v>313</v>
      </c>
      <c r="AK335" s="31"/>
      <c r="AL335" s="31"/>
      <c r="AM335" s="32" t="str">
        <f t="shared" si="121"/>
        <v/>
      </c>
      <c r="AN335" s="32" t="s">
        <v>313</v>
      </c>
      <c r="AO335" s="31"/>
      <c r="AP335" s="31"/>
      <c r="AQ335" s="32" t="str">
        <f t="shared" si="122"/>
        <v/>
      </c>
      <c r="AR335" s="32" t="s">
        <v>313</v>
      </c>
      <c r="AS335" s="31"/>
      <c r="AT335" s="31"/>
      <c r="AU335" s="32" t="str">
        <f t="shared" si="123"/>
        <v/>
      </c>
      <c r="AV335" s="32" t="s">
        <v>313</v>
      </c>
      <c r="AW335" s="31"/>
      <c r="AX335" s="31"/>
      <c r="AY335" s="32" t="str">
        <f t="shared" si="124"/>
        <v/>
      </c>
      <c r="AZ335" s="32" t="s">
        <v>313</v>
      </c>
    </row>
    <row r="336" spans="1:52" ht="34" customHeight="1">
      <c r="A336" s="28" t="s">
        <v>328</v>
      </c>
      <c r="B336" s="29" t="s">
        <v>225</v>
      </c>
      <c r="C336" s="29" t="s">
        <v>52</v>
      </c>
      <c r="D336" s="29" t="s">
        <v>74</v>
      </c>
      <c r="E336" s="29" t="s">
        <v>77</v>
      </c>
      <c r="F336" s="29" t="s">
        <v>316</v>
      </c>
      <c r="G336" s="30" t="s">
        <v>312</v>
      </c>
      <c r="H336" s="31"/>
      <c r="I336" s="31">
        <v>136692</v>
      </c>
      <c r="J336" s="32" t="str">
        <f t="shared" si="110"/>
        <v/>
      </c>
      <c r="K336" s="31"/>
      <c r="L336" s="31">
        <v>85720.73</v>
      </c>
      <c r="M336" s="32" t="str">
        <f t="shared" si="111"/>
        <v/>
      </c>
      <c r="N336" s="31"/>
      <c r="O336" s="31">
        <v>232636.56</v>
      </c>
      <c r="P336" s="32" t="str">
        <f t="shared" si="112"/>
        <v/>
      </c>
      <c r="Q336" s="31"/>
      <c r="R336" s="31">
        <v>194663</v>
      </c>
      <c r="S336" s="32" t="str">
        <f t="shared" si="113"/>
        <v/>
      </c>
      <c r="T336" s="31"/>
      <c r="U336" s="31">
        <v>192214.55</v>
      </c>
      <c r="V336" s="32" t="str">
        <f t="shared" si="114"/>
        <v/>
      </c>
      <c r="W336" s="31"/>
      <c r="X336" s="31">
        <v>166707.37</v>
      </c>
      <c r="Y336" s="32" t="str">
        <f t="shared" si="115"/>
        <v/>
      </c>
      <c r="Z336" s="31" t="str">
        <f t="shared" si="117"/>
        <v/>
      </c>
      <c r="AA336" s="31">
        <f t="shared" si="118"/>
        <v>1008634.2100000001</v>
      </c>
      <c r="AB336" s="32" t="str">
        <f t="shared" si="116"/>
        <v/>
      </c>
      <c r="AC336" s="31"/>
      <c r="AD336" s="31"/>
      <c r="AE336" s="32" t="str">
        <f t="shared" si="119"/>
        <v/>
      </c>
      <c r="AF336" s="32" t="s">
        <v>313</v>
      </c>
      <c r="AG336" s="31"/>
      <c r="AH336" s="31"/>
      <c r="AI336" s="32" t="str">
        <f t="shared" si="120"/>
        <v/>
      </c>
      <c r="AJ336" s="32" t="s">
        <v>313</v>
      </c>
      <c r="AK336" s="31"/>
      <c r="AL336" s="31"/>
      <c r="AM336" s="32" t="str">
        <f t="shared" si="121"/>
        <v/>
      </c>
      <c r="AN336" s="32" t="s">
        <v>313</v>
      </c>
      <c r="AO336" s="31"/>
      <c r="AP336" s="31"/>
      <c r="AQ336" s="32" t="str">
        <f t="shared" si="122"/>
        <v/>
      </c>
      <c r="AR336" s="32" t="s">
        <v>313</v>
      </c>
      <c r="AS336" s="31"/>
      <c r="AT336" s="31"/>
      <c r="AU336" s="32" t="str">
        <f t="shared" si="123"/>
        <v/>
      </c>
      <c r="AV336" s="32" t="s">
        <v>313</v>
      </c>
      <c r="AW336" s="31"/>
      <c r="AX336" s="31"/>
      <c r="AY336" s="32" t="str">
        <f t="shared" si="124"/>
        <v/>
      </c>
      <c r="AZ336" s="32" t="s">
        <v>313</v>
      </c>
    </row>
    <row r="337" spans="1:52" ht="34" customHeight="1">
      <c r="A337" s="28" t="s">
        <v>328</v>
      </c>
      <c r="B337" s="29" t="s">
        <v>225</v>
      </c>
      <c r="C337" s="29" t="s">
        <v>52</v>
      </c>
      <c r="D337" s="29" t="s">
        <v>74</v>
      </c>
      <c r="E337" s="29" t="s">
        <v>78</v>
      </c>
      <c r="F337" s="29" t="s">
        <v>144</v>
      </c>
      <c r="G337" s="30" t="s">
        <v>312</v>
      </c>
      <c r="H337" s="31">
        <v>1333.27496224988</v>
      </c>
      <c r="I337" s="31">
        <v>136692</v>
      </c>
      <c r="J337" s="32">
        <f t="shared" si="110"/>
        <v>9.7538624224525212E-3</v>
      </c>
      <c r="K337" s="31">
        <v>1428.0832486797001</v>
      </c>
      <c r="L337" s="31">
        <v>85720.73</v>
      </c>
      <c r="M337" s="32">
        <f t="shared" si="111"/>
        <v>1.6659718701412134E-2</v>
      </c>
      <c r="N337" s="31">
        <v>516.090840161198</v>
      </c>
      <c r="O337" s="31">
        <v>232636.56</v>
      </c>
      <c r="P337" s="32">
        <f t="shared" si="112"/>
        <v>2.2184425361224305E-3</v>
      </c>
      <c r="Q337" s="31">
        <v>882.51137415565699</v>
      </c>
      <c r="R337" s="31">
        <v>194663</v>
      </c>
      <c r="S337" s="32">
        <f t="shared" si="113"/>
        <v>4.5335342317526029E-3</v>
      </c>
      <c r="T337" s="31">
        <v>659.16881614205295</v>
      </c>
      <c r="U337" s="31">
        <v>192214.55</v>
      </c>
      <c r="V337" s="32">
        <f t="shared" si="114"/>
        <v>3.4293388098978615E-3</v>
      </c>
      <c r="W337" s="31">
        <v>1142.9716453194201</v>
      </c>
      <c r="X337" s="31">
        <v>166707.37</v>
      </c>
      <c r="Y337" s="32">
        <f t="shared" si="115"/>
        <v>6.8561554616296816E-3</v>
      </c>
      <c r="Z337" s="31">
        <f t="shared" si="117"/>
        <v>5962.1008867079072</v>
      </c>
      <c r="AA337" s="31">
        <f t="shared" si="118"/>
        <v>1008634.2100000001</v>
      </c>
      <c r="AB337" s="32">
        <f t="shared" si="116"/>
        <v>5.9110635229276103E-3</v>
      </c>
      <c r="AC337" s="31"/>
      <c r="AD337" s="31"/>
      <c r="AE337" s="32" t="str">
        <f t="shared" si="119"/>
        <v/>
      </c>
      <c r="AF337" s="32" t="s">
        <v>313</v>
      </c>
      <c r="AG337" s="31"/>
      <c r="AH337" s="31"/>
      <c r="AI337" s="32" t="str">
        <f t="shared" si="120"/>
        <v/>
      </c>
      <c r="AJ337" s="32" t="s">
        <v>313</v>
      </c>
      <c r="AK337" s="31"/>
      <c r="AL337" s="31"/>
      <c r="AM337" s="32" t="str">
        <f t="shared" si="121"/>
        <v/>
      </c>
      <c r="AN337" s="32" t="s">
        <v>313</v>
      </c>
      <c r="AO337" s="31"/>
      <c r="AP337" s="31"/>
      <c r="AQ337" s="32" t="str">
        <f t="shared" si="122"/>
        <v/>
      </c>
      <c r="AR337" s="32" t="s">
        <v>313</v>
      </c>
      <c r="AS337" s="31"/>
      <c r="AT337" s="31"/>
      <c r="AU337" s="32" t="str">
        <f t="shared" si="123"/>
        <v/>
      </c>
      <c r="AV337" s="32" t="s">
        <v>313</v>
      </c>
      <c r="AW337" s="31"/>
      <c r="AX337" s="31"/>
      <c r="AY337" s="32" t="str">
        <f t="shared" si="124"/>
        <v/>
      </c>
      <c r="AZ337" s="32" t="s">
        <v>313</v>
      </c>
    </row>
    <row r="338" spans="1:52" ht="34" customHeight="1">
      <c r="A338" s="28" t="s">
        <v>328</v>
      </c>
      <c r="B338" s="29" t="s">
        <v>225</v>
      </c>
      <c r="C338" s="29" t="s">
        <v>52</v>
      </c>
      <c r="D338" s="29" t="s">
        <v>79</v>
      </c>
      <c r="E338" s="29" t="s">
        <v>80</v>
      </c>
      <c r="F338" s="29" t="s">
        <v>318</v>
      </c>
      <c r="G338" s="30" t="s">
        <v>312</v>
      </c>
      <c r="H338" s="31">
        <v>0</v>
      </c>
      <c r="I338" s="31">
        <v>136692</v>
      </c>
      <c r="J338" s="32">
        <f t="shared" si="110"/>
        <v>0</v>
      </c>
      <c r="K338" s="31">
        <v>0</v>
      </c>
      <c r="L338" s="31">
        <v>85720.73</v>
      </c>
      <c r="M338" s="32">
        <f t="shared" si="111"/>
        <v>0</v>
      </c>
      <c r="N338" s="31">
        <v>21525.678079307901</v>
      </c>
      <c r="O338" s="31">
        <v>232636.56</v>
      </c>
      <c r="P338" s="32">
        <f t="shared" si="112"/>
        <v>9.2529214149778966E-2</v>
      </c>
      <c r="Q338" s="31">
        <v>21098.380516099201</v>
      </c>
      <c r="R338" s="31">
        <v>194663</v>
      </c>
      <c r="S338" s="32">
        <f t="shared" si="113"/>
        <v>0.1083841331742509</v>
      </c>
      <c r="T338" s="31">
        <v>24728.883376789199</v>
      </c>
      <c r="U338" s="31">
        <v>192214.55</v>
      </c>
      <c r="V338" s="32">
        <f t="shared" si="114"/>
        <v>0.12865250511363058</v>
      </c>
      <c r="W338" s="31">
        <v>21121.1364250525</v>
      </c>
      <c r="X338" s="31">
        <v>166707.37</v>
      </c>
      <c r="Y338" s="32">
        <f t="shared" si="115"/>
        <v>0.12669587688326259</v>
      </c>
      <c r="Z338" s="31">
        <f t="shared" si="117"/>
        <v>88474.078397248813</v>
      </c>
      <c r="AA338" s="31">
        <f t="shared" si="118"/>
        <v>1008634.2100000001</v>
      </c>
      <c r="AB338" s="32">
        <f t="shared" si="116"/>
        <v>8.7716713869192289E-2</v>
      </c>
      <c r="AC338" s="31"/>
      <c r="AD338" s="31"/>
      <c r="AE338" s="32" t="str">
        <f t="shared" si="119"/>
        <v/>
      </c>
      <c r="AF338" s="32" t="s">
        <v>313</v>
      </c>
      <c r="AG338" s="31"/>
      <c r="AH338" s="31"/>
      <c r="AI338" s="32" t="str">
        <f t="shared" si="120"/>
        <v/>
      </c>
      <c r="AJ338" s="32" t="s">
        <v>313</v>
      </c>
      <c r="AK338" s="31"/>
      <c r="AL338" s="31"/>
      <c r="AM338" s="32" t="str">
        <f t="shared" si="121"/>
        <v/>
      </c>
      <c r="AN338" s="32" t="s">
        <v>313</v>
      </c>
      <c r="AO338" s="31"/>
      <c r="AP338" s="31"/>
      <c r="AQ338" s="32" t="str">
        <f t="shared" si="122"/>
        <v/>
      </c>
      <c r="AR338" s="32" t="s">
        <v>313</v>
      </c>
      <c r="AS338" s="31"/>
      <c r="AT338" s="31"/>
      <c r="AU338" s="32" t="str">
        <f t="shared" si="123"/>
        <v/>
      </c>
      <c r="AV338" s="32" t="s">
        <v>313</v>
      </c>
      <c r="AW338" s="31"/>
      <c r="AX338" s="31"/>
      <c r="AY338" s="32" t="str">
        <f t="shared" si="124"/>
        <v/>
      </c>
      <c r="AZ338" s="32" t="s">
        <v>313</v>
      </c>
    </row>
    <row r="339" spans="1:52" ht="34" customHeight="1">
      <c r="A339" s="28" t="s">
        <v>328</v>
      </c>
      <c r="B339" s="29" t="s">
        <v>225</v>
      </c>
      <c r="C339" s="29" t="s">
        <v>52</v>
      </c>
      <c r="D339" s="29" t="s">
        <v>79</v>
      </c>
      <c r="E339" s="29" t="s">
        <v>81</v>
      </c>
      <c r="F339" s="29" t="s">
        <v>316</v>
      </c>
      <c r="G339" s="30" t="s">
        <v>312</v>
      </c>
      <c r="H339" s="31"/>
      <c r="I339" s="31">
        <v>136692</v>
      </c>
      <c r="J339" s="32" t="str">
        <f t="shared" si="110"/>
        <v/>
      </c>
      <c r="K339" s="31"/>
      <c r="L339" s="31">
        <v>85720.73</v>
      </c>
      <c r="M339" s="32" t="str">
        <f t="shared" si="111"/>
        <v/>
      </c>
      <c r="N339" s="31"/>
      <c r="O339" s="31">
        <v>232636.56</v>
      </c>
      <c r="P339" s="32" t="str">
        <f t="shared" si="112"/>
        <v/>
      </c>
      <c r="Q339" s="31"/>
      <c r="R339" s="31">
        <v>194663</v>
      </c>
      <c r="S339" s="32" t="str">
        <f t="shared" si="113"/>
        <v/>
      </c>
      <c r="T339" s="31"/>
      <c r="U339" s="31">
        <v>192214.55</v>
      </c>
      <c r="V339" s="32" t="str">
        <f t="shared" si="114"/>
        <v/>
      </c>
      <c r="W339" s="31"/>
      <c r="X339" s="31">
        <v>166707.37</v>
      </c>
      <c r="Y339" s="32" t="str">
        <f t="shared" si="115"/>
        <v/>
      </c>
      <c r="Z339" s="31" t="str">
        <f t="shared" si="117"/>
        <v/>
      </c>
      <c r="AA339" s="31">
        <f t="shared" si="118"/>
        <v>1008634.2100000001</v>
      </c>
      <c r="AB339" s="32" t="str">
        <f t="shared" si="116"/>
        <v/>
      </c>
      <c r="AC339" s="31"/>
      <c r="AD339" s="31"/>
      <c r="AE339" s="32" t="str">
        <f t="shared" si="119"/>
        <v/>
      </c>
      <c r="AF339" s="32" t="s">
        <v>313</v>
      </c>
      <c r="AG339" s="31"/>
      <c r="AH339" s="31"/>
      <c r="AI339" s="32" t="str">
        <f t="shared" si="120"/>
        <v/>
      </c>
      <c r="AJ339" s="32" t="s">
        <v>313</v>
      </c>
      <c r="AK339" s="31"/>
      <c r="AL339" s="31"/>
      <c r="AM339" s="32" t="str">
        <f t="shared" si="121"/>
        <v/>
      </c>
      <c r="AN339" s="32" t="s">
        <v>313</v>
      </c>
      <c r="AO339" s="31"/>
      <c r="AP339" s="31"/>
      <c r="AQ339" s="32" t="str">
        <f t="shared" si="122"/>
        <v/>
      </c>
      <c r="AR339" s="32" t="s">
        <v>313</v>
      </c>
      <c r="AS339" s="31"/>
      <c r="AT339" s="31"/>
      <c r="AU339" s="32" t="str">
        <f t="shared" si="123"/>
        <v/>
      </c>
      <c r="AV339" s="32" t="s">
        <v>313</v>
      </c>
      <c r="AW339" s="31"/>
      <c r="AX339" s="31"/>
      <c r="AY339" s="32" t="str">
        <f t="shared" si="124"/>
        <v/>
      </c>
      <c r="AZ339" s="32" t="s">
        <v>313</v>
      </c>
    </row>
    <row r="340" spans="1:52" ht="34" customHeight="1">
      <c r="A340" s="28" t="s">
        <v>328</v>
      </c>
      <c r="B340" s="29" t="s">
        <v>225</v>
      </c>
      <c r="C340" s="29" t="s">
        <v>52</v>
      </c>
      <c r="D340" s="29" t="s">
        <v>79</v>
      </c>
      <c r="E340" s="29" t="s">
        <v>82</v>
      </c>
      <c r="F340" s="29" t="s">
        <v>316</v>
      </c>
      <c r="G340" s="30" t="s">
        <v>312</v>
      </c>
      <c r="H340" s="31"/>
      <c r="I340" s="31">
        <v>136692</v>
      </c>
      <c r="J340" s="32" t="str">
        <f t="shared" si="110"/>
        <v/>
      </c>
      <c r="K340" s="31"/>
      <c r="L340" s="31">
        <v>85720.73</v>
      </c>
      <c r="M340" s="32" t="str">
        <f t="shared" si="111"/>
        <v/>
      </c>
      <c r="N340" s="31"/>
      <c r="O340" s="31">
        <v>232636.56</v>
      </c>
      <c r="P340" s="32" t="str">
        <f t="shared" si="112"/>
        <v/>
      </c>
      <c r="Q340" s="31"/>
      <c r="R340" s="31">
        <v>194663</v>
      </c>
      <c r="S340" s="32" t="str">
        <f t="shared" si="113"/>
        <v/>
      </c>
      <c r="T340" s="31"/>
      <c r="U340" s="31">
        <v>192214.55</v>
      </c>
      <c r="V340" s="32" t="str">
        <f t="shared" si="114"/>
        <v/>
      </c>
      <c r="W340" s="31"/>
      <c r="X340" s="31">
        <v>166707.37</v>
      </c>
      <c r="Y340" s="32" t="str">
        <f t="shared" si="115"/>
        <v/>
      </c>
      <c r="Z340" s="31" t="str">
        <f t="shared" si="117"/>
        <v/>
      </c>
      <c r="AA340" s="31">
        <f t="shared" si="118"/>
        <v>1008634.2100000001</v>
      </c>
      <c r="AB340" s="32" t="str">
        <f t="shared" si="116"/>
        <v/>
      </c>
      <c r="AC340" s="31"/>
      <c r="AD340" s="31"/>
      <c r="AE340" s="32" t="str">
        <f t="shared" si="119"/>
        <v/>
      </c>
      <c r="AF340" s="32" t="s">
        <v>313</v>
      </c>
      <c r="AG340" s="31"/>
      <c r="AH340" s="31"/>
      <c r="AI340" s="32" t="str">
        <f t="shared" si="120"/>
        <v/>
      </c>
      <c r="AJ340" s="32" t="s">
        <v>313</v>
      </c>
      <c r="AK340" s="31"/>
      <c r="AL340" s="31"/>
      <c r="AM340" s="32" t="str">
        <f t="shared" si="121"/>
        <v/>
      </c>
      <c r="AN340" s="32" t="s">
        <v>313</v>
      </c>
      <c r="AO340" s="31"/>
      <c r="AP340" s="31"/>
      <c r="AQ340" s="32" t="str">
        <f t="shared" si="122"/>
        <v/>
      </c>
      <c r="AR340" s="32" t="s">
        <v>313</v>
      </c>
      <c r="AS340" s="31"/>
      <c r="AT340" s="31"/>
      <c r="AU340" s="32" t="str">
        <f t="shared" si="123"/>
        <v/>
      </c>
      <c r="AV340" s="32" t="s">
        <v>313</v>
      </c>
      <c r="AW340" s="31"/>
      <c r="AX340" s="31"/>
      <c r="AY340" s="32" t="str">
        <f t="shared" si="124"/>
        <v/>
      </c>
      <c r="AZ340" s="32" t="s">
        <v>313</v>
      </c>
    </row>
    <row r="341" spans="1:52" ht="34" customHeight="1">
      <c r="A341" s="28" t="s">
        <v>328</v>
      </c>
      <c r="B341" s="29" t="s">
        <v>225</v>
      </c>
      <c r="C341" s="29" t="s">
        <v>85</v>
      </c>
      <c r="D341" s="29" t="s">
        <v>79</v>
      </c>
      <c r="E341" s="29" t="s">
        <v>80</v>
      </c>
      <c r="F341" s="29" t="s">
        <v>316</v>
      </c>
      <c r="G341" s="30" t="s">
        <v>312</v>
      </c>
      <c r="H341" s="31"/>
      <c r="I341" s="31">
        <v>136692</v>
      </c>
      <c r="J341" s="32" t="str">
        <f t="shared" si="110"/>
        <v/>
      </c>
      <c r="K341" s="31"/>
      <c r="L341" s="31">
        <v>85720.73</v>
      </c>
      <c r="M341" s="32" t="str">
        <f t="shared" si="111"/>
        <v/>
      </c>
      <c r="N341" s="31"/>
      <c r="O341" s="31">
        <v>232636.56</v>
      </c>
      <c r="P341" s="32" t="str">
        <f t="shared" si="112"/>
        <v/>
      </c>
      <c r="Q341" s="31"/>
      <c r="R341" s="31">
        <v>194663</v>
      </c>
      <c r="S341" s="32" t="str">
        <f t="shared" si="113"/>
        <v/>
      </c>
      <c r="T341" s="31"/>
      <c r="U341" s="31">
        <v>192214.55</v>
      </c>
      <c r="V341" s="32" t="str">
        <f t="shared" si="114"/>
        <v/>
      </c>
      <c r="W341" s="31"/>
      <c r="X341" s="31">
        <v>166707.37</v>
      </c>
      <c r="Y341" s="32" t="str">
        <f t="shared" si="115"/>
        <v/>
      </c>
      <c r="Z341" s="31" t="str">
        <f t="shared" si="117"/>
        <v/>
      </c>
      <c r="AA341" s="31">
        <f t="shared" si="118"/>
        <v>1008634.2100000001</v>
      </c>
      <c r="AB341" s="32" t="str">
        <f t="shared" si="116"/>
        <v/>
      </c>
      <c r="AC341" s="31"/>
      <c r="AD341" s="31"/>
      <c r="AE341" s="32" t="str">
        <f t="shared" si="119"/>
        <v/>
      </c>
      <c r="AF341" s="32" t="s">
        <v>313</v>
      </c>
      <c r="AG341" s="31"/>
      <c r="AH341" s="31"/>
      <c r="AI341" s="32" t="str">
        <f t="shared" si="120"/>
        <v/>
      </c>
      <c r="AJ341" s="32" t="s">
        <v>313</v>
      </c>
      <c r="AK341" s="31"/>
      <c r="AL341" s="31"/>
      <c r="AM341" s="32" t="str">
        <f t="shared" si="121"/>
        <v/>
      </c>
      <c r="AN341" s="32" t="s">
        <v>313</v>
      </c>
      <c r="AO341" s="31"/>
      <c r="AP341" s="31"/>
      <c r="AQ341" s="32" t="str">
        <f t="shared" si="122"/>
        <v/>
      </c>
      <c r="AR341" s="32" t="s">
        <v>313</v>
      </c>
      <c r="AS341" s="31"/>
      <c r="AT341" s="31"/>
      <c r="AU341" s="32" t="str">
        <f t="shared" si="123"/>
        <v/>
      </c>
      <c r="AV341" s="32" t="s">
        <v>313</v>
      </c>
      <c r="AW341" s="31"/>
      <c r="AX341" s="31"/>
      <c r="AY341" s="32" t="str">
        <f t="shared" si="124"/>
        <v/>
      </c>
      <c r="AZ341" s="32" t="s">
        <v>313</v>
      </c>
    </row>
    <row r="342" spans="1:52" ht="34" customHeight="1">
      <c r="A342" s="28" t="s">
        <v>328</v>
      </c>
      <c r="B342" s="29" t="s">
        <v>225</v>
      </c>
      <c r="C342" s="29" t="s">
        <v>85</v>
      </c>
      <c r="D342" s="29" t="s">
        <v>79</v>
      </c>
      <c r="E342" s="29" t="s">
        <v>81</v>
      </c>
      <c r="F342" s="29" t="s">
        <v>316</v>
      </c>
      <c r="G342" s="30" t="s">
        <v>312</v>
      </c>
      <c r="H342" s="31"/>
      <c r="I342" s="31">
        <v>136692</v>
      </c>
      <c r="J342" s="32" t="str">
        <f t="shared" si="110"/>
        <v/>
      </c>
      <c r="K342" s="31"/>
      <c r="L342" s="31">
        <v>85720.73</v>
      </c>
      <c r="M342" s="32" t="str">
        <f t="shared" si="111"/>
        <v/>
      </c>
      <c r="N342" s="31"/>
      <c r="O342" s="31">
        <v>232636.56</v>
      </c>
      <c r="P342" s="32" t="str">
        <f t="shared" si="112"/>
        <v/>
      </c>
      <c r="Q342" s="31"/>
      <c r="R342" s="31">
        <v>194663</v>
      </c>
      <c r="S342" s="32" t="str">
        <f t="shared" si="113"/>
        <v/>
      </c>
      <c r="T342" s="31"/>
      <c r="U342" s="31">
        <v>192214.55</v>
      </c>
      <c r="V342" s="32" t="str">
        <f t="shared" si="114"/>
        <v/>
      </c>
      <c r="W342" s="31"/>
      <c r="X342" s="31">
        <v>166707.37</v>
      </c>
      <c r="Y342" s="32" t="str">
        <f t="shared" si="115"/>
        <v/>
      </c>
      <c r="Z342" s="31" t="str">
        <f t="shared" si="117"/>
        <v/>
      </c>
      <c r="AA342" s="31">
        <f t="shared" si="118"/>
        <v>1008634.2100000001</v>
      </c>
      <c r="AB342" s="32" t="str">
        <f t="shared" si="116"/>
        <v/>
      </c>
      <c r="AC342" s="31"/>
      <c r="AD342" s="31"/>
      <c r="AE342" s="32" t="str">
        <f t="shared" si="119"/>
        <v/>
      </c>
      <c r="AF342" s="32" t="s">
        <v>313</v>
      </c>
      <c r="AG342" s="31"/>
      <c r="AH342" s="31"/>
      <c r="AI342" s="32" t="str">
        <f t="shared" si="120"/>
        <v/>
      </c>
      <c r="AJ342" s="32" t="s">
        <v>313</v>
      </c>
      <c r="AK342" s="31"/>
      <c r="AL342" s="31"/>
      <c r="AM342" s="32" t="str">
        <f t="shared" si="121"/>
        <v/>
      </c>
      <c r="AN342" s="32" t="s">
        <v>313</v>
      </c>
      <c r="AO342" s="31"/>
      <c r="AP342" s="31"/>
      <c r="AQ342" s="32" t="str">
        <f t="shared" si="122"/>
        <v/>
      </c>
      <c r="AR342" s="32" t="s">
        <v>313</v>
      </c>
      <c r="AS342" s="31"/>
      <c r="AT342" s="31"/>
      <c r="AU342" s="32" t="str">
        <f t="shared" si="123"/>
        <v/>
      </c>
      <c r="AV342" s="32" t="s">
        <v>313</v>
      </c>
      <c r="AW342" s="31"/>
      <c r="AX342" s="31"/>
      <c r="AY342" s="32" t="str">
        <f t="shared" si="124"/>
        <v/>
      </c>
      <c r="AZ342" s="32" t="s">
        <v>313</v>
      </c>
    </row>
    <row r="343" spans="1:52" ht="34" customHeight="1">
      <c r="A343" s="28" t="s">
        <v>328</v>
      </c>
      <c r="B343" s="29" t="s">
        <v>225</v>
      </c>
      <c r="C343" s="29" t="s">
        <v>85</v>
      </c>
      <c r="D343" s="29" t="s">
        <v>79</v>
      </c>
      <c r="E343" s="29" t="s">
        <v>82</v>
      </c>
      <c r="F343" s="29" t="s">
        <v>319</v>
      </c>
      <c r="G343" s="30" t="s">
        <v>312</v>
      </c>
      <c r="H343" s="31">
        <v>0</v>
      </c>
      <c r="I343" s="31">
        <v>136692</v>
      </c>
      <c r="J343" s="32">
        <f t="shared" si="110"/>
        <v>0</v>
      </c>
      <c r="K343" s="31">
        <v>0</v>
      </c>
      <c r="L343" s="31">
        <v>85720.73</v>
      </c>
      <c r="M343" s="32">
        <f t="shared" si="111"/>
        <v>0</v>
      </c>
      <c r="N343" s="31">
        <v>398.26966414947799</v>
      </c>
      <c r="O343" s="31">
        <v>232636.56</v>
      </c>
      <c r="P343" s="32">
        <f t="shared" si="112"/>
        <v>1.7119822617282425E-3</v>
      </c>
      <c r="Q343" s="31">
        <v>591.57720712050502</v>
      </c>
      <c r="R343" s="31">
        <v>194663</v>
      </c>
      <c r="S343" s="32">
        <f t="shared" si="113"/>
        <v>3.0389812502658697E-3</v>
      </c>
      <c r="T343" s="31">
        <v>514.10069665216895</v>
      </c>
      <c r="U343" s="31">
        <v>192214.55</v>
      </c>
      <c r="V343" s="32">
        <f t="shared" si="114"/>
        <v>2.674619047580784E-3</v>
      </c>
      <c r="W343" s="31">
        <v>559.83547904504405</v>
      </c>
      <c r="X343" s="31">
        <v>166707.37</v>
      </c>
      <c r="Y343" s="32">
        <f t="shared" si="115"/>
        <v>3.3581927364401709E-3</v>
      </c>
      <c r="Z343" s="31">
        <f t="shared" si="117"/>
        <v>2063.7830469671958</v>
      </c>
      <c r="AA343" s="31">
        <f t="shared" si="118"/>
        <v>1008634.2100000001</v>
      </c>
      <c r="AB343" s="32">
        <f t="shared" si="116"/>
        <v>2.0461164478718162E-3</v>
      </c>
      <c r="AC343" s="31"/>
      <c r="AD343" s="31"/>
      <c r="AE343" s="32" t="str">
        <f t="shared" si="119"/>
        <v/>
      </c>
      <c r="AF343" s="32" t="s">
        <v>313</v>
      </c>
      <c r="AG343" s="31"/>
      <c r="AH343" s="31"/>
      <c r="AI343" s="32" t="str">
        <f t="shared" si="120"/>
        <v/>
      </c>
      <c r="AJ343" s="32" t="s">
        <v>313</v>
      </c>
      <c r="AK343" s="31"/>
      <c r="AL343" s="31"/>
      <c r="AM343" s="32" t="str">
        <f t="shared" si="121"/>
        <v/>
      </c>
      <c r="AN343" s="32" t="s">
        <v>313</v>
      </c>
      <c r="AO343" s="31"/>
      <c r="AP343" s="31"/>
      <c r="AQ343" s="32" t="str">
        <f t="shared" si="122"/>
        <v/>
      </c>
      <c r="AR343" s="32" t="s">
        <v>313</v>
      </c>
      <c r="AS343" s="31"/>
      <c r="AT343" s="31"/>
      <c r="AU343" s="32" t="str">
        <f t="shared" si="123"/>
        <v/>
      </c>
      <c r="AV343" s="32" t="s">
        <v>313</v>
      </c>
      <c r="AW343" s="31"/>
      <c r="AX343" s="31"/>
      <c r="AY343" s="32" t="str">
        <f t="shared" si="124"/>
        <v/>
      </c>
      <c r="AZ343" s="32" t="s">
        <v>313</v>
      </c>
    </row>
    <row r="344" spans="1:52" ht="34" customHeight="1">
      <c r="A344" s="28" t="s">
        <v>328</v>
      </c>
      <c r="B344" s="29" t="s">
        <v>225</v>
      </c>
      <c r="C344" s="29" t="s">
        <v>85</v>
      </c>
      <c r="D344" s="29" t="s">
        <v>90</v>
      </c>
      <c r="E344" s="29" t="s">
        <v>90</v>
      </c>
      <c r="F344" s="29" t="s">
        <v>316</v>
      </c>
      <c r="G344" s="30" t="s">
        <v>312</v>
      </c>
      <c r="H344" s="31"/>
      <c r="I344" s="31">
        <v>136692</v>
      </c>
      <c r="J344" s="32" t="str">
        <f t="shared" si="110"/>
        <v/>
      </c>
      <c r="K344" s="31"/>
      <c r="L344" s="31">
        <v>85720.73</v>
      </c>
      <c r="M344" s="32" t="str">
        <f t="shared" si="111"/>
        <v/>
      </c>
      <c r="N344" s="31"/>
      <c r="O344" s="31">
        <v>232636.56</v>
      </c>
      <c r="P344" s="32" t="str">
        <f t="shared" si="112"/>
        <v/>
      </c>
      <c r="Q344" s="31"/>
      <c r="R344" s="31">
        <v>194663</v>
      </c>
      <c r="S344" s="32" t="str">
        <f t="shared" si="113"/>
        <v/>
      </c>
      <c r="T344" s="31"/>
      <c r="U344" s="31">
        <v>192214.55</v>
      </c>
      <c r="V344" s="32" t="str">
        <f t="shared" si="114"/>
        <v/>
      </c>
      <c r="W344" s="31"/>
      <c r="X344" s="31">
        <v>166707.37</v>
      </c>
      <c r="Y344" s="32" t="str">
        <f t="shared" si="115"/>
        <v/>
      </c>
      <c r="Z344" s="31" t="str">
        <f t="shared" si="117"/>
        <v/>
      </c>
      <c r="AA344" s="31">
        <f t="shared" si="118"/>
        <v>1008634.2100000001</v>
      </c>
      <c r="AB344" s="32" t="str">
        <f t="shared" si="116"/>
        <v/>
      </c>
      <c r="AC344" s="31"/>
      <c r="AD344" s="31"/>
      <c r="AE344" s="32" t="str">
        <f t="shared" si="119"/>
        <v/>
      </c>
      <c r="AF344" s="32" t="s">
        <v>313</v>
      </c>
      <c r="AG344" s="31"/>
      <c r="AH344" s="31"/>
      <c r="AI344" s="32" t="str">
        <f t="shared" si="120"/>
        <v/>
      </c>
      <c r="AJ344" s="32" t="s">
        <v>313</v>
      </c>
      <c r="AK344" s="31"/>
      <c r="AL344" s="31"/>
      <c r="AM344" s="32" t="str">
        <f t="shared" si="121"/>
        <v/>
      </c>
      <c r="AN344" s="32" t="s">
        <v>313</v>
      </c>
      <c r="AO344" s="31"/>
      <c r="AP344" s="31"/>
      <c r="AQ344" s="32" t="str">
        <f t="shared" si="122"/>
        <v/>
      </c>
      <c r="AR344" s="32" t="s">
        <v>313</v>
      </c>
      <c r="AS344" s="31"/>
      <c r="AT344" s="31"/>
      <c r="AU344" s="32" t="str">
        <f t="shared" si="123"/>
        <v/>
      </c>
      <c r="AV344" s="32" t="s">
        <v>313</v>
      </c>
      <c r="AW344" s="31"/>
      <c r="AX344" s="31"/>
      <c r="AY344" s="32" t="str">
        <f t="shared" si="124"/>
        <v/>
      </c>
      <c r="AZ344" s="32" t="s">
        <v>313</v>
      </c>
    </row>
    <row r="345" spans="1:52" ht="34" customHeight="1">
      <c r="A345" s="28" t="s">
        <v>328</v>
      </c>
      <c r="B345" s="29" t="s">
        <v>225</v>
      </c>
      <c r="C345" s="29" t="s">
        <v>85</v>
      </c>
      <c r="D345" s="29" t="s">
        <v>93</v>
      </c>
      <c r="E345" s="29" t="s">
        <v>143</v>
      </c>
      <c r="F345" s="29" t="s">
        <v>320</v>
      </c>
      <c r="G345" s="30" t="s">
        <v>312</v>
      </c>
      <c r="H345" s="31">
        <v>1333.27496224988</v>
      </c>
      <c r="I345" s="31">
        <v>136692</v>
      </c>
      <c r="J345" s="32">
        <f t="shared" si="110"/>
        <v>9.7538624224525212E-3</v>
      </c>
      <c r="K345" s="31">
        <v>1428.0832486797001</v>
      </c>
      <c r="L345" s="31">
        <v>85720.73</v>
      </c>
      <c r="M345" s="32">
        <f t="shared" si="111"/>
        <v>1.6659718701412134E-2</v>
      </c>
      <c r="N345" s="31">
        <v>516.090840161198</v>
      </c>
      <c r="O345" s="31">
        <v>232636.56</v>
      </c>
      <c r="P345" s="32">
        <f t="shared" si="112"/>
        <v>2.2184425361224305E-3</v>
      </c>
      <c r="Q345" s="31">
        <v>882.51137415565699</v>
      </c>
      <c r="R345" s="31">
        <v>194663</v>
      </c>
      <c r="S345" s="32">
        <f t="shared" si="113"/>
        <v>4.5335342317526029E-3</v>
      </c>
      <c r="T345" s="31">
        <v>659.16881614205295</v>
      </c>
      <c r="U345" s="31">
        <v>192214.55</v>
      </c>
      <c r="V345" s="32">
        <f t="shared" si="114"/>
        <v>3.4293388098978615E-3</v>
      </c>
      <c r="W345" s="31">
        <v>1142.9716453194201</v>
      </c>
      <c r="X345" s="31">
        <v>166707.37</v>
      </c>
      <c r="Y345" s="32">
        <f t="shared" si="115"/>
        <v>6.8561554616296816E-3</v>
      </c>
      <c r="Z345" s="31">
        <f t="shared" si="117"/>
        <v>5962.1008867079072</v>
      </c>
      <c r="AA345" s="31">
        <f t="shared" si="118"/>
        <v>1008634.2100000001</v>
      </c>
      <c r="AB345" s="32">
        <f t="shared" si="116"/>
        <v>5.9110635229276103E-3</v>
      </c>
      <c r="AC345" s="31"/>
      <c r="AD345" s="31"/>
      <c r="AE345" s="32" t="str">
        <f t="shared" si="119"/>
        <v/>
      </c>
      <c r="AF345" s="32" t="s">
        <v>313</v>
      </c>
      <c r="AG345" s="31"/>
      <c r="AH345" s="31"/>
      <c r="AI345" s="32" t="str">
        <f t="shared" si="120"/>
        <v/>
      </c>
      <c r="AJ345" s="32" t="s">
        <v>313</v>
      </c>
      <c r="AK345" s="31"/>
      <c r="AL345" s="31"/>
      <c r="AM345" s="32" t="str">
        <f t="shared" si="121"/>
        <v/>
      </c>
      <c r="AN345" s="32" t="s">
        <v>313</v>
      </c>
      <c r="AO345" s="31"/>
      <c r="AP345" s="31"/>
      <c r="AQ345" s="32" t="str">
        <f t="shared" si="122"/>
        <v/>
      </c>
      <c r="AR345" s="32" t="s">
        <v>313</v>
      </c>
      <c r="AS345" s="31"/>
      <c r="AT345" s="31"/>
      <c r="AU345" s="32" t="str">
        <f t="shared" si="123"/>
        <v/>
      </c>
      <c r="AV345" s="32" t="s">
        <v>313</v>
      </c>
      <c r="AW345" s="31"/>
      <c r="AX345" s="31"/>
      <c r="AY345" s="32" t="str">
        <f t="shared" si="124"/>
        <v/>
      </c>
      <c r="AZ345" s="32" t="s">
        <v>313</v>
      </c>
    </row>
    <row r="346" spans="1:52" ht="34" customHeight="1">
      <c r="A346" s="28" t="s">
        <v>328</v>
      </c>
      <c r="B346" s="29" t="s">
        <v>225</v>
      </c>
      <c r="C346" s="29" t="s">
        <v>85</v>
      </c>
      <c r="D346" s="29" t="s">
        <v>152</v>
      </c>
      <c r="E346" s="29" t="s">
        <v>152</v>
      </c>
      <c r="F346" s="29" t="s">
        <v>316</v>
      </c>
      <c r="G346" s="30" t="s">
        <v>312</v>
      </c>
      <c r="H346" s="31"/>
      <c r="I346" s="31">
        <v>136692</v>
      </c>
      <c r="J346" s="32" t="str">
        <f t="shared" si="110"/>
        <v/>
      </c>
      <c r="K346" s="31"/>
      <c r="L346" s="31">
        <v>85720.73</v>
      </c>
      <c r="M346" s="32" t="str">
        <f t="shared" si="111"/>
        <v/>
      </c>
      <c r="N346" s="31"/>
      <c r="O346" s="31">
        <v>232636.56</v>
      </c>
      <c r="P346" s="32" t="str">
        <f t="shared" si="112"/>
        <v/>
      </c>
      <c r="Q346" s="31"/>
      <c r="R346" s="31">
        <v>194663</v>
      </c>
      <c r="S346" s="32" t="str">
        <f t="shared" si="113"/>
        <v/>
      </c>
      <c r="T346" s="31"/>
      <c r="U346" s="31">
        <v>192214.55</v>
      </c>
      <c r="V346" s="32" t="str">
        <f t="shared" si="114"/>
        <v/>
      </c>
      <c r="W346" s="31"/>
      <c r="X346" s="31">
        <v>166707.37</v>
      </c>
      <c r="Y346" s="32" t="str">
        <f t="shared" si="115"/>
        <v/>
      </c>
      <c r="Z346" s="31" t="str">
        <f t="shared" si="117"/>
        <v/>
      </c>
      <c r="AA346" s="31">
        <f t="shared" si="118"/>
        <v>1008634.2100000001</v>
      </c>
      <c r="AB346" s="32" t="str">
        <f t="shared" si="116"/>
        <v/>
      </c>
      <c r="AC346" s="31"/>
      <c r="AD346" s="31"/>
      <c r="AE346" s="32" t="str">
        <f t="shared" si="119"/>
        <v/>
      </c>
      <c r="AF346" s="32" t="s">
        <v>313</v>
      </c>
      <c r="AG346" s="31"/>
      <c r="AH346" s="31"/>
      <c r="AI346" s="32" t="str">
        <f t="shared" si="120"/>
        <v/>
      </c>
      <c r="AJ346" s="32" t="s">
        <v>313</v>
      </c>
      <c r="AK346" s="31"/>
      <c r="AL346" s="31"/>
      <c r="AM346" s="32" t="str">
        <f t="shared" si="121"/>
        <v/>
      </c>
      <c r="AN346" s="32" t="s">
        <v>313</v>
      </c>
      <c r="AO346" s="31"/>
      <c r="AP346" s="31"/>
      <c r="AQ346" s="32" t="str">
        <f t="shared" si="122"/>
        <v/>
      </c>
      <c r="AR346" s="32" t="s">
        <v>313</v>
      </c>
      <c r="AS346" s="31"/>
      <c r="AT346" s="31"/>
      <c r="AU346" s="32" t="str">
        <f t="shared" si="123"/>
        <v/>
      </c>
      <c r="AV346" s="32" t="s">
        <v>313</v>
      </c>
      <c r="AW346" s="31"/>
      <c r="AX346" s="31"/>
      <c r="AY346" s="32" t="str">
        <f t="shared" si="124"/>
        <v/>
      </c>
      <c r="AZ346" s="32" t="s">
        <v>313</v>
      </c>
    </row>
    <row r="347" spans="1:52" ht="34" customHeight="1">
      <c r="A347" s="28" t="s">
        <v>328</v>
      </c>
      <c r="B347" s="29" t="s">
        <v>153</v>
      </c>
      <c r="C347" s="29" t="s">
        <v>46</v>
      </c>
      <c r="D347" s="29"/>
      <c r="E347" s="29" t="s">
        <v>46</v>
      </c>
      <c r="F347" s="29" t="s">
        <v>329</v>
      </c>
      <c r="G347" s="33" t="s">
        <v>330</v>
      </c>
      <c r="H347" s="31">
        <v>4006629.4</v>
      </c>
      <c r="I347" s="31">
        <v>4006629.4</v>
      </c>
      <c r="J347" s="32"/>
      <c r="K347" s="31">
        <v>3011688</v>
      </c>
      <c r="L347" s="31">
        <v>3011688</v>
      </c>
      <c r="M347" s="32"/>
      <c r="N347" s="31">
        <v>405224.1</v>
      </c>
      <c r="O347" s="31">
        <v>405224.1</v>
      </c>
      <c r="P347" s="32"/>
      <c r="Q347" s="31">
        <v>4389112.0999999996</v>
      </c>
      <c r="R347" s="31">
        <v>4389112.0999999996</v>
      </c>
      <c r="S347" s="32"/>
      <c r="T347" s="31">
        <v>4462289.7</v>
      </c>
      <c r="U347" s="31">
        <v>4462289.7</v>
      </c>
      <c r="V347" s="32"/>
      <c r="W347" s="31"/>
      <c r="X347" s="31"/>
      <c r="Y347" s="32" t="str">
        <f t="shared" si="115"/>
        <v/>
      </c>
      <c r="Z347" s="31">
        <f t="shared" si="117"/>
        <v>16274943.300000001</v>
      </c>
      <c r="AA347" s="31">
        <f t="shared" si="118"/>
        <v>16274943.300000001</v>
      </c>
      <c r="AB347" s="32"/>
      <c r="AC347" s="31"/>
      <c r="AD347" s="31"/>
      <c r="AE347" s="32" t="str">
        <f t="shared" si="119"/>
        <v/>
      </c>
      <c r="AF347" s="32" t="s">
        <v>313</v>
      </c>
      <c r="AG347" s="31"/>
      <c r="AH347" s="31"/>
      <c r="AI347" s="32" t="str">
        <f t="shared" si="120"/>
        <v/>
      </c>
      <c r="AJ347" s="32" t="s">
        <v>313</v>
      </c>
      <c r="AK347" s="31"/>
      <c r="AL347" s="31"/>
      <c r="AM347" s="32" t="str">
        <f t="shared" si="121"/>
        <v/>
      </c>
      <c r="AN347" s="32" t="s">
        <v>313</v>
      </c>
      <c r="AO347" s="31"/>
      <c r="AP347" s="31"/>
      <c r="AQ347" s="32" t="str">
        <f t="shared" si="122"/>
        <v/>
      </c>
      <c r="AR347" s="32" t="s">
        <v>313</v>
      </c>
      <c r="AS347" s="31"/>
      <c r="AT347" s="31"/>
      <c r="AU347" s="32" t="str">
        <f t="shared" si="123"/>
        <v/>
      </c>
      <c r="AV347" s="32" t="s">
        <v>313</v>
      </c>
      <c r="AW347" s="31"/>
      <c r="AX347" s="31"/>
      <c r="AY347" s="32" t="str">
        <f t="shared" si="124"/>
        <v/>
      </c>
      <c r="AZ347" s="32" t="s">
        <v>313</v>
      </c>
    </row>
    <row r="348" spans="1:52" ht="34" customHeight="1">
      <c r="A348" s="28" t="s">
        <v>328</v>
      </c>
      <c r="B348" s="29" t="s">
        <v>153</v>
      </c>
      <c r="C348" s="29" t="s">
        <v>48</v>
      </c>
      <c r="D348" s="29"/>
      <c r="E348" s="29" t="s">
        <v>127</v>
      </c>
      <c r="F348" s="29" t="s">
        <v>331</v>
      </c>
      <c r="G348" s="33" t="s">
        <v>330</v>
      </c>
      <c r="H348" s="31">
        <v>1440511.1640000001</v>
      </c>
      <c r="I348" s="31">
        <v>4006629.4</v>
      </c>
      <c r="J348" s="32">
        <f t="shared" ref="J348:J376" si="125">IF(H348="","",IFERROR(H348/I348,""))</f>
        <v>0.35953192077111001</v>
      </c>
      <c r="K348" s="31">
        <v>1026052.816</v>
      </c>
      <c r="L348" s="31">
        <v>3011688</v>
      </c>
      <c r="M348" s="32">
        <f t="shared" ref="M348:M376" si="126">IF(K348="","",IFERROR(K348/L348,""))</f>
        <v>0.34069027601796731</v>
      </c>
      <c r="N348" s="31">
        <v>2056982.764</v>
      </c>
      <c r="O348" s="31">
        <v>405224.1</v>
      </c>
      <c r="P348" s="32">
        <f t="shared" ref="P348:P376" si="127">IF(N348="","",IFERROR(N348/O348,""))</f>
        <v>5.076160978579507</v>
      </c>
      <c r="Q348" s="31">
        <v>1471407.6159999999</v>
      </c>
      <c r="R348" s="31">
        <v>4389112.0999999996</v>
      </c>
      <c r="S348" s="32">
        <f t="shared" ref="S348:S376" si="128">IF(Q348="","",IFERROR(Q348/R348,""))</f>
        <v>0.33524038176195137</v>
      </c>
      <c r="T348" s="31">
        <v>1546517.24</v>
      </c>
      <c r="U348" s="31">
        <v>4462289.7</v>
      </c>
      <c r="V348" s="32">
        <f t="shared" ref="V348:V376" si="129">IF(T348="","",IFERROR(T348/U348,""))</f>
        <v>0.34657481785640226</v>
      </c>
      <c r="W348" s="31"/>
      <c r="X348" s="31"/>
      <c r="Y348" s="32" t="str">
        <f t="shared" si="115"/>
        <v/>
      </c>
      <c r="Z348" s="31">
        <f t="shared" si="117"/>
        <v>7541471.5999999996</v>
      </c>
      <c r="AA348" s="31">
        <f t="shared" si="118"/>
        <v>16274943.300000001</v>
      </c>
      <c r="AB348" s="32">
        <f t="shared" ref="AB348:AB376" si="130">IF(Z348="","",IFERROR(Z348/AA348,""))</f>
        <v>0.46337928562860181</v>
      </c>
      <c r="AC348" s="31"/>
      <c r="AD348" s="31"/>
      <c r="AE348" s="32" t="str">
        <f t="shared" si="119"/>
        <v/>
      </c>
      <c r="AF348" s="32" t="s">
        <v>313</v>
      </c>
      <c r="AG348" s="31"/>
      <c r="AH348" s="31"/>
      <c r="AI348" s="32" t="str">
        <f t="shared" si="120"/>
        <v/>
      </c>
      <c r="AJ348" s="32" t="s">
        <v>313</v>
      </c>
      <c r="AK348" s="31"/>
      <c r="AL348" s="31"/>
      <c r="AM348" s="32" t="str">
        <f t="shared" si="121"/>
        <v/>
      </c>
      <c r="AN348" s="32" t="s">
        <v>313</v>
      </c>
      <c r="AO348" s="31"/>
      <c r="AP348" s="31"/>
      <c r="AQ348" s="32" t="str">
        <f t="shared" si="122"/>
        <v/>
      </c>
      <c r="AR348" s="32" t="s">
        <v>313</v>
      </c>
      <c r="AS348" s="31"/>
      <c r="AT348" s="31"/>
      <c r="AU348" s="32" t="str">
        <f t="shared" si="123"/>
        <v/>
      </c>
      <c r="AV348" s="32" t="s">
        <v>313</v>
      </c>
      <c r="AW348" s="31"/>
      <c r="AX348" s="31"/>
      <c r="AY348" s="32" t="str">
        <f t="shared" si="124"/>
        <v/>
      </c>
      <c r="AZ348" s="32" t="s">
        <v>313</v>
      </c>
    </row>
    <row r="349" spans="1:52" ht="34" customHeight="1">
      <c r="A349" s="28" t="s">
        <v>328</v>
      </c>
      <c r="B349" s="29" t="s">
        <v>153</v>
      </c>
      <c r="C349" s="29" t="s">
        <v>52</v>
      </c>
      <c r="D349" s="29" t="s">
        <v>54</v>
      </c>
      <c r="E349" s="29" t="s">
        <v>55</v>
      </c>
      <c r="F349" s="29" t="s">
        <v>332</v>
      </c>
      <c r="G349" s="33" t="s">
        <v>330</v>
      </c>
      <c r="H349" s="31">
        <v>1323981.8799999999</v>
      </c>
      <c r="I349" s="31">
        <v>4006629.4</v>
      </c>
      <c r="J349" s="32">
        <f t="shared" si="125"/>
        <v>0.33044780233480042</v>
      </c>
      <c r="K349" s="31">
        <v>914320.32</v>
      </c>
      <c r="L349" s="31">
        <v>3011688</v>
      </c>
      <c r="M349" s="32">
        <f t="shared" si="126"/>
        <v>0.30359065082438819</v>
      </c>
      <c r="N349" s="31">
        <v>1874731.99</v>
      </c>
      <c r="O349" s="31">
        <v>405224.1</v>
      </c>
      <c r="P349" s="32">
        <f t="shared" si="127"/>
        <v>4.6264079308214887</v>
      </c>
      <c r="Q349" s="31">
        <v>1429385.28</v>
      </c>
      <c r="R349" s="31">
        <v>4389112.0999999996</v>
      </c>
      <c r="S349" s="32">
        <f t="shared" si="128"/>
        <v>0.32566615922158837</v>
      </c>
      <c r="T349" s="31">
        <v>1422493.83</v>
      </c>
      <c r="U349" s="31">
        <v>4462289.7</v>
      </c>
      <c r="V349" s="32">
        <f t="shared" si="129"/>
        <v>0.31878114726616696</v>
      </c>
      <c r="W349" s="31"/>
      <c r="X349" s="31"/>
      <c r="Y349" s="32" t="str">
        <f t="shared" ref="Y349:Y376" si="131">IF(W349="","",IFERROR(W349/X349,""))</f>
        <v/>
      </c>
      <c r="Z349" s="31">
        <f t="shared" si="117"/>
        <v>6964913.2999999998</v>
      </c>
      <c r="AA349" s="31">
        <f t="shared" si="118"/>
        <v>16274943.300000001</v>
      </c>
      <c r="AB349" s="32">
        <f t="shared" si="130"/>
        <v>0.42795315299193698</v>
      </c>
      <c r="AC349" s="31"/>
      <c r="AD349" s="31"/>
      <c r="AE349" s="32" t="str">
        <f t="shared" si="119"/>
        <v/>
      </c>
      <c r="AF349" s="32" t="s">
        <v>313</v>
      </c>
      <c r="AG349" s="31"/>
      <c r="AH349" s="31"/>
      <c r="AI349" s="32" t="str">
        <f t="shared" si="120"/>
        <v/>
      </c>
      <c r="AJ349" s="32" t="s">
        <v>313</v>
      </c>
      <c r="AK349" s="31"/>
      <c r="AL349" s="31"/>
      <c r="AM349" s="32" t="str">
        <f t="shared" si="121"/>
        <v/>
      </c>
      <c r="AN349" s="32" t="s">
        <v>313</v>
      </c>
      <c r="AO349" s="31"/>
      <c r="AP349" s="31"/>
      <c r="AQ349" s="32" t="str">
        <f t="shared" si="122"/>
        <v/>
      </c>
      <c r="AR349" s="32" t="s">
        <v>313</v>
      </c>
      <c r="AS349" s="31"/>
      <c r="AT349" s="31"/>
      <c r="AU349" s="32" t="str">
        <f t="shared" si="123"/>
        <v/>
      </c>
      <c r="AV349" s="32" t="s">
        <v>313</v>
      </c>
      <c r="AW349" s="31"/>
      <c r="AX349" s="31"/>
      <c r="AY349" s="32" t="str">
        <f t="shared" si="124"/>
        <v/>
      </c>
      <c r="AZ349" s="32" t="s">
        <v>313</v>
      </c>
    </row>
    <row r="350" spans="1:52" ht="34" customHeight="1">
      <c r="A350" s="28" t="s">
        <v>328</v>
      </c>
      <c r="B350" s="29" t="s">
        <v>153</v>
      </c>
      <c r="C350" s="29" t="s">
        <v>52</v>
      </c>
      <c r="D350" s="29" t="s">
        <v>54</v>
      </c>
      <c r="E350" s="29" t="s">
        <v>58</v>
      </c>
      <c r="F350" s="29" t="s">
        <v>333</v>
      </c>
      <c r="G350" s="33" t="s">
        <v>330</v>
      </c>
      <c r="H350" s="31"/>
      <c r="I350" s="31">
        <v>4006629.4</v>
      </c>
      <c r="J350" s="32" t="str">
        <f t="shared" si="125"/>
        <v/>
      </c>
      <c r="K350" s="31"/>
      <c r="L350" s="31">
        <v>3011688</v>
      </c>
      <c r="M350" s="32" t="str">
        <f t="shared" si="126"/>
        <v/>
      </c>
      <c r="N350" s="31"/>
      <c r="O350" s="31">
        <v>405224.1</v>
      </c>
      <c r="P350" s="32" t="str">
        <f t="shared" si="127"/>
        <v/>
      </c>
      <c r="Q350" s="31"/>
      <c r="R350" s="31">
        <v>4389112.0999999996</v>
      </c>
      <c r="S350" s="32" t="str">
        <f t="shared" si="128"/>
        <v/>
      </c>
      <c r="T350" s="31"/>
      <c r="U350" s="31">
        <v>4462289.7</v>
      </c>
      <c r="V350" s="32" t="str">
        <f t="shared" si="129"/>
        <v/>
      </c>
      <c r="W350" s="31"/>
      <c r="X350" s="31"/>
      <c r="Y350" s="32" t="str">
        <f t="shared" si="131"/>
        <v/>
      </c>
      <c r="Z350" s="31" t="str">
        <f t="shared" si="117"/>
        <v/>
      </c>
      <c r="AA350" s="31">
        <f t="shared" si="118"/>
        <v>16274943.300000001</v>
      </c>
      <c r="AB350" s="32" t="str">
        <f t="shared" si="130"/>
        <v/>
      </c>
      <c r="AC350" s="31"/>
      <c r="AD350" s="31"/>
      <c r="AE350" s="32" t="str">
        <f t="shared" si="119"/>
        <v/>
      </c>
      <c r="AF350" s="32" t="s">
        <v>313</v>
      </c>
      <c r="AG350" s="31"/>
      <c r="AH350" s="31"/>
      <c r="AI350" s="32" t="str">
        <f t="shared" si="120"/>
        <v/>
      </c>
      <c r="AJ350" s="32" t="s">
        <v>313</v>
      </c>
      <c r="AK350" s="31"/>
      <c r="AL350" s="31"/>
      <c r="AM350" s="32" t="str">
        <f t="shared" si="121"/>
        <v/>
      </c>
      <c r="AN350" s="32" t="s">
        <v>313</v>
      </c>
      <c r="AO350" s="31"/>
      <c r="AP350" s="31"/>
      <c r="AQ350" s="32" t="str">
        <f t="shared" si="122"/>
        <v/>
      </c>
      <c r="AR350" s="32" t="s">
        <v>313</v>
      </c>
      <c r="AS350" s="31"/>
      <c r="AT350" s="31"/>
      <c r="AU350" s="32" t="str">
        <f t="shared" si="123"/>
        <v/>
      </c>
      <c r="AV350" s="32" t="s">
        <v>313</v>
      </c>
      <c r="AW350" s="31"/>
      <c r="AX350" s="31"/>
      <c r="AY350" s="32" t="str">
        <f t="shared" si="124"/>
        <v/>
      </c>
      <c r="AZ350" s="32" t="s">
        <v>313</v>
      </c>
    </row>
    <row r="351" spans="1:52" ht="34" customHeight="1">
      <c r="A351" s="28" t="s">
        <v>328</v>
      </c>
      <c r="B351" s="29" t="s">
        <v>153</v>
      </c>
      <c r="C351" s="29" t="s">
        <v>52</v>
      </c>
      <c r="D351" s="29" t="s">
        <v>54</v>
      </c>
      <c r="E351" s="29" t="s">
        <v>59</v>
      </c>
      <c r="F351" s="29" t="s">
        <v>333</v>
      </c>
      <c r="G351" s="33" t="s">
        <v>330</v>
      </c>
      <c r="H351" s="31"/>
      <c r="I351" s="31">
        <v>4006629.4</v>
      </c>
      <c r="J351" s="32" t="str">
        <f t="shared" si="125"/>
        <v/>
      </c>
      <c r="K351" s="31"/>
      <c r="L351" s="31">
        <v>3011688</v>
      </c>
      <c r="M351" s="32" t="str">
        <f t="shared" si="126"/>
        <v/>
      </c>
      <c r="N351" s="31"/>
      <c r="O351" s="31">
        <v>405224.1</v>
      </c>
      <c r="P351" s="32" t="str">
        <f t="shared" si="127"/>
        <v/>
      </c>
      <c r="Q351" s="31"/>
      <c r="R351" s="31">
        <v>4389112.0999999996</v>
      </c>
      <c r="S351" s="32" t="str">
        <f t="shared" si="128"/>
        <v/>
      </c>
      <c r="T351" s="31"/>
      <c r="U351" s="31">
        <v>4462289.7</v>
      </c>
      <c r="V351" s="32" t="str">
        <f t="shared" si="129"/>
        <v/>
      </c>
      <c r="W351" s="31"/>
      <c r="X351" s="31"/>
      <c r="Y351" s="32" t="str">
        <f t="shared" si="131"/>
        <v/>
      </c>
      <c r="Z351" s="31" t="str">
        <f t="shared" si="117"/>
        <v/>
      </c>
      <c r="AA351" s="31">
        <f t="shared" si="118"/>
        <v>16274943.300000001</v>
      </c>
      <c r="AB351" s="32" t="str">
        <f t="shared" si="130"/>
        <v/>
      </c>
      <c r="AC351" s="31"/>
      <c r="AD351" s="31"/>
      <c r="AE351" s="32" t="str">
        <f t="shared" si="119"/>
        <v/>
      </c>
      <c r="AF351" s="32" t="s">
        <v>313</v>
      </c>
      <c r="AG351" s="31"/>
      <c r="AH351" s="31"/>
      <c r="AI351" s="32" t="str">
        <f t="shared" si="120"/>
        <v/>
      </c>
      <c r="AJ351" s="32" t="s">
        <v>313</v>
      </c>
      <c r="AK351" s="31"/>
      <c r="AL351" s="31"/>
      <c r="AM351" s="32" t="str">
        <f t="shared" si="121"/>
        <v/>
      </c>
      <c r="AN351" s="32" t="s">
        <v>313</v>
      </c>
      <c r="AO351" s="31"/>
      <c r="AP351" s="31"/>
      <c r="AQ351" s="32" t="str">
        <f t="shared" si="122"/>
        <v/>
      </c>
      <c r="AR351" s="32" t="s">
        <v>313</v>
      </c>
      <c r="AS351" s="31"/>
      <c r="AT351" s="31"/>
      <c r="AU351" s="32" t="str">
        <f t="shared" si="123"/>
        <v/>
      </c>
      <c r="AV351" s="32" t="s">
        <v>313</v>
      </c>
      <c r="AW351" s="31"/>
      <c r="AX351" s="31"/>
      <c r="AY351" s="32" t="str">
        <f t="shared" si="124"/>
        <v/>
      </c>
      <c r="AZ351" s="32" t="s">
        <v>313</v>
      </c>
    </row>
    <row r="352" spans="1:52" ht="34" customHeight="1">
      <c r="A352" s="28" t="s">
        <v>328</v>
      </c>
      <c r="B352" s="29" t="s">
        <v>153</v>
      </c>
      <c r="C352" s="29" t="s">
        <v>52</v>
      </c>
      <c r="D352" s="29" t="s">
        <v>54</v>
      </c>
      <c r="E352" s="29" t="s">
        <v>64</v>
      </c>
      <c r="F352" s="29" t="s">
        <v>334</v>
      </c>
      <c r="G352" s="33" t="s">
        <v>330</v>
      </c>
      <c r="H352" s="31">
        <v>63855.600000000202</v>
      </c>
      <c r="I352" s="31">
        <v>4006629.4</v>
      </c>
      <c r="J352" s="32">
        <f t="shared" si="125"/>
        <v>1.5937486007565411E-2</v>
      </c>
      <c r="K352" s="31">
        <v>34606.699999999699</v>
      </c>
      <c r="L352" s="31">
        <v>3011688</v>
      </c>
      <c r="M352" s="32">
        <f t="shared" si="126"/>
        <v>1.1490798515649596E-2</v>
      </c>
      <c r="N352" s="31">
        <v>111454.7</v>
      </c>
      <c r="O352" s="31">
        <v>405224.1</v>
      </c>
      <c r="P352" s="32">
        <f t="shared" si="127"/>
        <v>0.27504459877879922</v>
      </c>
      <c r="Q352" s="31">
        <v>62514.700000000303</v>
      </c>
      <c r="R352" s="31">
        <v>4389112.0999999996</v>
      </c>
      <c r="S352" s="32">
        <f t="shared" si="128"/>
        <v>1.4243131315784873E-2</v>
      </c>
      <c r="T352" s="31">
        <v>186573.2</v>
      </c>
      <c r="U352" s="31">
        <v>4462289.7</v>
      </c>
      <c r="V352" s="32">
        <f t="shared" si="129"/>
        <v>4.181109083975431E-2</v>
      </c>
      <c r="W352" s="31"/>
      <c r="X352" s="31"/>
      <c r="Y352" s="32" t="str">
        <f t="shared" si="131"/>
        <v/>
      </c>
      <c r="Z352" s="31">
        <f t="shared" si="117"/>
        <v>459004.9000000002</v>
      </c>
      <c r="AA352" s="31">
        <f t="shared" si="118"/>
        <v>16274943.300000001</v>
      </c>
      <c r="AB352" s="32">
        <f t="shared" si="130"/>
        <v>2.8203164308412687E-2</v>
      </c>
      <c r="AC352" s="31"/>
      <c r="AD352" s="31"/>
      <c r="AE352" s="32" t="str">
        <f t="shared" si="119"/>
        <v/>
      </c>
      <c r="AF352" s="32" t="s">
        <v>313</v>
      </c>
      <c r="AG352" s="31"/>
      <c r="AH352" s="31"/>
      <c r="AI352" s="32" t="str">
        <f t="shared" si="120"/>
        <v/>
      </c>
      <c r="AJ352" s="32" t="s">
        <v>313</v>
      </c>
      <c r="AK352" s="31"/>
      <c r="AL352" s="31"/>
      <c r="AM352" s="32" t="str">
        <f t="shared" si="121"/>
        <v/>
      </c>
      <c r="AN352" s="32" t="s">
        <v>313</v>
      </c>
      <c r="AO352" s="31"/>
      <c r="AP352" s="31"/>
      <c r="AQ352" s="32" t="str">
        <f t="shared" si="122"/>
        <v/>
      </c>
      <c r="AR352" s="32" t="s">
        <v>313</v>
      </c>
      <c r="AS352" s="31"/>
      <c r="AT352" s="31"/>
      <c r="AU352" s="32" t="str">
        <f t="shared" si="123"/>
        <v/>
      </c>
      <c r="AV352" s="32" t="s">
        <v>313</v>
      </c>
      <c r="AW352" s="31"/>
      <c r="AX352" s="31"/>
      <c r="AY352" s="32" t="str">
        <f t="shared" si="124"/>
        <v/>
      </c>
      <c r="AZ352" s="32" t="s">
        <v>313</v>
      </c>
    </row>
    <row r="353" spans="1:52" ht="34" customHeight="1">
      <c r="A353" s="28" t="s">
        <v>328</v>
      </c>
      <c r="B353" s="29" t="s">
        <v>153</v>
      </c>
      <c r="C353" s="29" t="s">
        <v>52</v>
      </c>
      <c r="D353" s="29" t="s">
        <v>54</v>
      </c>
      <c r="E353" s="29" t="s">
        <v>60</v>
      </c>
      <c r="F353" s="29" t="s">
        <v>335</v>
      </c>
      <c r="G353" s="33" t="s">
        <v>330</v>
      </c>
      <c r="H353" s="31">
        <v>375988.27</v>
      </c>
      <c r="I353" s="31">
        <v>4006629.4</v>
      </c>
      <c r="J353" s="32">
        <f t="shared" si="125"/>
        <v>9.3841539224965506E-2</v>
      </c>
      <c r="K353" s="31">
        <v>196973.03</v>
      </c>
      <c r="L353" s="31">
        <v>3011688</v>
      </c>
      <c r="M353" s="32">
        <f t="shared" si="126"/>
        <v>6.5402867096458858E-2</v>
      </c>
      <c r="N353" s="31">
        <v>333116.13</v>
      </c>
      <c r="O353" s="31">
        <v>405224.1</v>
      </c>
      <c r="P353" s="32">
        <f t="shared" si="127"/>
        <v>0.82205409303148558</v>
      </c>
      <c r="Q353" s="31">
        <v>205774.61</v>
      </c>
      <c r="R353" s="31">
        <v>4389112.0999999996</v>
      </c>
      <c r="S353" s="32">
        <f t="shared" si="128"/>
        <v>4.6882969792455292E-2</v>
      </c>
      <c r="T353" s="31">
        <v>165094.49</v>
      </c>
      <c r="U353" s="31">
        <v>4462289.7</v>
      </c>
      <c r="V353" s="32">
        <f t="shared" si="129"/>
        <v>3.6997707701496831E-2</v>
      </c>
      <c r="W353" s="31"/>
      <c r="X353" s="31"/>
      <c r="Y353" s="32" t="str">
        <f t="shared" si="131"/>
        <v/>
      </c>
      <c r="Z353" s="31">
        <f t="shared" si="117"/>
        <v>1276946.53</v>
      </c>
      <c r="AA353" s="31">
        <f t="shared" si="118"/>
        <v>16274943.300000001</v>
      </c>
      <c r="AB353" s="32">
        <f t="shared" si="130"/>
        <v>7.8460889630257574E-2</v>
      </c>
      <c r="AC353" s="31"/>
      <c r="AD353" s="31"/>
      <c r="AE353" s="32" t="str">
        <f t="shared" si="119"/>
        <v/>
      </c>
      <c r="AF353" s="32" t="s">
        <v>313</v>
      </c>
      <c r="AG353" s="31"/>
      <c r="AH353" s="31"/>
      <c r="AI353" s="32" t="str">
        <f t="shared" si="120"/>
        <v/>
      </c>
      <c r="AJ353" s="32" t="s">
        <v>313</v>
      </c>
      <c r="AK353" s="31"/>
      <c r="AL353" s="31"/>
      <c r="AM353" s="32" t="str">
        <f t="shared" si="121"/>
        <v/>
      </c>
      <c r="AN353" s="32" t="s">
        <v>313</v>
      </c>
      <c r="AO353" s="31"/>
      <c r="AP353" s="31"/>
      <c r="AQ353" s="32" t="str">
        <f t="shared" si="122"/>
        <v/>
      </c>
      <c r="AR353" s="32" t="s">
        <v>313</v>
      </c>
      <c r="AS353" s="31"/>
      <c r="AT353" s="31"/>
      <c r="AU353" s="32" t="str">
        <f t="shared" si="123"/>
        <v/>
      </c>
      <c r="AV353" s="32" t="s">
        <v>313</v>
      </c>
      <c r="AW353" s="31"/>
      <c r="AX353" s="31"/>
      <c r="AY353" s="32" t="str">
        <f t="shared" si="124"/>
        <v/>
      </c>
      <c r="AZ353" s="32" t="s">
        <v>313</v>
      </c>
    </row>
    <row r="354" spans="1:52" ht="34" customHeight="1">
      <c r="A354" s="28" t="s">
        <v>328</v>
      </c>
      <c r="B354" s="29" t="s">
        <v>153</v>
      </c>
      <c r="C354" s="29" t="s">
        <v>52</v>
      </c>
      <c r="D354" s="29" t="s">
        <v>54</v>
      </c>
      <c r="E354" s="29" t="s">
        <v>61</v>
      </c>
      <c r="F354" s="29" t="s">
        <v>333</v>
      </c>
      <c r="G354" s="33" t="s">
        <v>330</v>
      </c>
      <c r="H354" s="31"/>
      <c r="I354" s="31">
        <v>4006629.4</v>
      </c>
      <c r="J354" s="32" t="str">
        <f t="shared" si="125"/>
        <v/>
      </c>
      <c r="K354" s="31"/>
      <c r="L354" s="31">
        <v>3011688</v>
      </c>
      <c r="M354" s="32" t="str">
        <f t="shared" si="126"/>
        <v/>
      </c>
      <c r="N354" s="31"/>
      <c r="O354" s="31">
        <v>405224.1</v>
      </c>
      <c r="P354" s="32" t="str">
        <f t="shared" si="127"/>
        <v/>
      </c>
      <c r="Q354" s="31"/>
      <c r="R354" s="31">
        <v>4389112.0999999996</v>
      </c>
      <c r="S354" s="32" t="str">
        <f t="shared" si="128"/>
        <v/>
      </c>
      <c r="T354" s="31"/>
      <c r="U354" s="31">
        <v>4462289.7</v>
      </c>
      <c r="V354" s="32" t="str">
        <f t="shared" si="129"/>
        <v/>
      </c>
      <c r="W354" s="31"/>
      <c r="X354" s="31"/>
      <c r="Y354" s="32" t="str">
        <f t="shared" si="131"/>
        <v/>
      </c>
      <c r="Z354" s="31" t="str">
        <f t="shared" si="117"/>
        <v/>
      </c>
      <c r="AA354" s="31">
        <f t="shared" si="118"/>
        <v>16274943.300000001</v>
      </c>
      <c r="AB354" s="32" t="str">
        <f t="shared" si="130"/>
        <v/>
      </c>
      <c r="AC354" s="31"/>
      <c r="AD354" s="31"/>
      <c r="AE354" s="32" t="str">
        <f t="shared" si="119"/>
        <v/>
      </c>
      <c r="AF354" s="32" t="s">
        <v>313</v>
      </c>
      <c r="AG354" s="31"/>
      <c r="AH354" s="31"/>
      <c r="AI354" s="32" t="str">
        <f t="shared" si="120"/>
        <v/>
      </c>
      <c r="AJ354" s="32" t="s">
        <v>313</v>
      </c>
      <c r="AK354" s="31"/>
      <c r="AL354" s="31"/>
      <c r="AM354" s="32" t="str">
        <f t="shared" si="121"/>
        <v/>
      </c>
      <c r="AN354" s="32" t="s">
        <v>313</v>
      </c>
      <c r="AO354" s="31"/>
      <c r="AP354" s="31"/>
      <c r="AQ354" s="32" t="str">
        <f t="shared" si="122"/>
        <v/>
      </c>
      <c r="AR354" s="32" t="s">
        <v>313</v>
      </c>
      <c r="AS354" s="31"/>
      <c r="AT354" s="31"/>
      <c r="AU354" s="32" t="str">
        <f t="shared" si="123"/>
        <v/>
      </c>
      <c r="AV354" s="32" t="s">
        <v>313</v>
      </c>
      <c r="AW354" s="31"/>
      <c r="AX354" s="31"/>
      <c r="AY354" s="32" t="str">
        <f t="shared" si="124"/>
        <v/>
      </c>
      <c r="AZ354" s="32" t="s">
        <v>313</v>
      </c>
    </row>
    <row r="355" spans="1:52" ht="34" customHeight="1">
      <c r="A355" s="28" t="s">
        <v>328</v>
      </c>
      <c r="B355" s="29" t="s">
        <v>153</v>
      </c>
      <c r="C355" s="29" t="s">
        <v>52</v>
      </c>
      <c r="D355" s="29" t="s">
        <v>54</v>
      </c>
      <c r="E355" s="29" t="s">
        <v>62</v>
      </c>
      <c r="F355" s="29" t="s">
        <v>336</v>
      </c>
      <c r="G355" s="33" t="s">
        <v>330</v>
      </c>
      <c r="H355" s="31">
        <v>1602.83</v>
      </c>
      <c r="I355" s="31">
        <v>4006629.4</v>
      </c>
      <c r="J355" s="32">
        <f t="shared" si="125"/>
        <v>4.0004448627067927E-4</v>
      </c>
      <c r="K355" s="31">
        <v>1570.19</v>
      </c>
      <c r="L355" s="31">
        <v>3011688</v>
      </c>
      <c r="M355" s="32">
        <f t="shared" si="126"/>
        <v>5.2136542696321802E-4</v>
      </c>
      <c r="N355" s="31">
        <v>5047.67</v>
      </c>
      <c r="O355" s="31">
        <v>405224.1</v>
      </c>
      <c r="P355" s="32">
        <f t="shared" si="127"/>
        <v>1.2456490124846968E-2</v>
      </c>
      <c r="Q355" s="31">
        <v>3671.81</v>
      </c>
      <c r="R355" s="31">
        <v>4389112.0999999996</v>
      </c>
      <c r="S355" s="32">
        <f t="shared" si="128"/>
        <v>8.3657239011963272E-4</v>
      </c>
      <c r="T355" s="31">
        <v>42320.29</v>
      </c>
      <c r="U355" s="31">
        <v>4462289.7</v>
      </c>
      <c r="V355" s="32">
        <f t="shared" si="129"/>
        <v>9.4839853181204262E-3</v>
      </c>
      <c r="W355" s="31"/>
      <c r="X355" s="31"/>
      <c r="Y355" s="32" t="str">
        <f t="shared" si="131"/>
        <v/>
      </c>
      <c r="Z355" s="31">
        <f t="shared" si="117"/>
        <v>54212.79</v>
      </c>
      <c r="AA355" s="31">
        <f t="shared" si="118"/>
        <v>16274943.300000001</v>
      </c>
      <c r="AB355" s="32">
        <f t="shared" si="130"/>
        <v>3.3310586095866767E-3</v>
      </c>
      <c r="AC355" s="31"/>
      <c r="AD355" s="31"/>
      <c r="AE355" s="32" t="str">
        <f t="shared" si="119"/>
        <v/>
      </c>
      <c r="AF355" s="32" t="s">
        <v>313</v>
      </c>
      <c r="AG355" s="31"/>
      <c r="AH355" s="31"/>
      <c r="AI355" s="32" t="str">
        <f t="shared" si="120"/>
        <v/>
      </c>
      <c r="AJ355" s="32" t="s">
        <v>313</v>
      </c>
      <c r="AK355" s="31"/>
      <c r="AL355" s="31"/>
      <c r="AM355" s="32" t="str">
        <f t="shared" si="121"/>
        <v/>
      </c>
      <c r="AN355" s="32" t="s">
        <v>313</v>
      </c>
      <c r="AO355" s="31"/>
      <c r="AP355" s="31"/>
      <c r="AQ355" s="32" t="str">
        <f t="shared" si="122"/>
        <v/>
      </c>
      <c r="AR355" s="32" t="s">
        <v>313</v>
      </c>
      <c r="AS355" s="31"/>
      <c r="AT355" s="31"/>
      <c r="AU355" s="32" t="str">
        <f t="shared" si="123"/>
        <v/>
      </c>
      <c r="AV355" s="32" t="s">
        <v>313</v>
      </c>
      <c r="AW355" s="31"/>
      <c r="AX355" s="31"/>
      <c r="AY355" s="32" t="str">
        <f t="shared" si="124"/>
        <v/>
      </c>
      <c r="AZ355" s="32" t="s">
        <v>313</v>
      </c>
    </row>
    <row r="356" spans="1:52" ht="34" customHeight="1">
      <c r="A356" s="28" t="s">
        <v>328</v>
      </c>
      <c r="B356" s="29" t="s">
        <v>153</v>
      </c>
      <c r="C356" s="29" t="s">
        <v>52</v>
      </c>
      <c r="D356" s="29" t="s">
        <v>54</v>
      </c>
      <c r="E356" s="29" t="s">
        <v>63</v>
      </c>
      <c r="F356" s="29" t="s">
        <v>337</v>
      </c>
      <c r="G356" s="33" t="s">
        <v>330</v>
      </c>
      <c r="H356" s="31">
        <v>27892.9</v>
      </c>
      <c r="I356" s="31">
        <v>4006629.4</v>
      </c>
      <c r="J356" s="32">
        <f t="shared" si="125"/>
        <v>6.9616870479710458E-3</v>
      </c>
      <c r="K356" s="31">
        <v>29230.83</v>
      </c>
      <c r="L356" s="31">
        <v>3011688</v>
      </c>
      <c r="M356" s="32">
        <f t="shared" si="126"/>
        <v>9.7057962179349262E-3</v>
      </c>
      <c r="N356" s="31">
        <v>164713.79999999999</v>
      </c>
      <c r="O356" s="31">
        <v>405224.1</v>
      </c>
      <c r="P356" s="32">
        <f t="shared" si="127"/>
        <v>0.4064758241180621</v>
      </c>
      <c r="Q356" s="31">
        <v>31422.93</v>
      </c>
      <c r="R356" s="31">
        <v>4389112.0999999996</v>
      </c>
      <c r="S356" s="32">
        <f t="shared" si="128"/>
        <v>7.1592908278647069E-3</v>
      </c>
      <c r="T356" s="31">
        <v>72249.89</v>
      </c>
      <c r="U356" s="31">
        <v>4462289.7</v>
      </c>
      <c r="V356" s="32">
        <f t="shared" si="129"/>
        <v>1.619121456861037E-2</v>
      </c>
      <c r="W356" s="31"/>
      <c r="X356" s="31"/>
      <c r="Y356" s="32" t="str">
        <f t="shared" si="131"/>
        <v/>
      </c>
      <c r="Z356" s="31">
        <f t="shared" si="117"/>
        <v>325510.34999999998</v>
      </c>
      <c r="AA356" s="31">
        <f t="shared" si="118"/>
        <v>16274943.300000001</v>
      </c>
      <c r="AB356" s="32">
        <f t="shared" si="130"/>
        <v>2.0000705624578119E-2</v>
      </c>
      <c r="AC356" s="31"/>
      <c r="AD356" s="31"/>
      <c r="AE356" s="32" t="str">
        <f t="shared" si="119"/>
        <v/>
      </c>
      <c r="AF356" s="32" t="s">
        <v>313</v>
      </c>
      <c r="AG356" s="31"/>
      <c r="AH356" s="31"/>
      <c r="AI356" s="32" t="str">
        <f t="shared" si="120"/>
        <v/>
      </c>
      <c r="AJ356" s="32" t="s">
        <v>313</v>
      </c>
      <c r="AK356" s="31"/>
      <c r="AL356" s="31"/>
      <c r="AM356" s="32" t="str">
        <f t="shared" si="121"/>
        <v/>
      </c>
      <c r="AN356" s="32" t="s">
        <v>313</v>
      </c>
      <c r="AO356" s="31"/>
      <c r="AP356" s="31"/>
      <c r="AQ356" s="32" t="str">
        <f t="shared" si="122"/>
        <v/>
      </c>
      <c r="AR356" s="32" t="s">
        <v>313</v>
      </c>
      <c r="AS356" s="31"/>
      <c r="AT356" s="31"/>
      <c r="AU356" s="32" t="str">
        <f t="shared" si="123"/>
        <v/>
      </c>
      <c r="AV356" s="32" t="s">
        <v>313</v>
      </c>
      <c r="AW356" s="31"/>
      <c r="AX356" s="31"/>
      <c r="AY356" s="32" t="str">
        <f t="shared" si="124"/>
        <v/>
      </c>
      <c r="AZ356" s="32" t="s">
        <v>313</v>
      </c>
    </row>
    <row r="357" spans="1:52" ht="34" customHeight="1">
      <c r="A357" s="28" t="s">
        <v>328</v>
      </c>
      <c r="B357" s="29" t="s">
        <v>153</v>
      </c>
      <c r="C357" s="29" t="s">
        <v>52</v>
      </c>
      <c r="D357" s="29" t="s">
        <v>65</v>
      </c>
      <c r="E357" s="29" t="s">
        <v>66</v>
      </c>
      <c r="F357" s="29" t="s">
        <v>333</v>
      </c>
      <c r="G357" s="33" t="s">
        <v>330</v>
      </c>
      <c r="H357" s="31"/>
      <c r="I357" s="31">
        <v>4006629.4</v>
      </c>
      <c r="J357" s="32" t="str">
        <f t="shared" si="125"/>
        <v/>
      </c>
      <c r="K357" s="31"/>
      <c r="L357" s="31">
        <v>3011688</v>
      </c>
      <c r="M357" s="32" t="str">
        <f t="shared" si="126"/>
        <v/>
      </c>
      <c r="N357" s="31"/>
      <c r="O357" s="31">
        <v>405224.1</v>
      </c>
      <c r="P357" s="32" t="str">
        <f t="shared" si="127"/>
        <v/>
      </c>
      <c r="Q357" s="31"/>
      <c r="R357" s="31">
        <v>4389112.0999999996</v>
      </c>
      <c r="S357" s="32" t="str">
        <f t="shared" si="128"/>
        <v/>
      </c>
      <c r="T357" s="31"/>
      <c r="U357" s="31">
        <v>4462289.7</v>
      </c>
      <c r="V357" s="32" t="str">
        <f t="shared" si="129"/>
        <v/>
      </c>
      <c r="W357" s="31"/>
      <c r="X357" s="31"/>
      <c r="Y357" s="32" t="str">
        <f t="shared" si="131"/>
        <v/>
      </c>
      <c r="Z357" s="31" t="str">
        <f t="shared" si="117"/>
        <v/>
      </c>
      <c r="AA357" s="31">
        <f t="shared" si="118"/>
        <v>16274943.300000001</v>
      </c>
      <c r="AB357" s="32" t="str">
        <f t="shared" si="130"/>
        <v/>
      </c>
      <c r="AC357" s="31"/>
      <c r="AD357" s="31"/>
      <c r="AE357" s="32" t="str">
        <f t="shared" si="119"/>
        <v/>
      </c>
      <c r="AF357" s="32" t="s">
        <v>313</v>
      </c>
      <c r="AG357" s="31"/>
      <c r="AH357" s="31"/>
      <c r="AI357" s="32" t="str">
        <f t="shared" si="120"/>
        <v/>
      </c>
      <c r="AJ357" s="32" t="s">
        <v>313</v>
      </c>
      <c r="AK357" s="31"/>
      <c r="AL357" s="31"/>
      <c r="AM357" s="32" t="str">
        <f t="shared" si="121"/>
        <v/>
      </c>
      <c r="AN357" s="32" t="s">
        <v>313</v>
      </c>
      <c r="AO357" s="31"/>
      <c r="AP357" s="31"/>
      <c r="AQ357" s="32" t="str">
        <f t="shared" si="122"/>
        <v/>
      </c>
      <c r="AR357" s="32" t="s">
        <v>313</v>
      </c>
      <c r="AS357" s="31"/>
      <c r="AT357" s="31"/>
      <c r="AU357" s="32" t="str">
        <f t="shared" si="123"/>
        <v/>
      </c>
      <c r="AV357" s="32" t="s">
        <v>313</v>
      </c>
      <c r="AW357" s="31"/>
      <c r="AX357" s="31"/>
      <c r="AY357" s="32" t="str">
        <f t="shared" si="124"/>
        <v/>
      </c>
      <c r="AZ357" s="32" t="s">
        <v>313</v>
      </c>
    </row>
    <row r="358" spans="1:52" ht="34" customHeight="1">
      <c r="A358" s="28" t="s">
        <v>328</v>
      </c>
      <c r="B358" s="29" t="s">
        <v>153</v>
      </c>
      <c r="C358" s="29" t="s">
        <v>52</v>
      </c>
      <c r="D358" s="29" t="s">
        <v>65</v>
      </c>
      <c r="E358" s="29" t="s">
        <v>67</v>
      </c>
      <c r="F358" s="29" t="s">
        <v>333</v>
      </c>
      <c r="G358" s="33" t="s">
        <v>330</v>
      </c>
      <c r="H358" s="31"/>
      <c r="I358" s="31">
        <v>4006629.4</v>
      </c>
      <c r="J358" s="32" t="str">
        <f t="shared" si="125"/>
        <v/>
      </c>
      <c r="K358" s="31"/>
      <c r="L358" s="31">
        <v>3011688</v>
      </c>
      <c r="M358" s="32" t="str">
        <f t="shared" si="126"/>
        <v/>
      </c>
      <c r="N358" s="31"/>
      <c r="O358" s="31">
        <v>405224.1</v>
      </c>
      <c r="P358" s="32" t="str">
        <f t="shared" si="127"/>
        <v/>
      </c>
      <c r="Q358" s="31"/>
      <c r="R358" s="31">
        <v>4389112.0999999996</v>
      </c>
      <c r="S358" s="32" t="str">
        <f t="shared" si="128"/>
        <v/>
      </c>
      <c r="T358" s="31"/>
      <c r="U358" s="31">
        <v>4462289.7</v>
      </c>
      <c r="V358" s="32" t="str">
        <f t="shared" si="129"/>
        <v/>
      </c>
      <c r="W358" s="31"/>
      <c r="X358" s="31"/>
      <c r="Y358" s="32" t="str">
        <f t="shared" si="131"/>
        <v/>
      </c>
      <c r="Z358" s="31" t="str">
        <f t="shared" si="117"/>
        <v/>
      </c>
      <c r="AA358" s="31">
        <f t="shared" si="118"/>
        <v>16274943.300000001</v>
      </c>
      <c r="AB358" s="32" t="str">
        <f t="shared" si="130"/>
        <v/>
      </c>
      <c r="AC358" s="31"/>
      <c r="AD358" s="31"/>
      <c r="AE358" s="32" t="str">
        <f t="shared" si="119"/>
        <v/>
      </c>
      <c r="AF358" s="32" t="s">
        <v>313</v>
      </c>
      <c r="AG358" s="31"/>
      <c r="AH358" s="31"/>
      <c r="AI358" s="32" t="str">
        <f t="shared" si="120"/>
        <v/>
      </c>
      <c r="AJ358" s="32" t="s">
        <v>313</v>
      </c>
      <c r="AK358" s="31"/>
      <c r="AL358" s="31"/>
      <c r="AM358" s="32" t="str">
        <f t="shared" si="121"/>
        <v/>
      </c>
      <c r="AN358" s="32" t="s">
        <v>313</v>
      </c>
      <c r="AO358" s="31"/>
      <c r="AP358" s="31"/>
      <c r="AQ358" s="32" t="str">
        <f t="shared" si="122"/>
        <v/>
      </c>
      <c r="AR358" s="32" t="s">
        <v>313</v>
      </c>
      <c r="AS358" s="31"/>
      <c r="AT358" s="31"/>
      <c r="AU358" s="32" t="str">
        <f t="shared" si="123"/>
        <v/>
      </c>
      <c r="AV358" s="32" t="s">
        <v>313</v>
      </c>
      <c r="AW358" s="31"/>
      <c r="AX358" s="31"/>
      <c r="AY358" s="32" t="str">
        <f t="shared" si="124"/>
        <v/>
      </c>
      <c r="AZ358" s="32" t="s">
        <v>313</v>
      </c>
    </row>
    <row r="359" spans="1:52" ht="34" customHeight="1">
      <c r="A359" s="28" t="s">
        <v>328</v>
      </c>
      <c r="B359" s="29" t="s">
        <v>153</v>
      </c>
      <c r="C359" s="29" t="s">
        <v>52</v>
      </c>
      <c r="D359" s="29" t="s">
        <v>65</v>
      </c>
      <c r="E359" s="29" t="s">
        <v>68</v>
      </c>
      <c r="F359" s="29" t="s">
        <v>333</v>
      </c>
      <c r="G359" s="33" t="s">
        <v>330</v>
      </c>
      <c r="H359" s="31"/>
      <c r="I359" s="31">
        <v>4006629.4</v>
      </c>
      <c r="J359" s="32" t="str">
        <f t="shared" si="125"/>
        <v/>
      </c>
      <c r="K359" s="31"/>
      <c r="L359" s="31">
        <v>3011688</v>
      </c>
      <c r="M359" s="32" t="str">
        <f t="shared" si="126"/>
        <v/>
      </c>
      <c r="N359" s="31"/>
      <c r="O359" s="31">
        <v>405224.1</v>
      </c>
      <c r="P359" s="32" t="str">
        <f t="shared" si="127"/>
        <v/>
      </c>
      <c r="Q359" s="31"/>
      <c r="R359" s="31">
        <v>4389112.0999999996</v>
      </c>
      <c r="S359" s="32" t="str">
        <f t="shared" si="128"/>
        <v/>
      </c>
      <c r="T359" s="31"/>
      <c r="U359" s="31">
        <v>4462289.7</v>
      </c>
      <c r="V359" s="32" t="str">
        <f t="shared" si="129"/>
        <v/>
      </c>
      <c r="W359" s="31"/>
      <c r="X359" s="31"/>
      <c r="Y359" s="32" t="str">
        <f t="shared" si="131"/>
        <v/>
      </c>
      <c r="Z359" s="31" t="str">
        <f t="shared" si="117"/>
        <v/>
      </c>
      <c r="AA359" s="31">
        <f t="shared" si="118"/>
        <v>16274943.300000001</v>
      </c>
      <c r="AB359" s="32" t="str">
        <f t="shared" si="130"/>
        <v/>
      </c>
      <c r="AC359" s="31"/>
      <c r="AD359" s="31"/>
      <c r="AE359" s="32" t="str">
        <f t="shared" si="119"/>
        <v/>
      </c>
      <c r="AF359" s="32" t="s">
        <v>313</v>
      </c>
      <c r="AG359" s="31"/>
      <c r="AH359" s="31"/>
      <c r="AI359" s="32" t="str">
        <f t="shared" si="120"/>
        <v/>
      </c>
      <c r="AJ359" s="32" t="s">
        <v>313</v>
      </c>
      <c r="AK359" s="31"/>
      <c r="AL359" s="31"/>
      <c r="AM359" s="32" t="str">
        <f t="shared" si="121"/>
        <v/>
      </c>
      <c r="AN359" s="32" t="s">
        <v>313</v>
      </c>
      <c r="AO359" s="31"/>
      <c r="AP359" s="31"/>
      <c r="AQ359" s="32" t="str">
        <f t="shared" si="122"/>
        <v/>
      </c>
      <c r="AR359" s="32" t="s">
        <v>313</v>
      </c>
      <c r="AS359" s="31"/>
      <c r="AT359" s="31"/>
      <c r="AU359" s="32" t="str">
        <f t="shared" si="123"/>
        <v/>
      </c>
      <c r="AV359" s="32" t="s">
        <v>313</v>
      </c>
      <c r="AW359" s="31"/>
      <c r="AX359" s="31"/>
      <c r="AY359" s="32" t="str">
        <f t="shared" si="124"/>
        <v/>
      </c>
      <c r="AZ359" s="32" t="s">
        <v>313</v>
      </c>
    </row>
    <row r="360" spans="1:52" ht="34" customHeight="1">
      <c r="A360" s="28" t="s">
        <v>328</v>
      </c>
      <c r="B360" s="29" t="s">
        <v>153</v>
      </c>
      <c r="C360" s="29" t="s">
        <v>52</v>
      </c>
      <c r="D360" s="29" t="s">
        <v>65</v>
      </c>
      <c r="E360" s="29" t="s">
        <v>69</v>
      </c>
      <c r="F360" s="29" t="s">
        <v>333</v>
      </c>
      <c r="G360" s="33" t="s">
        <v>330</v>
      </c>
      <c r="H360" s="31"/>
      <c r="I360" s="31">
        <v>4006629.4</v>
      </c>
      <c r="J360" s="32" t="str">
        <f t="shared" si="125"/>
        <v/>
      </c>
      <c r="K360" s="31"/>
      <c r="L360" s="31">
        <v>3011688</v>
      </c>
      <c r="M360" s="32" t="str">
        <f t="shared" si="126"/>
        <v/>
      </c>
      <c r="N360" s="31"/>
      <c r="O360" s="31">
        <v>405224.1</v>
      </c>
      <c r="P360" s="32" t="str">
        <f t="shared" si="127"/>
        <v/>
      </c>
      <c r="Q360" s="31"/>
      <c r="R360" s="31">
        <v>4389112.0999999996</v>
      </c>
      <c r="S360" s="32" t="str">
        <f t="shared" si="128"/>
        <v/>
      </c>
      <c r="T360" s="31"/>
      <c r="U360" s="31">
        <v>4462289.7</v>
      </c>
      <c r="V360" s="32" t="str">
        <f t="shared" si="129"/>
        <v/>
      </c>
      <c r="W360" s="31"/>
      <c r="X360" s="31"/>
      <c r="Y360" s="32" t="str">
        <f t="shared" si="131"/>
        <v/>
      </c>
      <c r="Z360" s="31" t="str">
        <f t="shared" si="117"/>
        <v/>
      </c>
      <c r="AA360" s="31">
        <f t="shared" si="118"/>
        <v>16274943.300000001</v>
      </c>
      <c r="AB360" s="32" t="str">
        <f t="shared" si="130"/>
        <v/>
      </c>
      <c r="AC360" s="31"/>
      <c r="AD360" s="31"/>
      <c r="AE360" s="32" t="str">
        <f t="shared" si="119"/>
        <v/>
      </c>
      <c r="AF360" s="32" t="s">
        <v>313</v>
      </c>
      <c r="AG360" s="31"/>
      <c r="AH360" s="31"/>
      <c r="AI360" s="32" t="str">
        <f t="shared" si="120"/>
        <v/>
      </c>
      <c r="AJ360" s="32" t="s">
        <v>313</v>
      </c>
      <c r="AK360" s="31"/>
      <c r="AL360" s="31"/>
      <c r="AM360" s="32" t="str">
        <f t="shared" si="121"/>
        <v/>
      </c>
      <c r="AN360" s="32" t="s">
        <v>313</v>
      </c>
      <c r="AO360" s="31"/>
      <c r="AP360" s="31"/>
      <c r="AQ360" s="32" t="str">
        <f t="shared" si="122"/>
        <v/>
      </c>
      <c r="AR360" s="32" t="s">
        <v>313</v>
      </c>
      <c r="AS360" s="31"/>
      <c r="AT360" s="31"/>
      <c r="AU360" s="32" t="str">
        <f t="shared" si="123"/>
        <v/>
      </c>
      <c r="AV360" s="32" t="s">
        <v>313</v>
      </c>
      <c r="AW360" s="31"/>
      <c r="AX360" s="31"/>
      <c r="AY360" s="32" t="str">
        <f t="shared" si="124"/>
        <v/>
      </c>
      <c r="AZ360" s="32" t="s">
        <v>313</v>
      </c>
    </row>
    <row r="361" spans="1:52" ht="34" customHeight="1">
      <c r="A361" s="28" t="s">
        <v>328</v>
      </c>
      <c r="B361" s="29" t="s">
        <v>153</v>
      </c>
      <c r="C361" s="29" t="s">
        <v>52</v>
      </c>
      <c r="D361" s="29" t="s">
        <v>70</v>
      </c>
      <c r="E361" s="29" t="s">
        <v>73</v>
      </c>
      <c r="F361" s="29" t="s">
        <v>333</v>
      </c>
      <c r="G361" s="33" t="s">
        <v>330</v>
      </c>
      <c r="H361" s="31"/>
      <c r="I361" s="31">
        <v>4006629.4</v>
      </c>
      <c r="J361" s="32" t="str">
        <f t="shared" si="125"/>
        <v/>
      </c>
      <c r="K361" s="31"/>
      <c r="L361" s="31">
        <v>3011688</v>
      </c>
      <c r="M361" s="32" t="str">
        <f t="shared" si="126"/>
        <v/>
      </c>
      <c r="N361" s="31"/>
      <c r="O361" s="31">
        <v>405224.1</v>
      </c>
      <c r="P361" s="32" t="str">
        <f t="shared" si="127"/>
        <v/>
      </c>
      <c r="Q361" s="31"/>
      <c r="R361" s="31">
        <v>4389112.0999999996</v>
      </c>
      <c r="S361" s="32" t="str">
        <f t="shared" si="128"/>
        <v/>
      </c>
      <c r="T361" s="31"/>
      <c r="U361" s="31">
        <v>4462289.7</v>
      </c>
      <c r="V361" s="32" t="str">
        <f t="shared" si="129"/>
        <v/>
      </c>
      <c r="W361" s="31"/>
      <c r="X361" s="31"/>
      <c r="Y361" s="32" t="str">
        <f t="shared" si="131"/>
        <v/>
      </c>
      <c r="Z361" s="31" t="str">
        <f t="shared" si="117"/>
        <v/>
      </c>
      <c r="AA361" s="31">
        <f t="shared" si="118"/>
        <v>16274943.300000001</v>
      </c>
      <c r="AB361" s="32" t="str">
        <f t="shared" si="130"/>
        <v/>
      </c>
      <c r="AC361" s="31"/>
      <c r="AD361" s="31"/>
      <c r="AE361" s="32" t="str">
        <f t="shared" si="119"/>
        <v/>
      </c>
      <c r="AF361" s="32" t="s">
        <v>313</v>
      </c>
      <c r="AG361" s="31"/>
      <c r="AH361" s="31"/>
      <c r="AI361" s="32" t="str">
        <f t="shared" si="120"/>
        <v/>
      </c>
      <c r="AJ361" s="32" t="s">
        <v>313</v>
      </c>
      <c r="AK361" s="31"/>
      <c r="AL361" s="31"/>
      <c r="AM361" s="32" t="str">
        <f t="shared" si="121"/>
        <v/>
      </c>
      <c r="AN361" s="32" t="s">
        <v>313</v>
      </c>
      <c r="AO361" s="31"/>
      <c r="AP361" s="31"/>
      <c r="AQ361" s="32" t="str">
        <f t="shared" si="122"/>
        <v/>
      </c>
      <c r="AR361" s="32" t="s">
        <v>313</v>
      </c>
      <c r="AS361" s="31"/>
      <c r="AT361" s="31"/>
      <c r="AU361" s="32" t="str">
        <f t="shared" si="123"/>
        <v/>
      </c>
      <c r="AV361" s="32" t="s">
        <v>313</v>
      </c>
      <c r="AW361" s="31"/>
      <c r="AX361" s="31"/>
      <c r="AY361" s="32" t="str">
        <f t="shared" si="124"/>
        <v/>
      </c>
      <c r="AZ361" s="32" t="s">
        <v>313</v>
      </c>
    </row>
    <row r="362" spans="1:52" ht="34" customHeight="1">
      <c r="A362" s="28" t="s">
        <v>328</v>
      </c>
      <c r="B362" s="29" t="s">
        <v>153</v>
      </c>
      <c r="C362" s="29" t="s">
        <v>52</v>
      </c>
      <c r="D362" s="29" t="s">
        <v>70</v>
      </c>
      <c r="E362" s="29" t="s">
        <v>71</v>
      </c>
      <c r="F362" s="29" t="s">
        <v>338</v>
      </c>
      <c r="G362" s="33" t="s">
        <v>330</v>
      </c>
      <c r="H362" s="31">
        <v>99491.89</v>
      </c>
      <c r="I362" s="31">
        <v>4006629.4</v>
      </c>
      <c r="J362" s="32">
        <f t="shared" si="125"/>
        <v>2.4831817487287446E-2</v>
      </c>
      <c r="K362" s="31">
        <v>38921.599999999999</v>
      </c>
      <c r="L362" s="31">
        <v>3011688</v>
      </c>
      <c r="M362" s="32">
        <f t="shared" si="126"/>
        <v>1.2923516645814573E-2</v>
      </c>
      <c r="N362" s="31">
        <v>134075.1</v>
      </c>
      <c r="O362" s="31">
        <v>405224.1</v>
      </c>
      <c r="P362" s="32">
        <f t="shared" si="127"/>
        <v>0.33086655013855298</v>
      </c>
      <c r="Q362" s="31">
        <v>95480.639999999999</v>
      </c>
      <c r="R362" s="31">
        <v>4389112.0999999996</v>
      </c>
      <c r="S362" s="32">
        <f t="shared" si="128"/>
        <v>2.1753976162969271E-2</v>
      </c>
      <c r="T362" s="31">
        <v>130866.75</v>
      </c>
      <c r="U362" s="31">
        <v>4462289.7</v>
      </c>
      <c r="V362" s="32">
        <f t="shared" si="129"/>
        <v>2.9327264431083439E-2</v>
      </c>
      <c r="W362" s="31"/>
      <c r="X362" s="31"/>
      <c r="Y362" s="32" t="str">
        <f t="shared" si="131"/>
        <v/>
      </c>
      <c r="Z362" s="31">
        <f t="shared" si="117"/>
        <v>498835.98</v>
      </c>
      <c r="AA362" s="31">
        <f t="shared" si="118"/>
        <v>16274943.300000001</v>
      </c>
      <c r="AB362" s="32">
        <f t="shared" si="130"/>
        <v>3.0650551022196184E-2</v>
      </c>
      <c r="AC362" s="31"/>
      <c r="AD362" s="31"/>
      <c r="AE362" s="32" t="str">
        <f t="shared" si="119"/>
        <v/>
      </c>
      <c r="AF362" s="32" t="s">
        <v>313</v>
      </c>
      <c r="AG362" s="31"/>
      <c r="AH362" s="31"/>
      <c r="AI362" s="32" t="str">
        <f t="shared" si="120"/>
        <v/>
      </c>
      <c r="AJ362" s="32" t="s">
        <v>313</v>
      </c>
      <c r="AK362" s="31"/>
      <c r="AL362" s="31"/>
      <c r="AM362" s="32" t="str">
        <f t="shared" si="121"/>
        <v/>
      </c>
      <c r="AN362" s="32" t="s">
        <v>313</v>
      </c>
      <c r="AO362" s="31"/>
      <c r="AP362" s="31"/>
      <c r="AQ362" s="32" t="str">
        <f t="shared" si="122"/>
        <v/>
      </c>
      <c r="AR362" s="32" t="s">
        <v>313</v>
      </c>
      <c r="AS362" s="31"/>
      <c r="AT362" s="31"/>
      <c r="AU362" s="32" t="str">
        <f t="shared" si="123"/>
        <v/>
      </c>
      <c r="AV362" s="32" t="s">
        <v>313</v>
      </c>
      <c r="AW362" s="31"/>
      <c r="AX362" s="31"/>
      <c r="AY362" s="32" t="str">
        <f t="shared" si="124"/>
        <v/>
      </c>
      <c r="AZ362" s="32" t="s">
        <v>313</v>
      </c>
    </row>
    <row r="363" spans="1:52" ht="34" customHeight="1">
      <c r="A363" s="28" t="s">
        <v>328</v>
      </c>
      <c r="B363" s="29" t="s">
        <v>153</v>
      </c>
      <c r="C363" s="29" t="s">
        <v>52</v>
      </c>
      <c r="D363" s="29" t="s">
        <v>70</v>
      </c>
      <c r="E363" s="29" t="s">
        <v>72</v>
      </c>
      <c r="F363" s="29" t="s">
        <v>333</v>
      </c>
      <c r="G363" s="33" t="s">
        <v>330</v>
      </c>
      <c r="H363" s="31"/>
      <c r="I363" s="31">
        <v>4006629.4</v>
      </c>
      <c r="J363" s="32" t="str">
        <f t="shared" si="125"/>
        <v/>
      </c>
      <c r="K363" s="31"/>
      <c r="L363" s="31">
        <v>3011688</v>
      </c>
      <c r="M363" s="32" t="str">
        <f t="shared" si="126"/>
        <v/>
      </c>
      <c r="N363" s="31"/>
      <c r="O363" s="31">
        <v>405224.1</v>
      </c>
      <c r="P363" s="32" t="str">
        <f t="shared" si="127"/>
        <v/>
      </c>
      <c r="Q363" s="31"/>
      <c r="R363" s="31">
        <v>4389112.0999999996</v>
      </c>
      <c r="S363" s="32" t="str">
        <f t="shared" si="128"/>
        <v/>
      </c>
      <c r="T363" s="31"/>
      <c r="U363" s="31">
        <v>4462289.7</v>
      </c>
      <c r="V363" s="32" t="str">
        <f t="shared" si="129"/>
        <v/>
      </c>
      <c r="W363" s="31"/>
      <c r="X363" s="31"/>
      <c r="Y363" s="32" t="str">
        <f t="shared" si="131"/>
        <v/>
      </c>
      <c r="Z363" s="31" t="str">
        <f t="shared" si="117"/>
        <v/>
      </c>
      <c r="AA363" s="31">
        <f t="shared" si="118"/>
        <v>16274943.300000001</v>
      </c>
      <c r="AB363" s="32" t="str">
        <f t="shared" si="130"/>
        <v/>
      </c>
      <c r="AC363" s="31"/>
      <c r="AD363" s="31"/>
      <c r="AE363" s="32" t="str">
        <f t="shared" si="119"/>
        <v/>
      </c>
      <c r="AF363" s="32" t="s">
        <v>313</v>
      </c>
      <c r="AG363" s="31"/>
      <c r="AH363" s="31"/>
      <c r="AI363" s="32" t="str">
        <f t="shared" si="120"/>
        <v/>
      </c>
      <c r="AJ363" s="32" t="s">
        <v>313</v>
      </c>
      <c r="AK363" s="31"/>
      <c r="AL363" s="31"/>
      <c r="AM363" s="32" t="str">
        <f t="shared" si="121"/>
        <v/>
      </c>
      <c r="AN363" s="32" t="s">
        <v>313</v>
      </c>
      <c r="AO363" s="31"/>
      <c r="AP363" s="31"/>
      <c r="AQ363" s="32" t="str">
        <f t="shared" si="122"/>
        <v/>
      </c>
      <c r="AR363" s="32" t="s">
        <v>313</v>
      </c>
      <c r="AS363" s="31"/>
      <c r="AT363" s="31"/>
      <c r="AU363" s="32" t="str">
        <f t="shared" si="123"/>
        <v/>
      </c>
      <c r="AV363" s="32" t="s">
        <v>313</v>
      </c>
      <c r="AW363" s="31"/>
      <c r="AX363" s="31"/>
      <c r="AY363" s="32" t="str">
        <f t="shared" si="124"/>
        <v/>
      </c>
      <c r="AZ363" s="32" t="s">
        <v>313</v>
      </c>
    </row>
    <row r="364" spans="1:52" ht="34" customHeight="1">
      <c r="A364" s="28" t="s">
        <v>328</v>
      </c>
      <c r="B364" s="29" t="s">
        <v>153</v>
      </c>
      <c r="C364" s="29" t="s">
        <v>52</v>
      </c>
      <c r="D364" s="29" t="s">
        <v>74</v>
      </c>
      <c r="E364" s="29" t="s">
        <v>75</v>
      </c>
      <c r="F364" s="29" t="s">
        <v>333</v>
      </c>
      <c r="G364" s="33" t="s">
        <v>330</v>
      </c>
      <c r="H364" s="31"/>
      <c r="I364" s="31">
        <v>4006629.4</v>
      </c>
      <c r="J364" s="32" t="str">
        <f t="shared" si="125"/>
        <v/>
      </c>
      <c r="K364" s="31"/>
      <c r="L364" s="31">
        <v>3011688</v>
      </c>
      <c r="M364" s="32" t="str">
        <f t="shared" si="126"/>
        <v/>
      </c>
      <c r="N364" s="31"/>
      <c r="O364" s="31">
        <v>405224.1</v>
      </c>
      <c r="P364" s="32" t="str">
        <f t="shared" si="127"/>
        <v/>
      </c>
      <c r="Q364" s="31"/>
      <c r="R364" s="31">
        <v>4389112.0999999996</v>
      </c>
      <c r="S364" s="32" t="str">
        <f t="shared" si="128"/>
        <v/>
      </c>
      <c r="T364" s="31"/>
      <c r="U364" s="31">
        <v>4462289.7</v>
      </c>
      <c r="V364" s="32" t="str">
        <f t="shared" si="129"/>
        <v/>
      </c>
      <c r="W364" s="31"/>
      <c r="X364" s="31"/>
      <c r="Y364" s="32" t="str">
        <f t="shared" si="131"/>
        <v/>
      </c>
      <c r="Z364" s="31" t="str">
        <f t="shared" si="117"/>
        <v/>
      </c>
      <c r="AA364" s="31">
        <f t="shared" si="118"/>
        <v>16274943.300000001</v>
      </c>
      <c r="AB364" s="32" t="str">
        <f t="shared" si="130"/>
        <v/>
      </c>
      <c r="AC364" s="31"/>
      <c r="AD364" s="31"/>
      <c r="AE364" s="32" t="str">
        <f t="shared" si="119"/>
        <v/>
      </c>
      <c r="AF364" s="32" t="s">
        <v>313</v>
      </c>
      <c r="AG364" s="31"/>
      <c r="AH364" s="31"/>
      <c r="AI364" s="32" t="str">
        <f t="shared" si="120"/>
        <v/>
      </c>
      <c r="AJ364" s="32" t="s">
        <v>313</v>
      </c>
      <c r="AK364" s="31"/>
      <c r="AL364" s="31"/>
      <c r="AM364" s="32" t="str">
        <f t="shared" si="121"/>
        <v/>
      </c>
      <c r="AN364" s="32" t="s">
        <v>313</v>
      </c>
      <c r="AO364" s="31"/>
      <c r="AP364" s="31"/>
      <c r="AQ364" s="32" t="str">
        <f t="shared" si="122"/>
        <v/>
      </c>
      <c r="AR364" s="32" t="s">
        <v>313</v>
      </c>
      <c r="AS364" s="31"/>
      <c r="AT364" s="31"/>
      <c r="AU364" s="32" t="str">
        <f t="shared" si="123"/>
        <v/>
      </c>
      <c r="AV364" s="32" t="s">
        <v>313</v>
      </c>
      <c r="AW364" s="31"/>
      <c r="AX364" s="31"/>
      <c r="AY364" s="32" t="str">
        <f t="shared" si="124"/>
        <v/>
      </c>
      <c r="AZ364" s="32" t="s">
        <v>313</v>
      </c>
    </row>
    <row r="365" spans="1:52" ht="34" customHeight="1">
      <c r="A365" s="28" t="s">
        <v>328</v>
      </c>
      <c r="B365" s="29" t="s">
        <v>153</v>
      </c>
      <c r="C365" s="29" t="s">
        <v>52</v>
      </c>
      <c r="D365" s="29" t="s">
        <v>74</v>
      </c>
      <c r="E365" s="29" t="s">
        <v>76</v>
      </c>
      <c r="F365" s="29" t="s">
        <v>339</v>
      </c>
      <c r="G365" s="33" t="s">
        <v>330</v>
      </c>
      <c r="H365" s="31">
        <v>5775.3563599999998</v>
      </c>
      <c r="I365" s="31">
        <v>4006629.4</v>
      </c>
      <c r="J365" s="32">
        <f t="shared" si="125"/>
        <v>1.4414501026723361E-3</v>
      </c>
      <c r="K365" s="31">
        <v>2798.87273764578</v>
      </c>
      <c r="L365" s="31">
        <v>3011688</v>
      </c>
      <c r="M365" s="32">
        <f t="shared" si="126"/>
        <v>9.2933688272018222E-4</v>
      </c>
      <c r="N365" s="31">
        <v>7914.15</v>
      </c>
      <c r="O365" s="31">
        <v>405224.1</v>
      </c>
      <c r="P365" s="32">
        <f t="shared" si="127"/>
        <v>1.9530304342708145E-2</v>
      </c>
      <c r="Q365" s="31">
        <v>5470.98</v>
      </c>
      <c r="R365" s="31">
        <v>4389112.0999999996</v>
      </c>
      <c r="S365" s="32">
        <f t="shared" si="128"/>
        <v>1.2464890108411677E-3</v>
      </c>
      <c r="T365" s="31">
        <v>13154.72</v>
      </c>
      <c r="U365" s="31">
        <v>4462289.7</v>
      </c>
      <c r="V365" s="32">
        <f t="shared" si="129"/>
        <v>2.9479753410003836E-3</v>
      </c>
      <c r="W365" s="31"/>
      <c r="X365" s="31"/>
      <c r="Y365" s="32" t="str">
        <f t="shared" si="131"/>
        <v/>
      </c>
      <c r="Z365" s="31">
        <f t="shared" si="117"/>
        <v>35114.079097645779</v>
      </c>
      <c r="AA365" s="31">
        <f t="shared" si="118"/>
        <v>16274943.300000001</v>
      </c>
      <c r="AB365" s="32">
        <f t="shared" si="130"/>
        <v>2.1575546194158341E-3</v>
      </c>
      <c r="AC365" s="31"/>
      <c r="AD365" s="31"/>
      <c r="AE365" s="32" t="str">
        <f t="shared" si="119"/>
        <v/>
      </c>
      <c r="AF365" s="32" t="s">
        <v>313</v>
      </c>
      <c r="AG365" s="31"/>
      <c r="AH365" s="31"/>
      <c r="AI365" s="32" t="str">
        <f t="shared" si="120"/>
        <v/>
      </c>
      <c r="AJ365" s="32" t="s">
        <v>313</v>
      </c>
      <c r="AK365" s="31"/>
      <c r="AL365" s="31"/>
      <c r="AM365" s="32" t="str">
        <f t="shared" si="121"/>
        <v/>
      </c>
      <c r="AN365" s="32" t="s">
        <v>313</v>
      </c>
      <c r="AO365" s="31"/>
      <c r="AP365" s="31"/>
      <c r="AQ365" s="32" t="str">
        <f t="shared" si="122"/>
        <v/>
      </c>
      <c r="AR365" s="32" t="s">
        <v>313</v>
      </c>
      <c r="AS365" s="31"/>
      <c r="AT365" s="31"/>
      <c r="AU365" s="32" t="str">
        <f t="shared" si="123"/>
        <v/>
      </c>
      <c r="AV365" s="32" t="s">
        <v>313</v>
      </c>
      <c r="AW365" s="31"/>
      <c r="AX365" s="31"/>
      <c r="AY365" s="32" t="str">
        <f t="shared" si="124"/>
        <v/>
      </c>
      <c r="AZ365" s="32" t="s">
        <v>313</v>
      </c>
    </row>
    <row r="366" spans="1:52" ht="34" customHeight="1">
      <c r="A366" s="28" t="s">
        <v>328</v>
      </c>
      <c r="B366" s="29" t="s">
        <v>153</v>
      </c>
      <c r="C366" s="29" t="s">
        <v>52</v>
      </c>
      <c r="D366" s="29" t="s">
        <v>74</v>
      </c>
      <c r="E366" s="29" t="s">
        <v>77</v>
      </c>
      <c r="F366" s="29" t="s">
        <v>340</v>
      </c>
      <c r="G366" s="33" t="s">
        <v>330</v>
      </c>
      <c r="H366" s="31">
        <v>25295.56</v>
      </c>
      <c r="I366" s="31">
        <v>4006629.4</v>
      </c>
      <c r="J366" s="32">
        <f t="shared" si="125"/>
        <v>6.3134264426852162E-3</v>
      </c>
      <c r="K366" s="31">
        <v>12453.44</v>
      </c>
      <c r="L366" s="31">
        <v>3011688</v>
      </c>
      <c r="M366" s="32">
        <f t="shared" si="126"/>
        <v>4.1350365642124952E-3</v>
      </c>
      <c r="N366" s="31">
        <v>39131.589999999997</v>
      </c>
      <c r="O366" s="31">
        <v>405224.1</v>
      </c>
      <c r="P366" s="32">
        <f t="shared" si="127"/>
        <v>9.656777570731849E-2</v>
      </c>
      <c r="Q366" s="31">
        <v>45977.1</v>
      </c>
      <c r="R366" s="31">
        <v>4389112.0999999996</v>
      </c>
      <c r="S366" s="32">
        <f t="shared" si="128"/>
        <v>1.0475262183437967E-2</v>
      </c>
      <c r="T366" s="31">
        <v>48395.519999999997</v>
      </c>
      <c r="U366" s="31">
        <v>4462289.7</v>
      </c>
      <c r="V366" s="32">
        <f t="shared" si="129"/>
        <v>1.084544555679565E-2</v>
      </c>
      <c r="W366" s="31"/>
      <c r="X366" s="31"/>
      <c r="Y366" s="32" t="str">
        <f t="shared" si="131"/>
        <v/>
      </c>
      <c r="Z366" s="31">
        <f t="shared" si="117"/>
        <v>171253.21</v>
      </c>
      <c r="AA366" s="31">
        <f t="shared" si="118"/>
        <v>16274943.300000001</v>
      </c>
      <c r="AB366" s="32">
        <f t="shared" si="130"/>
        <v>1.0522507319580031E-2</v>
      </c>
      <c r="AC366" s="31"/>
      <c r="AD366" s="31"/>
      <c r="AE366" s="32" t="str">
        <f t="shared" si="119"/>
        <v/>
      </c>
      <c r="AF366" s="32" t="s">
        <v>313</v>
      </c>
      <c r="AG366" s="31"/>
      <c r="AH366" s="31"/>
      <c r="AI366" s="32" t="str">
        <f t="shared" si="120"/>
        <v/>
      </c>
      <c r="AJ366" s="32" t="s">
        <v>313</v>
      </c>
      <c r="AK366" s="31"/>
      <c r="AL366" s="31"/>
      <c r="AM366" s="32" t="str">
        <f t="shared" si="121"/>
        <v/>
      </c>
      <c r="AN366" s="32" t="s">
        <v>313</v>
      </c>
      <c r="AO366" s="31"/>
      <c r="AP366" s="31"/>
      <c r="AQ366" s="32" t="str">
        <f t="shared" si="122"/>
        <v/>
      </c>
      <c r="AR366" s="32" t="s">
        <v>313</v>
      </c>
      <c r="AS366" s="31"/>
      <c r="AT366" s="31"/>
      <c r="AU366" s="32" t="str">
        <f t="shared" si="123"/>
        <v/>
      </c>
      <c r="AV366" s="32" t="s">
        <v>313</v>
      </c>
      <c r="AW366" s="31"/>
      <c r="AX366" s="31"/>
      <c r="AY366" s="32" t="str">
        <f t="shared" si="124"/>
        <v/>
      </c>
      <c r="AZ366" s="32" t="s">
        <v>313</v>
      </c>
    </row>
    <row r="367" spans="1:52" ht="34" customHeight="1">
      <c r="A367" s="28" t="s">
        <v>328</v>
      </c>
      <c r="B367" s="29" t="s">
        <v>153</v>
      </c>
      <c r="C367" s="29" t="s">
        <v>52</v>
      </c>
      <c r="D367" s="29" t="s">
        <v>74</v>
      </c>
      <c r="E367" s="29" t="s">
        <v>78</v>
      </c>
      <c r="F367" s="29" t="s">
        <v>341</v>
      </c>
      <c r="G367" s="33" t="s">
        <v>330</v>
      </c>
      <c r="H367" s="31">
        <v>86693.231748418402</v>
      </c>
      <c r="I367" s="31">
        <v>4006629.4</v>
      </c>
      <c r="J367" s="32">
        <f t="shared" si="125"/>
        <v>2.1637447114129998E-2</v>
      </c>
      <c r="K367" s="31">
        <v>194201.414820456</v>
      </c>
      <c r="L367" s="31">
        <v>3011688</v>
      </c>
      <c r="M367" s="32">
        <f t="shared" si="126"/>
        <v>6.4482580805334422E-2</v>
      </c>
      <c r="N367" s="31">
        <v>50850.162698099703</v>
      </c>
      <c r="O367" s="31">
        <v>405224.1</v>
      </c>
      <c r="P367" s="32">
        <f t="shared" si="127"/>
        <v>0.12548652140408162</v>
      </c>
      <c r="Q367" s="31">
        <v>51640.435757347899</v>
      </c>
      <c r="R367" s="31">
        <v>4389112.0999999996</v>
      </c>
      <c r="S367" s="32">
        <f t="shared" si="128"/>
        <v>1.1765576859462739E-2</v>
      </c>
      <c r="T367" s="31">
        <v>70022.201795247893</v>
      </c>
      <c r="U367" s="31">
        <v>4462289.7</v>
      </c>
      <c r="V367" s="32">
        <f t="shared" si="129"/>
        <v>1.5691989203490731E-2</v>
      </c>
      <c r="W367" s="31"/>
      <c r="X367" s="31"/>
      <c r="Y367" s="32" t="str">
        <f t="shared" si="131"/>
        <v/>
      </c>
      <c r="Z367" s="31">
        <f t="shared" si="117"/>
        <v>453407.44681956992</v>
      </c>
      <c r="AA367" s="31">
        <f t="shared" si="118"/>
        <v>16274943.300000001</v>
      </c>
      <c r="AB367" s="32">
        <f t="shared" si="130"/>
        <v>2.7859233575306522E-2</v>
      </c>
      <c r="AC367" s="31"/>
      <c r="AD367" s="31"/>
      <c r="AE367" s="32" t="str">
        <f t="shared" si="119"/>
        <v/>
      </c>
      <c r="AF367" s="32" t="s">
        <v>313</v>
      </c>
      <c r="AG367" s="31"/>
      <c r="AH367" s="31"/>
      <c r="AI367" s="32" t="str">
        <f t="shared" si="120"/>
        <v/>
      </c>
      <c r="AJ367" s="32" t="s">
        <v>313</v>
      </c>
      <c r="AK367" s="31"/>
      <c r="AL367" s="31"/>
      <c r="AM367" s="32" t="str">
        <f t="shared" si="121"/>
        <v/>
      </c>
      <c r="AN367" s="32" t="s">
        <v>313</v>
      </c>
      <c r="AO367" s="31"/>
      <c r="AP367" s="31"/>
      <c r="AQ367" s="32" t="str">
        <f t="shared" si="122"/>
        <v/>
      </c>
      <c r="AR367" s="32" t="s">
        <v>313</v>
      </c>
      <c r="AS367" s="31"/>
      <c r="AT367" s="31"/>
      <c r="AU367" s="32" t="str">
        <f t="shared" si="123"/>
        <v/>
      </c>
      <c r="AV367" s="32" t="s">
        <v>313</v>
      </c>
      <c r="AW367" s="31"/>
      <c r="AX367" s="31"/>
      <c r="AY367" s="32" t="str">
        <f t="shared" si="124"/>
        <v/>
      </c>
      <c r="AZ367" s="32" t="s">
        <v>313</v>
      </c>
    </row>
    <row r="368" spans="1:52" ht="34" customHeight="1">
      <c r="A368" s="28" t="s">
        <v>328</v>
      </c>
      <c r="B368" s="29" t="s">
        <v>153</v>
      </c>
      <c r="C368" s="29" t="s">
        <v>52</v>
      </c>
      <c r="D368" s="29" t="s">
        <v>79</v>
      </c>
      <c r="E368" s="29" t="s">
        <v>80</v>
      </c>
      <c r="F368" s="29" t="s">
        <v>342</v>
      </c>
      <c r="G368" s="33" t="s">
        <v>330</v>
      </c>
      <c r="H368" s="31">
        <v>190351.50185625901</v>
      </c>
      <c r="I368" s="31">
        <v>4006629.4</v>
      </c>
      <c r="J368" s="32">
        <f t="shared" si="125"/>
        <v>4.7509136197188342E-2</v>
      </c>
      <c r="K368" s="31">
        <v>211811.05380617801</v>
      </c>
      <c r="L368" s="31">
        <v>3011688</v>
      </c>
      <c r="M368" s="32">
        <f t="shared" si="126"/>
        <v>7.0329680168124326E-2</v>
      </c>
      <c r="N368" s="31">
        <v>87852.85</v>
      </c>
      <c r="O368" s="31">
        <v>405224.1</v>
      </c>
      <c r="P368" s="32">
        <f t="shared" si="127"/>
        <v>0.21680065425526274</v>
      </c>
      <c r="Q368" s="31">
        <v>63288.86</v>
      </c>
      <c r="R368" s="31">
        <v>4389112.0999999996</v>
      </c>
      <c r="S368" s="32">
        <f t="shared" si="128"/>
        <v>1.4419513231389102E-2</v>
      </c>
      <c r="T368" s="31">
        <v>67386.67</v>
      </c>
      <c r="U368" s="31">
        <v>4462289.7</v>
      </c>
      <c r="V368" s="32">
        <f t="shared" si="129"/>
        <v>1.5101366009472669E-2</v>
      </c>
      <c r="W368" s="31"/>
      <c r="X368" s="31"/>
      <c r="Y368" s="32" t="str">
        <f t="shared" si="131"/>
        <v/>
      </c>
      <c r="Z368" s="31">
        <f t="shared" si="117"/>
        <v>620690.935662437</v>
      </c>
      <c r="AA368" s="31">
        <f t="shared" si="118"/>
        <v>16274943.300000001</v>
      </c>
      <c r="AB368" s="32">
        <f t="shared" si="130"/>
        <v>3.8137824766642167E-2</v>
      </c>
      <c r="AC368" s="31"/>
      <c r="AD368" s="31"/>
      <c r="AE368" s="32" t="str">
        <f t="shared" si="119"/>
        <v/>
      </c>
      <c r="AF368" s="32" t="s">
        <v>313</v>
      </c>
      <c r="AG368" s="31"/>
      <c r="AH368" s="31"/>
      <c r="AI368" s="32" t="str">
        <f t="shared" si="120"/>
        <v/>
      </c>
      <c r="AJ368" s="32" t="s">
        <v>313</v>
      </c>
      <c r="AK368" s="31"/>
      <c r="AL368" s="31"/>
      <c r="AM368" s="32" t="str">
        <f t="shared" si="121"/>
        <v/>
      </c>
      <c r="AN368" s="32" t="s">
        <v>313</v>
      </c>
      <c r="AO368" s="31"/>
      <c r="AP368" s="31"/>
      <c r="AQ368" s="32" t="str">
        <f t="shared" si="122"/>
        <v/>
      </c>
      <c r="AR368" s="32" t="s">
        <v>313</v>
      </c>
      <c r="AS368" s="31"/>
      <c r="AT368" s="31"/>
      <c r="AU368" s="32" t="str">
        <f t="shared" si="123"/>
        <v/>
      </c>
      <c r="AV368" s="32" t="s">
        <v>313</v>
      </c>
      <c r="AW368" s="31"/>
      <c r="AX368" s="31"/>
      <c r="AY368" s="32" t="str">
        <f t="shared" si="124"/>
        <v/>
      </c>
      <c r="AZ368" s="32" t="s">
        <v>313</v>
      </c>
    </row>
    <row r="369" spans="1:52" ht="34" customHeight="1">
      <c r="A369" s="28" t="s">
        <v>328</v>
      </c>
      <c r="B369" s="29" t="s">
        <v>153</v>
      </c>
      <c r="C369" s="29" t="s">
        <v>52</v>
      </c>
      <c r="D369" s="29" t="s">
        <v>79</v>
      </c>
      <c r="E369" s="29" t="s">
        <v>81</v>
      </c>
      <c r="F369" s="29" t="s">
        <v>333</v>
      </c>
      <c r="G369" s="33" t="s">
        <v>330</v>
      </c>
      <c r="H369" s="31"/>
      <c r="I369" s="31">
        <v>4006629.4</v>
      </c>
      <c r="J369" s="32" t="str">
        <f t="shared" si="125"/>
        <v/>
      </c>
      <c r="K369" s="31"/>
      <c r="L369" s="31">
        <v>3011688</v>
      </c>
      <c r="M369" s="32" t="str">
        <f t="shared" si="126"/>
        <v/>
      </c>
      <c r="N369" s="31"/>
      <c r="O369" s="31">
        <v>405224.1</v>
      </c>
      <c r="P369" s="32" t="str">
        <f t="shared" si="127"/>
        <v/>
      </c>
      <c r="Q369" s="31"/>
      <c r="R369" s="31">
        <v>4389112.0999999996</v>
      </c>
      <c r="S369" s="32" t="str">
        <f t="shared" si="128"/>
        <v/>
      </c>
      <c r="T369" s="31"/>
      <c r="U369" s="31">
        <v>4462289.7</v>
      </c>
      <c r="V369" s="32" t="str">
        <f t="shared" si="129"/>
        <v/>
      </c>
      <c r="W369" s="31"/>
      <c r="X369" s="31"/>
      <c r="Y369" s="32" t="str">
        <f t="shared" si="131"/>
        <v/>
      </c>
      <c r="Z369" s="31" t="str">
        <f t="shared" si="117"/>
        <v/>
      </c>
      <c r="AA369" s="31">
        <f t="shared" si="118"/>
        <v>16274943.300000001</v>
      </c>
      <c r="AB369" s="32" t="str">
        <f t="shared" si="130"/>
        <v/>
      </c>
      <c r="AC369" s="31"/>
      <c r="AD369" s="31"/>
      <c r="AE369" s="32" t="str">
        <f t="shared" si="119"/>
        <v/>
      </c>
      <c r="AF369" s="32" t="s">
        <v>313</v>
      </c>
      <c r="AG369" s="31"/>
      <c r="AH369" s="31"/>
      <c r="AI369" s="32" t="str">
        <f t="shared" si="120"/>
        <v/>
      </c>
      <c r="AJ369" s="32" t="s">
        <v>313</v>
      </c>
      <c r="AK369" s="31"/>
      <c r="AL369" s="31"/>
      <c r="AM369" s="32" t="str">
        <f t="shared" si="121"/>
        <v/>
      </c>
      <c r="AN369" s="32" t="s">
        <v>313</v>
      </c>
      <c r="AO369" s="31"/>
      <c r="AP369" s="31"/>
      <c r="AQ369" s="32" t="str">
        <f t="shared" si="122"/>
        <v/>
      </c>
      <c r="AR369" s="32" t="s">
        <v>313</v>
      </c>
      <c r="AS369" s="31"/>
      <c r="AT369" s="31"/>
      <c r="AU369" s="32" t="str">
        <f t="shared" si="123"/>
        <v/>
      </c>
      <c r="AV369" s="32" t="s">
        <v>313</v>
      </c>
      <c r="AW369" s="31"/>
      <c r="AX369" s="31"/>
      <c r="AY369" s="32" t="str">
        <f t="shared" si="124"/>
        <v/>
      </c>
      <c r="AZ369" s="32" t="s">
        <v>313</v>
      </c>
    </row>
    <row r="370" spans="1:52" ht="34" customHeight="1">
      <c r="A370" s="28" t="s">
        <v>328</v>
      </c>
      <c r="B370" s="29" t="s">
        <v>153</v>
      </c>
      <c r="C370" s="29" t="s">
        <v>52</v>
      </c>
      <c r="D370" s="29" t="s">
        <v>79</v>
      </c>
      <c r="E370" s="29" t="s">
        <v>82</v>
      </c>
      <c r="F370" s="29" t="s">
        <v>333</v>
      </c>
      <c r="G370" s="33" t="s">
        <v>330</v>
      </c>
      <c r="H370" s="31"/>
      <c r="I370" s="31">
        <v>4006629.4</v>
      </c>
      <c r="J370" s="32" t="str">
        <f t="shared" si="125"/>
        <v/>
      </c>
      <c r="K370" s="31"/>
      <c r="L370" s="31">
        <v>3011688</v>
      </c>
      <c r="M370" s="32" t="str">
        <f t="shared" si="126"/>
        <v/>
      </c>
      <c r="N370" s="31"/>
      <c r="O370" s="31">
        <v>405224.1</v>
      </c>
      <c r="P370" s="32" t="str">
        <f t="shared" si="127"/>
        <v/>
      </c>
      <c r="Q370" s="31"/>
      <c r="R370" s="31">
        <v>4389112.0999999996</v>
      </c>
      <c r="S370" s="32" t="str">
        <f t="shared" si="128"/>
        <v/>
      </c>
      <c r="T370" s="31"/>
      <c r="U370" s="31">
        <v>4462289.7</v>
      </c>
      <c r="V370" s="32" t="str">
        <f t="shared" si="129"/>
        <v/>
      </c>
      <c r="W370" s="31"/>
      <c r="X370" s="31"/>
      <c r="Y370" s="32" t="str">
        <f t="shared" si="131"/>
        <v/>
      </c>
      <c r="Z370" s="31" t="str">
        <f t="shared" si="117"/>
        <v/>
      </c>
      <c r="AA370" s="31">
        <f t="shared" si="118"/>
        <v>16274943.300000001</v>
      </c>
      <c r="AB370" s="32" t="str">
        <f t="shared" si="130"/>
        <v/>
      </c>
      <c r="AC370" s="31"/>
      <c r="AD370" s="31"/>
      <c r="AE370" s="32" t="str">
        <f t="shared" si="119"/>
        <v/>
      </c>
      <c r="AF370" s="32" t="s">
        <v>313</v>
      </c>
      <c r="AG370" s="31"/>
      <c r="AH370" s="31"/>
      <c r="AI370" s="32" t="str">
        <f t="shared" si="120"/>
        <v/>
      </c>
      <c r="AJ370" s="32" t="s">
        <v>313</v>
      </c>
      <c r="AK370" s="31"/>
      <c r="AL370" s="31"/>
      <c r="AM370" s="32" t="str">
        <f t="shared" si="121"/>
        <v/>
      </c>
      <c r="AN370" s="32" t="s">
        <v>313</v>
      </c>
      <c r="AO370" s="31"/>
      <c r="AP370" s="31"/>
      <c r="AQ370" s="32" t="str">
        <f t="shared" si="122"/>
        <v/>
      </c>
      <c r="AR370" s="32" t="s">
        <v>313</v>
      </c>
      <c r="AS370" s="31"/>
      <c r="AT370" s="31"/>
      <c r="AU370" s="32" t="str">
        <f t="shared" si="123"/>
        <v/>
      </c>
      <c r="AV370" s="32" t="s">
        <v>313</v>
      </c>
      <c r="AW370" s="31"/>
      <c r="AX370" s="31"/>
      <c r="AY370" s="32" t="str">
        <f t="shared" si="124"/>
        <v/>
      </c>
      <c r="AZ370" s="32" t="s">
        <v>313</v>
      </c>
    </row>
    <row r="371" spans="1:52" ht="34" customHeight="1">
      <c r="A371" s="28" t="s">
        <v>328</v>
      </c>
      <c r="B371" s="29" t="s">
        <v>153</v>
      </c>
      <c r="C371" s="29" t="s">
        <v>85</v>
      </c>
      <c r="D371" s="29" t="s">
        <v>79</v>
      </c>
      <c r="E371" s="29" t="s">
        <v>80</v>
      </c>
      <c r="F371" s="29" t="s">
        <v>333</v>
      </c>
      <c r="G371" s="33" t="s">
        <v>330</v>
      </c>
      <c r="H371" s="31"/>
      <c r="I371" s="31">
        <v>4006629.4</v>
      </c>
      <c r="J371" s="32" t="str">
        <f t="shared" si="125"/>
        <v/>
      </c>
      <c r="K371" s="31"/>
      <c r="L371" s="31">
        <v>3011688</v>
      </c>
      <c r="M371" s="32" t="str">
        <f t="shared" si="126"/>
        <v/>
      </c>
      <c r="N371" s="31"/>
      <c r="O371" s="31">
        <v>405224.1</v>
      </c>
      <c r="P371" s="32" t="str">
        <f t="shared" si="127"/>
        <v/>
      </c>
      <c r="Q371" s="31"/>
      <c r="R371" s="31">
        <v>4389112.0999999996</v>
      </c>
      <c r="S371" s="32" t="str">
        <f t="shared" si="128"/>
        <v/>
      </c>
      <c r="T371" s="31"/>
      <c r="U371" s="31">
        <v>4462289.7</v>
      </c>
      <c r="V371" s="32" t="str">
        <f t="shared" si="129"/>
        <v/>
      </c>
      <c r="W371" s="31"/>
      <c r="X371" s="31"/>
      <c r="Y371" s="32" t="str">
        <f t="shared" si="131"/>
        <v/>
      </c>
      <c r="Z371" s="31" t="str">
        <f t="shared" si="117"/>
        <v/>
      </c>
      <c r="AA371" s="31">
        <f t="shared" si="118"/>
        <v>16274943.300000001</v>
      </c>
      <c r="AB371" s="32" t="str">
        <f t="shared" si="130"/>
        <v/>
      </c>
      <c r="AC371" s="31"/>
      <c r="AD371" s="31"/>
      <c r="AE371" s="32" t="str">
        <f t="shared" si="119"/>
        <v/>
      </c>
      <c r="AF371" s="32" t="s">
        <v>313</v>
      </c>
      <c r="AG371" s="31"/>
      <c r="AH371" s="31"/>
      <c r="AI371" s="32" t="str">
        <f t="shared" si="120"/>
        <v/>
      </c>
      <c r="AJ371" s="32" t="s">
        <v>313</v>
      </c>
      <c r="AK371" s="31"/>
      <c r="AL371" s="31"/>
      <c r="AM371" s="32" t="str">
        <f t="shared" si="121"/>
        <v/>
      </c>
      <c r="AN371" s="32" t="s">
        <v>313</v>
      </c>
      <c r="AO371" s="31"/>
      <c r="AP371" s="31"/>
      <c r="AQ371" s="32" t="str">
        <f t="shared" si="122"/>
        <v/>
      </c>
      <c r="AR371" s="32" t="s">
        <v>313</v>
      </c>
      <c r="AS371" s="31"/>
      <c r="AT371" s="31"/>
      <c r="AU371" s="32" t="str">
        <f t="shared" si="123"/>
        <v/>
      </c>
      <c r="AV371" s="32" t="s">
        <v>313</v>
      </c>
      <c r="AW371" s="31"/>
      <c r="AX371" s="31"/>
      <c r="AY371" s="32" t="str">
        <f t="shared" si="124"/>
        <v/>
      </c>
      <c r="AZ371" s="32" t="s">
        <v>313</v>
      </c>
    </row>
    <row r="372" spans="1:52" ht="34" customHeight="1">
      <c r="A372" s="28" t="s">
        <v>328</v>
      </c>
      <c r="B372" s="29" t="s">
        <v>153</v>
      </c>
      <c r="C372" s="29" t="s">
        <v>85</v>
      </c>
      <c r="D372" s="29" t="s">
        <v>79</v>
      </c>
      <c r="E372" s="29" t="s">
        <v>81</v>
      </c>
      <c r="F372" s="29" t="s">
        <v>333</v>
      </c>
      <c r="G372" s="33" t="s">
        <v>330</v>
      </c>
      <c r="H372" s="31"/>
      <c r="I372" s="31">
        <v>4006629.4</v>
      </c>
      <c r="J372" s="32" t="str">
        <f t="shared" si="125"/>
        <v/>
      </c>
      <c r="K372" s="31"/>
      <c r="L372" s="31">
        <v>3011688</v>
      </c>
      <c r="M372" s="32" t="str">
        <f t="shared" si="126"/>
        <v/>
      </c>
      <c r="N372" s="31"/>
      <c r="O372" s="31">
        <v>405224.1</v>
      </c>
      <c r="P372" s="32" t="str">
        <f t="shared" si="127"/>
        <v/>
      </c>
      <c r="Q372" s="31"/>
      <c r="R372" s="31">
        <v>4389112.0999999996</v>
      </c>
      <c r="S372" s="32" t="str">
        <f t="shared" si="128"/>
        <v/>
      </c>
      <c r="T372" s="31"/>
      <c r="U372" s="31">
        <v>4462289.7</v>
      </c>
      <c r="V372" s="32" t="str">
        <f t="shared" si="129"/>
        <v/>
      </c>
      <c r="W372" s="31"/>
      <c r="X372" s="31"/>
      <c r="Y372" s="32" t="str">
        <f t="shared" si="131"/>
        <v/>
      </c>
      <c r="Z372" s="31" t="str">
        <f t="shared" si="117"/>
        <v/>
      </c>
      <c r="AA372" s="31">
        <f t="shared" si="118"/>
        <v>16274943.300000001</v>
      </c>
      <c r="AB372" s="32" t="str">
        <f t="shared" si="130"/>
        <v/>
      </c>
      <c r="AC372" s="31"/>
      <c r="AD372" s="31"/>
      <c r="AE372" s="32" t="str">
        <f t="shared" si="119"/>
        <v/>
      </c>
      <c r="AF372" s="32" t="s">
        <v>313</v>
      </c>
      <c r="AG372" s="31"/>
      <c r="AH372" s="31"/>
      <c r="AI372" s="32" t="str">
        <f t="shared" si="120"/>
        <v/>
      </c>
      <c r="AJ372" s="32" t="s">
        <v>313</v>
      </c>
      <c r="AK372" s="31"/>
      <c r="AL372" s="31"/>
      <c r="AM372" s="32" t="str">
        <f t="shared" si="121"/>
        <v/>
      </c>
      <c r="AN372" s="32" t="s">
        <v>313</v>
      </c>
      <c r="AO372" s="31"/>
      <c r="AP372" s="31"/>
      <c r="AQ372" s="32" t="str">
        <f t="shared" si="122"/>
        <v/>
      </c>
      <c r="AR372" s="32" t="s">
        <v>313</v>
      </c>
      <c r="AS372" s="31"/>
      <c r="AT372" s="31"/>
      <c r="AU372" s="32" t="str">
        <f t="shared" si="123"/>
        <v/>
      </c>
      <c r="AV372" s="32" t="s">
        <v>313</v>
      </c>
      <c r="AW372" s="31"/>
      <c r="AX372" s="31"/>
      <c r="AY372" s="32" t="str">
        <f t="shared" si="124"/>
        <v/>
      </c>
      <c r="AZ372" s="32" t="s">
        <v>313</v>
      </c>
    </row>
    <row r="373" spans="1:52" ht="34" customHeight="1">
      <c r="A373" s="28" t="s">
        <v>328</v>
      </c>
      <c r="B373" s="29" t="s">
        <v>153</v>
      </c>
      <c r="C373" s="29" t="s">
        <v>85</v>
      </c>
      <c r="D373" s="29" t="s">
        <v>79</v>
      </c>
      <c r="E373" s="29" t="s">
        <v>82</v>
      </c>
      <c r="F373" s="29" t="s">
        <v>343</v>
      </c>
      <c r="G373" s="33" t="s">
        <v>330</v>
      </c>
      <c r="H373" s="31">
        <v>20032.099999999999</v>
      </c>
      <c r="I373" s="31">
        <v>4006629.4</v>
      </c>
      <c r="J373" s="32">
        <f t="shared" si="125"/>
        <v>4.9997386830935749E-3</v>
      </c>
      <c r="K373" s="31">
        <v>18423.099999999999</v>
      </c>
      <c r="L373" s="31">
        <v>3011688</v>
      </c>
      <c r="M373" s="32">
        <f t="shared" si="126"/>
        <v>6.1172007193308203E-3</v>
      </c>
      <c r="N373" s="31">
        <v>1061.9000000000001</v>
      </c>
      <c r="O373" s="31">
        <v>405224.1</v>
      </c>
      <c r="P373" s="32">
        <f t="shared" si="127"/>
        <v>2.6205252846511354E-3</v>
      </c>
      <c r="Q373" s="31">
        <v>22038.1</v>
      </c>
      <c r="R373" s="31">
        <v>4389112.0999999996</v>
      </c>
      <c r="S373" s="32">
        <f t="shared" si="128"/>
        <v>5.0210838770784645E-3</v>
      </c>
      <c r="T373" s="31">
        <v>5371</v>
      </c>
      <c r="U373" s="31">
        <v>4462289.7</v>
      </c>
      <c r="V373" s="32">
        <f t="shared" si="129"/>
        <v>1.2036421570746515E-3</v>
      </c>
      <c r="W373" s="31"/>
      <c r="X373" s="31"/>
      <c r="Y373" s="32" t="str">
        <f t="shared" si="131"/>
        <v/>
      </c>
      <c r="Z373" s="31">
        <f t="shared" si="117"/>
        <v>66926.2</v>
      </c>
      <c r="AA373" s="31">
        <f t="shared" si="118"/>
        <v>16274943.300000001</v>
      </c>
      <c r="AB373" s="32">
        <f t="shared" si="130"/>
        <v>4.1122232358253435E-3</v>
      </c>
      <c r="AC373" s="31"/>
      <c r="AD373" s="31"/>
      <c r="AE373" s="32" t="str">
        <f t="shared" si="119"/>
        <v/>
      </c>
      <c r="AF373" s="32" t="s">
        <v>313</v>
      </c>
      <c r="AG373" s="31"/>
      <c r="AH373" s="31"/>
      <c r="AI373" s="32" t="str">
        <f t="shared" si="120"/>
        <v/>
      </c>
      <c r="AJ373" s="32" t="s">
        <v>313</v>
      </c>
      <c r="AK373" s="31"/>
      <c r="AL373" s="31"/>
      <c r="AM373" s="32" t="str">
        <f t="shared" si="121"/>
        <v/>
      </c>
      <c r="AN373" s="32" t="s">
        <v>313</v>
      </c>
      <c r="AO373" s="31"/>
      <c r="AP373" s="31"/>
      <c r="AQ373" s="32" t="str">
        <f t="shared" si="122"/>
        <v/>
      </c>
      <c r="AR373" s="32" t="s">
        <v>313</v>
      </c>
      <c r="AS373" s="31"/>
      <c r="AT373" s="31"/>
      <c r="AU373" s="32" t="str">
        <f t="shared" si="123"/>
        <v/>
      </c>
      <c r="AV373" s="32" t="s">
        <v>313</v>
      </c>
      <c r="AW373" s="31"/>
      <c r="AX373" s="31"/>
      <c r="AY373" s="32" t="str">
        <f t="shared" si="124"/>
        <v/>
      </c>
      <c r="AZ373" s="32" t="s">
        <v>313</v>
      </c>
    </row>
    <row r="374" spans="1:52" ht="34" customHeight="1">
      <c r="A374" s="28" t="s">
        <v>328</v>
      </c>
      <c r="B374" s="29" t="s">
        <v>153</v>
      </c>
      <c r="C374" s="29" t="s">
        <v>85</v>
      </c>
      <c r="D374" s="29" t="s">
        <v>90</v>
      </c>
      <c r="E374" s="29" t="s">
        <v>90</v>
      </c>
      <c r="F374" s="29" t="s">
        <v>344</v>
      </c>
      <c r="G374" s="33" t="s">
        <v>330</v>
      </c>
      <c r="H374" s="31">
        <v>120198.882</v>
      </c>
      <c r="I374" s="31">
        <v>4006629.4</v>
      </c>
      <c r="J374" s="32">
        <f t="shared" si="125"/>
        <v>0.03</v>
      </c>
      <c r="K374" s="31">
        <v>90350.64</v>
      </c>
      <c r="L374" s="31">
        <v>3011688</v>
      </c>
      <c r="M374" s="32">
        <f t="shared" si="126"/>
        <v>0.03</v>
      </c>
      <c r="N374" s="31">
        <v>12156.723</v>
      </c>
      <c r="O374" s="31">
        <v>405224.1</v>
      </c>
      <c r="P374" s="32">
        <f t="shared" si="127"/>
        <v>3.0000000000000002E-2</v>
      </c>
      <c r="Q374" s="31">
        <v>131673.36300000001</v>
      </c>
      <c r="R374" s="31">
        <v>4389112.0999999996</v>
      </c>
      <c r="S374" s="32">
        <f t="shared" si="128"/>
        <v>3.0000000000000006E-2</v>
      </c>
      <c r="T374" s="31">
        <v>133868.69099999999</v>
      </c>
      <c r="U374" s="31">
        <v>4462289.7</v>
      </c>
      <c r="V374" s="32">
        <f t="shared" si="129"/>
        <v>2.9999999999999995E-2</v>
      </c>
      <c r="W374" s="31"/>
      <c r="X374" s="31"/>
      <c r="Y374" s="32" t="str">
        <f t="shared" si="131"/>
        <v/>
      </c>
      <c r="Z374" s="31">
        <f t="shared" si="117"/>
        <v>488248.299</v>
      </c>
      <c r="AA374" s="31">
        <f t="shared" si="118"/>
        <v>16274943.300000001</v>
      </c>
      <c r="AB374" s="32">
        <f t="shared" si="130"/>
        <v>0.03</v>
      </c>
      <c r="AC374" s="31"/>
      <c r="AD374" s="31"/>
      <c r="AE374" s="32" t="str">
        <f t="shared" si="119"/>
        <v/>
      </c>
      <c r="AF374" s="32" t="s">
        <v>313</v>
      </c>
      <c r="AG374" s="31"/>
      <c r="AH374" s="31"/>
      <c r="AI374" s="32" t="str">
        <f t="shared" si="120"/>
        <v/>
      </c>
      <c r="AJ374" s="32" t="s">
        <v>313</v>
      </c>
      <c r="AK374" s="31"/>
      <c r="AL374" s="31"/>
      <c r="AM374" s="32" t="str">
        <f t="shared" si="121"/>
        <v/>
      </c>
      <c r="AN374" s="32" t="s">
        <v>313</v>
      </c>
      <c r="AO374" s="31"/>
      <c r="AP374" s="31"/>
      <c r="AQ374" s="32" t="str">
        <f t="shared" si="122"/>
        <v/>
      </c>
      <c r="AR374" s="32" t="s">
        <v>313</v>
      </c>
      <c r="AS374" s="31"/>
      <c r="AT374" s="31"/>
      <c r="AU374" s="32" t="str">
        <f t="shared" si="123"/>
        <v/>
      </c>
      <c r="AV374" s="32" t="s">
        <v>313</v>
      </c>
      <c r="AW374" s="31"/>
      <c r="AX374" s="31"/>
      <c r="AY374" s="32" t="str">
        <f t="shared" si="124"/>
        <v/>
      </c>
      <c r="AZ374" s="32" t="s">
        <v>313</v>
      </c>
    </row>
    <row r="375" spans="1:52" ht="34" customHeight="1">
      <c r="A375" s="28" t="s">
        <v>328</v>
      </c>
      <c r="B375" s="29" t="s">
        <v>153</v>
      </c>
      <c r="C375" s="29" t="s">
        <v>85</v>
      </c>
      <c r="D375" s="29" t="s">
        <v>93</v>
      </c>
      <c r="E375" s="29" t="s">
        <v>143</v>
      </c>
      <c r="F375" s="29" t="s">
        <v>333</v>
      </c>
      <c r="G375" s="33" t="s">
        <v>330</v>
      </c>
      <c r="H375" s="31"/>
      <c r="I375" s="31">
        <v>4006629.4</v>
      </c>
      <c r="J375" s="32" t="str">
        <f t="shared" si="125"/>
        <v/>
      </c>
      <c r="K375" s="31"/>
      <c r="L375" s="31">
        <v>3011688</v>
      </c>
      <c r="M375" s="32" t="str">
        <f t="shared" si="126"/>
        <v/>
      </c>
      <c r="N375" s="31"/>
      <c r="O375" s="31">
        <v>405224.1</v>
      </c>
      <c r="P375" s="32" t="str">
        <f t="shared" si="127"/>
        <v/>
      </c>
      <c r="Q375" s="31"/>
      <c r="R375" s="31">
        <v>4389112.0999999996</v>
      </c>
      <c r="S375" s="32" t="str">
        <f t="shared" si="128"/>
        <v/>
      </c>
      <c r="T375" s="31"/>
      <c r="U375" s="31">
        <v>4462289.7</v>
      </c>
      <c r="V375" s="32" t="str">
        <f t="shared" si="129"/>
        <v/>
      </c>
      <c r="W375" s="31"/>
      <c r="X375" s="31"/>
      <c r="Y375" s="32" t="str">
        <f t="shared" si="131"/>
        <v/>
      </c>
      <c r="Z375" s="31" t="str">
        <f t="shared" si="117"/>
        <v/>
      </c>
      <c r="AA375" s="31">
        <f t="shared" si="118"/>
        <v>16274943.300000001</v>
      </c>
      <c r="AB375" s="32" t="str">
        <f t="shared" si="130"/>
        <v/>
      </c>
      <c r="AC375" s="31"/>
      <c r="AD375" s="31"/>
      <c r="AE375" s="32" t="str">
        <f t="shared" si="119"/>
        <v/>
      </c>
      <c r="AF375" s="32" t="s">
        <v>313</v>
      </c>
      <c r="AG375" s="31"/>
      <c r="AH375" s="31"/>
      <c r="AI375" s="32" t="str">
        <f t="shared" si="120"/>
        <v/>
      </c>
      <c r="AJ375" s="32" t="s">
        <v>313</v>
      </c>
      <c r="AK375" s="31"/>
      <c r="AL375" s="31"/>
      <c r="AM375" s="32" t="str">
        <f t="shared" si="121"/>
        <v/>
      </c>
      <c r="AN375" s="32" t="s">
        <v>313</v>
      </c>
      <c r="AO375" s="31"/>
      <c r="AP375" s="31"/>
      <c r="AQ375" s="32" t="str">
        <f t="shared" si="122"/>
        <v/>
      </c>
      <c r="AR375" s="32" t="s">
        <v>313</v>
      </c>
      <c r="AS375" s="31"/>
      <c r="AT375" s="31"/>
      <c r="AU375" s="32" t="str">
        <f t="shared" si="123"/>
        <v/>
      </c>
      <c r="AV375" s="32" t="s">
        <v>313</v>
      </c>
      <c r="AW375" s="31"/>
      <c r="AX375" s="31"/>
      <c r="AY375" s="32" t="str">
        <f t="shared" si="124"/>
        <v/>
      </c>
      <c r="AZ375" s="32" t="s">
        <v>313</v>
      </c>
    </row>
    <row r="376" spans="1:52" ht="34" customHeight="1">
      <c r="A376" s="28" t="s">
        <v>328</v>
      </c>
      <c r="B376" s="29" t="s">
        <v>153</v>
      </c>
      <c r="C376" s="29" t="s">
        <v>85</v>
      </c>
      <c r="D376" s="29" t="s">
        <v>152</v>
      </c>
      <c r="E376" s="29" t="s">
        <v>152</v>
      </c>
      <c r="F376" s="29" t="s">
        <v>333</v>
      </c>
      <c r="G376" s="33" t="s">
        <v>330</v>
      </c>
      <c r="H376" s="31"/>
      <c r="I376" s="31">
        <v>4006629.4</v>
      </c>
      <c r="J376" s="32" t="str">
        <f t="shared" si="125"/>
        <v/>
      </c>
      <c r="K376" s="31"/>
      <c r="L376" s="31">
        <v>3011688</v>
      </c>
      <c r="M376" s="32" t="str">
        <f t="shared" si="126"/>
        <v/>
      </c>
      <c r="N376" s="31"/>
      <c r="O376" s="31">
        <v>405224.1</v>
      </c>
      <c r="P376" s="32" t="str">
        <f t="shared" si="127"/>
        <v/>
      </c>
      <c r="Q376" s="31"/>
      <c r="R376" s="31">
        <v>4389112.0999999996</v>
      </c>
      <c r="S376" s="32" t="str">
        <f t="shared" si="128"/>
        <v/>
      </c>
      <c r="T376" s="31"/>
      <c r="U376" s="31">
        <v>4462289.7</v>
      </c>
      <c r="V376" s="32" t="str">
        <f t="shared" si="129"/>
        <v/>
      </c>
      <c r="W376" s="31"/>
      <c r="X376" s="31"/>
      <c r="Y376" s="32" t="str">
        <f t="shared" si="131"/>
        <v/>
      </c>
      <c r="Z376" s="31" t="str">
        <f t="shared" si="117"/>
        <v/>
      </c>
      <c r="AA376" s="31">
        <f t="shared" si="118"/>
        <v>16274943.300000001</v>
      </c>
      <c r="AB376" s="32" t="str">
        <f t="shared" si="130"/>
        <v/>
      </c>
      <c r="AC376" s="31"/>
      <c r="AD376" s="31"/>
      <c r="AE376" s="32" t="str">
        <f t="shared" si="119"/>
        <v/>
      </c>
      <c r="AF376" s="32" t="s">
        <v>313</v>
      </c>
      <c r="AG376" s="31"/>
      <c r="AH376" s="31"/>
      <c r="AI376" s="32" t="str">
        <f t="shared" si="120"/>
        <v/>
      </c>
      <c r="AJ376" s="32" t="s">
        <v>313</v>
      </c>
      <c r="AK376" s="31"/>
      <c r="AL376" s="31"/>
      <c r="AM376" s="32" t="str">
        <f t="shared" si="121"/>
        <v/>
      </c>
      <c r="AN376" s="32" t="s">
        <v>313</v>
      </c>
      <c r="AO376" s="31"/>
      <c r="AP376" s="31"/>
      <c r="AQ376" s="32" t="str">
        <f t="shared" si="122"/>
        <v/>
      </c>
      <c r="AR376" s="32" t="s">
        <v>313</v>
      </c>
      <c r="AS376" s="31"/>
      <c r="AT376" s="31"/>
      <c r="AU376" s="32" t="str">
        <f t="shared" si="123"/>
        <v/>
      </c>
      <c r="AV376" s="32" t="s">
        <v>313</v>
      </c>
      <c r="AW376" s="31"/>
      <c r="AX376" s="31"/>
      <c r="AY376" s="32" t="str">
        <f t="shared" si="124"/>
        <v/>
      </c>
      <c r="AZ376" s="32" t="s">
        <v>313</v>
      </c>
    </row>
    <row r="377" spans="1:52" ht="34" customHeight="1">
      <c r="A377" s="28" t="s">
        <v>328</v>
      </c>
      <c r="B377" s="29" t="s">
        <v>227</v>
      </c>
      <c r="C377" s="29" t="s">
        <v>46</v>
      </c>
      <c r="D377" s="29"/>
      <c r="E377" s="29" t="s">
        <v>46</v>
      </c>
      <c r="F377" s="29" t="s">
        <v>311</v>
      </c>
      <c r="G377" s="30" t="s">
        <v>312</v>
      </c>
      <c r="H377" s="31">
        <v>1470</v>
      </c>
      <c r="I377" s="31">
        <v>1545.36</v>
      </c>
      <c r="J377" s="32"/>
      <c r="K377" s="31">
        <v>2625.27</v>
      </c>
      <c r="L377" s="31">
        <v>2762.69</v>
      </c>
      <c r="M377" s="32"/>
      <c r="N377" s="31">
        <v>4179.09</v>
      </c>
      <c r="O377" s="31">
        <v>3663.98</v>
      </c>
      <c r="P377" s="32"/>
      <c r="Q377" s="31">
        <v>1184.3900000000001</v>
      </c>
      <c r="R377" s="31">
        <v>1178.81</v>
      </c>
      <c r="S377" s="32"/>
      <c r="T377" s="31">
        <v>5564.05</v>
      </c>
      <c r="U377" s="31">
        <v>4512.21</v>
      </c>
      <c r="V377" s="32"/>
      <c r="W377" s="31">
        <v>60750.97</v>
      </c>
      <c r="X377" s="31">
        <v>49102.75</v>
      </c>
      <c r="Y377" s="32"/>
      <c r="Z377" s="31">
        <f t="shared" si="117"/>
        <v>75773.77</v>
      </c>
      <c r="AA377" s="31">
        <f t="shared" si="118"/>
        <v>62765.8</v>
      </c>
      <c r="AB377" s="32"/>
      <c r="AC377" s="31"/>
      <c r="AD377" s="31"/>
      <c r="AE377" s="32" t="str">
        <f t="shared" si="119"/>
        <v/>
      </c>
      <c r="AF377" s="32" t="s">
        <v>313</v>
      </c>
      <c r="AG377" s="31"/>
      <c r="AH377" s="31"/>
      <c r="AI377" s="32" t="str">
        <f t="shared" si="120"/>
        <v/>
      </c>
      <c r="AJ377" s="32" t="s">
        <v>313</v>
      </c>
      <c r="AK377" s="31"/>
      <c r="AL377" s="31"/>
      <c r="AM377" s="32" t="str">
        <f t="shared" si="121"/>
        <v/>
      </c>
      <c r="AN377" s="32" t="s">
        <v>313</v>
      </c>
      <c r="AO377" s="31"/>
      <c r="AP377" s="31"/>
      <c r="AQ377" s="32" t="str">
        <f t="shared" si="122"/>
        <v/>
      </c>
      <c r="AR377" s="32" t="s">
        <v>313</v>
      </c>
      <c r="AS377" s="31"/>
      <c r="AT377" s="31"/>
      <c r="AU377" s="32" t="str">
        <f t="shared" si="123"/>
        <v/>
      </c>
      <c r="AV377" s="32" t="s">
        <v>313</v>
      </c>
      <c r="AW377" s="31"/>
      <c r="AX377" s="31"/>
      <c r="AY377" s="32" t="str">
        <f t="shared" si="124"/>
        <v/>
      </c>
      <c r="AZ377" s="32" t="s">
        <v>313</v>
      </c>
    </row>
    <row r="378" spans="1:52" ht="34" customHeight="1">
      <c r="A378" s="28" t="s">
        <v>328</v>
      </c>
      <c r="B378" s="29" t="s">
        <v>227</v>
      </c>
      <c r="C378" s="29" t="s">
        <v>121</v>
      </c>
      <c r="D378" s="29"/>
      <c r="E378" s="29" t="s">
        <v>125</v>
      </c>
      <c r="F378" s="29" t="s">
        <v>314</v>
      </c>
      <c r="G378" s="30" t="s">
        <v>312</v>
      </c>
      <c r="H378" s="31">
        <v>132.11000000000001</v>
      </c>
      <c r="I378" s="31">
        <v>1545.36</v>
      </c>
      <c r="J378" s="32">
        <f t="shared" ref="J378:J407" si="132">IF(H378="","",IFERROR(H378/I378,""))</f>
        <v>8.5488171041051941E-2</v>
      </c>
      <c r="K378" s="31">
        <v>399</v>
      </c>
      <c r="L378" s="31">
        <v>2762.69</v>
      </c>
      <c r="M378" s="32">
        <f t="shared" ref="M378:M407" si="133">IF(K378="","",IFERROR(K378/L378,""))</f>
        <v>0.1444244558745281</v>
      </c>
      <c r="N378" s="31">
        <v>115.84</v>
      </c>
      <c r="O378" s="31">
        <v>3663.98</v>
      </c>
      <c r="P378" s="32">
        <f t="shared" ref="P378:P407" si="134">IF(N378="","",IFERROR(N378/O378,""))</f>
        <v>3.1615893099853166E-2</v>
      </c>
      <c r="Q378" s="31">
        <v>48.74</v>
      </c>
      <c r="R378" s="31">
        <v>1178.81</v>
      </c>
      <c r="S378" s="32">
        <f t="shared" ref="S378:S407" si="135">IF(Q378="","",IFERROR(Q378/R378,""))</f>
        <v>4.1346781924143844E-2</v>
      </c>
      <c r="T378" s="31">
        <v>75.239999999999995</v>
      </c>
      <c r="U378" s="31">
        <v>4512.21</v>
      </c>
      <c r="V378" s="32">
        <f t="shared" ref="V378:V407" si="136">IF(T378="","",IFERROR(T378/U378,""))</f>
        <v>1.6674755829183482E-2</v>
      </c>
      <c r="W378" s="31">
        <v>377.08</v>
      </c>
      <c r="X378" s="31">
        <v>49102.75</v>
      </c>
      <c r="Y378" s="32">
        <f t="shared" ref="Y378:Y407" si="137">IF(W378="","",IFERROR(W378/X378,""))</f>
        <v>7.6794069578587755E-3</v>
      </c>
      <c r="Z378" s="31">
        <f t="shared" si="117"/>
        <v>1148.01</v>
      </c>
      <c r="AA378" s="31">
        <f t="shared" si="118"/>
        <v>62765.8</v>
      </c>
      <c r="AB378" s="32">
        <f t="shared" ref="AB378:AB407" si="138">IF(Z378="","",IFERROR(Z378/AA378,""))</f>
        <v>1.8290374694499234E-2</v>
      </c>
      <c r="AC378" s="31"/>
      <c r="AD378" s="31"/>
      <c r="AE378" s="32" t="str">
        <f t="shared" si="119"/>
        <v/>
      </c>
      <c r="AF378" s="32" t="s">
        <v>313</v>
      </c>
      <c r="AG378" s="31"/>
      <c r="AH378" s="31"/>
      <c r="AI378" s="32" t="str">
        <f t="shared" si="120"/>
        <v/>
      </c>
      <c r="AJ378" s="32" t="s">
        <v>313</v>
      </c>
      <c r="AK378" s="31"/>
      <c r="AL378" s="31"/>
      <c r="AM378" s="32" t="str">
        <f t="shared" si="121"/>
        <v/>
      </c>
      <c r="AN378" s="32" t="s">
        <v>313</v>
      </c>
      <c r="AO378" s="31"/>
      <c r="AP378" s="31"/>
      <c r="AQ378" s="32" t="str">
        <f t="shared" si="122"/>
        <v/>
      </c>
      <c r="AR378" s="32" t="s">
        <v>313</v>
      </c>
      <c r="AS378" s="31"/>
      <c r="AT378" s="31"/>
      <c r="AU378" s="32" t="str">
        <f t="shared" si="123"/>
        <v/>
      </c>
      <c r="AV378" s="32" t="s">
        <v>313</v>
      </c>
      <c r="AW378" s="31"/>
      <c r="AX378" s="31"/>
      <c r="AY378" s="32" t="str">
        <f t="shared" si="124"/>
        <v/>
      </c>
      <c r="AZ378" s="32" t="s">
        <v>313</v>
      </c>
    </row>
    <row r="379" spans="1:52" ht="34" customHeight="1">
      <c r="A379" s="28" t="s">
        <v>328</v>
      </c>
      <c r="B379" s="29" t="s">
        <v>227</v>
      </c>
      <c r="C379" s="29" t="s">
        <v>48</v>
      </c>
      <c r="D379" s="29"/>
      <c r="E379" s="29" t="s">
        <v>127</v>
      </c>
      <c r="F379" s="29" t="s">
        <v>315</v>
      </c>
      <c r="G379" s="30" t="s">
        <v>312</v>
      </c>
      <c r="H379" s="31">
        <v>198</v>
      </c>
      <c r="I379" s="31">
        <v>1545.36</v>
      </c>
      <c r="J379" s="32">
        <f t="shared" si="132"/>
        <v>0.12812548532380805</v>
      </c>
      <c r="K379" s="31">
        <v>432</v>
      </c>
      <c r="L379" s="31">
        <v>2762.69</v>
      </c>
      <c r="M379" s="32">
        <f t="shared" si="133"/>
        <v>0.15636933568369957</v>
      </c>
      <c r="N379" s="31">
        <v>609</v>
      </c>
      <c r="O379" s="31">
        <v>3663.98</v>
      </c>
      <c r="P379" s="32">
        <f t="shared" si="134"/>
        <v>0.16621269766756369</v>
      </c>
      <c r="Q379" s="31">
        <v>228</v>
      </c>
      <c r="R379" s="31">
        <v>1178.81</v>
      </c>
      <c r="S379" s="32">
        <f t="shared" si="135"/>
        <v>0.19341539349004505</v>
      </c>
      <c r="T379" s="31">
        <v>1738</v>
      </c>
      <c r="U379" s="31">
        <v>4512.21</v>
      </c>
      <c r="V379" s="32">
        <f t="shared" si="136"/>
        <v>0.38517710833494007</v>
      </c>
      <c r="W379" s="31">
        <v>24650</v>
      </c>
      <c r="X379" s="31">
        <v>49102.75</v>
      </c>
      <c r="Y379" s="32">
        <f t="shared" si="137"/>
        <v>0.50200854330969247</v>
      </c>
      <c r="Z379" s="31">
        <f t="shared" si="117"/>
        <v>27855</v>
      </c>
      <c r="AA379" s="31">
        <f t="shared" si="118"/>
        <v>62765.8</v>
      </c>
      <c r="AB379" s="32">
        <f t="shared" si="138"/>
        <v>0.44379263866628005</v>
      </c>
      <c r="AC379" s="31"/>
      <c r="AD379" s="31"/>
      <c r="AE379" s="32" t="str">
        <f t="shared" si="119"/>
        <v/>
      </c>
      <c r="AF379" s="32" t="s">
        <v>313</v>
      </c>
      <c r="AG379" s="31"/>
      <c r="AH379" s="31"/>
      <c r="AI379" s="32" t="str">
        <f t="shared" si="120"/>
        <v/>
      </c>
      <c r="AJ379" s="32" t="s">
        <v>313</v>
      </c>
      <c r="AK379" s="31"/>
      <c r="AL379" s="31"/>
      <c r="AM379" s="32" t="str">
        <f t="shared" si="121"/>
        <v/>
      </c>
      <c r="AN379" s="32" t="s">
        <v>313</v>
      </c>
      <c r="AO379" s="31"/>
      <c r="AP379" s="31"/>
      <c r="AQ379" s="32" t="str">
        <f t="shared" si="122"/>
        <v/>
      </c>
      <c r="AR379" s="32" t="s">
        <v>313</v>
      </c>
      <c r="AS379" s="31"/>
      <c r="AT379" s="31"/>
      <c r="AU379" s="32" t="str">
        <f t="shared" si="123"/>
        <v/>
      </c>
      <c r="AV379" s="32" t="s">
        <v>313</v>
      </c>
      <c r="AW379" s="31"/>
      <c r="AX379" s="31"/>
      <c r="AY379" s="32" t="str">
        <f t="shared" si="124"/>
        <v/>
      </c>
      <c r="AZ379" s="32" t="s">
        <v>313</v>
      </c>
    </row>
    <row r="380" spans="1:52" ht="34" customHeight="1">
      <c r="A380" s="28" t="s">
        <v>328</v>
      </c>
      <c r="B380" s="29" t="s">
        <v>227</v>
      </c>
      <c r="C380" s="29" t="s">
        <v>52</v>
      </c>
      <c r="D380" s="29" t="s">
        <v>54</v>
      </c>
      <c r="E380" s="29" t="s">
        <v>55</v>
      </c>
      <c r="F380" s="29" t="s">
        <v>130</v>
      </c>
      <c r="G380" s="30" t="s">
        <v>312</v>
      </c>
      <c r="H380" s="31">
        <v>317.08999999999997</v>
      </c>
      <c r="I380" s="31">
        <v>1545.36</v>
      </c>
      <c r="J380" s="32">
        <f t="shared" si="132"/>
        <v>0.20518843505720349</v>
      </c>
      <c r="K380" s="31">
        <v>960.74</v>
      </c>
      <c r="L380" s="31">
        <v>2762.69</v>
      </c>
      <c r="M380" s="32">
        <f t="shared" si="133"/>
        <v>0.34775526751101282</v>
      </c>
      <c r="N380" s="31">
        <v>937.28</v>
      </c>
      <c r="O380" s="31">
        <v>3663.98</v>
      </c>
      <c r="P380" s="32">
        <f t="shared" si="134"/>
        <v>0.2558092566007456</v>
      </c>
      <c r="Q380" s="31">
        <v>204.37</v>
      </c>
      <c r="R380" s="31">
        <v>1178.81</v>
      </c>
      <c r="S380" s="32">
        <f t="shared" si="135"/>
        <v>0.17336975424368645</v>
      </c>
      <c r="T380" s="31">
        <v>2537.509</v>
      </c>
      <c r="U380" s="31">
        <v>4512.21</v>
      </c>
      <c r="V380" s="32">
        <f t="shared" si="136"/>
        <v>0.56236500517484778</v>
      </c>
      <c r="W380" s="31">
        <v>14909.28</v>
      </c>
      <c r="X380" s="31">
        <v>49102.75</v>
      </c>
      <c r="Y380" s="32">
        <f t="shared" si="137"/>
        <v>0.30363431783352257</v>
      </c>
      <c r="Z380" s="31">
        <f t="shared" si="117"/>
        <v>19866.269</v>
      </c>
      <c r="AA380" s="31">
        <f t="shared" si="118"/>
        <v>62765.8</v>
      </c>
      <c r="AB380" s="32">
        <f t="shared" si="138"/>
        <v>0.31651423227298942</v>
      </c>
      <c r="AC380" s="31"/>
      <c r="AD380" s="31"/>
      <c r="AE380" s="32" t="str">
        <f t="shared" si="119"/>
        <v/>
      </c>
      <c r="AF380" s="32" t="s">
        <v>313</v>
      </c>
      <c r="AG380" s="31"/>
      <c r="AH380" s="31"/>
      <c r="AI380" s="32" t="str">
        <f t="shared" si="120"/>
        <v/>
      </c>
      <c r="AJ380" s="32" t="s">
        <v>313</v>
      </c>
      <c r="AK380" s="31"/>
      <c r="AL380" s="31"/>
      <c r="AM380" s="32" t="str">
        <f t="shared" si="121"/>
        <v/>
      </c>
      <c r="AN380" s="32" t="s">
        <v>313</v>
      </c>
      <c r="AO380" s="31"/>
      <c r="AP380" s="31"/>
      <c r="AQ380" s="32" t="str">
        <f t="shared" si="122"/>
        <v/>
      </c>
      <c r="AR380" s="32" t="s">
        <v>313</v>
      </c>
      <c r="AS380" s="31"/>
      <c r="AT380" s="31"/>
      <c r="AU380" s="32" t="str">
        <f t="shared" si="123"/>
        <v/>
      </c>
      <c r="AV380" s="32" t="s">
        <v>313</v>
      </c>
      <c r="AW380" s="31"/>
      <c r="AX380" s="31"/>
      <c r="AY380" s="32" t="str">
        <f t="shared" si="124"/>
        <v/>
      </c>
      <c r="AZ380" s="32" t="s">
        <v>313</v>
      </c>
    </row>
    <row r="381" spans="1:52" ht="34" customHeight="1">
      <c r="A381" s="28" t="s">
        <v>328</v>
      </c>
      <c r="B381" s="29" t="s">
        <v>227</v>
      </c>
      <c r="C381" s="29" t="s">
        <v>52</v>
      </c>
      <c r="D381" s="29" t="s">
        <v>54</v>
      </c>
      <c r="E381" s="29" t="s">
        <v>58</v>
      </c>
      <c r="F381" s="29" t="s">
        <v>316</v>
      </c>
      <c r="G381" s="30" t="s">
        <v>312</v>
      </c>
      <c r="H381" s="31"/>
      <c r="I381" s="31">
        <v>1545.36</v>
      </c>
      <c r="J381" s="32" t="str">
        <f t="shared" si="132"/>
        <v/>
      </c>
      <c r="K381" s="31"/>
      <c r="L381" s="31">
        <v>2762.69</v>
      </c>
      <c r="M381" s="32" t="str">
        <f t="shared" si="133"/>
        <v/>
      </c>
      <c r="N381" s="31"/>
      <c r="O381" s="31">
        <v>3663.98</v>
      </c>
      <c r="P381" s="32" t="str">
        <f t="shared" si="134"/>
        <v/>
      </c>
      <c r="Q381" s="31"/>
      <c r="R381" s="31">
        <v>1178.81</v>
      </c>
      <c r="S381" s="32" t="str">
        <f t="shared" si="135"/>
        <v/>
      </c>
      <c r="T381" s="31"/>
      <c r="U381" s="31">
        <v>4512.21</v>
      </c>
      <c r="V381" s="32" t="str">
        <f t="shared" si="136"/>
        <v/>
      </c>
      <c r="W381" s="31"/>
      <c r="X381" s="31">
        <v>49102.75</v>
      </c>
      <c r="Y381" s="32" t="str">
        <f t="shared" si="137"/>
        <v/>
      </c>
      <c r="Z381" s="31" t="str">
        <f t="shared" si="117"/>
        <v/>
      </c>
      <c r="AA381" s="31">
        <f t="shared" si="118"/>
        <v>62765.8</v>
      </c>
      <c r="AB381" s="32" t="str">
        <f t="shared" si="138"/>
        <v/>
      </c>
      <c r="AC381" s="31"/>
      <c r="AD381" s="31"/>
      <c r="AE381" s="32" t="str">
        <f t="shared" si="119"/>
        <v/>
      </c>
      <c r="AF381" s="32" t="s">
        <v>313</v>
      </c>
      <c r="AG381" s="31"/>
      <c r="AH381" s="31"/>
      <c r="AI381" s="32" t="str">
        <f t="shared" si="120"/>
        <v/>
      </c>
      <c r="AJ381" s="32" t="s">
        <v>313</v>
      </c>
      <c r="AK381" s="31"/>
      <c r="AL381" s="31"/>
      <c r="AM381" s="32" t="str">
        <f t="shared" si="121"/>
        <v/>
      </c>
      <c r="AN381" s="32" t="s">
        <v>313</v>
      </c>
      <c r="AO381" s="31"/>
      <c r="AP381" s="31"/>
      <c r="AQ381" s="32" t="str">
        <f t="shared" si="122"/>
        <v/>
      </c>
      <c r="AR381" s="32" t="s">
        <v>313</v>
      </c>
      <c r="AS381" s="31"/>
      <c r="AT381" s="31"/>
      <c r="AU381" s="32" t="str">
        <f t="shared" si="123"/>
        <v/>
      </c>
      <c r="AV381" s="32" t="s">
        <v>313</v>
      </c>
      <c r="AW381" s="31"/>
      <c r="AX381" s="31"/>
      <c r="AY381" s="32" t="str">
        <f t="shared" si="124"/>
        <v/>
      </c>
      <c r="AZ381" s="32" t="s">
        <v>313</v>
      </c>
    </row>
    <row r="382" spans="1:52" ht="34" customHeight="1">
      <c r="A382" s="28" t="s">
        <v>328</v>
      </c>
      <c r="B382" s="29" t="s">
        <v>227</v>
      </c>
      <c r="C382" s="29" t="s">
        <v>52</v>
      </c>
      <c r="D382" s="29" t="s">
        <v>54</v>
      </c>
      <c r="E382" s="29" t="s">
        <v>59</v>
      </c>
      <c r="F382" s="29" t="s">
        <v>316</v>
      </c>
      <c r="G382" s="30" t="s">
        <v>312</v>
      </c>
      <c r="H382" s="31"/>
      <c r="I382" s="31">
        <v>1545.36</v>
      </c>
      <c r="J382" s="32" t="str">
        <f t="shared" si="132"/>
        <v/>
      </c>
      <c r="K382" s="31"/>
      <c r="L382" s="31">
        <v>2762.69</v>
      </c>
      <c r="M382" s="32" t="str">
        <f t="shared" si="133"/>
        <v/>
      </c>
      <c r="N382" s="31"/>
      <c r="O382" s="31">
        <v>3663.98</v>
      </c>
      <c r="P382" s="32" t="str">
        <f t="shared" si="134"/>
        <v/>
      </c>
      <c r="Q382" s="31"/>
      <c r="R382" s="31">
        <v>1178.81</v>
      </c>
      <c r="S382" s="32" t="str">
        <f t="shared" si="135"/>
        <v/>
      </c>
      <c r="T382" s="31"/>
      <c r="U382" s="31">
        <v>4512.21</v>
      </c>
      <c r="V382" s="32" t="str">
        <f t="shared" si="136"/>
        <v/>
      </c>
      <c r="W382" s="31"/>
      <c r="X382" s="31">
        <v>49102.75</v>
      </c>
      <c r="Y382" s="32" t="str">
        <f t="shared" si="137"/>
        <v/>
      </c>
      <c r="Z382" s="31" t="str">
        <f t="shared" si="117"/>
        <v/>
      </c>
      <c r="AA382" s="31">
        <f t="shared" si="118"/>
        <v>62765.8</v>
      </c>
      <c r="AB382" s="32" t="str">
        <f t="shared" si="138"/>
        <v/>
      </c>
      <c r="AC382" s="31"/>
      <c r="AD382" s="31"/>
      <c r="AE382" s="32" t="str">
        <f t="shared" si="119"/>
        <v/>
      </c>
      <c r="AF382" s="32" t="s">
        <v>313</v>
      </c>
      <c r="AG382" s="31"/>
      <c r="AH382" s="31"/>
      <c r="AI382" s="32" t="str">
        <f t="shared" si="120"/>
        <v/>
      </c>
      <c r="AJ382" s="32" t="s">
        <v>313</v>
      </c>
      <c r="AK382" s="31"/>
      <c r="AL382" s="31"/>
      <c r="AM382" s="32" t="str">
        <f t="shared" si="121"/>
        <v/>
      </c>
      <c r="AN382" s="32" t="s">
        <v>313</v>
      </c>
      <c r="AO382" s="31"/>
      <c r="AP382" s="31"/>
      <c r="AQ382" s="32" t="str">
        <f t="shared" si="122"/>
        <v/>
      </c>
      <c r="AR382" s="32" t="s">
        <v>313</v>
      </c>
      <c r="AS382" s="31"/>
      <c r="AT382" s="31"/>
      <c r="AU382" s="32" t="str">
        <f t="shared" si="123"/>
        <v/>
      </c>
      <c r="AV382" s="32" t="s">
        <v>313</v>
      </c>
      <c r="AW382" s="31"/>
      <c r="AX382" s="31"/>
      <c r="AY382" s="32" t="str">
        <f t="shared" si="124"/>
        <v/>
      </c>
      <c r="AZ382" s="32" t="s">
        <v>313</v>
      </c>
    </row>
    <row r="383" spans="1:52" ht="34" customHeight="1">
      <c r="A383" s="28" t="s">
        <v>328</v>
      </c>
      <c r="B383" s="29" t="s">
        <v>227</v>
      </c>
      <c r="C383" s="29" t="s">
        <v>52</v>
      </c>
      <c r="D383" s="29" t="s">
        <v>54</v>
      </c>
      <c r="E383" s="29" t="s">
        <v>64</v>
      </c>
      <c r="F383" s="29" t="s">
        <v>133</v>
      </c>
      <c r="G383" s="30" t="s">
        <v>312</v>
      </c>
      <c r="H383" s="31">
        <v>56.75</v>
      </c>
      <c r="I383" s="31">
        <v>1545.36</v>
      </c>
      <c r="J383" s="32">
        <f t="shared" si="132"/>
        <v>3.6722834808717714E-2</v>
      </c>
      <c r="K383" s="31">
        <v>261.58</v>
      </c>
      <c r="L383" s="31">
        <v>2762.69</v>
      </c>
      <c r="M383" s="32">
        <f t="shared" si="133"/>
        <v>9.4683080620699384E-2</v>
      </c>
      <c r="N383" s="31">
        <v>630.95000000000005</v>
      </c>
      <c r="O383" s="31">
        <v>3663.98</v>
      </c>
      <c r="P383" s="32">
        <f t="shared" si="134"/>
        <v>0.17220345089219921</v>
      </c>
      <c r="Q383" s="31">
        <v>54.32</v>
      </c>
      <c r="R383" s="31">
        <v>1178.81</v>
      </c>
      <c r="S383" s="32">
        <f t="shared" si="135"/>
        <v>4.6080369185873889E-2</v>
      </c>
      <c r="T383" s="31">
        <v>1127.08</v>
      </c>
      <c r="U383" s="31">
        <v>4512.21</v>
      </c>
      <c r="V383" s="32">
        <f t="shared" si="136"/>
        <v>0.2497844736836273</v>
      </c>
      <c r="W383" s="31">
        <v>12025.3</v>
      </c>
      <c r="X383" s="31">
        <v>49102.75</v>
      </c>
      <c r="Y383" s="32">
        <f t="shared" si="137"/>
        <v>0.24490074384835878</v>
      </c>
      <c r="Z383" s="31">
        <f t="shared" si="117"/>
        <v>14155.98</v>
      </c>
      <c r="AA383" s="31">
        <f t="shared" si="118"/>
        <v>62765.8</v>
      </c>
      <c r="AB383" s="32">
        <f t="shared" si="138"/>
        <v>0.22553651829499502</v>
      </c>
      <c r="AC383" s="31"/>
      <c r="AD383" s="31"/>
      <c r="AE383" s="32" t="str">
        <f t="shared" si="119"/>
        <v/>
      </c>
      <c r="AF383" s="32" t="s">
        <v>313</v>
      </c>
      <c r="AG383" s="31"/>
      <c r="AH383" s="31"/>
      <c r="AI383" s="32" t="str">
        <f t="shared" si="120"/>
        <v/>
      </c>
      <c r="AJ383" s="32" t="s">
        <v>313</v>
      </c>
      <c r="AK383" s="31"/>
      <c r="AL383" s="31"/>
      <c r="AM383" s="32" t="str">
        <f t="shared" si="121"/>
        <v/>
      </c>
      <c r="AN383" s="32" t="s">
        <v>313</v>
      </c>
      <c r="AO383" s="31"/>
      <c r="AP383" s="31"/>
      <c r="AQ383" s="32" t="str">
        <f t="shared" si="122"/>
        <v/>
      </c>
      <c r="AR383" s="32" t="s">
        <v>313</v>
      </c>
      <c r="AS383" s="31"/>
      <c r="AT383" s="31"/>
      <c r="AU383" s="32" t="str">
        <f t="shared" si="123"/>
        <v/>
      </c>
      <c r="AV383" s="32" t="s">
        <v>313</v>
      </c>
      <c r="AW383" s="31"/>
      <c r="AX383" s="31"/>
      <c r="AY383" s="32" t="str">
        <f t="shared" si="124"/>
        <v/>
      </c>
      <c r="AZ383" s="32" t="s">
        <v>313</v>
      </c>
    </row>
    <row r="384" spans="1:52" ht="34" customHeight="1">
      <c r="A384" s="28" t="s">
        <v>328</v>
      </c>
      <c r="B384" s="29" t="s">
        <v>227</v>
      </c>
      <c r="C384" s="29" t="s">
        <v>52</v>
      </c>
      <c r="D384" s="29" t="s">
        <v>54</v>
      </c>
      <c r="E384" s="29" t="s">
        <v>60</v>
      </c>
      <c r="F384" s="29" t="s">
        <v>316</v>
      </c>
      <c r="G384" s="30" t="s">
        <v>312</v>
      </c>
      <c r="H384" s="31"/>
      <c r="I384" s="31">
        <v>1545.36</v>
      </c>
      <c r="J384" s="32" t="str">
        <f t="shared" si="132"/>
        <v/>
      </c>
      <c r="K384" s="31"/>
      <c r="L384" s="31">
        <v>2762.69</v>
      </c>
      <c r="M384" s="32" t="str">
        <f t="shared" si="133"/>
        <v/>
      </c>
      <c r="N384" s="31"/>
      <c r="O384" s="31">
        <v>3663.98</v>
      </c>
      <c r="P384" s="32" t="str">
        <f t="shared" si="134"/>
        <v/>
      </c>
      <c r="Q384" s="31"/>
      <c r="R384" s="31">
        <v>1178.81</v>
      </c>
      <c r="S384" s="32" t="str">
        <f t="shared" si="135"/>
        <v/>
      </c>
      <c r="T384" s="31"/>
      <c r="U384" s="31">
        <v>4512.21</v>
      </c>
      <c r="V384" s="32" t="str">
        <f t="shared" si="136"/>
        <v/>
      </c>
      <c r="W384" s="31"/>
      <c r="X384" s="31">
        <v>49102.75</v>
      </c>
      <c r="Y384" s="32" t="str">
        <f t="shared" si="137"/>
        <v/>
      </c>
      <c r="Z384" s="31" t="str">
        <f t="shared" si="117"/>
        <v/>
      </c>
      <c r="AA384" s="31">
        <f t="shared" si="118"/>
        <v>62765.8</v>
      </c>
      <c r="AB384" s="32" t="str">
        <f t="shared" si="138"/>
        <v/>
      </c>
      <c r="AC384" s="31"/>
      <c r="AD384" s="31"/>
      <c r="AE384" s="32" t="str">
        <f t="shared" si="119"/>
        <v/>
      </c>
      <c r="AF384" s="32" t="s">
        <v>313</v>
      </c>
      <c r="AG384" s="31"/>
      <c r="AH384" s="31"/>
      <c r="AI384" s="32" t="str">
        <f t="shared" si="120"/>
        <v/>
      </c>
      <c r="AJ384" s="32" t="s">
        <v>313</v>
      </c>
      <c r="AK384" s="31"/>
      <c r="AL384" s="31"/>
      <c r="AM384" s="32" t="str">
        <f t="shared" si="121"/>
        <v/>
      </c>
      <c r="AN384" s="32" t="s">
        <v>313</v>
      </c>
      <c r="AO384" s="31"/>
      <c r="AP384" s="31"/>
      <c r="AQ384" s="32" t="str">
        <f t="shared" si="122"/>
        <v/>
      </c>
      <c r="AR384" s="32" t="s">
        <v>313</v>
      </c>
      <c r="AS384" s="31"/>
      <c r="AT384" s="31"/>
      <c r="AU384" s="32" t="str">
        <f t="shared" si="123"/>
        <v/>
      </c>
      <c r="AV384" s="32" t="s">
        <v>313</v>
      </c>
      <c r="AW384" s="31"/>
      <c r="AX384" s="31"/>
      <c r="AY384" s="32" t="str">
        <f t="shared" si="124"/>
        <v/>
      </c>
      <c r="AZ384" s="32" t="s">
        <v>313</v>
      </c>
    </row>
    <row r="385" spans="1:52" ht="51" customHeight="1">
      <c r="A385" s="28" t="s">
        <v>328</v>
      </c>
      <c r="B385" s="29" t="s">
        <v>227</v>
      </c>
      <c r="C385" s="29" t="s">
        <v>52</v>
      </c>
      <c r="D385" s="29" t="s">
        <v>54</v>
      </c>
      <c r="E385" s="29" t="s">
        <v>61</v>
      </c>
      <c r="F385" s="29" t="s">
        <v>135</v>
      </c>
      <c r="G385" s="30" t="s">
        <v>312</v>
      </c>
      <c r="H385" s="31">
        <v>35.295870000000001</v>
      </c>
      <c r="I385" s="31">
        <v>1545.36</v>
      </c>
      <c r="J385" s="32">
        <f t="shared" si="132"/>
        <v>2.2839901382202207E-2</v>
      </c>
      <c r="K385" s="31">
        <v>29.354403999999999</v>
      </c>
      <c r="L385" s="31">
        <v>2762.69</v>
      </c>
      <c r="M385" s="32">
        <f t="shared" si="133"/>
        <v>1.0625297807571606E-2</v>
      </c>
      <c r="N385" s="31">
        <v>69.856919000000005</v>
      </c>
      <c r="O385" s="31">
        <v>3663.98</v>
      </c>
      <c r="P385" s="32">
        <f t="shared" si="134"/>
        <v>1.9065857073455643E-2</v>
      </c>
      <c r="Q385" s="31">
        <v>-14.193255000000001</v>
      </c>
      <c r="R385" s="31">
        <v>1178.81</v>
      </c>
      <c r="S385" s="32">
        <f t="shared" si="135"/>
        <v>-1.2040324564603288E-2</v>
      </c>
      <c r="T385" s="31">
        <v>24.041816000000001</v>
      </c>
      <c r="U385" s="31">
        <v>4512.21</v>
      </c>
      <c r="V385" s="32">
        <f t="shared" si="136"/>
        <v>5.3281686800924601E-3</v>
      </c>
      <c r="W385" s="31">
        <v>85.021237999999997</v>
      </c>
      <c r="X385" s="31">
        <v>49102.75</v>
      </c>
      <c r="Y385" s="32">
        <f t="shared" si="137"/>
        <v>1.7314964640473293E-3</v>
      </c>
      <c r="Z385" s="31">
        <f t="shared" si="117"/>
        <v>229.37699200000003</v>
      </c>
      <c r="AA385" s="31">
        <f t="shared" si="118"/>
        <v>62765.8</v>
      </c>
      <c r="AB385" s="32">
        <f t="shared" si="138"/>
        <v>3.6544900566869223E-3</v>
      </c>
      <c r="AC385" s="31"/>
      <c r="AD385" s="31"/>
      <c r="AE385" s="32" t="str">
        <f t="shared" si="119"/>
        <v/>
      </c>
      <c r="AF385" s="32" t="s">
        <v>313</v>
      </c>
      <c r="AG385" s="31"/>
      <c r="AH385" s="31"/>
      <c r="AI385" s="32" t="str">
        <f t="shared" si="120"/>
        <v/>
      </c>
      <c r="AJ385" s="32" t="s">
        <v>313</v>
      </c>
      <c r="AK385" s="31"/>
      <c r="AL385" s="31"/>
      <c r="AM385" s="32" t="str">
        <f t="shared" si="121"/>
        <v/>
      </c>
      <c r="AN385" s="32" t="s">
        <v>313</v>
      </c>
      <c r="AO385" s="31"/>
      <c r="AP385" s="31"/>
      <c r="AQ385" s="32" t="str">
        <f t="shared" si="122"/>
        <v/>
      </c>
      <c r="AR385" s="32" t="s">
        <v>313</v>
      </c>
      <c r="AS385" s="31"/>
      <c r="AT385" s="31"/>
      <c r="AU385" s="32" t="str">
        <f t="shared" si="123"/>
        <v/>
      </c>
      <c r="AV385" s="32" t="s">
        <v>313</v>
      </c>
      <c r="AW385" s="31"/>
      <c r="AX385" s="31"/>
      <c r="AY385" s="32" t="str">
        <f t="shared" si="124"/>
        <v/>
      </c>
      <c r="AZ385" s="32" t="s">
        <v>313</v>
      </c>
    </row>
    <row r="386" spans="1:52" ht="34" customHeight="1">
      <c r="A386" s="28" t="s">
        <v>328</v>
      </c>
      <c r="B386" s="29" t="s">
        <v>227</v>
      </c>
      <c r="C386" s="29" t="s">
        <v>52</v>
      </c>
      <c r="D386" s="29" t="s">
        <v>54</v>
      </c>
      <c r="E386" s="29" t="s">
        <v>62</v>
      </c>
      <c r="F386" s="29" t="s">
        <v>316</v>
      </c>
      <c r="G386" s="30" t="s">
        <v>312</v>
      </c>
      <c r="H386" s="31"/>
      <c r="I386" s="31">
        <v>1545.36</v>
      </c>
      <c r="J386" s="32" t="str">
        <f t="shared" si="132"/>
        <v/>
      </c>
      <c r="K386" s="31"/>
      <c r="L386" s="31">
        <v>2762.69</v>
      </c>
      <c r="M386" s="32" t="str">
        <f t="shared" si="133"/>
        <v/>
      </c>
      <c r="N386" s="31"/>
      <c r="O386" s="31">
        <v>3663.98</v>
      </c>
      <c r="P386" s="32" t="str">
        <f t="shared" si="134"/>
        <v/>
      </c>
      <c r="Q386" s="31"/>
      <c r="R386" s="31">
        <v>1178.81</v>
      </c>
      <c r="S386" s="32" t="str">
        <f t="shared" si="135"/>
        <v/>
      </c>
      <c r="T386" s="31"/>
      <c r="U386" s="31">
        <v>4512.21</v>
      </c>
      <c r="V386" s="32" t="str">
        <f t="shared" si="136"/>
        <v/>
      </c>
      <c r="W386" s="31"/>
      <c r="X386" s="31">
        <v>49102.75</v>
      </c>
      <c r="Y386" s="32" t="str">
        <f t="shared" si="137"/>
        <v/>
      </c>
      <c r="Z386" s="31" t="str">
        <f t="shared" si="117"/>
        <v/>
      </c>
      <c r="AA386" s="31">
        <f t="shared" si="118"/>
        <v>62765.8</v>
      </c>
      <c r="AB386" s="32" t="str">
        <f t="shared" si="138"/>
        <v/>
      </c>
      <c r="AC386" s="31"/>
      <c r="AD386" s="31"/>
      <c r="AE386" s="32" t="str">
        <f t="shared" si="119"/>
        <v/>
      </c>
      <c r="AF386" s="32" t="s">
        <v>313</v>
      </c>
      <c r="AG386" s="31"/>
      <c r="AH386" s="31"/>
      <c r="AI386" s="32" t="str">
        <f t="shared" si="120"/>
        <v/>
      </c>
      <c r="AJ386" s="32" t="s">
        <v>313</v>
      </c>
      <c r="AK386" s="31"/>
      <c r="AL386" s="31"/>
      <c r="AM386" s="32" t="str">
        <f t="shared" si="121"/>
        <v/>
      </c>
      <c r="AN386" s="32" t="s">
        <v>313</v>
      </c>
      <c r="AO386" s="31"/>
      <c r="AP386" s="31"/>
      <c r="AQ386" s="32" t="str">
        <f t="shared" si="122"/>
        <v/>
      </c>
      <c r="AR386" s="32" t="s">
        <v>313</v>
      </c>
      <c r="AS386" s="31"/>
      <c r="AT386" s="31"/>
      <c r="AU386" s="32" t="str">
        <f t="shared" si="123"/>
        <v/>
      </c>
      <c r="AV386" s="32" t="s">
        <v>313</v>
      </c>
      <c r="AW386" s="31"/>
      <c r="AX386" s="31"/>
      <c r="AY386" s="32" t="str">
        <f t="shared" si="124"/>
        <v/>
      </c>
      <c r="AZ386" s="32" t="s">
        <v>313</v>
      </c>
    </row>
    <row r="387" spans="1:52" ht="34" customHeight="1">
      <c r="A387" s="28" t="s">
        <v>328</v>
      </c>
      <c r="B387" s="29" t="s">
        <v>227</v>
      </c>
      <c r="C387" s="29" t="s">
        <v>52</v>
      </c>
      <c r="D387" s="29" t="s">
        <v>54</v>
      </c>
      <c r="E387" s="29" t="s">
        <v>63</v>
      </c>
      <c r="F387" s="29" t="s">
        <v>316</v>
      </c>
      <c r="G387" s="30" t="s">
        <v>312</v>
      </c>
      <c r="H387" s="31"/>
      <c r="I387" s="31">
        <v>1545.36</v>
      </c>
      <c r="J387" s="32" t="str">
        <f t="shared" si="132"/>
        <v/>
      </c>
      <c r="K387" s="31"/>
      <c r="L387" s="31">
        <v>2762.69</v>
      </c>
      <c r="M387" s="32" t="str">
        <f t="shared" si="133"/>
        <v/>
      </c>
      <c r="N387" s="31"/>
      <c r="O387" s="31">
        <v>3663.98</v>
      </c>
      <c r="P387" s="32" t="str">
        <f t="shared" si="134"/>
        <v/>
      </c>
      <c r="Q387" s="31"/>
      <c r="R387" s="31">
        <v>1178.81</v>
      </c>
      <c r="S387" s="32" t="str">
        <f t="shared" si="135"/>
        <v/>
      </c>
      <c r="T387" s="31"/>
      <c r="U387" s="31">
        <v>4512.21</v>
      </c>
      <c r="V387" s="32" t="str">
        <f t="shared" si="136"/>
        <v/>
      </c>
      <c r="W387" s="31"/>
      <c r="X387" s="31">
        <v>49102.75</v>
      </c>
      <c r="Y387" s="32" t="str">
        <f t="shared" si="137"/>
        <v/>
      </c>
      <c r="Z387" s="31" t="str">
        <f t="shared" si="117"/>
        <v/>
      </c>
      <c r="AA387" s="31">
        <f t="shared" si="118"/>
        <v>62765.8</v>
      </c>
      <c r="AB387" s="32" t="str">
        <f t="shared" si="138"/>
        <v/>
      </c>
      <c r="AC387" s="31"/>
      <c r="AD387" s="31"/>
      <c r="AE387" s="32" t="str">
        <f t="shared" si="119"/>
        <v/>
      </c>
      <c r="AF387" s="32" t="s">
        <v>313</v>
      </c>
      <c r="AG387" s="31"/>
      <c r="AH387" s="31"/>
      <c r="AI387" s="32" t="str">
        <f t="shared" si="120"/>
        <v/>
      </c>
      <c r="AJ387" s="32" t="s">
        <v>313</v>
      </c>
      <c r="AK387" s="31"/>
      <c r="AL387" s="31"/>
      <c r="AM387" s="32" t="str">
        <f t="shared" si="121"/>
        <v/>
      </c>
      <c r="AN387" s="32" t="s">
        <v>313</v>
      </c>
      <c r="AO387" s="31"/>
      <c r="AP387" s="31"/>
      <c r="AQ387" s="32" t="str">
        <f t="shared" si="122"/>
        <v/>
      </c>
      <c r="AR387" s="32" t="s">
        <v>313</v>
      </c>
      <c r="AS387" s="31"/>
      <c r="AT387" s="31"/>
      <c r="AU387" s="32" t="str">
        <f t="shared" si="123"/>
        <v/>
      </c>
      <c r="AV387" s="32" t="s">
        <v>313</v>
      </c>
      <c r="AW387" s="31"/>
      <c r="AX387" s="31"/>
      <c r="AY387" s="32" t="str">
        <f t="shared" si="124"/>
        <v/>
      </c>
      <c r="AZ387" s="32" t="s">
        <v>313</v>
      </c>
    </row>
    <row r="388" spans="1:52" ht="34" customHeight="1">
      <c r="A388" s="28" t="s">
        <v>328</v>
      </c>
      <c r="B388" s="29" t="s">
        <v>227</v>
      </c>
      <c r="C388" s="29" t="s">
        <v>52</v>
      </c>
      <c r="D388" s="29" t="s">
        <v>65</v>
      </c>
      <c r="E388" s="29" t="s">
        <v>66</v>
      </c>
      <c r="F388" s="29" t="s">
        <v>316</v>
      </c>
      <c r="G388" s="30" t="s">
        <v>312</v>
      </c>
      <c r="H388" s="31"/>
      <c r="I388" s="31">
        <v>1545.36</v>
      </c>
      <c r="J388" s="32" t="str">
        <f t="shared" si="132"/>
        <v/>
      </c>
      <c r="K388" s="31"/>
      <c r="L388" s="31">
        <v>2762.69</v>
      </c>
      <c r="M388" s="32" t="str">
        <f t="shared" si="133"/>
        <v/>
      </c>
      <c r="N388" s="31"/>
      <c r="O388" s="31">
        <v>3663.98</v>
      </c>
      <c r="P388" s="32" t="str">
        <f t="shared" si="134"/>
        <v/>
      </c>
      <c r="Q388" s="31"/>
      <c r="R388" s="31">
        <v>1178.81</v>
      </c>
      <c r="S388" s="32" t="str">
        <f t="shared" si="135"/>
        <v/>
      </c>
      <c r="T388" s="31"/>
      <c r="U388" s="31">
        <v>4512.21</v>
      </c>
      <c r="V388" s="32" t="str">
        <f t="shared" si="136"/>
        <v/>
      </c>
      <c r="W388" s="31"/>
      <c r="X388" s="31">
        <v>49102.75</v>
      </c>
      <c r="Y388" s="32" t="str">
        <f t="shared" si="137"/>
        <v/>
      </c>
      <c r="Z388" s="31" t="str">
        <f t="shared" si="117"/>
        <v/>
      </c>
      <c r="AA388" s="31">
        <f t="shared" si="118"/>
        <v>62765.8</v>
      </c>
      <c r="AB388" s="32" t="str">
        <f t="shared" si="138"/>
        <v/>
      </c>
      <c r="AC388" s="31"/>
      <c r="AD388" s="31"/>
      <c r="AE388" s="32" t="str">
        <f t="shared" si="119"/>
        <v/>
      </c>
      <c r="AF388" s="32" t="s">
        <v>313</v>
      </c>
      <c r="AG388" s="31"/>
      <c r="AH388" s="31"/>
      <c r="AI388" s="32" t="str">
        <f t="shared" si="120"/>
        <v/>
      </c>
      <c r="AJ388" s="32" t="s">
        <v>313</v>
      </c>
      <c r="AK388" s="31"/>
      <c r="AL388" s="31"/>
      <c r="AM388" s="32" t="str">
        <f t="shared" si="121"/>
        <v/>
      </c>
      <c r="AN388" s="32" t="s">
        <v>313</v>
      </c>
      <c r="AO388" s="31"/>
      <c r="AP388" s="31"/>
      <c r="AQ388" s="32" t="str">
        <f t="shared" si="122"/>
        <v/>
      </c>
      <c r="AR388" s="32" t="s">
        <v>313</v>
      </c>
      <c r="AS388" s="31"/>
      <c r="AT388" s="31"/>
      <c r="AU388" s="32" t="str">
        <f t="shared" si="123"/>
        <v/>
      </c>
      <c r="AV388" s="32" t="s">
        <v>313</v>
      </c>
      <c r="AW388" s="31"/>
      <c r="AX388" s="31"/>
      <c r="AY388" s="32" t="str">
        <f t="shared" si="124"/>
        <v/>
      </c>
      <c r="AZ388" s="32" t="s">
        <v>313</v>
      </c>
    </row>
    <row r="389" spans="1:52" ht="34" customHeight="1">
      <c r="A389" s="28" t="s">
        <v>328</v>
      </c>
      <c r="B389" s="29" t="s">
        <v>227</v>
      </c>
      <c r="C389" s="29" t="s">
        <v>52</v>
      </c>
      <c r="D389" s="29" t="s">
        <v>65</v>
      </c>
      <c r="E389" s="29" t="s">
        <v>67</v>
      </c>
      <c r="F389" s="29" t="s">
        <v>316</v>
      </c>
      <c r="G389" s="30" t="s">
        <v>312</v>
      </c>
      <c r="H389" s="31"/>
      <c r="I389" s="31">
        <v>1545.36</v>
      </c>
      <c r="J389" s="32" t="str">
        <f t="shared" si="132"/>
        <v/>
      </c>
      <c r="K389" s="31"/>
      <c r="L389" s="31">
        <v>2762.69</v>
      </c>
      <c r="M389" s="32" t="str">
        <f t="shared" si="133"/>
        <v/>
      </c>
      <c r="N389" s="31"/>
      <c r="O389" s="31">
        <v>3663.98</v>
      </c>
      <c r="P389" s="32" t="str">
        <f t="shared" si="134"/>
        <v/>
      </c>
      <c r="Q389" s="31"/>
      <c r="R389" s="31">
        <v>1178.81</v>
      </c>
      <c r="S389" s="32" t="str">
        <f t="shared" si="135"/>
        <v/>
      </c>
      <c r="T389" s="31"/>
      <c r="U389" s="31">
        <v>4512.21</v>
      </c>
      <c r="V389" s="32" t="str">
        <f t="shared" si="136"/>
        <v/>
      </c>
      <c r="W389" s="31"/>
      <c r="X389" s="31">
        <v>49102.75</v>
      </c>
      <c r="Y389" s="32" t="str">
        <f t="shared" si="137"/>
        <v/>
      </c>
      <c r="Z389" s="31" t="str">
        <f t="shared" si="117"/>
        <v/>
      </c>
      <c r="AA389" s="31">
        <f t="shared" si="118"/>
        <v>62765.8</v>
      </c>
      <c r="AB389" s="32" t="str">
        <f t="shared" si="138"/>
        <v/>
      </c>
      <c r="AC389" s="31"/>
      <c r="AD389" s="31"/>
      <c r="AE389" s="32" t="str">
        <f t="shared" si="119"/>
        <v/>
      </c>
      <c r="AF389" s="32" t="s">
        <v>313</v>
      </c>
      <c r="AG389" s="31"/>
      <c r="AH389" s="31"/>
      <c r="AI389" s="32" t="str">
        <f t="shared" si="120"/>
        <v/>
      </c>
      <c r="AJ389" s="32" t="s">
        <v>313</v>
      </c>
      <c r="AK389" s="31"/>
      <c r="AL389" s="31"/>
      <c r="AM389" s="32" t="str">
        <f t="shared" si="121"/>
        <v/>
      </c>
      <c r="AN389" s="32" t="s">
        <v>313</v>
      </c>
      <c r="AO389" s="31"/>
      <c r="AP389" s="31"/>
      <c r="AQ389" s="32" t="str">
        <f t="shared" si="122"/>
        <v/>
      </c>
      <c r="AR389" s="32" t="s">
        <v>313</v>
      </c>
      <c r="AS389" s="31"/>
      <c r="AT389" s="31"/>
      <c r="AU389" s="32" t="str">
        <f t="shared" si="123"/>
        <v/>
      </c>
      <c r="AV389" s="32" t="s">
        <v>313</v>
      </c>
      <c r="AW389" s="31"/>
      <c r="AX389" s="31"/>
      <c r="AY389" s="32" t="str">
        <f t="shared" si="124"/>
        <v/>
      </c>
      <c r="AZ389" s="32" t="s">
        <v>313</v>
      </c>
    </row>
    <row r="390" spans="1:52" ht="34" customHeight="1">
      <c r="A390" s="28" t="s">
        <v>328</v>
      </c>
      <c r="B390" s="29" t="s">
        <v>227</v>
      </c>
      <c r="C390" s="29" t="s">
        <v>52</v>
      </c>
      <c r="D390" s="29" t="s">
        <v>65</v>
      </c>
      <c r="E390" s="29" t="s">
        <v>68</v>
      </c>
      <c r="F390" s="29" t="s">
        <v>316</v>
      </c>
      <c r="G390" s="30" t="s">
        <v>312</v>
      </c>
      <c r="H390" s="31"/>
      <c r="I390" s="31">
        <v>1545.36</v>
      </c>
      <c r="J390" s="32" t="str">
        <f t="shared" si="132"/>
        <v/>
      </c>
      <c r="K390" s="31"/>
      <c r="L390" s="31">
        <v>2762.69</v>
      </c>
      <c r="M390" s="32" t="str">
        <f t="shared" si="133"/>
        <v/>
      </c>
      <c r="N390" s="31"/>
      <c r="O390" s="31">
        <v>3663.98</v>
      </c>
      <c r="P390" s="32" t="str">
        <f t="shared" si="134"/>
        <v/>
      </c>
      <c r="Q390" s="31"/>
      <c r="R390" s="31">
        <v>1178.81</v>
      </c>
      <c r="S390" s="32" t="str">
        <f t="shared" si="135"/>
        <v/>
      </c>
      <c r="T390" s="31"/>
      <c r="U390" s="31">
        <v>4512.21</v>
      </c>
      <c r="V390" s="32" t="str">
        <f t="shared" si="136"/>
        <v/>
      </c>
      <c r="W390" s="31"/>
      <c r="X390" s="31">
        <v>49102.75</v>
      </c>
      <c r="Y390" s="32" t="str">
        <f t="shared" si="137"/>
        <v/>
      </c>
      <c r="Z390" s="31" t="str">
        <f t="shared" ref="Z390:Z453" si="139">IF(COUNT(H390,K390,N390,Q390,T390,W390)=0,"",SUM(H390,K390,N390,Q390,T390,W390))</f>
        <v/>
      </c>
      <c r="AA390" s="31">
        <f t="shared" ref="AA390:AA453" si="140">IF(COUNT(I390,L390,O390,R390,U390,X390)=0,"",SUM(I390,L390,O390,R390,U390,X390))</f>
        <v>62765.8</v>
      </c>
      <c r="AB390" s="32" t="str">
        <f t="shared" si="138"/>
        <v/>
      </c>
      <c r="AC390" s="31"/>
      <c r="AD390" s="31"/>
      <c r="AE390" s="32" t="str">
        <f t="shared" ref="AE390:AE453" si="141">IF(AC390="","",IFERROR(AC390/AD390,""))</f>
        <v/>
      </c>
      <c r="AF390" s="32" t="s">
        <v>313</v>
      </c>
      <c r="AG390" s="31"/>
      <c r="AH390" s="31"/>
      <c r="AI390" s="32" t="str">
        <f t="shared" ref="AI390:AI453" si="142">IF(AG390="","",IFERROR(AG390/AH390,""))</f>
        <v/>
      </c>
      <c r="AJ390" s="32" t="s">
        <v>313</v>
      </c>
      <c r="AK390" s="31"/>
      <c r="AL390" s="31"/>
      <c r="AM390" s="32" t="str">
        <f t="shared" ref="AM390:AM453" si="143">IF(AK390="","",IFERROR(AK390/AL390,""))</f>
        <v/>
      </c>
      <c r="AN390" s="32" t="s">
        <v>313</v>
      </c>
      <c r="AO390" s="31"/>
      <c r="AP390" s="31"/>
      <c r="AQ390" s="32" t="str">
        <f t="shared" ref="AQ390:AQ453" si="144">IF(AO390="","",IFERROR(AO390/AP390,""))</f>
        <v/>
      </c>
      <c r="AR390" s="32" t="s">
        <v>313</v>
      </c>
      <c r="AS390" s="31"/>
      <c r="AT390" s="31"/>
      <c r="AU390" s="32" t="str">
        <f t="shared" ref="AU390:AU453" si="145">IF(AS390="","",IFERROR(AS390/AT390,""))</f>
        <v/>
      </c>
      <c r="AV390" s="32" t="s">
        <v>313</v>
      </c>
      <c r="AW390" s="31"/>
      <c r="AX390" s="31"/>
      <c r="AY390" s="32" t="str">
        <f t="shared" ref="AY390:AY453" si="146">IF(AW390="","",IFERROR(AW390/AX390,""))</f>
        <v/>
      </c>
      <c r="AZ390" s="32" t="s">
        <v>313</v>
      </c>
    </row>
    <row r="391" spans="1:52" ht="34" customHeight="1">
      <c r="A391" s="28" t="s">
        <v>328</v>
      </c>
      <c r="B391" s="29" t="s">
        <v>227</v>
      </c>
      <c r="C391" s="29" t="s">
        <v>52</v>
      </c>
      <c r="D391" s="29" t="s">
        <v>65</v>
      </c>
      <c r="E391" s="29" t="s">
        <v>69</v>
      </c>
      <c r="F391" s="29" t="s">
        <v>316</v>
      </c>
      <c r="G391" s="30" t="s">
        <v>312</v>
      </c>
      <c r="H391" s="31"/>
      <c r="I391" s="31">
        <v>1545.36</v>
      </c>
      <c r="J391" s="32" t="str">
        <f t="shared" si="132"/>
        <v/>
      </c>
      <c r="K391" s="31"/>
      <c r="L391" s="31">
        <v>2762.69</v>
      </c>
      <c r="M391" s="32" t="str">
        <f t="shared" si="133"/>
        <v/>
      </c>
      <c r="N391" s="31"/>
      <c r="O391" s="31">
        <v>3663.98</v>
      </c>
      <c r="P391" s="32" t="str">
        <f t="shared" si="134"/>
        <v/>
      </c>
      <c r="Q391" s="31"/>
      <c r="R391" s="31">
        <v>1178.81</v>
      </c>
      <c r="S391" s="32" t="str">
        <f t="shared" si="135"/>
        <v/>
      </c>
      <c r="T391" s="31"/>
      <c r="U391" s="31">
        <v>4512.21</v>
      </c>
      <c r="V391" s="32" t="str">
        <f t="shared" si="136"/>
        <v/>
      </c>
      <c r="W391" s="31"/>
      <c r="X391" s="31">
        <v>49102.75</v>
      </c>
      <c r="Y391" s="32" t="str">
        <f t="shared" si="137"/>
        <v/>
      </c>
      <c r="Z391" s="31" t="str">
        <f t="shared" si="139"/>
        <v/>
      </c>
      <c r="AA391" s="31">
        <f t="shared" si="140"/>
        <v>62765.8</v>
      </c>
      <c r="AB391" s="32" t="str">
        <f t="shared" si="138"/>
        <v/>
      </c>
      <c r="AC391" s="31"/>
      <c r="AD391" s="31"/>
      <c r="AE391" s="32" t="str">
        <f t="shared" si="141"/>
        <v/>
      </c>
      <c r="AF391" s="32" t="s">
        <v>313</v>
      </c>
      <c r="AG391" s="31"/>
      <c r="AH391" s="31"/>
      <c r="AI391" s="32" t="str">
        <f t="shared" si="142"/>
        <v/>
      </c>
      <c r="AJ391" s="32" t="s">
        <v>313</v>
      </c>
      <c r="AK391" s="31"/>
      <c r="AL391" s="31"/>
      <c r="AM391" s="32" t="str">
        <f t="shared" si="143"/>
        <v/>
      </c>
      <c r="AN391" s="32" t="s">
        <v>313</v>
      </c>
      <c r="AO391" s="31"/>
      <c r="AP391" s="31"/>
      <c r="AQ391" s="32" t="str">
        <f t="shared" si="144"/>
        <v/>
      </c>
      <c r="AR391" s="32" t="s">
        <v>313</v>
      </c>
      <c r="AS391" s="31"/>
      <c r="AT391" s="31"/>
      <c r="AU391" s="32" t="str">
        <f t="shared" si="145"/>
        <v/>
      </c>
      <c r="AV391" s="32" t="s">
        <v>313</v>
      </c>
      <c r="AW391" s="31"/>
      <c r="AX391" s="31"/>
      <c r="AY391" s="32" t="str">
        <f t="shared" si="146"/>
        <v/>
      </c>
      <c r="AZ391" s="32" t="s">
        <v>313</v>
      </c>
    </row>
    <row r="392" spans="1:52" ht="68" customHeight="1">
      <c r="A392" s="28" t="s">
        <v>328</v>
      </c>
      <c r="B392" s="29" t="s">
        <v>227</v>
      </c>
      <c r="C392" s="29" t="s">
        <v>52</v>
      </c>
      <c r="D392" s="29" t="s">
        <v>70</v>
      </c>
      <c r="E392" s="29" t="s">
        <v>73</v>
      </c>
      <c r="F392" s="29" t="s">
        <v>317</v>
      </c>
      <c r="G392" s="30" t="s">
        <v>312</v>
      </c>
      <c r="H392" s="31">
        <v>208.72</v>
      </c>
      <c r="I392" s="31">
        <v>1545.36</v>
      </c>
      <c r="J392" s="32">
        <f t="shared" si="132"/>
        <v>0.13506238028679401</v>
      </c>
      <c r="K392" s="31">
        <v>314.97000000000003</v>
      </c>
      <c r="L392" s="31">
        <v>2762.69</v>
      </c>
      <c r="M392" s="32">
        <f t="shared" si="133"/>
        <v>0.11400844828771958</v>
      </c>
      <c r="N392" s="31">
        <v>668.28</v>
      </c>
      <c r="O392" s="31">
        <v>3663.98</v>
      </c>
      <c r="P392" s="32">
        <f t="shared" si="134"/>
        <v>0.18239182528288908</v>
      </c>
      <c r="Q392" s="31">
        <v>181.26</v>
      </c>
      <c r="R392" s="31">
        <v>1178.81</v>
      </c>
      <c r="S392" s="32">
        <f t="shared" si="135"/>
        <v>0.15376523782458582</v>
      </c>
      <c r="T392" s="31">
        <v>281.08999999999997</v>
      </c>
      <c r="U392" s="31">
        <v>4512.21</v>
      </c>
      <c r="V392" s="32">
        <f t="shared" si="136"/>
        <v>6.2295416215114092E-2</v>
      </c>
      <c r="W392" s="31">
        <v>1647.26</v>
      </c>
      <c r="X392" s="31">
        <v>49102.75</v>
      </c>
      <c r="Y392" s="32">
        <f t="shared" si="137"/>
        <v>3.3547204586301171E-2</v>
      </c>
      <c r="Z392" s="31">
        <f t="shared" si="139"/>
        <v>3301.58</v>
      </c>
      <c r="AA392" s="31">
        <f t="shared" si="140"/>
        <v>62765.8</v>
      </c>
      <c r="AB392" s="32">
        <f t="shared" si="138"/>
        <v>5.2601576017512718E-2</v>
      </c>
      <c r="AC392" s="31"/>
      <c r="AD392" s="31"/>
      <c r="AE392" s="32" t="str">
        <f t="shared" si="141"/>
        <v/>
      </c>
      <c r="AF392" s="32" t="s">
        <v>313</v>
      </c>
      <c r="AG392" s="31"/>
      <c r="AH392" s="31"/>
      <c r="AI392" s="32" t="str">
        <f t="shared" si="142"/>
        <v/>
      </c>
      <c r="AJ392" s="32" t="s">
        <v>313</v>
      </c>
      <c r="AK392" s="31"/>
      <c r="AL392" s="31"/>
      <c r="AM392" s="32" t="str">
        <f t="shared" si="143"/>
        <v/>
      </c>
      <c r="AN392" s="32" t="s">
        <v>313</v>
      </c>
      <c r="AO392" s="31"/>
      <c r="AP392" s="31"/>
      <c r="AQ392" s="32" t="str">
        <f t="shared" si="144"/>
        <v/>
      </c>
      <c r="AR392" s="32" t="s">
        <v>313</v>
      </c>
      <c r="AS392" s="31"/>
      <c r="AT392" s="31"/>
      <c r="AU392" s="32" t="str">
        <f t="shared" si="145"/>
        <v/>
      </c>
      <c r="AV392" s="32" t="s">
        <v>313</v>
      </c>
      <c r="AW392" s="31"/>
      <c r="AX392" s="31"/>
      <c r="AY392" s="32" t="str">
        <f t="shared" si="146"/>
        <v/>
      </c>
      <c r="AZ392" s="32" t="s">
        <v>313</v>
      </c>
    </row>
    <row r="393" spans="1:52" ht="34" customHeight="1">
      <c r="A393" s="28" t="s">
        <v>328</v>
      </c>
      <c r="B393" s="29" t="s">
        <v>227</v>
      </c>
      <c r="C393" s="29" t="s">
        <v>52</v>
      </c>
      <c r="D393" s="29" t="s">
        <v>70</v>
      </c>
      <c r="E393" s="29" t="s">
        <v>71</v>
      </c>
      <c r="F393" s="29" t="s">
        <v>316</v>
      </c>
      <c r="G393" s="30" t="s">
        <v>312</v>
      </c>
      <c r="H393" s="31"/>
      <c r="I393" s="31">
        <v>1545.36</v>
      </c>
      <c r="J393" s="32" t="str">
        <f t="shared" si="132"/>
        <v/>
      </c>
      <c r="K393" s="31"/>
      <c r="L393" s="31">
        <v>2762.69</v>
      </c>
      <c r="M393" s="32" t="str">
        <f t="shared" si="133"/>
        <v/>
      </c>
      <c r="N393" s="31"/>
      <c r="O393" s="31">
        <v>3663.98</v>
      </c>
      <c r="P393" s="32" t="str">
        <f t="shared" si="134"/>
        <v/>
      </c>
      <c r="Q393" s="31"/>
      <c r="R393" s="31">
        <v>1178.81</v>
      </c>
      <c r="S393" s="32" t="str">
        <f t="shared" si="135"/>
        <v/>
      </c>
      <c r="T393" s="31"/>
      <c r="U393" s="31">
        <v>4512.21</v>
      </c>
      <c r="V393" s="32" t="str">
        <f t="shared" si="136"/>
        <v/>
      </c>
      <c r="W393" s="31"/>
      <c r="X393" s="31">
        <v>49102.75</v>
      </c>
      <c r="Y393" s="32" t="str">
        <f t="shared" si="137"/>
        <v/>
      </c>
      <c r="Z393" s="31" t="str">
        <f t="shared" si="139"/>
        <v/>
      </c>
      <c r="AA393" s="31">
        <f t="shared" si="140"/>
        <v>62765.8</v>
      </c>
      <c r="AB393" s="32" t="str">
        <f t="shared" si="138"/>
        <v/>
      </c>
      <c r="AC393" s="31"/>
      <c r="AD393" s="31"/>
      <c r="AE393" s="32" t="str">
        <f t="shared" si="141"/>
        <v/>
      </c>
      <c r="AF393" s="32" t="s">
        <v>313</v>
      </c>
      <c r="AG393" s="31"/>
      <c r="AH393" s="31"/>
      <c r="AI393" s="32" t="str">
        <f t="shared" si="142"/>
        <v/>
      </c>
      <c r="AJ393" s="32" t="s">
        <v>313</v>
      </c>
      <c r="AK393" s="31"/>
      <c r="AL393" s="31"/>
      <c r="AM393" s="32" t="str">
        <f t="shared" si="143"/>
        <v/>
      </c>
      <c r="AN393" s="32" t="s">
        <v>313</v>
      </c>
      <c r="AO393" s="31"/>
      <c r="AP393" s="31"/>
      <c r="AQ393" s="32" t="str">
        <f t="shared" si="144"/>
        <v/>
      </c>
      <c r="AR393" s="32" t="s">
        <v>313</v>
      </c>
      <c r="AS393" s="31"/>
      <c r="AT393" s="31"/>
      <c r="AU393" s="32" t="str">
        <f t="shared" si="145"/>
        <v/>
      </c>
      <c r="AV393" s="32" t="s">
        <v>313</v>
      </c>
      <c r="AW393" s="31"/>
      <c r="AX393" s="31"/>
      <c r="AY393" s="32" t="str">
        <f t="shared" si="146"/>
        <v/>
      </c>
      <c r="AZ393" s="32" t="s">
        <v>313</v>
      </c>
    </row>
    <row r="394" spans="1:52" ht="34" customHeight="1">
      <c r="A394" s="28" t="s">
        <v>328</v>
      </c>
      <c r="B394" s="29" t="s">
        <v>227</v>
      </c>
      <c r="C394" s="29" t="s">
        <v>52</v>
      </c>
      <c r="D394" s="29" t="s">
        <v>70</v>
      </c>
      <c r="E394" s="29" t="s">
        <v>72</v>
      </c>
      <c r="F394" s="29" t="s">
        <v>316</v>
      </c>
      <c r="G394" s="30" t="s">
        <v>312</v>
      </c>
      <c r="H394" s="31"/>
      <c r="I394" s="31">
        <v>1545.36</v>
      </c>
      <c r="J394" s="32" t="str">
        <f t="shared" si="132"/>
        <v/>
      </c>
      <c r="K394" s="31"/>
      <c r="L394" s="31">
        <v>2762.69</v>
      </c>
      <c r="M394" s="32" t="str">
        <f t="shared" si="133"/>
        <v/>
      </c>
      <c r="N394" s="31"/>
      <c r="O394" s="31">
        <v>3663.98</v>
      </c>
      <c r="P394" s="32" t="str">
        <f t="shared" si="134"/>
        <v/>
      </c>
      <c r="Q394" s="31"/>
      <c r="R394" s="31">
        <v>1178.81</v>
      </c>
      <c r="S394" s="32" t="str">
        <f t="shared" si="135"/>
        <v/>
      </c>
      <c r="T394" s="31"/>
      <c r="U394" s="31">
        <v>4512.21</v>
      </c>
      <c r="V394" s="32" t="str">
        <f t="shared" si="136"/>
        <v/>
      </c>
      <c r="W394" s="31"/>
      <c r="X394" s="31">
        <v>49102.75</v>
      </c>
      <c r="Y394" s="32" t="str">
        <f t="shared" si="137"/>
        <v/>
      </c>
      <c r="Z394" s="31" t="str">
        <f t="shared" si="139"/>
        <v/>
      </c>
      <c r="AA394" s="31">
        <f t="shared" si="140"/>
        <v>62765.8</v>
      </c>
      <c r="AB394" s="32" t="str">
        <f t="shared" si="138"/>
        <v/>
      </c>
      <c r="AC394" s="31"/>
      <c r="AD394" s="31"/>
      <c r="AE394" s="32" t="str">
        <f t="shared" si="141"/>
        <v/>
      </c>
      <c r="AF394" s="32" t="s">
        <v>313</v>
      </c>
      <c r="AG394" s="31"/>
      <c r="AH394" s="31"/>
      <c r="AI394" s="32" t="str">
        <f t="shared" si="142"/>
        <v/>
      </c>
      <c r="AJ394" s="32" t="s">
        <v>313</v>
      </c>
      <c r="AK394" s="31"/>
      <c r="AL394" s="31"/>
      <c r="AM394" s="32" t="str">
        <f t="shared" si="143"/>
        <v/>
      </c>
      <c r="AN394" s="32" t="s">
        <v>313</v>
      </c>
      <c r="AO394" s="31"/>
      <c r="AP394" s="31"/>
      <c r="AQ394" s="32" t="str">
        <f t="shared" si="144"/>
        <v/>
      </c>
      <c r="AR394" s="32" t="s">
        <v>313</v>
      </c>
      <c r="AS394" s="31"/>
      <c r="AT394" s="31"/>
      <c r="AU394" s="32" t="str">
        <f t="shared" si="145"/>
        <v/>
      </c>
      <c r="AV394" s="32" t="s">
        <v>313</v>
      </c>
      <c r="AW394" s="31"/>
      <c r="AX394" s="31"/>
      <c r="AY394" s="32" t="str">
        <f t="shared" si="146"/>
        <v/>
      </c>
      <c r="AZ394" s="32" t="s">
        <v>313</v>
      </c>
    </row>
    <row r="395" spans="1:52" ht="34" customHeight="1">
      <c r="A395" s="28" t="s">
        <v>328</v>
      </c>
      <c r="B395" s="29" t="s">
        <v>227</v>
      </c>
      <c r="C395" s="29" t="s">
        <v>52</v>
      </c>
      <c r="D395" s="29" t="s">
        <v>74</v>
      </c>
      <c r="E395" s="29" t="s">
        <v>75</v>
      </c>
      <c r="F395" s="29" t="s">
        <v>139</v>
      </c>
      <c r="G395" s="30" t="s">
        <v>312</v>
      </c>
      <c r="H395" s="31">
        <v>108.9</v>
      </c>
      <c r="I395" s="31">
        <v>1545.36</v>
      </c>
      <c r="J395" s="32">
        <f t="shared" si="132"/>
        <v>7.046901692809443E-2</v>
      </c>
      <c r="K395" s="31">
        <v>186.7</v>
      </c>
      <c r="L395" s="31">
        <v>2762.69</v>
      </c>
      <c r="M395" s="32">
        <f t="shared" si="133"/>
        <v>6.7579062435524792E-2</v>
      </c>
      <c r="N395" s="31">
        <v>353.2</v>
      </c>
      <c r="O395" s="31">
        <v>3663.98</v>
      </c>
      <c r="P395" s="32">
        <f t="shared" si="134"/>
        <v>9.6397906102107536E-2</v>
      </c>
      <c r="Q395" s="31">
        <v>66.8</v>
      </c>
      <c r="R395" s="31">
        <v>1178.81</v>
      </c>
      <c r="S395" s="32">
        <f t="shared" si="135"/>
        <v>5.6667317040065827E-2</v>
      </c>
      <c r="T395" s="31">
        <v>203.9</v>
      </c>
      <c r="U395" s="31">
        <v>4512.21</v>
      </c>
      <c r="V395" s="32">
        <f t="shared" si="136"/>
        <v>4.5188499648730888E-2</v>
      </c>
      <c r="W395" s="31">
        <v>2335.6999999999998</v>
      </c>
      <c r="X395" s="31">
        <v>49102.75</v>
      </c>
      <c r="Y395" s="32">
        <f t="shared" si="137"/>
        <v>4.7567600592634832E-2</v>
      </c>
      <c r="Z395" s="31">
        <f t="shared" si="139"/>
        <v>3255.2</v>
      </c>
      <c r="AA395" s="31">
        <f t="shared" si="140"/>
        <v>62765.8</v>
      </c>
      <c r="AB395" s="32">
        <f t="shared" si="138"/>
        <v>5.1862638570686577E-2</v>
      </c>
      <c r="AC395" s="31"/>
      <c r="AD395" s="31"/>
      <c r="AE395" s="32" t="str">
        <f t="shared" si="141"/>
        <v/>
      </c>
      <c r="AF395" s="32" t="s">
        <v>313</v>
      </c>
      <c r="AG395" s="31"/>
      <c r="AH395" s="31"/>
      <c r="AI395" s="32" t="str">
        <f t="shared" si="142"/>
        <v/>
      </c>
      <c r="AJ395" s="32" t="s">
        <v>313</v>
      </c>
      <c r="AK395" s="31"/>
      <c r="AL395" s="31"/>
      <c r="AM395" s="32" t="str">
        <f t="shared" si="143"/>
        <v/>
      </c>
      <c r="AN395" s="32" t="s">
        <v>313</v>
      </c>
      <c r="AO395" s="31"/>
      <c r="AP395" s="31"/>
      <c r="AQ395" s="32" t="str">
        <f t="shared" si="144"/>
        <v/>
      </c>
      <c r="AR395" s="32" t="s">
        <v>313</v>
      </c>
      <c r="AS395" s="31"/>
      <c r="AT395" s="31"/>
      <c r="AU395" s="32" t="str">
        <f t="shared" si="145"/>
        <v/>
      </c>
      <c r="AV395" s="32" t="s">
        <v>313</v>
      </c>
      <c r="AW395" s="31"/>
      <c r="AX395" s="31"/>
      <c r="AY395" s="32" t="str">
        <f t="shared" si="146"/>
        <v/>
      </c>
      <c r="AZ395" s="32" t="s">
        <v>313</v>
      </c>
    </row>
    <row r="396" spans="1:52" ht="34" customHeight="1">
      <c r="A396" s="28" t="s">
        <v>328</v>
      </c>
      <c r="B396" s="29" t="s">
        <v>227</v>
      </c>
      <c r="C396" s="29" t="s">
        <v>52</v>
      </c>
      <c r="D396" s="29" t="s">
        <v>74</v>
      </c>
      <c r="E396" s="29" t="s">
        <v>76</v>
      </c>
      <c r="F396" s="29" t="s">
        <v>141</v>
      </c>
      <c r="G396" s="30" t="s">
        <v>312</v>
      </c>
      <c r="H396" s="31">
        <v>60.311340000000001</v>
      </c>
      <c r="I396" s="31">
        <v>1545.36</v>
      </c>
      <c r="J396" s="32">
        <f t="shared" si="132"/>
        <v>3.9027372262773724E-2</v>
      </c>
      <c r="K396" s="31">
        <v>72.105967782532105</v>
      </c>
      <c r="L396" s="31">
        <v>2762.69</v>
      </c>
      <c r="M396" s="32">
        <f t="shared" si="133"/>
        <v>2.6099912687464789E-2</v>
      </c>
      <c r="N396" s="31">
        <v>130.76</v>
      </c>
      <c r="O396" s="31">
        <v>3663.98</v>
      </c>
      <c r="P396" s="32">
        <f t="shared" si="134"/>
        <v>3.5687967729081491E-2</v>
      </c>
      <c r="Q396" s="31">
        <v>36.299999999999997</v>
      </c>
      <c r="R396" s="31">
        <v>1178.81</v>
      </c>
      <c r="S396" s="32">
        <f t="shared" si="135"/>
        <v>3.0793766595125591E-2</v>
      </c>
      <c r="T396" s="31">
        <v>73.53</v>
      </c>
      <c r="U396" s="31">
        <v>4512.21</v>
      </c>
      <c r="V396" s="32">
        <f t="shared" si="136"/>
        <v>1.6295784105792948E-2</v>
      </c>
      <c r="W396" s="31">
        <v>760.95</v>
      </c>
      <c r="X396" s="31">
        <v>49102.75</v>
      </c>
      <c r="Y396" s="32">
        <f t="shared" si="137"/>
        <v>1.5497095376531865E-2</v>
      </c>
      <c r="Z396" s="31">
        <f t="shared" si="139"/>
        <v>1133.9573077825321</v>
      </c>
      <c r="AA396" s="31">
        <f t="shared" si="140"/>
        <v>62765.8</v>
      </c>
      <c r="AB396" s="32">
        <f t="shared" si="138"/>
        <v>1.8066483782291184E-2</v>
      </c>
      <c r="AC396" s="31"/>
      <c r="AD396" s="31"/>
      <c r="AE396" s="32" t="str">
        <f t="shared" si="141"/>
        <v/>
      </c>
      <c r="AF396" s="32" t="s">
        <v>313</v>
      </c>
      <c r="AG396" s="31"/>
      <c r="AH396" s="31"/>
      <c r="AI396" s="32" t="str">
        <f t="shared" si="142"/>
        <v/>
      </c>
      <c r="AJ396" s="32" t="s">
        <v>313</v>
      </c>
      <c r="AK396" s="31"/>
      <c r="AL396" s="31"/>
      <c r="AM396" s="32" t="str">
        <f t="shared" si="143"/>
        <v/>
      </c>
      <c r="AN396" s="32" t="s">
        <v>313</v>
      </c>
      <c r="AO396" s="31"/>
      <c r="AP396" s="31"/>
      <c r="AQ396" s="32" t="str">
        <f t="shared" si="144"/>
        <v/>
      </c>
      <c r="AR396" s="32" t="s">
        <v>313</v>
      </c>
      <c r="AS396" s="31"/>
      <c r="AT396" s="31"/>
      <c r="AU396" s="32" t="str">
        <f t="shared" si="145"/>
        <v/>
      </c>
      <c r="AV396" s="32" t="s">
        <v>313</v>
      </c>
      <c r="AW396" s="31"/>
      <c r="AX396" s="31"/>
      <c r="AY396" s="32" t="str">
        <f t="shared" si="146"/>
        <v/>
      </c>
      <c r="AZ396" s="32" t="s">
        <v>313</v>
      </c>
    </row>
    <row r="397" spans="1:52" ht="34" customHeight="1">
      <c r="A397" s="28" t="s">
        <v>328</v>
      </c>
      <c r="B397" s="29" t="s">
        <v>227</v>
      </c>
      <c r="C397" s="29" t="s">
        <v>52</v>
      </c>
      <c r="D397" s="29" t="s">
        <v>74</v>
      </c>
      <c r="E397" s="29" t="s">
        <v>77</v>
      </c>
      <c r="F397" s="29" t="s">
        <v>316</v>
      </c>
      <c r="G397" s="30" t="s">
        <v>312</v>
      </c>
      <c r="H397" s="31"/>
      <c r="I397" s="31">
        <v>1545.36</v>
      </c>
      <c r="J397" s="32" t="str">
        <f t="shared" si="132"/>
        <v/>
      </c>
      <c r="K397" s="31"/>
      <c r="L397" s="31">
        <v>2762.69</v>
      </c>
      <c r="M397" s="32" t="str">
        <f t="shared" si="133"/>
        <v/>
      </c>
      <c r="N397" s="31"/>
      <c r="O397" s="31">
        <v>3663.98</v>
      </c>
      <c r="P397" s="32" t="str">
        <f t="shared" si="134"/>
        <v/>
      </c>
      <c r="Q397" s="31"/>
      <c r="R397" s="31">
        <v>1178.81</v>
      </c>
      <c r="S397" s="32" t="str">
        <f t="shared" si="135"/>
        <v/>
      </c>
      <c r="T397" s="31"/>
      <c r="U397" s="31">
        <v>4512.21</v>
      </c>
      <c r="V397" s="32" t="str">
        <f t="shared" si="136"/>
        <v/>
      </c>
      <c r="W397" s="31"/>
      <c r="X397" s="31">
        <v>49102.75</v>
      </c>
      <c r="Y397" s="32" t="str">
        <f t="shared" si="137"/>
        <v/>
      </c>
      <c r="Z397" s="31" t="str">
        <f t="shared" si="139"/>
        <v/>
      </c>
      <c r="AA397" s="31">
        <f t="shared" si="140"/>
        <v>62765.8</v>
      </c>
      <c r="AB397" s="32" t="str">
        <f t="shared" si="138"/>
        <v/>
      </c>
      <c r="AC397" s="31"/>
      <c r="AD397" s="31"/>
      <c r="AE397" s="32" t="str">
        <f t="shared" si="141"/>
        <v/>
      </c>
      <c r="AF397" s="32" t="s">
        <v>313</v>
      </c>
      <c r="AG397" s="31"/>
      <c r="AH397" s="31"/>
      <c r="AI397" s="32" t="str">
        <f t="shared" si="142"/>
        <v/>
      </c>
      <c r="AJ397" s="32" t="s">
        <v>313</v>
      </c>
      <c r="AK397" s="31"/>
      <c r="AL397" s="31"/>
      <c r="AM397" s="32" t="str">
        <f t="shared" si="143"/>
        <v/>
      </c>
      <c r="AN397" s="32" t="s">
        <v>313</v>
      </c>
      <c r="AO397" s="31"/>
      <c r="AP397" s="31"/>
      <c r="AQ397" s="32" t="str">
        <f t="shared" si="144"/>
        <v/>
      </c>
      <c r="AR397" s="32" t="s">
        <v>313</v>
      </c>
      <c r="AS397" s="31"/>
      <c r="AT397" s="31"/>
      <c r="AU397" s="32" t="str">
        <f t="shared" si="145"/>
        <v/>
      </c>
      <c r="AV397" s="32" t="s">
        <v>313</v>
      </c>
      <c r="AW397" s="31"/>
      <c r="AX397" s="31"/>
      <c r="AY397" s="32" t="str">
        <f t="shared" si="146"/>
        <v/>
      </c>
      <c r="AZ397" s="32" t="s">
        <v>313</v>
      </c>
    </row>
    <row r="398" spans="1:52" ht="34" customHeight="1">
      <c r="A398" s="28" t="s">
        <v>328</v>
      </c>
      <c r="B398" s="29" t="s">
        <v>227</v>
      </c>
      <c r="C398" s="29" t="s">
        <v>52</v>
      </c>
      <c r="D398" s="29" t="s">
        <v>74</v>
      </c>
      <c r="E398" s="29" t="s">
        <v>78</v>
      </c>
      <c r="F398" s="29" t="s">
        <v>144</v>
      </c>
      <c r="G398" s="30" t="s">
        <v>312</v>
      </c>
      <c r="H398" s="31">
        <v>75.898005441169403</v>
      </c>
      <c r="I398" s="31">
        <v>1545.36</v>
      </c>
      <c r="J398" s="32">
        <f t="shared" si="132"/>
        <v>4.9113478698277042E-2</v>
      </c>
      <c r="K398" s="31">
        <v>179.06999983444501</v>
      </c>
      <c r="L398" s="31">
        <v>2762.69</v>
      </c>
      <c r="M398" s="32">
        <f t="shared" si="133"/>
        <v>6.4817261377297125E-2</v>
      </c>
      <c r="N398" s="31">
        <v>54.165194309370897</v>
      </c>
      <c r="O398" s="31">
        <v>3663.98</v>
      </c>
      <c r="P398" s="32">
        <f t="shared" si="134"/>
        <v>1.4783157743593277E-2</v>
      </c>
      <c r="Q398" s="31">
        <v>20.895116101178498</v>
      </c>
      <c r="R398" s="31">
        <v>1178.81</v>
      </c>
      <c r="S398" s="32">
        <f t="shared" si="135"/>
        <v>1.7725601327761471E-2</v>
      </c>
      <c r="T398" s="31">
        <v>36.947041923885799</v>
      </c>
      <c r="U398" s="31">
        <v>4512.21</v>
      </c>
      <c r="V398" s="32">
        <f t="shared" si="136"/>
        <v>8.188236346244035E-3</v>
      </c>
      <c r="W398" s="31">
        <v>744.79800838077199</v>
      </c>
      <c r="X398" s="31">
        <v>49102.75</v>
      </c>
      <c r="Y398" s="32">
        <f t="shared" si="137"/>
        <v>1.5168152667228861E-2</v>
      </c>
      <c r="Z398" s="31">
        <f t="shared" si="139"/>
        <v>1111.7733659908217</v>
      </c>
      <c r="AA398" s="31">
        <f t="shared" si="140"/>
        <v>62765.8</v>
      </c>
      <c r="AB398" s="32">
        <f t="shared" si="138"/>
        <v>1.7713043823082343E-2</v>
      </c>
      <c r="AC398" s="31"/>
      <c r="AD398" s="31"/>
      <c r="AE398" s="32" t="str">
        <f t="shared" si="141"/>
        <v/>
      </c>
      <c r="AF398" s="32" t="s">
        <v>313</v>
      </c>
      <c r="AG398" s="31"/>
      <c r="AH398" s="31"/>
      <c r="AI398" s="32" t="str">
        <f t="shared" si="142"/>
        <v/>
      </c>
      <c r="AJ398" s="32" t="s">
        <v>313</v>
      </c>
      <c r="AK398" s="31"/>
      <c r="AL398" s="31"/>
      <c r="AM398" s="32" t="str">
        <f t="shared" si="143"/>
        <v/>
      </c>
      <c r="AN398" s="32" t="s">
        <v>313</v>
      </c>
      <c r="AO398" s="31"/>
      <c r="AP398" s="31"/>
      <c r="AQ398" s="32" t="str">
        <f t="shared" si="144"/>
        <v/>
      </c>
      <c r="AR398" s="32" t="s">
        <v>313</v>
      </c>
      <c r="AS398" s="31"/>
      <c r="AT398" s="31"/>
      <c r="AU398" s="32" t="str">
        <f t="shared" si="145"/>
        <v/>
      </c>
      <c r="AV398" s="32" t="s">
        <v>313</v>
      </c>
      <c r="AW398" s="31"/>
      <c r="AX398" s="31"/>
      <c r="AY398" s="32" t="str">
        <f t="shared" si="146"/>
        <v/>
      </c>
      <c r="AZ398" s="32" t="s">
        <v>313</v>
      </c>
    </row>
    <row r="399" spans="1:52" ht="34" customHeight="1">
      <c r="A399" s="28" t="s">
        <v>328</v>
      </c>
      <c r="B399" s="29" t="s">
        <v>227</v>
      </c>
      <c r="C399" s="29" t="s">
        <v>52</v>
      </c>
      <c r="D399" s="29" t="s">
        <v>79</v>
      </c>
      <c r="E399" s="29" t="s">
        <v>80</v>
      </c>
      <c r="F399" s="29" t="s">
        <v>318</v>
      </c>
      <c r="G399" s="30" t="s">
        <v>312</v>
      </c>
      <c r="H399" s="31">
        <v>0</v>
      </c>
      <c r="I399" s="31">
        <v>1545.36</v>
      </c>
      <c r="J399" s="32">
        <f t="shared" si="132"/>
        <v>0</v>
      </c>
      <c r="K399" s="31">
        <v>0</v>
      </c>
      <c r="L399" s="31">
        <v>2762.69</v>
      </c>
      <c r="M399" s="32">
        <f t="shared" si="133"/>
        <v>0</v>
      </c>
      <c r="N399" s="31">
        <v>339.02519006050699</v>
      </c>
      <c r="O399" s="31">
        <v>3663.98</v>
      </c>
      <c r="P399" s="32">
        <f t="shared" si="134"/>
        <v>9.2529214149778924E-2</v>
      </c>
      <c r="Q399" s="31">
        <v>127.764300027139</v>
      </c>
      <c r="R399" s="31">
        <v>1178.81</v>
      </c>
      <c r="S399" s="32">
        <f t="shared" si="135"/>
        <v>0.10838413317425116</v>
      </c>
      <c r="T399" s="31">
        <v>580.50712009877498</v>
      </c>
      <c r="U399" s="31">
        <v>4512.21</v>
      </c>
      <c r="V399" s="32">
        <f t="shared" si="136"/>
        <v>0.12865250511363058</v>
      </c>
      <c r="W399" s="31">
        <v>6221.1159686296296</v>
      </c>
      <c r="X399" s="31">
        <v>49102.75</v>
      </c>
      <c r="Y399" s="32">
        <f t="shared" si="137"/>
        <v>0.12669587688326275</v>
      </c>
      <c r="Z399" s="31">
        <f t="shared" si="139"/>
        <v>7268.4125788160509</v>
      </c>
      <c r="AA399" s="31">
        <f t="shared" si="140"/>
        <v>62765.8</v>
      </c>
      <c r="AB399" s="32">
        <f t="shared" si="138"/>
        <v>0.1158021180135687</v>
      </c>
      <c r="AC399" s="31"/>
      <c r="AD399" s="31"/>
      <c r="AE399" s="32" t="str">
        <f t="shared" si="141"/>
        <v/>
      </c>
      <c r="AF399" s="32" t="s">
        <v>313</v>
      </c>
      <c r="AG399" s="31"/>
      <c r="AH399" s="31"/>
      <c r="AI399" s="32" t="str">
        <f t="shared" si="142"/>
        <v/>
      </c>
      <c r="AJ399" s="32" t="s">
        <v>313</v>
      </c>
      <c r="AK399" s="31"/>
      <c r="AL399" s="31"/>
      <c r="AM399" s="32" t="str">
        <f t="shared" si="143"/>
        <v/>
      </c>
      <c r="AN399" s="32" t="s">
        <v>313</v>
      </c>
      <c r="AO399" s="31"/>
      <c r="AP399" s="31"/>
      <c r="AQ399" s="32" t="str">
        <f t="shared" si="144"/>
        <v/>
      </c>
      <c r="AR399" s="32" t="s">
        <v>313</v>
      </c>
      <c r="AS399" s="31"/>
      <c r="AT399" s="31"/>
      <c r="AU399" s="32" t="str">
        <f t="shared" si="145"/>
        <v/>
      </c>
      <c r="AV399" s="32" t="s">
        <v>313</v>
      </c>
      <c r="AW399" s="31"/>
      <c r="AX399" s="31"/>
      <c r="AY399" s="32" t="str">
        <f t="shared" si="146"/>
        <v/>
      </c>
      <c r="AZ399" s="32" t="s">
        <v>313</v>
      </c>
    </row>
    <row r="400" spans="1:52" ht="34" customHeight="1">
      <c r="A400" s="28" t="s">
        <v>328</v>
      </c>
      <c r="B400" s="29" t="s">
        <v>227</v>
      </c>
      <c r="C400" s="29" t="s">
        <v>52</v>
      </c>
      <c r="D400" s="29" t="s">
        <v>79</v>
      </c>
      <c r="E400" s="29" t="s">
        <v>81</v>
      </c>
      <c r="F400" s="29" t="s">
        <v>316</v>
      </c>
      <c r="G400" s="30" t="s">
        <v>312</v>
      </c>
      <c r="H400" s="31"/>
      <c r="I400" s="31">
        <v>1545.36</v>
      </c>
      <c r="J400" s="32" t="str">
        <f t="shared" si="132"/>
        <v/>
      </c>
      <c r="K400" s="31"/>
      <c r="L400" s="31">
        <v>2762.69</v>
      </c>
      <c r="M400" s="32" t="str">
        <f t="shared" si="133"/>
        <v/>
      </c>
      <c r="N400" s="31"/>
      <c r="O400" s="31">
        <v>3663.98</v>
      </c>
      <c r="P400" s="32" t="str">
        <f t="shared" si="134"/>
        <v/>
      </c>
      <c r="Q400" s="31"/>
      <c r="R400" s="31">
        <v>1178.81</v>
      </c>
      <c r="S400" s="32" t="str">
        <f t="shared" si="135"/>
        <v/>
      </c>
      <c r="T400" s="31"/>
      <c r="U400" s="31">
        <v>4512.21</v>
      </c>
      <c r="V400" s="32" t="str">
        <f t="shared" si="136"/>
        <v/>
      </c>
      <c r="W400" s="31"/>
      <c r="X400" s="31">
        <v>49102.75</v>
      </c>
      <c r="Y400" s="32" t="str">
        <f t="shared" si="137"/>
        <v/>
      </c>
      <c r="Z400" s="31" t="str">
        <f t="shared" si="139"/>
        <v/>
      </c>
      <c r="AA400" s="31">
        <f t="shared" si="140"/>
        <v>62765.8</v>
      </c>
      <c r="AB400" s="32" t="str">
        <f t="shared" si="138"/>
        <v/>
      </c>
      <c r="AC400" s="31"/>
      <c r="AD400" s="31"/>
      <c r="AE400" s="32" t="str">
        <f t="shared" si="141"/>
        <v/>
      </c>
      <c r="AF400" s="32" t="s">
        <v>313</v>
      </c>
      <c r="AG400" s="31"/>
      <c r="AH400" s="31"/>
      <c r="AI400" s="32" t="str">
        <f t="shared" si="142"/>
        <v/>
      </c>
      <c r="AJ400" s="32" t="s">
        <v>313</v>
      </c>
      <c r="AK400" s="31"/>
      <c r="AL400" s="31"/>
      <c r="AM400" s="32" t="str">
        <f t="shared" si="143"/>
        <v/>
      </c>
      <c r="AN400" s="32" t="s">
        <v>313</v>
      </c>
      <c r="AO400" s="31"/>
      <c r="AP400" s="31"/>
      <c r="AQ400" s="32" t="str">
        <f t="shared" si="144"/>
        <v/>
      </c>
      <c r="AR400" s="32" t="s">
        <v>313</v>
      </c>
      <c r="AS400" s="31"/>
      <c r="AT400" s="31"/>
      <c r="AU400" s="32" t="str">
        <f t="shared" si="145"/>
        <v/>
      </c>
      <c r="AV400" s="32" t="s">
        <v>313</v>
      </c>
      <c r="AW400" s="31"/>
      <c r="AX400" s="31"/>
      <c r="AY400" s="32" t="str">
        <f t="shared" si="146"/>
        <v/>
      </c>
      <c r="AZ400" s="32" t="s">
        <v>313</v>
      </c>
    </row>
    <row r="401" spans="1:52" ht="34" customHeight="1">
      <c r="A401" s="28" t="s">
        <v>328</v>
      </c>
      <c r="B401" s="29" t="s">
        <v>227</v>
      </c>
      <c r="C401" s="29" t="s">
        <v>52</v>
      </c>
      <c r="D401" s="29" t="s">
        <v>79</v>
      </c>
      <c r="E401" s="29" t="s">
        <v>82</v>
      </c>
      <c r="F401" s="29" t="s">
        <v>316</v>
      </c>
      <c r="G401" s="30" t="s">
        <v>312</v>
      </c>
      <c r="H401" s="31"/>
      <c r="I401" s="31">
        <v>1545.36</v>
      </c>
      <c r="J401" s="32" t="str">
        <f t="shared" si="132"/>
        <v/>
      </c>
      <c r="K401" s="31"/>
      <c r="L401" s="31">
        <v>2762.69</v>
      </c>
      <c r="M401" s="32" t="str">
        <f t="shared" si="133"/>
        <v/>
      </c>
      <c r="N401" s="31"/>
      <c r="O401" s="31">
        <v>3663.98</v>
      </c>
      <c r="P401" s="32" t="str">
        <f t="shared" si="134"/>
        <v/>
      </c>
      <c r="Q401" s="31"/>
      <c r="R401" s="31">
        <v>1178.81</v>
      </c>
      <c r="S401" s="32" t="str">
        <f t="shared" si="135"/>
        <v/>
      </c>
      <c r="T401" s="31"/>
      <c r="U401" s="31">
        <v>4512.21</v>
      </c>
      <c r="V401" s="32" t="str">
        <f t="shared" si="136"/>
        <v/>
      </c>
      <c r="W401" s="31"/>
      <c r="X401" s="31">
        <v>49102.75</v>
      </c>
      <c r="Y401" s="32" t="str">
        <f t="shared" si="137"/>
        <v/>
      </c>
      <c r="Z401" s="31" t="str">
        <f t="shared" si="139"/>
        <v/>
      </c>
      <c r="AA401" s="31">
        <f t="shared" si="140"/>
        <v>62765.8</v>
      </c>
      <c r="AB401" s="32" t="str">
        <f t="shared" si="138"/>
        <v/>
      </c>
      <c r="AC401" s="31"/>
      <c r="AD401" s="31"/>
      <c r="AE401" s="32" t="str">
        <f t="shared" si="141"/>
        <v/>
      </c>
      <c r="AF401" s="32" t="s">
        <v>313</v>
      </c>
      <c r="AG401" s="31"/>
      <c r="AH401" s="31"/>
      <c r="AI401" s="32" t="str">
        <f t="shared" si="142"/>
        <v/>
      </c>
      <c r="AJ401" s="32" t="s">
        <v>313</v>
      </c>
      <c r="AK401" s="31"/>
      <c r="AL401" s="31"/>
      <c r="AM401" s="32" t="str">
        <f t="shared" si="143"/>
        <v/>
      </c>
      <c r="AN401" s="32" t="s">
        <v>313</v>
      </c>
      <c r="AO401" s="31"/>
      <c r="AP401" s="31"/>
      <c r="AQ401" s="32" t="str">
        <f t="shared" si="144"/>
        <v/>
      </c>
      <c r="AR401" s="32" t="s">
        <v>313</v>
      </c>
      <c r="AS401" s="31"/>
      <c r="AT401" s="31"/>
      <c r="AU401" s="32" t="str">
        <f t="shared" si="145"/>
        <v/>
      </c>
      <c r="AV401" s="32" t="s">
        <v>313</v>
      </c>
      <c r="AW401" s="31"/>
      <c r="AX401" s="31"/>
      <c r="AY401" s="32" t="str">
        <f t="shared" si="146"/>
        <v/>
      </c>
      <c r="AZ401" s="32" t="s">
        <v>313</v>
      </c>
    </row>
    <row r="402" spans="1:52" ht="34" customHeight="1">
      <c r="A402" s="28" t="s">
        <v>328</v>
      </c>
      <c r="B402" s="29" t="s">
        <v>227</v>
      </c>
      <c r="C402" s="29" t="s">
        <v>85</v>
      </c>
      <c r="D402" s="29" t="s">
        <v>79</v>
      </c>
      <c r="E402" s="29" t="s">
        <v>80</v>
      </c>
      <c r="F402" s="29" t="s">
        <v>316</v>
      </c>
      <c r="G402" s="30" t="s">
        <v>312</v>
      </c>
      <c r="H402" s="31"/>
      <c r="I402" s="31">
        <v>1545.36</v>
      </c>
      <c r="J402" s="32" t="str">
        <f t="shared" si="132"/>
        <v/>
      </c>
      <c r="K402" s="31"/>
      <c r="L402" s="31">
        <v>2762.69</v>
      </c>
      <c r="M402" s="32" t="str">
        <f t="shared" si="133"/>
        <v/>
      </c>
      <c r="N402" s="31"/>
      <c r="O402" s="31">
        <v>3663.98</v>
      </c>
      <c r="P402" s="32" t="str">
        <f t="shared" si="134"/>
        <v/>
      </c>
      <c r="Q402" s="31"/>
      <c r="R402" s="31">
        <v>1178.81</v>
      </c>
      <c r="S402" s="32" t="str">
        <f t="shared" si="135"/>
        <v/>
      </c>
      <c r="T402" s="31"/>
      <c r="U402" s="31">
        <v>4512.21</v>
      </c>
      <c r="V402" s="32" t="str">
        <f t="shared" si="136"/>
        <v/>
      </c>
      <c r="W402" s="31"/>
      <c r="X402" s="31">
        <v>49102.75</v>
      </c>
      <c r="Y402" s="32" t="str">
        <f t="shared" si="137"/>
        <v/>
      </c>
      <c r="Z402" s="31" t="str">
        <f t="shared" si="139"/>
        <v/>
      </c>
      <c r="AA402" s="31">
        <f t="shared" si="140"/>
        <v>62765.8</v>
      </c>
      <c r="AB402" s="32" t="str">
        <f t="shared" si="138"/>
        <v/>
      </c>
      <c r="AC402" s="31"/>
      <c r="AD402" s="31"/>
      <c r="AE402" s="32" t="str">
        <f t="shared" si="141"/>
        <v/>
      </c>
      <c r="AF402" s="32" t="s">
        <v>313</v>
      </c>
      <c r="AG402" s="31"/>
      <c r="AH402" s="31"/>
      <c r="AI402" s="32" t="str">
        <f t="shared" si="142"/>
        <v/>
      </c>
      <c r="AJ402" s="32" t="s">
        <v>313</v>
      </c>
      <c r="AK402" s="31"/>
      <c r="AL402" s="31"/>
      <c r="AM402" s="32" t="str">
        <f t="shared" si="143"/>
        <v/>
      </c>
      <c r="AN402" s="32" t="s">
        <v>313</v>
      </c>
      <c r="AO402" s="31"/>
      <c r="AP402" s="31"/>
      <c r="AQ402" s="32" t="str">
        <f t="shared" si="144"/>
        <v/>
      </c>
      <c r="AR402" s="32" t="s">
        <v>313</v>
      </c>
      <c r="AS402" s="31"/>
      <c r="AT402" s="31"/>
      <c r="AU402" s="32" t="str">
        <f t="shared" si="145"/>
        <v/>
      </c>
      <c r="AV402" s="32" t="s">
        <v>313</v>
      </c>
      <c r="AW402" s="31"/>
      <c r="AX402" s="31"/>
      <c r="AY402" s="32" t="str">
        <f t="shared" si="146"/>
        <v/>
      </c>
      <c r="AZ402" s="32" t="s">
        <v>313</v>
      </c>
    </row>
    <row r="403" spans="1:52" ht="34" customHeight="1">
      <c r="A403" s="28" t="s">
        <v>328</v>
      </c>
      <c r="B403" s="29" t="s">
        <v>227</v>
      </c>
      <c r="C403" s="29" t="s">
        <v>85</v>
      </c>
      <c r="D403" s="29" t="s">
        <v>79</v>
      </c>
      <c r="E403" s="29" t="s">
        <v>81</v>
      </c>
      <c r="F403" s="29" t="s">
        <v>316</v>
      </c>
      <c r="G403" s="30" t="s">
        <v>312</v>
      </c>
      <c r="H403" s="31"/>
      <c r="I403" s="31">
        <v>1545.36</v>
      </c>
      <c r="J403" s="32" t="str">
        <f t="shared" si="132"/>
        <v/>
      </c>
      <c r="K403" s="31"/>
      <c r="L403" s="31">
        <v>2762.69</v>
      </c>
      <c r="M403" s="32" t="str">
        <f t="shared" si="133"/>
        <v/>
      </c>
      <c r="N403" s="31"/>
      <c r="O403" s="31">
        <v>3663.98</v>
      </c>
      <c r="P403" s="32" t="str">
        <f t="shared" si="134"/>
        <v/>
      </c>
      <c r="Q403" s="31"/>
      <c r="R403" s="31">
        <v>1178.81</v>
      </c>
      <c r="S403" s="32" t="str">
        <f t="shared" si="135"/>
        <v/>
      </c>
      <c r="T403" s="31"/>
      <c r="U403" s="31">
        <v>4512.21</v>
      </c>
      <c r="V403" s="32" t="str">
        <f t="shared" si="136"/>
        <v/>
      </c>
      <c r="W403" s="31"/>
      <c r="X403" s="31">
        <v>49102.75</v>
      </c>
      <c r="Y403" s="32" t="str">
        <f t="shared" si="137"/>
        <v/>
      </c>
      <c r="Z403" s="31" t="str">
        <f t="shared" si="139"/>
        <v/>
      </c>
      <c r="AA403" s="31">
        <f t="shared" si="140"/>
        <v>62765.8</v>
      </c>
      <c r="AB403" s="32" t="str">
        <f t="shared" si="138"/>
        <v/>
      </c>
      <c r="AC403" s="31"/>
      <c r="AD403" s="31"/>
      <c r="AE403" s="32" t="str">
        <f t="shared" si="141"/>
        <v/>
      </c>
      <c r="AF403" s="32" t="s">
        <v>313</v>
      </c>
      <c r="AG403" s="31"/>
      <c r="AH403" s="31"/>
      <c r="AI403" s="32" t="str">
        <f t="shared" si="142"/>
        <v/>
      </c>
      <c r="AJ403" s="32" t="s">
        <v>313</v>
      </c>
      <c r="AK403" s="31"/>
      <c r="AL403" s="31"/>
      <c r="AM403" s="32" t="str">
        <f t="shared" si="143"/>
        <v/>
      </c>
      <c r="AN403" s="32" t="s">
        <v>313</v>
      </c>
      <c r="AO403" s="31"/>
      <c r="AP403" s="31"/>
      <c r="AQ403" s="32" t="str">
        <f t="shared" si="144"/>
        <v/>
      </c>
      <c r="AR403" s="32" t="s">
        <v>313</v>
      </c>
      <c r="AS403" s="31"/>
      <c r="AT403" s="31"/>
      <c r="AU403" s="32" t="str">
        <f t="shared" si="145"/>
        <v/>
      </c>
      <c r="AV403" s="32" t="s">
        <v>313</v>
      </c>
      <c r="AW403" s="31"/>
      <c r="AX403" s="31"/>
      <c r="AY403" s="32" t="str">
        <f t="shared" si="146"/>
        <v/>
      </c>
      <c r="AZ403" s="32" t="s">
        <v>313</v>
      </c>
    </row>
    <row r="404" spans="1:52" ht="34" customHeight="1">
      <c r="A404" s="28" t="s">
        <v>328</v>
      </c>
      <c r="B404" s="29" t="s">
        <v>227</v>
      </c>
      <c r="C404" s="29" t="s">
        <v>85</v>
      </c>
      <c r="D404" s="29" t="s">
        <v>79</v>
      </c>
      <c r="E404" s="29" t="s">
        <v>82</v>
      </c>
      <c r="F404" s="29" t="s">
        <v>319</v>
      </c>
      <c r="G404" s="30" t="s">
        <v>312</v>
      </c>
      <c r="H404" s="31">
        <v>0</v>
      </c>
      <c r="I404" s="31">
        <v>1545.36</v>
      </c>
      <c r="J404" s="32">
        <f t="shared" si="132"/>
        <v>0</v>
      </c>
      <c r="K404" s="31">
        <v>0</v>
      </c>
      <c r="L404" s="31">
        <v>2762.69</v>
      </c>
      <c r="M404" s="32">
        <f t="shared" si="133"/>
        <v>0</v>
      </c>
      <c r="N404" s="31">
        <v>6.2726687673270298</v>
      </c>
      <c r="O404" s="31">
        <v>3663.98</v>
      </c>
      <c r="P404" s="32">
        <f t="shared" si="134"/>
        <v>1.7119822617282382E-3</v>
      </c>
      <c r="Q404" s="31">
        <v>3.5823814876259101</v>
      </c>
      <c r="R404" s="31">
        <v>1178.81</v>
      </c>
      <c r="S404" s="32">
        <f t="shared" si="135"/>
        <v>3.0389812502658702E-3</v>
      </c>
      <c r="T404" s="31">
        <v>12.0684428126845</v>
      </c>
      <c r="U404" s="31">
        <v>4512.21</v>
      </c>
      <c r="V404" s="32">
        <f t="shared" si="136"/>
        <v>2.6746190475807866E-3</v>
      </c>
      <c r="W404" s="31">
        <v>164.89649838923799</v>
      </c>
      <c r="X404" s="31">
        <v>49102.75</v>
      </c>
      <c r="Y404" s="32">
        <f t="shared" si="137"/>
        <v>3.3581927364401787E-3</v>
      </c>
      <c r="Z404" s="31">
        <f t="shared" si="139"/>
        <v>186.81999145687541</v>
      </c>
      <c r="AA404" s="31">
        <f t="shared" si="140"/>
        <v>62765.8</v>
      </c>
      <c r="AB404" s="32">
        <f t="shared" si="138"/>
        <v>2.9764615675555066E-3</v>
      </c>
      <c r="AC404" s="31"/>
      <c r="AD404" s="31"/>
      <c r="AE404" s="32" t="str">
        <f t="shared" si="141"/>
        <v/>
      </c>
      <c r="AF404" s="32" t="s">
        <v>313</v>
      </c>
      <c r="AG404" s="31"/>
      <c r="AH404" s="31"/>
      <c r="AI404" s="32" t="str">
        <f t="shared" si="142"/>
        <v/>
      </c>
      <c r="AJ404" s="32" t="s">
        <v>313</v>
      </c>
      <c r="AK404" s="31"/>
      <c r="AL404" s="31"/>
      <c r="AM404" s="32" t="str">
        <f t="shared" si="143"/>
        <v/>
      </c>
      <c r="AN404" s="32" t="s">
        <v>313</v>
      </c>
      <c r="AO404" s="31"/>
      <c r="AP404" s="31"/>
      <c r="AQ404" s="32" t="str">
        <f t="shared" si="144"/>
        <v/>
      </c>
      <c r="AR404" s="32" t="s">
        <v>313</v>
      </c>
      <c r="AS404" s="31"/>
      <c r="AT404" s="31"/>
      <c r="AU404" s="32" t="str">
        <f t="shared" si="145"/>
        <v/>
      </c>
      <c r="AV404" s="32" t="s">
        <v>313</v>
      </c>
      <c r="AW404" s="31"/>
      <c r="AX404" s="31"/>
      <c r="AY404" s="32" t="str">
        <f t="shared" si="146"/>
        <v/>
      </c>
      <c r="AZ404" s="32" t="s">
        <v>313</v>
      </c>
    </row>
    <row r="405" spans="1:52" ht="34" customHeight="1">
      <c r="A405" s="28" t="s">
        <v>328</v>
      </c>
      <c r="B405" s="29" t="s">
        <v>227</v>
      </c>
      <c r="C405" s="29" t="s">
        <v>85</v>
      </c>
      <c r="D405" s="29" t="s">
        <v>90</v>
      </c>
      <c r="E405" s="29" t="s">
        <v>90</v>
      </c>
      <c r="F405" s="29" t="s">
        <v>316</v>
      </c>
      <c r="G405" s="30" t="s">
        <v>312</v>
      </c>
      <c r="H405" s="31"/>
      <c r="I405" s="31">
        <v>1545.36</v>
      </c>
      <c r="J405" s="32" t="str">
        <f t="shared" si="132"/>
        <v/>
      </c>
      <c r="K405" s="31"/>
      <c r="L405" s="31">
        <v>2762.69</v>
      </c>
      <c r="M405" s="32" t="str">
        <f t="shared" si="133"/>
        <v/>
      </c>
      <c r="N405" s="31"/>
      <c r="O405" s="31">
        <v>3663.98</v>
      </c>
      <c r="P405" s="32" t="str">
        <f t="shared" si="134"/>
        <v/>
      </c>
      <c r="Q405" s="31"/>
      <c r="R405" s="31">
        <v>1178.81</v>
      </c>
      <c r="S405" s="32" t="str">
        <f t="shared" si="135"/>
        <v/>
      </c>
      <c r="T405" s="31"/>
      <c r="U405" s="31">
        <v>4512.21</v>
      </c>
      <c r="V405" s="32" t="str">
        <f t="shared" si="136"/>
        <v/>
      </c>
      <c r="W405" s="31"/>
      <c r="X405" s="31">
        <v>49102.75</v>
      </c>
      <c r="Y405" s="32" t="str">
        <f t="shared" si="137"/>
        <v/>
      </c>
      <c r="Z405" s="31" t="str">
        <f t="shared" si="139"/>
        <v/>
      </c>
      <c r="AA405" s="31">
        <f t="shared" si="140"/>
        <v>62765.8</v>
      </c>
      <c r="AB405" s="32" t="str">
        <f t="shared" si="138"/>
        <v/>
      </c>
      <c r="AC405" s="31"/>
      <c r="AD405" s="31"/>
      <c r="AE405" s="32" t="str">
        <f t="shared" si="141"/>
        <v/>
      </c>
      <c r="AF405" s="32" t="s">
        <v>313</v>
      </c>
      <c r="AG405" s="31"/>
      <c r="AH405" s="31"/>
      <c r="AI405" s="32" t="str">
        <f t="shared" si="142"/>
        <v/>
      </c>
      <c r="AJ405" s="32" t="s">
        <v>313</v>
      </c>
      <c r="AK405" s="31"/>
      <c r="AL405" s="31"/>
      <c r="AM405" s="32" t="str">
        <f t="shared" si="143"/>
        <v/>
      </c>
      <c r="AN405" s="32" t="s">
        <v>313</v>
      </c>
      <c r="AO405" s="31"/>
      <c r="AP405" s="31"/>
      <c r="AQ405" s="32" t="str">
        <f t="shared" si="144"/>
        <v/>
      </c>
      <c r="AR405" s="32" t="s">
        <v>313</v>
      </c>
      <c r="AS405" s="31"/>
      <c r="AT405" s="31"/>
      <c r="AU405" s="32" t="str">
        <f t="shared" si="145"/>
        <v/>
      </c>
      <c r="AV405" s="32" t="s">
        <v>313</v>
      </c>
      <c r="AW405" s="31"/>
      <c r="AX405" s="31"/>
      <c r="AY405" s="32" t="str">
        <f t="shared" si="146"/>
        <v/>
      </c>
      <c r="AZ405" s="32" t="s">
        <v>313</v>
      </c>
    </row>
    <row r="406" spans="1:52" ht="34" customHeight="1">
      <c r="A406" s="28" t="s">
        <v>328</v>
      </c>
      <c r="B406" s="29" t="s">
        <v>227</v>
      </c>
      <c r="C406" s="29" t="s">
        <v>85</v>
      </c>
      <c r="D406" s="29" t="s">
        <v>93</v>
      </c>
      <c r="E406" s="29" t="s">
        <v>143</v>
      </c>
      <c r="F406" s="29" t="s">
        <v>320</v>
      </c>
      <c r="G406" s="30" t="s">
        <v>312</v>
      </c>
      <c r="H406" s="31">
        <v>75.898005441169403</v>
      </c>
      <c r="I406" s="31">
        <v>1545.36</v>
      </c>
      <c r="J406" s="32">
        <f t="shared" si="132"/>
        <v>4.9113478698277042E-2</v>
      </c>
      <c r="K406" s="31">
        <v>179.06999983444501</v>
      </c>
      <c r="L406" s="31">
        <v>2762.69</v>
      </c>
      <c r="M406" s="32">
        <f t="shared" si="133"/>
        <v>6.4817261377297125E-2</v>
      </c>
      <c r="N406" s="31">
        <v>54.165194309370897</v>
      </c>
      <c r="O406" s="31">
        <v>3663.98</v>
      </c>
      <c r="P406" s="32">
        <f t="shared" si="134"/>
        <v>1.4783157743593277E-2</v>
      </c>
      <c r="Q406" s="31">
        <v>20.895116101178498</v>
      </c>
      <c r="R406" s="31">
        <v>1178.81</v>
      </c>
      <c r="S406" s="32">
        <f t="shared" si="135"/>
        <v>1.7725601327761471E-2</v>
      </c>
      <c r="T406" s="31">
        <v>36.947041923885799</v>
      </c>
      <c r="U406" s="31">
        <v>4512.21</v>
      </c>
      <c r="V406" s="32">
        <f t="shared" si="136"/>
        <v>8.188236346244035E-3</v>
      </c>
      <c r="W406" s="31">
        <v>744.79800838077199</v>
      </c>
      <c r="X406" s="31">
        <v>49102.75</v>
      </c>
      <c r="Y406" s="32">
        <f t="shared" si="137"/>
        <v>1.5168152667228861E-2</v>
      </c>
      <c r="Z406" s="31">
        <f t="shared" si="139"/>
        <v>1111.7733659908217</v>
      </c>
      <c r="AA406" s="31">
        <f t="shared" si="140"/>
        <v>62765.8</v>
      </c>
      <c r="AB406" s="32">
        <f t="shared" si="138"/>
        <v>1.7713043823082343E-2</v>
      </c>
      <c r="AC406" s="31"/>
      <c r="AD406" s="31"/>
      <c r="AE406" s="32" t="str">
        <f t="shared" si="141"/>
        <v/>
      </c>
      <c r="AF406" s="32" t="s">
        <v>313</v>
      </c>
      <c r="AG406" s="31"/>
      <c r="AH406" s="31"/>
      <c r="AI406" s="32" t="str">
        <f t="shared" si="142"/>
        <v/>
      </c>
      <c r="AJ406" s="32" t="s">
        <v>313</v>
      </c>
      <c r="AK406" s="31"/>
      <c r="AL406" s="31"/>
      <c r="AM406" s="32" t="str">
        <f t="shared" si="143"/>
        <v/>
      </c>
      <c r="AN406" s="32" t="s">
        <v>313</v>
      </c>
      <c r="AO406" s="31"/>
      <c r="AP406" s="31"/>
      <c r="AQ406" s="32" t="str">
        <f t="shared" si="144"/>
        <v/>
      </c>
      <c r="AR406" s="32" t="s">
        <v>313</v>
      </c>
      <c r="AS406" s="31"/>
      <c r="AT406" s="31"/>
      <c r="AU406" s="32" t="str">
        <f t="shared" si="145"/>
        <v/>
      </c>
      <c r="AV406" s="32" t="s">
        <v>313</v>
      </c>
      <c r="AW406" s="31"/>
      <c r="AX406" s="31"/>
      <c r="AY406" s="32" t="str">
        <f t="shared" si="146"/>
        <v/>
      </c>
      <c r="AZ406" s="32" t="s">
        <v>313</v>
      </c>
    </row>
    <row r="407" spans="1:52" ht="34" customHeight="1">
      <c r="A407" s="28" t="s">
        <v>328</v>
      </c>
      <c r="B407" s="29" t="s">
        <v>227</v>
      </c>
      <c r="C407" s="29" t="s">
        <v>85</v>
      </c>
      <c r="D407" s="29" t="s">
        <v>152</v>
      </c>
      <c r="E407" s="29" t="s">
        <v>152</v>
      </c>
      <c r="F407" s="29" t="s">
        <v>316</v>
      </c>
      <c r="G407" s="30" t="s">
        <v>312</v>
      </c>
      <c r="H407" s="31"/>
      <c r="I407" s="31">
        <v>1545.36</v>
      </c>
      <c r="J407" s="32" t="str">
        <f t="shared" si="132"/>
        <v/>
      </c>
      <c r="K407" s="31"/>
      <c r="L407" s="31">
        <v>2762.69</v>
      </c>
      <c r="M407" s="32" t="str">
        <f t="shared" si="133"/>
        <v/>
      </c>
      <c r="N407" s="31"/>
      <c r="O407" s="31">
        <v>3663.98</v>
      </c>
      <c r="P407" s="32" t="str">
        <f t="shared" si="134"/>
        <v/>
      </c>
      <c r="Q407" s="31"/>
      <c r="R407" s="31">
        <v>1178.81</v>
      </c>
      <c r="S407" s="32" t="str">
        <f t="shared" si="135"/>
        <v/>
      </c>
      <c r="T407" s="31"/>
      <c r="U407" s="31">
        <v>4512.21</v>
      </c>
      <c r="V407" s="32" t="str">
        <f t="shared" si="136"/>
        <v/>
      </c>
      <c r="W407" s="31"/>
      <c r="X407" s="31">
        <v>49102.75</v>
      </c>
      <c r="Y407" s="32" t="str">
        <f t="shared" si="137"/>
        <v/>
      </c>
      <c r="Z407" s="31" t="str">
        <f t="shared" si="139"/>
        <v/>
      </c>
      <c r="AA407" s="31">
        <f t="shared" si="140"/>
        <v>62765.8</v>
      </c>
      <c r="AB407" s="32" t="str">
        <f t="shared" si="138"/>
        <v/>
      </c>
      <c r="AC407" s="31"/>
      <c r="AD407" s="31"/>
      <c r="AE407" s="32" t="str">
        <f t="shared" si="141"/>
        <v/>
      </c>
      <c r="AF407" s="32" t="s">
        <v>313</v>
      </c>
      <c r="AG407" s="31"/>
      <c r="AH407" s="31"/>
      <c r="AI407" s="32" t="str">
        <f t="shared" si="142"/>
        <v/>
      </c>
      <c r="AJ407" s="32" t="s">
        <v>313</v>
      </c>
      <c r="AK407" s="31"/>
      <c r="AL407" s="31"/>
      <c r="AM407" s="32" t="str">
        <f t="shared" si="143"/>
        <v/>
      </c>
      <c r="AN407" s="32" t="s">
        <v>313</v>
      </c>
      <c r="AO407" s="31"/>
      <c r="AP407" s="31"/>
      <c r="AQ407" s="32" t="str">
        <f t="shared" si="144"/>
        <v/>
      </c>
      <c r="AR407" s="32" t="s">
        <v>313</v>
      </c>
      <c r="AS407" s="31"/>
      <c r="AT407" s="31"/>
      <c r="AU407" s="32" t="str">
        <f t="shared" si="145"/>
        <v/>
      </c>
      <c r="AV407" s="32" t="s">
        <v>313</v>
      </c>
      <c r="AW407" s="31"/>
      <c r="AX407" s="31"/>
      <c r="AY407" s="32" t="str">
        <f t="shared" si="146"/>
        <v/>
      </c>
      <c r="AZ407" s="32" t="s">
        <v>313</v>
      </c>
    </row>
    <row r="408" spans="1:52" ht="34" customHeight="1">
      <c r="A408" s="28" t="s">
        <v>328</v>
      </c>
      <c r="B408" s="29" t="s">
        <v>224</v>
      </c>
      <c r="C408" s="29" t="s">
        <v>46</v>
      </c>
      <c r="D408" s="29"/>
      <c r="E408" s="29" t="s">
        <v>46</v>
      </c>
      <c r="F408" s="29" t="s">
        <v>311</v>
      </c>
      <c r="G408" s="30" t="s">
        <v>312</v>
      </c>
      <c r="H408" s="31">
        <v>189813</v>
      </c>
      <c r="I408" s="31">
        <v>156332</v>
      </c>
      <c r="J408" s="32"/>
      <c r="K408" s="31">
        <v>61947</v>
      </c>
      <c r="L408" s="31">
        <v>53377</v>
      </c>
      <c r="M408" s="32"/>
      <c r="N408" s="31">
        <v>147596</v>
      </c>
      <c r="O408" s="31">
        <v>113282.5</v>
      </c>
      <c r="P408" s="32"/>
      <c r="Q408" s="31">
        <v>96064</v>
      </c>
      <c r="R408" s="31">
        <v>74995</v>
      </c>
      <c r="S408" s="32"/>
      <c r="T408" s="31">
        <v>826619</v>
      </c>
      <c r="U408" s="31">
        <v>673865.25</v>
      </c>
      <c r="V408" s="32"/>
      <c r="W408" s="31">
        <v>872043</v>
      </c>
      <c r="X408" s="31">
        <v>705358.52</v>
      </c>
      <c r="Y408" s="32"/>
      <c r="Z408" s="31">
        <f t="shared" si="139"/>
        <v>2194082</v>
      </c>
      <c r="AA408" s="31">
        <f t="shared" si="140"/>
        <v>1777210.27</v>
      </c>
      <c r="AB408" s="32"/>
      <c r="AC408" s="31"/>
      <c r="AD408" s="31"/>
      <c r="AE408" s="32" t="str">
        <f t="shared" si="141"/>
        <v/>
      </c>
      <c r="AF408" s="32" t="s">
        <v>313</v>
      </c>
      <c r="AG408" s="31"/>
      <c r="AH408" s="31"/>
      <c r="AI408" s="32" t="str">
        <f t="shared" si="142"/>
        <v/>
      </c>
      <c r="AJ408" s="32" t="s">
        <v>313</v>
      </c>
      <c r="AK408" s="31"/>
      <c r="AL408" s="31"/>
      <c r="AM408" s="32" t="str">
        <f t="shared" si="143"/>
        <v/>
      </c>
      <c r="AN408" s="32" t="s">
        <v>313</v>
      </c>
      <c r="AO408" s="31"/>
      <c r="AP408" s="31"/>
      <c r="AQ408" s="32" t="str">
        <f t="shared" si="144"/>
        <v/>
      </c>
      <c r="AR408" s="32" t="s">
        <v>313</v>
      </c>
      <c r="AS408" s="31"/>
      <c r="AT408" s="31"/>
      <c r="AU408" s="32" t="str">
        <f t="shared" si="145"/>
        <v/>
      </c>
      <c r="AV408" s="32" t="s">
        <v>313</v>
      </c>
      <c r="AW408" s="31"/>
      <c r="AX408" s="31"/>
      <c r="AY408" s="32" t="str">
        <f t="shared" si="146"/>
        <v/>
      </c>
      <c r="AZ408" s="32" t="s">
        <v>313</v>
      </c>
    </row>
    <row r="409" spans="1:52" ht="34" customHeight="1">
      <c r="A409" s="28" t="s">
        <v>328</v>
      </c>
      <c r="B409" s="29" t="s">
        <v>224</v>
      </c>
      <c r="C409" s="29" t="s">
        <v>121</v>
      </c>
      <c r="D409" s="29"/>
      <c r="E409" s="29" t="s">
        <v>125</v>
      </c>
      <c r="F409" s="29" t="s">
        <v>314</v>
      </c>
      <c r="G409" s="30" t="s">
        <v>312</v>
      </c>
      <c r="H409" s="31">
        <v>0</v>
      </c>
      <c r="I409" s="31">
        <v>156332</v>
      </c>
      <c r="J409" s="32">
        <f t="shared" ref="J409:J438" si="147">IF(H409="","",IFERROR(H409/I409,""))</f>
        <v>0</v>
      </c>
      <c r="K409" s="31">
        <v>0</v>
      </c>
      <c r="L409" s="31">
        <v>53377</v>
      </c>
      <c r="M409" s="32">
        <f t="shared" ref="M409:M438" si="148">IF(K409="","",IFERROR(K409/L409,""))</f>
        <v>0</v>
      </c>
      <c r="N409" s="31">
        <v>0</v>
      </c>
      <c r="O409" s="31">
        <v>113282.5</v>
      </c>
      <c r="P409" s="32">
        <f t="shared" ref="P409:P438" si="149">IF(N409="","",IFERROR(N409/O409,""))</f>
        <v>0</v>
      </c>
      <c r="Q409" s="31">
        <v>0</v>
      </c>
      <c r="R409" s="31">
        <v>74995</v>
      </c>
      <c r="S409" s="32">
        <f t="shared" ref="S409:S438" si="150">IF(Q409="","",IFERROR(Q409/R409,""))</f>
        <v>0</v>
      </c>
      <c r="T409" s="31">
        <v>1141.26</v>
      </c>
      <c r="U409" s="31">
        <v>673865.25</v>
      </c>
      <c r="V409" s="32">
        <f t="shared" ref="V409:V438" si="151">IF(T409="","",IFERROR(T409/U409,""))</f>
        <v>1.693602689855279E-3</v>
      </c>
      <c r="W409" s="31">
        <v>383.66</v>
      </c>
      <c r="X409" s="31">
        <v>705358.52</v>
      </c>
      <c r="Y409" s="32">
        <f t="shared" ref="Y409:Y438" si="152">IF(W409="","",IFERROR(W409/X409,""))</f>
        <v>5.4392197601866351E-4</v>
      </c>
      <c r="Z409" s="31">
        <f t="shared" si="139"/>
        <v>1524.92</v>
      </c>
      <c r="AA409" s="31">
        <f t="shared" si="140"/>
        <v>1777210.27</v>
      </c>
      <c r="AB409" s="32">
        <f t="shared" ref="AB409:AB438" si="153">IF(Z409="","",IFERROR(Z409/AA409,""))</f>
        <v>8.5804140665921317E-4</v>
      </c>
      <c r="AC409" s="31"/>
      <c r="AD409" s="31"/>
      <c r="AE409" s="32" t="str">
        <f t="shared" si="141"/>
        <v/>
      </c>
      <c r="AF409" s="32" t="s">
        <v>313</v>
      </c>
      <c r="AG409" s="31"/>
      <c r="AH409" s="31"/>
      <c r="AI409" s="32" t="str">
        <f t="shared" si="142"/>
        <v/>
      </c>
      <c r="AJ409" s="32" t="s">
        <v>313</v>
      </c>
      <c r="AK409" s="31"/>
      <c r="AL409" s="31"/>
      <c r="AM409" s="32" t="str">
        <f t="shared" si="143"/>
        <v/>
      </c>
      <c r="AN409" s="32" t="s">
        <v>313</v>
      </c>
      <c r="AO409" s="31"/>
      <c r="AP409" s="31"/>
      <c r="AQ409" s="32" t="str">
        <f t="shared" si="144"/>
        <v/>
      </c>
      <c r="AR409" s="32" t="s">
        <v>313</v>
      </c>
      <c r="AS409" s="31"/>
      <c r="AT409" s="31"/>
      <c r="AU409" s="32" t="str">
        <f t="shared" si="145"/>
        <v/>
      </c>
      <c r="AV409" s="32" t="s">
        <v>313</v>
      </c>
      <c r="AW409" s="31"/>
      <c r="AX409" s="31"/>
      <c r="AY409" s="32" t="str">
        <f t="shared" si="146"/>
        <v/>
      </c>
      <c r="AZ409" s="32" t="s">
        <v>313</v>
      </c>
    </row>
    <row r="410" spans="1:52" ht="34" customHeight="1">
      <c r="A410" s="28" t="s">
        <v>328</v>
      </c>
      <c r="B410" s="29" t="s">
        <v>224</v>
      </c>
      <c r="C410" s="29" t="s">
        <v>48</v>
      </c>
      <c r="D410" s="29"/>
      <c r="E410" s="29" t="s">
        <v>127</v>
      </c>
      <c r="F410" s="29" t="s">
        <v>315</v>
      </c>
      <c r="G410" s="30" t="s">
        <v>312</v>
      </c>
      <c r="H410" s="31">
        <v>14052</v>
      </c>
      <c r="I410" s="31">
        <v>156332</v>
      </c>
      <c r="J410" s="32">
        <f t="shared" si="147"/>
        <v>8.9885628022413844E-2</v>
      </c>
      <c r="K410" s="31">
        <v>10029</v>
      </c>
      <c r="L410" s="31">
        <v>53377</v>
      </c>
      <c r="M410" s="32">
        <f t="shared" si="148"/>
        <v>0.18788991513198569</v>
      </c>
      <c r="N410" s="31">
        <v>21131.64</v>
      </c>
      <c r="O410" s="31">
        <v>113282.5</v>
      </c>
      <c r="P410" s="32">
        <f t="shared" si="149"/>
        <v>0.18653931542824354</v>
      </c>
      <c r="Q410" s="31">
        <v>22329</v>
      </c>
      <c r="R410" s="31">
        <v>74995</v>
      </c>
      <c r="S410" s="32">
        <f t="shared" si="150"/>
        <v>0.29773984932328823</v>
      </c>
      <c r="T410" s="31">
        <v>189897</v>
      </c>
      <c r="U410" s="31">
        <v>673865.25</v>
      </c>
      <c r="V410" s="32">
        <f t="shared" si="151"/>
        <v>0.28180263042203169</v>
      </c>
      <c r="W410" s="31">
        <v>190284</v>
      </c>
      <c r="X410" s="31">
        <v>705358.52</v>
      </c>
      <c r="Y410" s="32">
        <f t="shared" si="152"/>
        <v>0.26976919482024547</v>
      </c>
      <c r="Z410" s="31">
        <f t="shared" si="139"/>
        <v>447722.64</v>
      </c>
      <c r="AA410" s="31">
        <f t="shared" si="140"/>
        <v>1777210.27</v>
      </c>
      <c r="AB410" s="32">
        <f t="shared" si="153"/>
        <v>0.25192440509585845</v>
      </c>
      <c r="AC410" s="31"/>
      <c r="AD410" s="31"/>
      <c r="AE410" s="32" t="str">
        <f t="shared" si="141"/>
        <v/>
      </c>
      <c r="AF410" s="32" t="s">
        <v>313</v>
      </c>
      <c r="AG410" s="31"/>
      <c r="AH410" s="31"/>
      <c r="AI410" s="32" t="str">
        <f t="shared" si="142"/>
        <v/>
      </c>
      <c r="AJ410" s="32" t="s">
        <v>313</v>
      </c>
      <c r="AK410" s="31"/>
      <c r="AL410" s="31"/>
      <c r="AM410" s="32" t="str">
        <f t="shared" si="143"/>
        <v/>
      </c>
      <c r="AN410" s="32" t="s">
        <v>313</v>
      </c>
      <c r="AO410" s="31"/>
      <c r="AP410" s="31"/>
      <c r="AQ410" s="32" t="str">
        <f t="shared" si="144"/>
        <v/>
      </c>
      <c r="AR410" s="32" t="s">
        <v>313</v>
      </c>
      <c r="AS410" s="31"/>
      <c r="AT410" s="31"/>
      <c r="AU410" s="32" t="str">
        <f t="shared" si="145"/>
        <v/>
      </c>
      <c r="AV410" s="32" t="s">
        <v>313</v>
      </c>
      <c r="AW410" s="31"/>
      <c r="AX410" s="31"/>
      <c r="AY410" s="32" t="str">
        <f t="shared" si="146"/>
        <v/>
      </c>
      <c r="AZ410" s="32" t="s">
        <v>313</v>
      </c>
    </row>
    <row r="411" spans="1:52" ht="34" customHeight="1">
      <c r="A411" s="28" t="s">
        <v>328</v>
      </c>
      <c r="B411" s="29" t="s">
        <v>224</v>
      </c>
      <c r="C411" s="29" t="s">
        <v>52</v>
      </c>
      <c r="D411" s="29" t="s">
        <v>54</v>
      </c>
      <c r="E411" s="29" t="s">
        <v>55</v>
      </c>
      <c r="F411" s="29" t="s">
        <v>130</v>
      </c>
      <c r="G411" s="30" t="s">
        <v>312</v>
      </c>
      <c r="H411" s="31">
        <v>46383.4</v>
      </c>
      <c r="I411" s="31">
        <v>156332</v>
      </c>
      <c r="J411" s="32">
        <f t="shared" si="147"/>
        <v>0.29669805286185813</v>
      </c>
      <c r="K411" s="31">
        <v>13725.9</v>
      </c>
      <c r="L411" s="31">
        <v>53377</v>
      </c>
      <c r="M411" s="32">
        <f t="shared" si="148"/>
        <v>0.25715008336924144</v>
      </c>
      <c r="N411" s="31">
        <v>45073.62</v>
      </c>
      <c r="O411" s="31">
        <v>113282.5</v>
      </c>
      <c r="P411" s="32">
        <f t="shared" si="149"/>
        <v>0.39788687573102643</v>
      </c>
      <c r="Q411" s="31">
        <v>64533.11</v>
      </c>
      <c r="R411" s="31">
        <v>74995</v>
      </c>
      <c r="S411" s="32">
        <f t="shared" si="150"/>
        <v>0.86049883325555043</v>
      </c>
      <c r="T411" s="31">
        <v>593024.39</v>
      </c>
      <c r="U411" s="31">
        <v>673865.25</v>
      </c>
      <c r="V411" s="32">
        <f t="shared" si="151"/>
        <v>0.88003408693355234</v>
      </c>
      <c r="W411" s="31">
        <v>455825.6</v>
      </c>
      <c r="X411" s="31">
        <v>705358.52</v>
      </c>
      <c r="Y411" s="32">
        <f t="shared" si="152"/>
        <v>0.64623250031771073</v>
      </c>
      <c r="Z411" s="31">
        <f t="shared" si="139"/>
        <v>1218566.02</v>
      </c>
      <c r="AA411" s="31">
        <f t="shared" si="140"/>
        <v>1777210.27</v>
      </c>
      <c r="AB411" s="32">
        <f t="shared" si="153"/>
        <v>0.68566226550108789</v>
      </c>
      <c r="AC411" s="31"/>
      <c r="AD411" s="31"/>
      <c r="AE411" s="32" t="str">
        <f t="shared" si="141"/>
        <v/>
      </c>
      <c r="AF411" s="32" t="s">
        <v>313</v>
      </c>
      <c r="AG411" s="31"/>
      <c r="AH411" s="31"/>
      <c r="AI411" s="32" t="str">
        <f t="shared" si="142"/>
        <v/>
      </c>
      <c r="AJ411" s="32" t="s">
        <v>313</v>
      </c>
      <c r="AK411" s="31"/>
      <c r="AL411" s="31"/>
      <c r="AM411" s="32" t="str">
        <f t="shared" si="143"/>
        <v/>
      </c>
      <c r="AN411" s="32" t="s">
        <v>313</v>
      </c>
      <c r="AO411" s="31"/>
      <c r="AP411" s="31"/>
      <c r="AQ411" s="32" t="str">
        <f t="shared" si="144"/>
        <v/>
      </c>
      <c r="AR411" s="32" t="s">
        <v>313</v>
      </c>
      <c r="AS411" s="31"/>
      <c r="AT411" s="31"/>
      <c r="AU411" s="32" t="str">
        <f t="shared" si="145"/>
        <v/>
      </c>
      <c r="AV411" s="32" t="s">
        <v>313</v>
      </c>
      <c r="AW411" s="31"/>
      <c r="AX411" s="31"/>
      <c r="AY411" s="32" t="str">
        <f t="shared" si="146"/>
        <v/>
      </c>
      <c r="AZ411" s="32" t="s">
        <v>313</v>
      </c>
    </row>
    <row r="412" spans="1:52" ht="34" customHeight="1">
      <c r="A412" s="28" t="s">
        <v>328</v>
      </c>
      <c r="B412" s="29" t="s">
        <v>224</v>
      </c>
      <c r="C412" s="29" t="s">
        <v>52</v>
      </c>
      <c r="D412" s="29" t="s">
        <v>54</v>
      </c>
      <c r="E412" s="29" t="s">
        <v>58</v>
      </c>
      <c r="F412" s="29" t="s">
        <v>316</v>
      </c>
      <c r="G412" s="30" t="s">
        <v>312</v>
      </c>
      <c r="H412" s="31"/>
      <c r="I412" s="31">
        <v>156332</v>
      </c>
      <c r="J412" s="32" t="str">
        <f t="shared" si="147"/>
        <v/>
      </c>
      <c r="K412" s="31"/>
      <c r="L412" s="31">
        <v>53377</v>
      </c>
      <c r="M412" s="32" t="str">
        <f t="shared" si="148"/>
        <v/>
      </c>
      <c r="N412" s="31"/>
      <c r="O412" s="31">
        <v>113282.5</v>
      </c>
      <c r="P412" s="32" t="str">
        <f t="shared" si="149"/>
        <v/>
      </c>
      <c r="Q412" s="31"/>
      <c r="R412" s="31">
        <v>74995</v>
      </c>
      <c r="S412" s="32" t="str">
        <f t="shared" si="150"/>
        <v/>
      </c>
      <c r="T412" s="31"/>
      <c r="U412" s="31">
        <v>673865.25</v>
      </c>
      <c r="V412" s="32" t="str">
        <f t="shared" si="151"/>
        <v/>
      </c>
      <c r="W412" s="31"/>
      <c r="X412" s="31">
        <v>705358.52</v>
      </c>
      <c r="Y412" s="32" t="str">
        <f t="shared" si="152"/>
        <v/>
      </c>
      <c r="Z412" s="31" t="str">
        <f t="shared" si="139"/>
        <v/>
      </c>
      <c r="AA412" s="31">
        <f t="shared" si="140"/>
        <v>1777210.27</v>
      </c>
      <c r="AB412" s="32" t="str">
        <f t="shared" si="153"/>
        <v/>
      </c>
      <c r="AC412" s="31"/>
      <c r="AD412" s="31"/>
      <c r="AE412" s="32" t="str">
        <f t="shared" si="141"/>
        <v/>
      </c>
      <c r="AF412" s="32" t="s">
        <v>313</v>
      </c>
      <c r="AG412" s="31"/>
      <c r="AH412" s="31"/>
      <c r="AI412" s="32" t="str">
        <f t="shared" si="142"/>
        <v/>
      </c>
      <c r="AJ412" s="32" t="s">
        <v>313</v>
      </c>
      <c r="AK412" s="31"/>
      <c r="AL412" s="31"/>
      <c r="AM412" s="32" t="str">
        <f t="shared" si="143"/>
        <v/>
      </c>
      <c r="AN412" s="32" t="s">
        <v>313</v>
      </c>
      <c r="AO412" s="31"/>
      <c r="AP412" s="31"/>
      <c r="AQ412" s="32" t="str">
        <f t="shared" si="144"/>
        <v/>
      </c>
      <c r="AR412" s="32" t="s">
        <v>313</v>
      </c>
      <c r="AS412" s="31"/>
      <c r="AT412" s="31"/>
      <c r="AU412" s="32" t="str">
        <f t="shared" si="145"/>
        <v/>
      </c>
      <c r="AV412" s="32" t="s">
        <v>313</v>
      </c>
      <c r="AW412" s="31"/>
      <c r="AX412" s="31"/>
      <c r="AY412" s="32" t="str">
        <f t="shared" si="146"/>
        <v/>
      </c>
      <c r="AZ412" s="32" t="s">
        <v>313</v>
      </c>
    </row>
    <row r="413" spans="1:52" ht="34" customHeight="1">
      <c r="A413" s="28" t="s">
        <v>328</v>
      </c>
      <c r="B413" s="29" t="s">
        <v>224</v>
      </c>
      <c r="C413" s="29" t="s">
        <v>52</v>
      </c>
      <c r="D413" s="29" t="s">
        <v>54</v>
      </c>
      <c r="E413" s="29" t="s">
        <v>59</v>
      </c>
      <c r="F413" s="29" t="s">
        <v>316</v>
      </c>
      <c r="G413" s="30" t="s">
        <v>312</v>
      </c>
      <c r="H413" s="31"/>
      <c r="I413" s="31">
        <v>156332</v>
      </c>
      <c r="J413" s="32" t="str">
        <f t="shared" si="147"/>
        <v/>
      </c>
      <c r="K413" s="31"/>
      <c r="L413" s="31">
        <v>53377</v>
      </c>
      <c r="M413" s="32" t="str">
        <f t="shared" si="148"/>
        <v/>
      </c>
      <c r="N413" s="31"/>
      <c r="O413" s="31">
        <v>113282.5</v>
      </c>
      <c r="P413" s="32" t="str">
        <f t="shared" si="149"/>
        <v/>
      </c>
      <c r="Q413" s="31"/>
      <c r="R413" s="31">
        <v>74995</v>
      </c>
      <c r="S413" s="32" t="str">
        <f t="shared" si="150"/>
        <v/>
      </c>
      <c r="T413" s="31"/>
      <c r="U413" s="31">
        <v>673865.25</v>
      </c>
      <c r="V413" s="32" t="str">
        <f t="shared" si="151"/>
        <v/>
      </c>
      <c r="W413" s="31"/>
      <c r="X413" s="31">
        <v>705358.52</v>
      </c>
      <c r="Y413" s="32" t="str">
        <f t="shared" si="152"/>
        <v/>
      </c>
      <c r="Z413" s="31" t="str">
        <f t="shared" si="139"/>
        <v/>
      </c>
      <c r="AA413" s="31">
        <f t="shared" si="140"/>
        <v>1777210.27</v>
      </c>
      <c r="AB413" s="32" t="str">
        <f t="shared" si="153"/>
        <v/>
      </c>
      <c r="AC413" s="31"/>
      <c r="AD413" s="31"/>
      <c r="AE413" s="32" t="str">
        <f t="shared" si="141"/>
        <v/>
      </c>
      <c r="AF413" s="32" t="s">
        <v>313</v>
      </c>
      <c r="AG413" s="31"/>
      <c r="AH413" s="31"/>
      <c r="AI413" s="32" t="str">
        <f t="shared" si="142"/>
        <v/>
      </c>
      <c r="AJ413" s="32" t="s">
        <v>313</v>
      </c>
      <c r="AK413" s="31"/>
      <c r="AL413" s="31"/>
      <c r="AM413" s="32" t="str">
        <f t="shared" si="143"/>
        <v/>
      </c>
      <c r="AN413" s="32" t="s">
        <v>313</v>
      </c>
      <c r="AO413" s="31"/>
      <c r="AP413" s="31"/>
      <c r="AQ413" s="32" t="str">
        <f t="shared" si="144"/>
        <v/>
      </c>
      <c r="AR413" s="32" t="s">
        <v>313</v>
      </c>
      <c r="AS413" s="31"/>
      <c r="AT413" s="31"/>
      <c r="AU413" s="32" t="str">
        <f t="shared" si="145"/>
        <v/>
      </c>
      <c r="AV413" s="32" t="s">
        <v>313</v>
      </c>
      <c r="AW413" s="31"/>
      <c r="AX413" s="31"/>
      <c r="AY413" s="32" t="str">
        <f t="shared" si="146"/>
        <v/>
      </c>
      <c r="AZ413" s="32" t="s">
        <v>313</v>
      </c>
    </row>
    <row r="414" spans="1:52" ht="34" customHeight="1">
      <c r="A414" s="28" t="s">
        <v>328</v>
      </c>
      <c r="B414" s="29" t="s">
        <v>224</v>
      </c>
      <c r="C414" s="29" t="s">
        <v>52</v>
      </c>
      <c r="D414" s="29" t="s">
        <v>54</v>
      </c>
      <c r="E414" s="29" t="s">
        <v>64</v>
      </c>
      <c r="F414" s="29" t="s">
        <v>133</v>
      </c>
      <c r="G414" s="30" t="s">
        <v>312</v>
      </c>
      <c r="H414" s="31">
        <v>33481</v>
      </c>
      <c r="I414" s="31">
        <v>156332</v>
      </c>
      <c r="J414" s="32">
        <f t="shared" si="147"/>
        <v>0.21416600568021901</v>
      </c>
      <c r="K414" s="31">
        <v>8570</v>
      </c>
      <c r="L414" s="31">
        <v>53377</v>
      </c>
      <c r="M414" s="32">
        <f t="shared" si="148"/>
        <v>0.16055604473837046</v>
      </c>
      <c r="N414" s="31">
        <v>34313.5</v>
      </c>
      <c r="O414" s="31">
        <v>113282.5</v>
      </c>
      <c r="P414" s="32">
        <f t="shared" si="149"/>
        <v>0.30290203694304063</v>
      </c>
      <c r="Q414" s="31">
        <v>21069</v>
      </c>
      <c r="R414" s="31">
        <v>74995</v>
      </c>
      <c r="S414" s="32">
        <f t="shared" si="150"/>
        <v>0.28093872924861657</v>
      </c>
      <c r="T414" s="31">
        <v>153895.01</v>
      </c>
      <c r="U414" s="31">
        <v>673865.25</v>
      </c>
      <c r="V414" s="32">
        <f t="shared" si="151"/>
        <v>0.2283765337357877</v>
      </c>
      <c r="W414" s="31">
        <v>167068.14000000001</v>
      </c>
      <c r="X414" s="31">
        <v>705358.52</v>
      </c>
      <c r="Y414" s="32">
        <f t="shared" si="152"/>
        <v>0.23685563477704927</v>
      </c>
      <c r="Z414" s="31">
        <f t="shared" si="139"/>
        <v>418396.65</v>
      </c>
      <c r="AA414" s="31">
        <f t="shared" si="140"/>
        <v>1777210.27</v>
      </c>
      <c r="AB414" s="32">
        <f t="shared" si="153"/>
        <v>0.23542326817636497</v>
      </c>
      <c r="AC414" s="31"/>
      <c r="AD414" s="31"/>
      <c r="AE414" s="32" t="str">
        <f t="shared" si="141"/>
        <v/>
      </c>
      <c r="AF414" s="32" t="s">
        <v>313</v>
      </c>
      <c r="AG414" s="31"/>
      <c r="AH414" s="31"/>
      <c r="AI414" s="32" t="str">
        <f t="shared" si="142"/>
        <v/>
      </c>
      <c r="AJ414" s="32" t="s">
        <v>313</v>
      </c>
      <c r="AK414" s="31"/>
      <c r="AL414" s="31"/>
      <c r="AM414" s="32" t="str">
        <f t="shared" si="143"/>
        <v/>
      </c>
      <c r="AN414" s="32" t="s">
        <v>313</v>
      </c>
      <c r="AO414" s="31"/>
      <c r="AP414" s="31"/>
      <c r="AQ414" s="32" t="str">
        <f t="shared" si="144"/>
        <v/>
      </c>
      <c r="AR414" s="32" t="s">
        <v>313</v>
      </c>
      <c r="AS414" s="31"/>
      <c r="AT414" s="31"/>
      <c r="AU414" s="32" t="str">
        <f t="shared" si="145"/>
        <v/>
      </c>
      <c r="AV414" s="32" t="s">
        <v>313</v>
      </c>
      <c r="AW414" s="31"/>
      <c r="AX414" s="31"/>
      <c r="AY414" s="32" t="str">
        <f t="shared" si="146"/>
        <v/>
      </c>
      <c r="AZ414" s="32" t="s">
        <v>313</v>
      </c>
    </row>
    <row r="415" spans="1:52" ht="34" customHeight="1">
      <c r="A415" s="28" t="s">
        <v>328</v>
      </c>
      <c r="B415" s="29" t="s">
        <v>224</v>
      </c>
      <c r="C415" s="29" t="s">
        <v>52</v>
      </c>
      <c r="D415" s="29" t="s">
        <v>54</v>
      </c>
      <c r="E415" s="29" t="s">
        <v>60</v>
      </c>
      <c r="F415" s="29" t="s">
        <v>316</v>
      </c>
      <c r="G415" s="30" t="s">
        <v>312</v>
      </c>
      <c r="H415" s="31"/>
      <c r="I415" s="31">
        <v>156332</v>
      </c>
      <c r="J415" s="32" t="str">
        <f t="shared" si="147"/>
        <v/>
      </c>
      <c r="K415" s="31"/>
      <c r="L415" s="31">
        <v>53377</v>
      </c>
      <c r="M415" s="32" t="str">
        <f t="shared" si="148"/>
        <v/>
      </c>
      <c r="N415" s="31"/>
      <c r="O415" s="31">
        <v>113282.5</v>
      </c>
      <c r="P415" s="32" t="str">
        <f t="shared" si="149"/>
        <v/>
      </c>
      <c r="Q415" s="31"/>
      <c r="R415" s="31">
        <v>74995</v>
      </c>
      <c r="S415" s="32" t="str">
        <f t="shared" si="150"/>
        <v/>
      </c>
      <c r="T415" s="31"/>
      <c r="U415" s="31">
        <v>673865.25</v>
      </c>
      <c r="V415" s="32" t="str">
        <f t="shared" si="151"/>
        <v/>
      </c>
      <c r="W415" s="31"/>
      <c r="X415" s="31">
        <v>705358.52</v>
      </c>
      <c r="Y415" s="32" t="str">
        <f t="shared" si="152"/>
        <v/>
      </c>
      <c r="Z415" s="31" t="str">
        <f t="shared" si="139"/>
        <v/>
      </c>
      <c r="AA415" s="31">
        <f t="shared" si="140"/>
        <v>1777210.27</v>
      </c>
      <c r="AB415" s="32" t="str">
        <f t="shared" si="153"/>
        <v/>
      </c>
      <c r="AC415" s="31"/>
      <c r="AD415" s="31"/>
      <c r="AE415" s="32" t="str">
        <f t="shared" si="141"/>
        <v/>
      </c>
      <c r="AF415" s="32" t="s">
        <v>313</v>
      </c>
      <c r="AG415" s="31"/>
      <c r="AH415" s="31"/>
      <c r="AI415" s="32" t="str">
        <f t="shared" si="142"/>
        <v/>
      </c>
      <c r="AJ415" s="32" t="s">
        <v>313</v>
      </c>
      <c r="AK415" s="31"/>
      <c r="AL415" s="31"/>
      <c r="AM415" s="32" t="str">
        <f t="shared" si="143"/>
        <v/>
      </c>
      <c r="AN415" s="32" t="s">
        <v>313</v>
      </c>
      <c r="AO415" s="31"/>
      <c r="AP415" s="31"/>
      <c r="AQ415" s="32" t="str">
        <f t="shared" si="144"/>
        <v/>
      </c>
      <c r="AR415" s="32" t="s">
        <v>313</v>
      </c>
      <c r="AS415" s="31"/>
      <c r="AT415" s="31"/>
      <c r="AU415" s="32" t="str">
        <f t="shared" si="145"/>
        <v/>
      </c>
      <c r="AV415" s="32" t="s">
        <v>313</v>
      </c>
      <c r="AW415" s="31"/>
      <c r="AX415" s="31"/>
      <c r="AY415" s="32" t="str">
        <f t="shared" si="146"/>
        <v/>
      </c>
      <c r="AZ415" s="32" t="s">
        <v>313</v>
      </c>
    </row>
    <row r="416" spans="1:52" ht="51" customHeight="1">
      <c r="A416" s="28" t="s">
        <v>328</v>
      </c>
      <c r="B416" s="29" t="s">
        <v>224</v>
      </c>
      <c r="C416" s="29" t="s">
        <v>52</v>
      </c>
      <c r="D416" s="29" t="s">
        <v>54</v>
      </c>
      <c r="E416" s="29" t="s">
        <v>61</v>
      </c>
      <c r="F416" s="29" t="s">
        <v>135</v>
      </c>
      <c r="G416" s="30" t="s">
        <v>312</v>
      </c>
      <c r="H416" s="31">
        <v>45299.276100000003</v>
      </c>
      <c r="I416" s="31">
        <v>156332</v>
      </c>
      <c r="J416" s="32">
        <f t="shared" si="147"/>
        <v>0.28976329926054806</v>
      </c>
      <c r="K416" s="31">
        <v>10717.914500000001</v>
      </c>
      <c r="L416" s="31">
        <v>53377</v>
      </c>
      <c r="M416" s="32">
        <f t="shared" si="148"/>
        <v>0.20079649474492761</v>
      </c>
      <c r="N416" s="31">
        <v>12270.151</v>
      </c>
      <c r="O416" s="31">
        <v>113282.5</v>
      </c>
      <c r="P416" s="32">
        <f t="shared" si="149"/>
        <v>0.1083146205283252</v>
      </c>
      <c r="Q416" s="31">
        <v>-500.12325000000101</v>
      </c>
      <c r="R416" s="31">
        <v>74995</v>
      </c>
      <c r="S416" s="32">
        <f t="shared" si="150"/>
        <v>-6.6687545836389226E-3</v>
      </c>
      <c r="T416" s="31">
        <v>1768.52205</v>
      </c>
      <c r="U416" s="31">
        <v>673865.25</v>
      </c>
      <c r="V416" s="32">
        <f t="shared" si="151"/>
        <v>2.6244446497278202E-3</v>
      </c>
      <c r="W416" s="31">
        <v>6281.3428800000002</v>
      </c>
      <c r="X416" s="31">
        <v>705358.52</v>
      </c>
      <c r="Y416" s="32">
        <f t="shared" si="152"/>
        <v>8.9051775826001229E-3</v>
      </c>
      <c r="Z416" s="31">
        <f t="shared" si="139"/>
        <v>75837.083279999992</v>
      </c>
      <c r="AA416" s="31">
        <f t="shared" si="140"/>
        <v>1777210.27</v>
      </c>
      <c r="AB416" s="32">
        <f t="shared" si="153"/>
        <v>4.2671981228197604E-2</v>
      </c>
      <c r="AC416" s="31"/>
      <c r="AD416" s="31"/>
      <c r="AE416" s="32" t="str">
        <f t="shared" si="141"/>
        <v/>
      </c>
      <c r="AF416" s="32" t="s">
        <v>313</v>
      </c>
      <c r="AG416" s="31"/>
      <c r="AH416" s="31"/>
      <c r="AI416" s="32" t="str">
        <f t="shared" si="142"/>
        <v/>
      </c>
      <c r="AJ416" s="32" t="s">
        <v>313</v>
      </c>
      <c r="AK416" s="31"/>
      <c r="AL416" s="31"/>
      <c r="AM416" s="32" t="str">
        <f t="shared" si="143"/>
        <v/>
      </c>
      <c r="AN416" s="32" t="s">
        <v>313</v>
      </c>
      <c r="AO416" s="31"/>
      <c r="AP416" s="31"/>
      <c r="AQ416" s="32" t="str">
        <f t="shared" si="144"/>
        <v/>
      </c>
      <c r="AR416" s="32" t="s">
        <v>313</v>
      </c>
      <c r="AS416" s="31"/>
      <c r="AT416" s="31"/>
      <c r="AU416" s="32" t="str">
        <f t="shared" si="145"/>
        <v/>
      </c>
      <c r="AV416" s="32" t="s">
        <v>313</v>
      </c>
      <c r="AW416" s="31"/>
      <c r="AX416" s="31"/>
      <c r="AY416" s="32" t="str">
        <f t="shared" si="146"/>
        <v/>
      </c>
      <c r="AZ416" s="32" t="s">
        <v>313</v>
      </c>
    </row>
    <row r="417" spans="1:52" ht="34" customHeight="1">
      <c r="A417" s="28" t="s">
        <v>328</v>
      </c>
      <c r="B417" s="29" t="s">
        <v>224</v>
      </c>
      <c r="C417" s="29" t="s">
        <v>52</v>
      </c>
      <c r="D417" s="29" t="s">
        <v>54</v>
      </c>
      <c r="E417" s="29" t="s">
        <v>62</v>
      </c>
      <c r="F417" s="29" t="s">
        <v>316</v>
      </c>
      <c r="G417" s="30" t="s">
        <v>312</v>
      </c>
      <c r="H417" s="31"/>
      <c r="I417" s="31">
        <v>156332</v>
      </c>
      <c r="J417" s="32" t="str">
        <f t="shared" si="147"/>
        <v/>
      </c>
      <c r="K417" s="31"/>
      <c r="L417" s="31">
        <v>53377</v>
      </c>
      <c r="M417" s="32" t="str">
        <f t="shared" si="148"/>
        <v/>
      </c>
      <c r="N417" s="31"/>
      <c r="O417" s="31">
        <v>113282.5</v>
      </c>
      <c r="P417" s="32" t="str">
        <f t="shared" si="149"/>
        <v/>
      </c>
      <c r="Q417" s="31"/>
      <c r="R417" s="31">
        <v>74995</v>
      </c>
      <c r="S417" s="32" t="str">
        <f t="shared" si="150"/>
        <v/>
      </c>
      <c r="T417" s="31"/>
      <c r="U417" s="31">
        <v>673865.25</v>
      </c>
      <c r="V417" s="32" t="str">
        <f t="shared" si="151"/>
        <v/>
      </c>
      <c r="W417" s="31"/>
      <c r="X417" s="31">
        <v>705358.52</v>
      </c>
      <c r="Y417" s="32" t="str">
        <f t="shared" si="152"/>
        <v/>
      </c>
      <c r="Z417" s="31" t="str">
        <f t="shared" si="139"/>
        <v/>
      </c>
      <c r="AA417" s="31">
        <f t="shared" si="140"/>
        <v>1777210.27</v>
      </c>
      <c r="AB417" s="32" t="str">
        <f t="shared" si="153"/>
        <v/>
      </c>
      <c r="AC417" s="31"/>
      <c r="AD417" s="31"/>
      <c r="AE417" s="32" t="str">
        <f t="shared" si="141"/>
        <v/>
      </c>
      <c r="AF417" s="32" t="s">
        <v>313</v>
      </c>
      <c r="AG417" s="31"/>
      <c r="AH417" s="31"/>
      <c r="AI417" s="32" t="str">
        <f t="shared" si="142"/>
        <v/>
      </c>
      <c r="AJ417" s="32" t="s">
        <v>313</v>
      </c>
      <c r="AK417" s="31"/>
      <c r="AL417" s="31"/>
      <c r="AM417" s="32" t="str">
        <f t="shared" si="143"/>
        <v/>
      </c>
      <c r="AN417" s="32" t="s">
        <v>313</v>
      </c>
      <c r="AO417" s="31"/>
      <c r="AP417" s="31"/>
      <c r="AQ417" s="32" t="str">
        <f t="shared" si="144"/>
        <v/>
      </c>
      <c r="AR417" s="32" t="s">
        <v>313</v>
      </c>
      <c r="AS417" s="31"/>
      <c r="AT417" s="31"/>
      <c r="AU417" s="32" t="str">
        <f t="shared" si="145"/>
        <v/>
      </c>
      <c r="AV417" s="32" t="s">
        <v>313</v>
      </c>
      <c r="AW417" s="31"/>
      <c r="AX417" s="31"/>
      <c r="AY417" s="32" t="str">
        <f t="shared" si="146"/>
        <v/>
      </c>
      <c r="AZ417" s="32" t="s">
        <v>313</v>
      </c>
    </row>
    <row r="418" spans="1:52" ht="34" customHeight="1">
      <c r="A418" s="28" t="s">
        <v>328</v>
      </c>
      <c r="B418" s="29" t="s">
        <v>224</v>
      </c>
      <c r="C418" s="29" t="s">
        <v>52</v>
      </c>
      <c r="D418" s="29" t="s">
        <v>54</v>
      </c>
      <c r="E418" s="29" t="s">
        <v>63</v>
      </c>
      <c r="F418" s="29" t="s">
        <v>316</v>
      </c>
      <c r="G418" s="30" t="s">
        <v>312</v>
      </c>
      <c r="H418" s="31"/>
      <c r="I418" s="31">
        <v>156332</v>
      </c>
      <c r="J418" s="32" t="str">
        <f t="shared" si="147"/>
        <v/>
      </c>
      <c r="K418" s="31"/>
      <c r="L418" s="31">
        <v>53377</v>
      </c>
      <c r="M418" s="32" t="str">
        <f t="shared" si="148"/>
        <v/>
      </c>
      <c r="N418" s="31"/>
      <c r="O418" s="31">
        <v>113282.5</v>
      </c>
      <c r="P418" s="32" t="str">
        <f t="shared" si="149"/>
        <v/>
      </c>
      <c r="Q418" s="31"/>
      <c r="R418" s="31">
        <v>74995</v>
      </c>
      <c r="S418" s="32" t="str">
        <f t="shared" si="150"/>
        <v/>
      </c>
      <c r="T418" s="31"/>
      <c r="U418" s="31">
        <v>673865.25</v>
      </c>
      <c r="V418" s="32" t="str">
        <f t="shared" si="151"/>
        <v/>
      </c>
      <c r="W418" s="31"/>
      <c r="X418" s="31">
        <v>705358.52</v>
      </c>
      <c r="Y418" s="32" t="str">
        <f t="shared" si="152"/>
        <v/>
      </c>
      <c r="Z418" s="31" t="str">
        <f t="shared" si="139"/>
        <v/>
      </c>
      <c r="AA418" s="31">
        <f t="shared" si="140"/>
        <v>1777210.27</v>
      </c>
      <c r="AB418" s="32" t="str">
        <f t="shared" si="153"/>
        <v/>
      </c>
      <c r="AC418" s="31"/>
      <c r="AD418" s="31"/>
      <c r="AE418" s="32" t="str">
        <f t="shared" si="141"/>
        <v/>
      </c>
      <c r="AF418" s="32" t="s">
        <v>313</v>
      </c>
      <c r="AG418" s="31"/>
      <c r="AH418" s="31"/>
      <c r="AI418" s="32" t="str">
        <f t="shared" si="142"/>
        <v/>
      </c>
      <c r="AJ418" s="32" t="s">
        <v>313</v>
      </c>
      <c r="AK418" s="31"/>
      <c r="AL418" s="31"/>
      <c r="AM418" s="32" t="str">
        <f t="shared" si="143"/>
        <v/>
      </c>
      <c r="AN418" s="32" t="s">
        <v>313</v>
      </c>
      <c r="AO418" s="31"/>
      <c r="AP418" s="31"/>
      <c r="AQ418" s="32" t="str">
        <f t="shared" si="144"/>
        <v/>
      </c>
      <c r="AR418" s="32" t="s">
        <v>313</v>
      </c>
      <c r="AS418" s="31"/>
      <c r="AT418" s="31"/>
      <c r="AU418" s="32" t="str">
        <f t="shared" si="145"/>
        <v/>
      </c>
      <c r="AV418" s="32" t="s">
        <v>313</v>
      </c>
      <c r="AW418" s="31"/>
      <c r="AX418" s="31"/>
      <c r="AY418" s="32" t="str">
        <f t="shared" si="146"/>
        <v/>
      </c>
      <c r="AZ418" s="32" t="s">
        <v>313</v>
      </c>
    </row>
    <row r="419" spans="1:52" ht="34" customHeight="1">
      <c r="A419" s="28" t="s">
        <v>328</v>
      </c>
      <c r="B419" s="29" t="s">
        <v>224</v>
      </c>
      <c r="C419" s="29" t="s">
        <v>52</v>
      </c>
      <c r="D419" s="29" t="s">
        <v>65</v>
      </c>
      <c r="E419" s="29" t="s">
        <v>66</v>
      </c>
      <c r="F419" s="29" t="s">
        <v>316</v>
      </c>
      <c r="G419" s="30" t="s">
        <v>312</v>
      </c>
      <c r="H419" s="31"/>
      <c r="I419" s="31">
        <v>156332</v>
      </c>
      <c r="J419" s="32" t="str">
        <f t="shared" si="147"/>
        <v/>
      </c>
      <c r="K419" s="31"/>
      <c r="L419" s="31">
        <v>53377</v>
      </c>
      <c r="M419" s="32" t="str">
        <f t="shared" si="148"/>
        <v/>
      </c>
      <c r="N419" s="31"/>
      <c r="O419" s="31">
        <v>113282.5</v>
      </c>
      <c r="P419" s="32" t="str">
        <f t="shared" si="149"/>
        <v/>
      </c>
      <c r="Q419" s="31"/>
      <c r="R419" s="31">
        <v>74995</v>
      </c>
      <c r="S419" s="32" t="str">
        <f t="shared" si="150"/>
        <v/>
      </c>
      <c r="T419" s="31"/>
      <c r="U419" s="31">
        <v>673865.25</v>
      </c>
      <c r="V419" s="32" t="str">
        <f t="shared" si="151"/>
        <v/>
      </c>
      <c r="W419" s="31"/>
      <c r="X419" s="31">
        <v>705358.52</v>
      </c>
      <c r="Y419" s="32" t="str">
        <f t="shared" si="152"/>
        <v/>
      </c>
      <c r="Z419" s="31" t="str">
        <f t="shared" si="139"/>
        <v/>
      </c>
      <c r="AA419" s="31">
        <f t="shared" si="140"/>
        <v>1777210.27</v>
      </c>
      <c r="AB419" s="32" t="str">
        <f t="shared" si="153"/>
        <v/>
      </c>
      <c r="AC419" s="31"/>
      <c r="AD419" s="31"/>
      <c r="AE419" s="32" t="str">
        <f t="shared" si="141"/>
        <v/>
      </c>
      <c r="AF419" s="32" t="s">
        <v>313</v>
      </c>
      <c r="AG419" s="31"/>
      <c r="AH419" s="31"/>
      <c r="AI419" s="32" t="str">
        <f t="shared" si="142"/>
        <v/>
      </c>
      <c r="AJ419" s="32" t="s">
        <v>313</v>
      </c>
      <c r="AK419" s="31"/>
      <c r="AL419" s="31"/>
      <c r="AM419" s="32" t="str">
        <f t="shared" si="143"/>
        <v/>
      </c>
      <c r="AN419" s="32" t="s">
        <v>313</v>
      </c>
      <c r="AO419" s="31"/>
      <c r="AP419" s="31"/>
      <c r="AQ419" s="32" t="str">
        <f t="shared" si="144"/>
        <v/>
      </c>
      <c r="AR419" s="32" t="s">
        <v>313</v>
      </c>
      <c r="AS419" s="31"/>
      <c r="AT419" s="31"/>
      <c r="AU419" s="32" t="str">
        <f t="shared" si="145"/>
        <v/>
      </c>
      <c r="AV419" s="32" t="s">
        <v>313</v>
      </c>
      <c r="AW419" s="31"/>
      <c r="AX419" s="31"/>
      <c r="AY419" s="32" t="str">
        <f t="shared" si="146"/>
        <v/>
      </c>
      <c r="AZ419" s="32" t="s">
        <v>313</v>
      </c>
    </row>
    <row r="420" spans="1:52" ht="34" customHeight="1">
      <c r="A420" s="28" t="s">
        <v>328</v>
      </c>
      <c r="B420" s="29" t="s">
        <v>224</v>
      </c>
      <c r="C420" s="29" t="s">
        <v>52</v>
      </c>
      <c r="D420" s="29" t="s">
        <v>65</v>
      </c>
      <c r="E420" s="29" t="s">
        <v>67</v>
      </c>
      <c r="F420" s="29" t="s">
        <v>316</v>
      </c>
      <c r="G420" s="30" t="s">
        <v>312</v>
      </c>
      <c r="H420" s="31"/>
      <c r="I420" s="31">
        <v>156332</v>
      </c>
      <c r="J420" s="32" t="str">
        <f t="shared" si="147"/>
        <v/>
      </c>
      <c r="K420" s="31"/>
      <c r="L420" s="31">
        <v>53377</v>
      </c>
      <c r="M420" s="32" t="str">
        <f t="shared" si="148"/>
        <v/>
      </c>
      <c r="N420" s="31"/>
      <c r="O420" s="31">
        <v>113282.5</v>
      </c>
      <c r="P420" s="32" t="str">
        <f t="shared" si="149"/>
        <v/>
      </c>
      <c r="Q420" s="31"/>
      <c r="R420" s="31">
        <v>74995</v>
      </c>
      <c r="S420" s="32" t="str">
        <f t="shared" si="150"/>
        <v/>
      </c>
      <c r="T420" s="31"/>
      <c r="U420" s="31">
        <v>673865.25</v>
      </c>
      <c r="V420" s="32" t="str">
        <f t="shared" si="151"/>
        <v/>
      </c>
      <c r="W420" s="31"/>
      <c r="X420" s="31">
        <v>705358.52</v>
      </c>
      <c r="Y420" s="32" t="str">
        <f t="shared" si="152"/>
        <v/>
      </c>
      <c r="Z420" s="31" t="str">
        <f t="shared" si="139"/>
        <v/>
      </c>
      <c r="AA420" s="31">
        <f t="shared" si="140"/>
        <v>1777210.27</v>
      </c>
      <c r="AB420" s="32" t="str">
        <f t="shared" si="153"/>
        <v/>
      </c>
      <c r="AC420" s="31"/>
      <c r="AD420" s="31"/>
      <c r="AE420" s="32" t="str">
        <f t="shared" si="141"/>
        <v/>
      </c>
      <c r="AF420" s="32" t="s">
        <v>313</v>
      </c>
      <c r="AG420" s="31"/>
      <c r="AH420" s="31"/>
      <c r="AI420" s="32" t="str">
        <f t="shared" si="142"/>
        <v/>
      </c>
      <c r="AJ420" s="32" t="s">
        <v>313</v>
      </c>
      <c r="AK420" s="31"/>
      <c r="AL420" s="31"/>
      <c r="AM420" s="32" t="str">
        <f t="shared" si="143"/>
        <v/>
      </c>
      <c r="AN420" s="32" t="s">
        <v>313</v>
      </c>
      <c r="AO420" s="31"/>
      <c r="AP420" s="31"/>
      <c r="AQ420" s="32" t="str">
        <f t="shared" si="144"/>
        <v/>
      </c>
      <c r="AR420" s="32" t="s">
        <v>313</v>
      </c>
      <c r="AS420" s="31"/>
      <c r="AT420" s="31"/>
      <c r="AU420" s="32" t="str">
        <f t="shared" si="145"/>
        <v/>
      </c>
      <c r="AV420" s="32" t="s">
        <v>313</v>
      </c>
      <c r="AW420" s="31"/>
      <c r="AX420" s="31"/>
      <c r="AY420" s="32" t="str">
        <f t="shared" si="146"/>
        <v/>
      </c>
      <c r="AZ420" s="32" t="s">
        <v>313</v>
      </c>
    </row>
    <row r="421" spans="1:52" ht="34" customHeight="1">
      <c r="A421" s="28" t="s">
        <v>328</v>
      </c>
      <c r="B421" s="29" t="s">
        <v>224</v>
      </c>
      <c r="C421" s="29" t="s">
        <v>52</v>
      </c>
      <c r="D421" s="29" t="s">
        <v>65</v>
      </c>
      <c r="E421" s="29" t="s">
        <v>68</v>
      </c>
      <c r="F421" s="29" t="s">
        <v>316</v>
      </c>
      <c r="G421" s="30" t="s">
        <v>312</v>
      </c>
      <c r="H421" s="31"/>
      <c r="I421" s="31">
        <v>156332</v>
      </c>
      <c r="J421" s="32" t="str">
        <f t="shared" si="147"/>
        <v/>
      </c>
      <c r="K421" s="31"/>
      <c r="L421" s="31">
        <v>53377</v>
      </c>
      <c r="M421" s="32" t="str">
        <f t="shared" si="148"/>
        <v/>
      </c>
      <c r="N421" s="31"/>
      <c r="O421" s="31">
        <v>113282.5</v>
      </c>
      <c r="P421" s="32" t="str">
        <f t="shared" si="149"/>
        <v/>
      </c>
      <c r="Q421" s="31"/>
      <c r="R421" s="31">
        <v>74995</v>
      </c>
      <c r="S421" s="32" t="str">
        <f t="shared" si="150"/>
        <v/>
      </c>
      <c r="T421" s="31"/>
      <c r="U421" s="31">
        <v>673865.25</v>
      </c>
      <c r="V421" s="32" t="str">
        <f t="shared" si="151"/>
        <v/>
      </c>
      <c r="W421" s="31"/>
      <c r="X421" s="31">
        <v>705358.52</v>
      </c>
      <c r="Y421" s="32" t="str">
        <f t="shared" si="152"/>
        <v/>
      </c>
      <c r="Z421" s="31" t="str">
        <f t="shared" si="139"/>
        <v/>
      </c>
      <c r="AA421" s="31">
        <f t="shared" si="140"/>
        <v>1777210.27</v>
      </c>
      <c r="AB421" s="32" t="str">
        <f t="shared" si="153"/>
        <v/>
      </c>
      <c r="AC421" s="31"/>
      <c r="AD421" s="31"/>
      <c r="AE421" s="32" t="str">
        <f t="shared" si="141"/>
        <v/>
      </c>
      <c r="AF421" s="32" t="s">
        <v>313</v>
      </c>
      <c r="AG421" s="31"/>
      <c r="AH421" s="31"/>
      <c r="AI421" s="32" t="str">
        <f t="shared" si="142"/>
        <v/>
      </c>
      <c r="AJ421" s="32" t="s">
        <v>313</v>
      </c>
      <c r="AK421" s="31"/>
      <c r="AL421" s="31"/>
      <c r="AM421" s="32" t="str">
        <f t="shared" si="143"/>
        <v/>
      </c>
      <c r="AN421" s="32" t="s">
        <v>313</v>
      </c>
      <c r="AO421" s="31"/>
      <c r="AP421" s="31"/>
      <c r="AQ421" s="32" t="str">
        <f t="shared" si="144"/>
        <v/>
      </c>
      <c r="AR421" s="32" t="s">
        <v>313</v>
      </c>
      <c r="AS421" s="31"/>
      <c r="AT421" s="31"/>
      <c r="AU421" s="32" t="str">
        <f t="shared" si="145"/>
        <v/>
      </c>
      <c r="AV421" s="32" t="s">
        <v>313</v>
      </c>
      <c r="AW421" s="31"/>
      <c r="AX421" s="31"/>
      <c r="AY421" s="32" t="str">
        <f t="shared" si="146"/>
        <v/>
      </c>
      <c r="AZ421" s="32" t="s">
        <v>313</v>
      </c>
    </row>
    <row r="422" spans="1:52" ht="34" customHeight="1">
      <c r="A422" s="28" t="s">
        <v>328</v>
      </c>
      <c r="B422" s="29" t="s">
        <v>224</v>
      </c>
      <c r="C422" s="29" t="s">
        <v>52</v>
      </c>
      <c r="D422" s="29" t="s">
        <v>65</v>
      </c>
      <c r="E422" s="29" t="s">
        <v>69</v>
      </c>
      <c r="F422" s="29" t="s">
        <v>316</v>
      </c>
      <c r="G422" s="30" t="s">
        <v>312</v>
      </c>
      <c r="H422" s="31"/>
      <c r="I422" s="31">
        <v>156332</v>
      </c>
      <c r="J422" s="32" t="str">
        <f t="shared" si="147"/>
        <v/>
      </c>
      <c r="K422" s="31"/>
      <c r="L422" s="31">
        <v>53377</v>
      </c>
      <c r="M422" s="32" t="str">
        <f t="shared" si="148"/>
        <v/>
      </c>
      <c r="N422" s="31"/>
      <c r="O422" s="31">
        <v>113282.5</v>
      </c>
      <c r="P422" s="32" t="str">
        <f t="shared" si="149"/>
        <v/>
      </c>
      <c r="Q422" s="31"/>
      <c r="R422" s="31">
        <v>74995</v>
      </c>
      <c r="S422" s="32" t="str">
        <f t="shared" si="150"/>
        <v/>
      </c>
      <c r="T422" s="31"/>
      <c r="U422" s="31">
        <v>673865.25</v>
      </c>
      <c r="V422" s="32" t="str">
        <f t="shared" si="151"/>
        <v/>
      </c>
      <c r="W422" s="31"/>
      <c r="X422" s="31">
        <v>705358.52</v>
      </c>
      <c r="Y422" s="32" t="str">
        <f t="shared" si="152"/>
        <v/>
      </c>
      <c r="Z422" s="31" t="str">
        <f t="shared" si="139"/>
        <v/>
      </c>
      <c r="AA422" s="31">
        <f t="shared" si="140"/>
        <v>1777210.27</v>
      </c>
      <c r="AB422" s="32" t="str">
        <f t="shared" si="153"/>
        <v/>
      </c>
      <c r="AC422" s="31"/>
      <c r="AD422" s="31"/>
      <c r="AE422" s="32" t="str">
        <f t="shared" si="141"/>
        <v/>
      </c>
      <c r="AF422" s="32" t="s">
        <v>313</v>
      </c>
      <c r="AG422" s="31"/>
      <c r="AH422" s="31"/>
      <c r="AI422" s="32" t="str">
        <f t="shared" si="142"/>
        <v/>
      </c>
      <c r="AJ422" s="32" t="s">
        <v>313</v>
      </c>
      <c r="AK422" s="31"/>
      <c r="AL422" s="31"/>
      <c r="AM422" s="32" t="str">
        <f t="shared" si="143"/>
        <v/>
      </c>
      <c r="AN422" s="32" t="s">
        <v>313</v>
      </c>
      <c r="AO422" s="31"/>
      <c r="AP422" s="31"/>
      <c r="AQ422" s="32" t="str">
        <f t="shared" si="144"/>
        <v/>
      </c>
      <c r="AR422" s="32" t="s">
        <v>313</v>
      </c>
      <c r="AS422" s="31"/>
      <c r="AT422" s="31"/>
      <c r="AU422" s="32" t="str">
        <f t="shared" si="145"/>
        <v/>
      </c>
      <c r="AV422" s="32" t="s">
        <v>313</v>
      </c>
      <c r="AW422" s="31"/>
      <c r="AX422" s="31"/>
      <c r="AY422" s="32" t="str">
        <f t="shared" si="146"/>
        <v/>
      </c>
      <c r="AZ422" s="32" t="s">
        <v>313</v>
      </c>
    </row>
    <row r="423" spans="1:52" ht="68" customHeight="1">
      <c r="A423" s="28" t="s">
        <v>328</v>
      </c>
      <c r="B423" s="29" t="s">
        <v>224</v>
      </c>
      <c r="C423" s="29" t="s">
        <v>52</v>
      </c>
      <c r="D423" s="29" t="s">
        <v>70</v>
      </c>
      <c r="E423" s="29" t="s">
        <v>73</v>
      </c>
      <c r="F423" s="29" t="s">
        <v>317</v>
      </c>
      <c r="G423" s="30" t="s">
        <v>312</v>
      </c>
      <c r="H423" s="31">
        <v>38874.730000000003</v>
      </c>
      <c r="I423" s="31">
        <v>156332</v>
      </c>
      <c r="J423" s="32">
        <f t="shared" si="147"/>
        <v>0.24866777115369856</v>
      </c>
      <c r="K423" s="31">
        <v>8703.0300000000007</v>
      </c>
      <c r="L423" s="31">
        <v>53377</v>
      </c>
      <c r="M423" s="32">
        <f t="shared" si="148"/>
        <v>0.16304831669070949</v>
      </c>
      <c r="N423" s="31">
        <v>22448.55</v>
      </c>
      <c r="O423" s="31">
        <v>113282.5</v>
      </c>
      <c r="P423" s="32">
        <f t="shared" si="149"/>
        <v>0.19816432370401429</v>
      </c>
      <c r="Q423" s="31">
        <v>3846.08</v>
      </c>
      <c r="R423" s="31">
        <v>74995</v>
      </c>
      <c r="S423" s="32">
        <f t="shared" si="150"/>
        <v>5.128448563237549E-2</v>
      </c>
      <c r="T423" s="31">
        <v>35358.26</v>
      </c>
      <c r="U423" s="31">
        <v>673865.25</v>
      </c>
      <c r="V423" s="32">
        <f t="shared" si="151"/>
        <v>5.2470816680337803E-2</v>
      </c>
      <c r="W423" s="31">
        <v>50724.03</v>
      </c>
      <c r="X423" s="31">
        <v>705358.52</v>
      </c>
      <c r="Y423" s="32">
        <f t="shared" si="152"/>
        <v>7.1912408458609106E-2</v>
      </c>
      <c r="Z423" s="31">
        <f t="shared" si="139"/>
        <v>159954.68</v>
      </c>
      <c r="AA423" s="31">
        <f t="shared" si="140"/>
        <v>1777210.27</v>
      </c>
      <c r="AB423" s="32">
        <f t="shared" si="153"/>
        <v>9.0003238615090825E-2</v>
      </c>
      <c r="AC423" s="31"/>
      <c r="AD423" s="31"/>
      <c r="AE423" s="32" t="str">
        <f t="shared" si="141"/>
        <v/>
      </c>
      <c r="AF423" s="32" t="s">
        <v>313</v>
      </c>
      <c r="AG423" s="31"/>
      <c r="AH423" s="31"/>
      <c r="AI423" s="32" t="str">
        <f t="shared" si="142"/>
        <v/>
      </c>
      <c r="AJ423" s="32" t="s">
        <v>313</v>
      </c>
      <c r="AK423" s="31"/>
      <c r="AL423" s="31"/>
      <c r="AM423" s="32" t="str">
        <f t="shared" si="143"/>
        <v/>
      </c>
      <c r="AN423" s="32" t="s">
        <v>313</v>
      </c>
      <c r="AO423" s="31"/>
      <c r="AP423" s="31"/>
      <c r="AQ423" s="32" t="str">
        <f t="shared" si="144"/>
        <v/>
      </c>
      <c r="AR423" s="32" t="s">
        <v>313</v>
      </c>
      <c r="AS423" s="31"/>
      <c r="AT423" s="31"/>
      <c r="AU423" s="32" t="str">
        <f t="shared" si="145"/>
        <v/>
      </c>
      <c r="AV423" s="32" t="s">
        <v>313</v>
      </c>
      <c r="AW423" s="31"/>
      <c r="AX423" s="31"/>
      <c r="AY423" s="32" t="str">
        <f t="shared" si="146"/>
        <v/>
      </c>
      <c r="AZ423" s="32" t="s">
        <v>313</v>
      </c>
    </row>
    <row r="424" spans="1:52" ht="34" customHeight="1">
      <c r="A424" s="28" t="s">
        <v>328</v>
      </c>
      <c r="B424" s="29" t="s">
        <v>224</v>
      </c>
      <c r="C424" s="29" t="s">
        <v>52</v>
      </c>
      <c r="D424" s="29" t="s">
        <v>70</v>
      </c>
      <c r="E424" s="29" t="s">
        <v>71</v>
      </c>
      <c r="F424" s="29" t="s">
        <v>316</v>
      </c>
      <c r="G424" s="30" t="s">
        <v>312</v>
      </c>
      <c r="H424" s="31"/>
      <c r="I424" s="31">
        <v>156332</v>
      </c>
      <c r="J424" s="32" t="str">
        <f t="shared" si="147"/>
        <v/>
      </c>
      <c r="K424" s="31"/>
      <c r="L424" s="31">
        <v>53377</v>
      </c>
      <c r="M424" s="32" t="str">
        <f t="shared" si="148"/>
        <v/>
      </c>
      <c r="N424" s="31"/>
      <c r="O424" s="31">
        <v>113282.5</v>
      </c>
      <c r="P424" s="32" t="str">
        <f t="shared" si="149"/>
        <v/>
      </c>
      <c r="Q424" s="31"/>
      <c r="R424" s="31">
        <v>74995</v>
      </c>
      <c r="S424" s="32" t="str">
        <f t="shared" si="150"/>
        <v/>
      </c>
      <c r="T424" s="31"/>
      <c r="U424" s="31">
        <v>673865.25</v>
      </c>
      <c r="V424" s="32" t="str">
        <f t="shared" si="151"/>
        <v/>
      </c>
      <c r="W424" s="31"/>
      <c r="X424" s="31">
        <v>705358.52</v>
      </c>
      <c r="Y424" s="32" t="str">
        <f t="shared" si="152"/>
        <v/>
      </c>
      <c r="Z424" s="31" t="str">
        <f t="shared" si="139"/>
        <v/>
      </c>
      <c r="AA424" s="31">
        <f t="shared" si="140"/>
        <v>1777210.27</v>
      </c>
      <c r="AB424" s="32" t="str">
        <f t="shared" si="153"/>
        <v/>
      </c>
      <c r="AC424" s="31"/>
      <c r="AD424" s="31"/>
      <c r="AE424" s="32" t="str">
        <f t="shared" si="141"/>
        <v/>
      </c>
      <c r="AF424" s="32" t="s">
        <v>313</v>
      </c>
      <c r="AG424" s="31"/>
      <c r="AH424" s="31"/>
      <c r="AI424" s="32" t="str">
        <f t="shared" si="142"/>
        <v/>
      </c>
      <c r="AJ424" s="32" t="s">
        <v>313</v>
      </c>
      <c r="AK424" s="31"/>
      <c r="AL424" s="31"/>
      <c r="AM424" s="32" t="str">
        <f t="shared" si="143"/>
        <v/>
      </c>
      <c r="AN424" s="32" t="s">
        <v>313</v>
      </c>
      <c r="AO424" s="31"/>
      <c r="AP424" s="31"/>
      <c r="AQ424" s="32" t="str">
        <f t="shared" si="144"/>
        <v/>
      </c>
      <c r="AR424" s="32" t="s">
        <v>313</v>
      </c>
      <c r="AS424" s="31"/>
      <c r="AT424" s="31"/>
      <c r="AU424" s="32" t="str">
        <f t="shared" si="145"/>
        <v/>
      </c>
      <c r="AV424" s="32" t="s">
        <v>313</v>
      </c>
      <c r="AW424" s="31"/>
      <c r="AX424" s="31"/>
      <c r="AY424" s="32" t="str">
        <f t="shared" si="146"/>
        <v/>
      </c>
      <c r="AZ424" s="32" t="s">
        <v>313</v>
      </c>
    </row>
    <row r="425" spans="1:52" ht="34" customHeight="1">
      <c r="A425" s="28" t="s">
        <v>328</v>
      </c>
      <c r="B425" s="29" t="s">
        <v>224</v>
      </c>
      <c r="C425" s="29" t="s">
        <v>52</v>
      </c>
      <c r="D425" s="29" t="s">
        <v>70</v>
      </c>
      <c r="E425" s="29" t="s">
        <v>72</v>
      </c>
      <c r="F425" s="29" t="s">
        <v>316</v>
      </c>
      <c r="G425" s="30" t="s">
        <v>312</v>
      </c>
      <c r="H425" s="31"/>
      <c r="I425" s="31">
        <v>156332</v>
      </c>
      <c r="J425" s="32" t="str">
        <f t="shared" si="147"/>
        <v/>
      </c>
      <c r="K425" s="31"/>
      <c r="L425" s="31">
        <v>53377</v>
      </c>
      <c r="M425" s="32" t="str">
        <f t="shared" si="148"/>
        <v/>
      </c>
      <c r="N425" s="31"/>
      <c r="O425" s="31">
        <v>113282.5</v>
      </c>
      <c r="P425" s="32" t="str">
        <f t="shared" si="149"/>
        <v/>
      </c>
      <c r="Q425" s="31"/>
      <c r="R425" s="31">
        <v>74995</v>
      </c>
      <c r="S425" s="32" t="str">
        <f t="shared" si="150"/>
        <v/>
      </c>
      <c r="T425" s="31"/>
      <c r="U425" s="31">
        <v>673865.25</v>
      </c>
      <c r="V425" s="32" t="str">
        <f t="shared" si="151"/>
        <v/>
      </c>
      <c r="W425" s="31"/>
      <c r="X425" s="31">
        <v>705358.52</v>
      </c>
      <c r="Y425" s="32" t="str">
        <f t="shared" si="152"/>
        <v/>
      </c>
      <c r="Z425" s="31" t="str">
        <f t="shared" si="139"/>
        <v/>
      </c>
      <c r="AA425" s="31">
        <f t="shared" si="140"/>
        <v>1777210.27</v>
      </c>
      <c r="AB425" s="32" t="str">
        <f t="shared" si="153"/>
        <v/>
      </c>
      <c r="AC425" s="31"/>
      <c r="AD425" s="31"/>
      <c r="AE425" s="32" t="str">
        <f t="shared" si="141"/>
        <v/>
      </c>
      <c r="AF425" s="32" t="s">
        <v>313</v>
      </c>
      <c r="AG425" s="31"/>
      <c r="AH425" s="31"/>
      <c r="AI425" s="32" t="str">
        <f t="shared" si="142"/>
        <v/>
      </c>
      <c r="AJ425" s="32" t="s">
        <v>313</v>
      </c>
      <c r="AK425" s="31"/>
      <c r="AL425" s="31"/>
      <c r="AM425" s="32" t="str">
        <f t="shared" si="143"/>
        <v/>
      </c>
      <c r="AN425" s="32" t="s">
        <v>313</v>
      </c>
      <c r="AO425" s="31"/>
      <c r="AP425" s="31"/>
      <c r="AQ425" s="32" t="str">
        <f t="shared" si="144"/>
        <v/>
      </c>
      <c r="AR425" s="32" t="s">
        <v>313</v>
      </c>
      <c r="AS425" s="31"/>
      <c r="AT425" s="31"/>
      <c r="AU425" s="32" t="str">
        <f t="shared" si="145"/>
        <v/>
      </c>
      <c r="AV425" s="32" t="s">
        <v>313</v>
      </c>
      <c r="AW425" s="31"/>
      <c r="AX425" s="31"/>
      <c r="AY425" s="32" t="str">
        <f t="shared" si="146"/>
        <v/>
      </c>
      <c r="AZ425" s="32" t="s">
        <v>313</v>
      </c>
    </row>
    <row r="426" spans="1:52" ht="34" customHeight="1">
      <c r="A426" s="28" t="s">
        <v>328</v>
      </c>
      <c r="B426" s="29" t="s">
        <v>224</v>
      </c>
      <c r="C426" s="29" t="s">
        <v>52</v>
      </c>
      <c r="D426" s="29" t="s">
        <v>74</v>
      </c>
      <c r="E426" s="29" t="s">
        <v>75</v>
      </c>
      <c r="F426" s="29" t="s">
        <v>139</v>
      </c>
      <c r="G426" s="30" t="s">
        <v>312</v>
      </c>
      <c r="H426" s="31">
        <v>8985.2000000000007</v>
      </c>
      <c r="I426" s="31">
        <v>156332</v>
      </c>
      <c r="J426" s="32">
        <f t="shared" si="147"/>
        <v>5.7475117058567671E-2</v>
      </c>
      <c r="K426" s="31">
        <v>2569.1999999999998</v>
      </c>
      <c r="L426" s="31">
        <v>53377</v>
      </c>
      <c r="M426" s="32">
        <f t="shared" si="148"/>
        <v>4.8133091031717777E-2</v>
      </c>
      <c r="N426" s="31">
        <v>5063.7</v>
      </c>
      <c r="O426" s="31">
        <v>113282.5</v>
      </c>
      <c r="P426" s="32">
        <f t="shared" si="149"/>
        <v>4.4699755037185797E-2</v>
      </c>
      <c r="Q426" s="31">
        <v>1504.1</v>
      </c>
      <c r="R426" s="31">
        <v>74995</v>
      </c>
      <c r="S426" s="32">
        <f t="shared" si="150"/>
        <v>2.0056003733582236E-2</v>
      </c>
      <c r="T426" s="31">
        <v>12647.2</v>
      </c>
      <c r="U426" s="31">
        <v>673865.25</v>
      </c>
      <c r="V426" s="32">
        <f t="shared" si="151"/>
        <v>1.8768143927884694E-2</v>
      </c>
      <c r="W426" s="31">
        <v>15554</v>
      </c>
      <c r="X426" s="31">
        <v>705358.52</v>
      </c>
      <c r="Y426" s="32">
        <f t="shared" si="152"/>
        <v>2.2051197453459553E-2</v>
      </c>
      <c r="Z426" s="31">
        <f t="shared" si="139"/>
        <v>46323.4</v>
      </c>
      <c r="AA426" s="31">
        <f t="shared" si="140"/>
        <v>1777210.27</v>
      </c>
      <c r="AB426" s="32">
        <f t="shared" si="153"/>
        <v>2.6065233125172071E-2</v>
      </c>
      <c r="AC426" s="31"/>
      <c r="AD426" s="31"/>
      <c r="AE426" s="32" t="str">
        <f t="shared" si="141"/>
        <v/>
      </c>
      <c r="AF426" s="32" t="s">
        <v>313</v>
      </c>
      <c r="AG426" s="31"/>
      <c r="AH426" s="31"/>
      <c r="AI426" s="32" t="str">
        <f t="shared" si="142"/>
        <v/>
      </c>
      <c r="AJ426" s="32" t="s">
        <v>313</v>
      </c>
      <c r="AK426" s="31"/>
      <c r="AL426" s="31"/>
      <c r="AM426" s="32" t="str">
        <f t="shared" si="143"/>
        <v/>
      </c>
      <c r="AN426" s="32" t="s">
        <v>313</v>
      </c>
      <c r="AO426" s="31"/>
      <c r="AP426" s="31"/>
      <c r="AQ426" s="32" t="str">
        <f t="shared" si="144"/>
        <v/>
      </c>
      <c r="AR426" s="32" t="s">
        <v>313</v>
      </c>
      <c r="AS426" s="31"/>
      <c r="AT426" s="31"/>
      <c r="AU426" s="32" t="str">
        <f t="shared" si="145"/>
        <v/>
      </c>
      <c r="AV426" s="32" t="s">
        <v>313</v>
      </c>
      <c r="AW426" s="31"/>
      <c r="AX426" s="31"/>
      <c r="AY426" s="32" t="str">
        <f t="shared" si="146"/>
        <v/>
      </c>
      <c r="AZ426" s="32" t="s">
        <v>313</v>
      </c>
    </row>
    <row r="427" spans="1:52" ht="34" customHeight="1">
      <c r="A427" s="28" t="s">
        <v>328</v>
      </c>
      <c r="B427" s="29" t="s">
        <v>224</v>
      </c>
      <c r="C427" s="29" t="s">
        <v>52</v>
      </c>
      <c r="D427" s="29" t="s">
        <v>74</v>
      </c>
      <c r="E427" s="29" t="s">
        <v>76</v>
      </c>
      <c r="F427" s="29" t="s">
        <v>141</v>
      </c>
      <c r="G427" s="30" t="s">
        <v>312</v>
      </c>
      <c r="H427" s="31">
        <v>8270.8319649999994</v>
      </c>
      <c r="I427" s="31">
        <v>156332</v>
      </c>
      <c r="J427" s="32">
        <f t="shared" si="147"/>
        <v>5.2905559738249362E-2</v>
      </c>
      <c r="K427" s="31">
        <v>1848.34959728166</v>
      </c>
      <c r="L427" s="31">
        <v>53377</v>
      </c>
      <c r="M427" s="32">
        <f t="shared" si="148"/>
        <v>3.4628203107736663E-2</v>
      </c>
      <c r="N427" s="31">
        <v>3995.46</v>
      </c>
      <c r="O427" s="31">
        <v>113282.5</v>
      </c>
      <c r="P427" s="32">
        <f t="shared" si="149"/>
        <v>3.5269878401341777E-2</v>
      </c>
      <c r="Q427" s="31">
        <v>663.99</v>
      </c>
      <c r="R427" s="31">
        <v>74995</v>
      </c>
      <c r="S427" s="32">
        <f t="shared" si="150"/>
        <v>8.8537902526835115E-3</v>
      </c>
      <c r="T427" s="31">
        <v>5777.4</v>
      </c>
      <c r="U427" s="31">
        <v>673865.25</v>
      </c>
      <c r="V427" s="32">
        <f t="shared" si="151"/>
        <v>8.5735241578342256E-3</v>
      </c>
      <c r="W427" s="31">
        <v>7720.39</v>
      </c>
      <c r="X427" s="31">
        <v>705358.52</v>
      </c>
      <c r="Y427" s="32">
        <f t="shared" si="152"/>
        <v>1.0945341668234191E-2</v>
      </c>
      <c r="Z427" s="31">
        <f t="shared" si="139"/>
        <v>28276.421562281659</v>
      </c>
      <c r="AA427" s="31">
        <f t="shared" si="140"/>
        <v>1777210.27</v>
      </c>
      <c r="AB427" s="32">
        <f t="shared" si="153"/>
        <v>1.5910566149430174E-2</v>
      </c>
      <c r="AC427" s="31"/>
      <c r="AD427" s="31"/>
      <c r="AE427" s="32" t="str">
        <f t="shared" si="141"/>
        <v/>
      </c>
      <c r="AF427" s="32" t="s">
        <v>313</v>
      </c>
      <c r="AG427" s="31"/>
      <c r="AH427" s="31"/>
      <c r="AI427" s="32" t="str">
        <f t="shared" si="142"/>
        <v/>
      </c>
      <c r="AJ427" s="32" t="s">
        <v>313</v>
      </c>
      <c r="AK427" s="31"/>
      <c r="AL427" s="31"/>
      <c r="AM427" s="32" t="str">
        <f t="shared" si="143"/>
        <v/>
      </c>
      <c r="AN427" s="32" t="s">
        <v>313</v>
      </c>
      <c r="AO427" s="31"/>
      <c r="AP427" s="31"/>
      <c r="AQ427" s="32" t="str">
        <f t="shared" si="144"/>
        <v/>
      </c>
      <c r="AR427" s="32" t="s">
        <v>313</v>
      </c>
      <c r="AS427" s="31"/>
      <c r="AT427" s="31"/>
      <c r="AU427" s="32" t="str">
        <f t="shared" si="145"/>
        <v/>
      </c>
      <c r="AV427" s="32" t="s">
        <v>313</v>
      </c>
      <c r="AW427" s="31"/>
      <c r="AX427" s="31"/>
      <c r="AY427" s="32" t="str">
        <f t="shared" si="146"/>
        <v/>
      </c>
      <c r="AZ427" s="32" t="s">
        <v>313</v>
      </c>
    </row>
    <row r="428" spans="1:52" ht="34" customHeight="1">
      <c r="A428" s="28" t="s">
        <v>328</v>
      </c>
      <c r="B428" s="29" t="s">
        <v>224</v>
      </c>
      <c r="C428" s="29" t="s">
        <v>52</v>
      </c>
      <c r="D428" s="29" t="s">
        <v>74</v>
      </c>
      <c r="E428" s="29" t="s">
        <v>77</v>
      </c>
      <c r="F428" s="29" t="s">
        <v>316</v>
      </c>
      <c r="G428" s="30" t="s">
        <v>312</v>
      </c>
      <c r="H428" s="31"/>
      <c r="I428" s="31">
        <v>156332</v>
      </c>
      <c r="J428" s="32" t="str">
        <f t="shared" si="147"/>
        <v/>
      </c>
      <c r="K428" s="31"/>
      <c r="L428" s="31">
        <v>53377</v>
      </c>
      <c r="M428" s="32" t="str">
        <f t="shared" si="148"/>
        <v/>
      </c>
      <c r="N428" s="31"/>
      <c r="O428" s="31">
        <v>113282.5</v>
      </c>
      <c r="P428" s="32" t="str">
        <f t="shared" si="149"/>
        <v/>
      </c>
      <c r="Q428" s="31"/>
      <c r="R428" s="31">
        <v>74995</v>
      </c>
      <c r="S428" s="32" t="str">
        <f t="shared" si="150"/>
        <v/>
      </c>
      <c r="T428" s="31"/>
      <c r="U428" s="31">
        <v>673865.25</v>
      </c>
      <c r="V428" s="32" t="str">
        <f t="shared" si="151"/>
        <v/>
      </c>
      <c r="W428" s="31"/>
      <c r="X428" s="31">
        <v>705358.52</v>
      </c>
      <c r="Y428" s="32" t="str">
        <f t="shared" si="152"/>
        <v/>
      </c>
      <c r="Z428" s="31" t="str">
        <f t="shared" si="139"/>
        <v/>
      </c>
      <c r="AA428" s="31">
        <f t="shared" si="140"/>
        <v>1777210.27</v>
      </c>
      <c r="AB428" s="32" t="str">
        <f t="shared" si="153"/>
        <v/>
      </c>
      <c r="AC428" s="31"/>
      <c r="AD428" s="31"/>
      <c r="AE428" s="32" t="str">
        <f t="shared" si="141"/>
        <v/>
      </c>
      <c r="AF428" s="32" t="s">
        <v>313</v>
      </c>
      <c r="AG428" s="31"/>
      <c r="AH428" s="31"/>
      <c r="AI428" s="32" t="str">
        <f t="shared" si="142"/>
        <v/>
      </c>
      <c r="AJ428" s="32" t="s">
        <v>313</v>
      </c>
      <c r="AK428" s="31"/>
      <c r="AL428" s="31"/>
      <c r="AM428" s="32" t="str">
        <f t="shared" si="143"/>
        <v/>
      </c>
      <c r="AN428" s="32" t="s">
        <v>313</v>
      </c>
      <c r="AO428" s="31"/>
      <c r="AP428" s="31"/>
      <c r="AQ428" s="32" t="str">
        <f t="shared" si="144"/>
        <v/>
      </c>
      <c r="AR428" s="32" t="s">
        <v>313</v>
      </c>
      <c r="AS428" s="31"/>
      <c r="AT428" s="31"/>
      <c r="AU428" s="32" t="str">
        <f t="shared" si="145"/>
        <v/>
      </c>
      <c r="AV428" s="32" t="s">
        <v>313</v>
      </c>
      <c r="AW428" s="31"/>
      <c r="AX428" s="31"/>
      <c r="AY428" s="32" t="str">
        <f t="shared" si="146"/>
        <v/>
      </c>
      <c r="AZ428" s="32" t="s">
        <v>313</v>
      </c>
    </row>
    <row r="429" spans="1:52" ht="34" customHeight="1">
      <c r="A429" s="28" t="s">
        <v>328</v>
      </c>
      <c r="B429" s="29" t="s">
        <v>224</v>
      </c>
      <c r="C429" s="29" t="s">
        <v>52</v>
      </c>
      <c r="D429" s="29" t="s">
        <v>74</v>
      </c>
      <c r="E429" s="29" t="s">
        <v>78</v>
      </c>
      <c r="F429" s="29" t="s">
        <v>144</v>
      </c>
      <c r="G429" s="30" t="s">
        <v>312</v>
      </c>
      <c r="H429" s="31">
        <v>5467.1863252788999</v>
      </c>
      <c r="I429" s="31">
        <v>156332</v>
      </c>
      <c r="J429" s="32">
        <f t="shared" si="147"/>
        <v>3.4971639365445971E-2</v>
      </c>
      <c r="K429" s="31">
        <v>1844.42099829479</v>
      </c>
      <c r="L429" s="31">
        <v>53377</v>
      </c>
      <c r="M429" s="32">
        <f t="shared" si="148"/>
        <v>3.4554602137527216E-2</v>
      </c>
      <c r="N429" s="31">
        <v>255.002431636252</v>
      </c>
      <c r="O429" s="31">
        <v>113282.5</v>
      </c>
      <c r="P429" s="32">
        <f t="shared" si="149"/>
        <v>2.2510311092732945E-3</v>
      </c>
      <c r="Q429" s="31">
        <v>306.05199465843901</v>
      </c>
      <c r="R429" s="31">
        <v>74995</v>
      </c>
      <c r="S429" s="32">
        <f t="shared" si="150"/>
        <v>4.0809653264676183E-3</v>
      </c>
      <c r="T429" s="31">
        <v>209.086669069263</v>
      </c>
      <c r="U429" s="31">
        <v>673865.25</v>
      </c>
      <c r="V429" s="32">
        <f t="shared" si="151"/>
        <v>3.1027964280583249E-4</v>
      </c>
      <c r="W429" s="31">
        <v>4630.5460902909499</v>
      </c>
      <c r="X429" s="31">
        <v>705358.52</v>
      </c>
      <c r="Y429" s="32">
        <f t="shared" si="152"/>
        <v>6.5648120196959555E-3</v>
      </c>
      <c r="Z429" s="31">
        <f t="shared" si="139"/>
        <v>12712.294509228594</v>
      </c>
      <c r="AA429" s="31">
        <f t="shared" si="140"/>
        <v>1777210.27</v>
      </c>
      <c r="AB429" s="32">
        <f t="shared" si="153"/>
        <v>7.1529490481892126E-3</v>
      </c>
      <c r="AC429" s="31"/>
      <c r="AD429" s="31"/>
      <c r="AE429" s="32" t="str">
        <f t="shared" si="141"/>
        <v/>
      </c>
      <c r="AF429" s="32" t="s">
        <v>313</v>
      </c>
      <c r="AG429" s="31"/>
      <c r="AH429" s="31"/>
      <c r="AI429" s="32" t="str">
        <f t="shared" si="142"/>
        <v/>
      </c>
      <c r="AJ429" s="32" t="s">
        <v>313</v>
      </c>
      <c r="AK429" s="31"/>
      <c r="AL429" s="31"/>
      <c r="AM429" s="32" t="str">
        <f t="shared" si="143"/>
        <v/>
      </c>
      <c r="AN429" s="32" t="s">
        <v>313</v>
      </c>
      <c r="AO429" s="31"/>
      <c r="AP429" s="31"/>
      <c r="AQ429" s="32" t="str">
        <f t="shared" si="144"/>
        <v/>
      </c>
      <c r="AR429" s="32" t="s">
        <v>313</v>
      </c>
      <c r="AS429" s="31"/>
      <c r="AT429" s="31"/>
      <c r="AU429" s="32" t="str">
        <f t="shared" si="145"/>
        <v/>
      </c>
      <c r="AV429" s="32" t="s">
        <v>313</v>
      </c>
      <c r="AW429" s="31"/>
      <c r="AX429" s="31"/>
      <c r="AY429" s="32" t="str">
        <f t="shared" si="146"/>
        <v/>
      </c>
      <c r="AZ429" s="32" t="s">
        <v>313</v>
      </c>
    </row>
    <row r="430" spans="1:52" ht="34" customHeight="1">
      <c r="A430" s="28" t="s">
        <v>328</v>
      </c>
      <c r="B430" s="29" t="s">
        <v>224</v>
      </c>
      <c r="C430" s="29" t="s">
        <v>52</v>
      </c>
      <c r="D430" s="29" t="s">
        <v>79</v>
      </c>
      <c r="E430" s="29" t="s">
        <v>80</v>
      </c>
      <c r="F430" s="29" t="s">
        <v>318</v>
      </c>
      <c r="G430" s="30" t="s">
        <v>312</v>
      </c>
      <c r="H430" s="31">
        <v>0</v>
      </c>
      <c r="I430" s="31">
        <v>156332</v>
      </c>
      <c r="J430" s="32">
        <f t="shared" si="147"/>
        <v>0</v>
      </c>
      <c r="K430" s="31">
        <v>0</v>
      </c>
      <c r="L430" s="31">
        <v>53377</v>
      </c>
      <c r="M430" s="32">
        <f t="shared" si="148"/>
        <v>0</v>
      </c>
      <c r="N430" s="31">
        <v>4905.2424769571098</v>
      </c>
      <c r="O430" s="31">
        <v>113282.5</v>
      </c>
      <c r="P430" s="32">
        <f t="shared" si="149"/>
        <v>4.3300973027229357E-2</v>
      </c>
      <c r="Q430" s="31">
        <v>6457.7991530422296</v>
      </c>
      <c r="R430" s="31">
        <v>74995</v>
      </c>
      <c r="S430" s="32">
        <f t="shared" si="150"/>
        <v>8.6109729355853454E-2</v>
      </c>
      <c r="T430" s="31">
        <v>48007.515185336997</v>
      </c>
      <c r="U430" s="31">
        <v>673865.25</v>
      </c>
      <c r="V430" s="32">
        <f t="shared" si="151"/>
        <v>7.1242010454370508E-2</v>
      </c>
      <c r="W430" s="31">
        <v>75483.980286922902</v>
      </c>
      <c r="X430" s="31">
        <v>705358.52</v>
      </c>
      <c r="Y430" s="32">
        <f t="shared" si="152"/>
        <v>0.10701505425485312</v>
      </c>
      <c r="Z430" s="31">
        <f t="shared" si="139"/>
        <v>134854.53710225923</v>
      </c>
      <c r="AA430" s="31">
        <f t="shared" si="140"/>
        <v>1777210.27</v>
      </c>
      <c r="AB430" s="32">
        <f t="shared" si="153"/>
        <v>7.5879899738740098E-2</v>
      </c>
      <c r="AC430" s="31"/>
      <c r="AD430" s="31"/>
      <c r="AE430" s="32" t="str">
        <f t="shared" si="141"/>
        <v/>
      </c>
      <c r="AF430" s="32" t="s">
        <v>313</v>
      </c>
      <c r="AG430" s="31"/>
      <c r="AH430" s="31"/>
      <c r="AI430" s="32" t="str">
        <f t="shared" si="142"/>
        <v/>
      </c>
      <c r="AJ430" s="32" t="s">
        <v>313</v>
      </c>
      <c r="AK430" s="31"/>
      <c r="AL430" s="31"/>
      <c r="AM430" s="32" t="str">
        <f t="shared" si="143"/>
        <v/>
      </c>
      <c r="AN430" s="32" t="s">
        <v>313</v>
      </c>
      <c r="AO430" s="31"/>
      <c r="AP430" s="31"/>
      <c r="AQ430" s="32" t="str">
        <f t="shared" si="144"/>
        <v/>
      </c>
      <c r="AR430" s="32" t="s">
        <v>313</v>
      </c>
      <c r="AS430" s="31"/>
      <c r="AT430" s="31"/>
      <c r="AU430" s="32" t="str">
        <f t="shared" si="145"/>
        <v/>
      </c>
      <c r="AV430" s="32" t="s">
        <v>313</v>
      </c>
      <c r="AW430" s="31"/>
      <c r="AX430" s="31"/>
      <c r="AY430" s="32" t="str">
        <f t="shared" si="146"/>
        <v/>
      </c>
      <c r="AZ430" s="32" t="s">
        <v>313</v>
      </c>
    </row>
    <row r="431" spans="1:52" ht="34" customHeight="1">
      <c r="A431" s="28" t="s">
        <v>328</v>
      </c>
      <c r="B431" s="29" t="s">
        <v>224</v>
      </c>
      <c r="C431" s="29" t="s">
        <v>52</v>
      </c>
      <c r="D431" s="29" t="s">
        <v>79</v>
      </c>
      <c r="E431" s="29" t="s">
        <v>81</v>
      </c>
      <c r="F431" s="29" t="s">
        <v>316</v>
      </c>
      <c r="G431" s="30" t="s">
        <v>312</v>
      </c>
      <c r="H431" s="31"/>
      <c r="I431" s="31">
        <v>156332</v>
      </c>
      <c r="J431" s="32" t="str">
        <f t="shared" si="147"/>
        <v/>
      </c>
      <c r="K431" s="31"/>
      <c r="L431" s="31">
        <v>53377</v>
      </c>
      <c r="M431" s="32" t="str">
        <f t="shared" si="148"/>
        <v/>
      </c>
      <c r="N431" s="31"/>
      <c r="O431" s="31">
        <v>113282.5</v>
      </c>
      <c r="P431" s="32" t="str">
        <f t="shared" si="149"/>
        <v/>
      </c>
      <c r="Q431" s="31"/>
      <c r="R431" s="31">
        <v>74995</v>
      </c>
      <c r="S431" s="32" t="str">
        <f t="shared" si="150"/>
        <v/>
      </c>
      <c r="T431" s="31"/>
      <c r="U431" s="31">
        <v>673865.25</v>
      </c>
      <c r="V431" s="32" t="str">
        <f t="shared" si="151"/>
        <v/>
      </c>
      <c r="W431" s="31"/>
      <c r="X431" s="31">
        <v>705358.52</v>
      </c>
      <c r="Y431" s="32" t="str">
        <f t="shared" si="152"/>
        <v/>
      </c>
      <c r="Z431" s="31" t="str">
        <f t="shared" si="139"/>
        <v/>
      </c>
      <c r="AA431" s="31">
        <f t="shared" si="140"/>
        <v>1777210.27</v>
      </c>
      <c r="AB431" s="32" t="str">
        <f t="shared" si="153"/>
        <v/>
      </c>
      <c r="AC431" s="31"/>
      <c r="AD431" s="31"/>
      <c r="AE431" s="32" t="str">
        <f t="shared" si="141"/>
        <v/>
      </c>
      <c r="AF431" s="32" t="s">
        <v>313</v>
      </c>
      <c r="AG431" s="31"/>
      <c r="AH431" s="31"/>
      <c r="AI431" s="32" t="str">
        <f t="shared" si="142"/>
        <v/>
      </c>
      <c r="AJ431" s="32" t="s">
        <v>313</v>
      </c>
      <c r="AK431" s="31"/>
      <c r="AL431" s="31"/>
      <c r="AM431" s="32" t="str">
        <f t="shared" si="143"/>
        <v/>
      </c>
      <c r="AN431" s="32" t="s">
        <v>313</v>
      </c>
      <c r="AO431" s="31"/>
      <c r="AP431" s="31"/>
      <c r="AQ431" s="32" t="str">
        <f t="shared" si="144"/>
        <v/>
      </c>
      <c r="AR431" s="32" t="s">
        <v>313</v>
      </c>
      <c r="AS431" s="31"/>
      <c r="AT431" s="31"/>
      <c r="AU431" s="32" t="str">
        <f t="shared" si="145"/>
        <v/>
      </c>
      <c r="AV431" s="32" t="s">
        <v>313</v>
      </c>
      <c r="AW431" s="31"/>
      <c r="AX431" s="31"/>
      <c r="AY431" s="32" t="str">
        <f t="shared" si="146"/>
        <v/>
      </c>
      <c r="AZ431" s="32" t="s">
        <v>313</v>
      </c>
    </row>
    <row r="432" spans="1:52" ht="34" customHeight="1">
      <c r="A432" s="28" t="s">
        <v>328</v>
      </c>
      <c r="B432" s="29" t="s">
        <v>224</v>
      </c>
      <c r="C432" s="29" t="s">
        <v>52</v>
      </c>
      <c r="D432" s="29" t="s">
        <v>79</v>
      </c>
      <c r="E432" s="29" t="s">
        <v>82</v>
      </c>
      <c r="F432" s="29" t="s">
        <v>316</v>
      </c>
      <c r="G432" s="30" t="s">
        <v>312</v>
      </c>
      <c r="H432" s="31"/>
      <c r="I432" s="31">
        <v>156332</v>
      </c>
      <c r="J432" s="32" t="str">
        <f t="shared" si="147"/>
        <v/>
      </c>
      <c r="K432" s="31"/>
      <c r="L432" s="31">
        <v>53377</v>
      </c>
      <c r="M432" s="32" t="str">
        <f t="shared" si="148"/>
        <v/>
      </c>
      <c r="N432" s="31"/>
      <c r="O432" s="31">
        <v>113282.5</v>
      </c>
      <c r="P432" s="32" t="str">
        <f t="shared" si="149"/>
        <v/>
      </c>
      <c r="Q432" s="31"/>
      <c r="R432" s="31">
        <v>74995</v>
      </c>
      <c r="S432" s="32" t="str">
        <f t="shared" si="150"/>
        <v/>
      </c>
      <c r="T432" s="31"/>
      <c r="U432" s="31">
        <v>673865.25</v>
      </c>
      <c r="V432" s="32" t="str">
        <f t="shared" si="151"/>
        <v/>
      </c>
      <c r="W432" s="31"/>
      <c r="X432" s="31">
        <v>705358.52</v>
      </c>
      <c r="Y432" s="32" t="str">
        <f t="shared" si="152"/>
        <v/>
      </c>
      <c r="Z432" s="31" t="str">
        <f t="shared" si="139"/>
        <v/>
      </c>
      <c r="AA432" s="31">
        <f t="shared" si="140"/>
        <v>1777210.27</v>
      </c>
      <c r="AB432" s="32" t="str">
        <f t="shared" si="153"/>
        <v/>
      </c>
      <c r="AC432" s="31"/>
      <c r="AD432" s="31"/>
      <c r="AE432" s="32" t="str">
        <f t="shared" si="141"/>
        <v/>
      </c>
      <c r="AF432" s="32" t="s">
        <v>313</v>
      </c>
      <c r="AG432" s="31"/>
      <c r="AH432" s="31"/>
      <c r="AI432" s="32" t="str">
        <f t="shared" si="142"/>
        <v/>
      </c>
      <c r="AJ432" s="32" t="s">
        <v>313</v>
      </c>
      <c r="AK432" s="31"/>
      <c r="AL432" s="31"/>
      <c r="AM432" s="32" t="str">
        <f t="shared" si="143"/>
        <v/>
      </c>
      <c r="AN432" s="32" t="s">
        <v>313</v>
      </c>
      <c r="AO432" s="31"/>
      <c r="AP432" s="31"/>
      <c r="AQ432" s="32" t="str">
        <f t="shared" si="144"/>
        <v/>
      </c>
      <c r="AR432" s="32" t="s">
        <v>313</v>
      </c>
      <c r="AS432" s="31"/>
      <c r="AT432" s="31"/>
      <c r="AU432" s="32" t="str">
        <f t="shared" si="145"/>
        <v/>
      </c>
      <c r="AV432" s="32" t="s">
        <v>313</v>
      </c>
      <c r="AW432" s="31"/>
      <c r="AX432" s="31"/>
      <c r="AY432" s="32" t="str">
        <f t="shared" si="146"/>
        <v/>
      </c>
      <c r="AZ432" s="32" t="s">
        <v>313</v>
      </c>
    </row>
    <row r="433" spans="1:52" ht="34" customHeight="1">
      <c r="A433" s="28" t="s">
        <v>328</v>
      </c>
      <c r="B433" s="29" t="s">
        <v>224</v>
      </c>
      <c r="C433" s="29" t="s">
        <v>85</v>
      </c>
      <c r="D433" s="29" t="s">
        <v>79</v>
      </c>
      <c r="E433" s="29" t="s">
        <v>80</v>
      </c>
      <c r="F433" s="29" t="s">
        <v>316</v>
      </c>
      <c r="G433" s="30" t="s">
        <v>312</v>
      </c>
      <c r="H433" s="31"/>
      <c r="I433" s="31">
        <v>156332</v>
      </c>
      <c r="J433" s="32" t="str">
        <f t="shared" si="147"/>
        <v/>
      </c>
      <c r="K433" s="31"/>
      <c r="L433" s="31">
        <v>53377</v>
      </c>
      <c r="M433" s="32" t="str">
        <f t="shared" si="148"/>
        <v/>
      </c>
      <c r="N433" s="31"/>
      <c r="O433" s="31">
        <v>113282.5</v>
      </c>
      <c r="P433" s="32" t="str">
        <f t="shared" si="149"/>
        <v/>
      </c>
      <c r="Q433" s="31"/>
      <c r="R433" s="31">
        <v>74995</v>
      </c>
      <c r="S433" s="32" t="str">
        <f t="shared" si="150"/>
        <v/>
      </c>
      <c r="T433" s="31"/>
      <c r="U433" s="31">
        <v>673865.25</v>
      </c>
      <c r="V433" s="32" t="str">
        <f t="shared" si="151"/>
        <v/>
      </c>
      <c r="W433" s="31"/>
      <c r="X433" s="31">
        <v>705358.52</v>
      </c>
      <c r="Y433" s="32" t="str">
        <f t="shared" si="152"/>
        <v/>
      </c>
      <c r="Z433" s="31" t="str">
        <f t="shared" si="139"/>
        <v/>
      </c>
      <c r="AA433" s="31">
        <f t="shared" si="140"/>
        <v>1777210.27</v>
      </c>
      <c r="AB433" s="32" t="str">
        <f t="shared" si="153"/>
        <v/>
      </c>
      <c r="AC433" s="31"/>
      <c r="AD433" s="31"/>
      <c r="AE433" s="32" t="str">
        <f t="shared" si="141"/>
        <v/>
      </c>
      <c r="AF433" s="32" t="s">
        <v>313</v>
      </c>
      <c r="AG433" s="31"/>
      <c r="AH433" s="31"/>
      <c r="AI433" s="32" t="str">
        <f t="shared" si="142"/>
        <v/>
      </c>
      <c r="AJ433" s="32" t="s">
        <v>313</v>
      </c>
      <c r="AK433" s="31"/>
      <c r="AL433" s="31"/>
      <c r="AM433" s="32" t="str">
        <f t="shared" si="143"/>
        <v/>
      </c>
      <c r="AN433" s="32" t="s">
        <v>313</v>
      </c>
      <c r="AO433" s="31"/>
      <c r="AP433" s="31"/>
      <c r="AQ433" s="32" t="str">
        <f t="shared" si="144"/>
        <v/>
      </c>
      <c r="AR433" s="32" t="s">
        <v>313</v>
      </c>
      <c r="AS433" s="31"/>
      <c r="AT433" s="31"/>
      <c r="AU433" s="32" t="str">
        <f t="shared" si="145"/>
        <v/>
      </c>
      <c r="AV433" s="32" t="s">
        <v>313</v>
      </c>
      <c r="AW433" s="31"/>
      <c r="AX433" s="31"/>
      <c r="AY433" s="32" t="str">
        <f t="shared" si="146"/>
        <v/>
      </c>
      <c r="AZ433" s="32" t="s">
        <v>313</v>
      </c>
    </row>
    <row r="434" spans="1:52" ht="34" customHeight="1">
      <c r="A434" s="28" t="s">
        <v>328</v>
      </c>
      <c r="B434" s="29" t="s">
        <v>224</v>
      </c>
      <c r="C434" s="29" t="s">
        <v>85</v>
      </c>
      <c r="D434" s="29" t="s">
        <v>79</v>
      </c>
      <c r="E434" s="29" t="s">
        <v>81</v>
      </c>
      <c r="F434" s="29" t="s">
        <v>316</v>
      </c>
      <c r="G434" s="30" t="s">
        <v>312</v>
      </c>
      <c r="H434" s="31"/>
      <c r="I434" s="31">
        <v>156332</v>
      </c>
      <c r="J434" s="32" t="str">
        <f t="shared" si="147"/>
        <v/>
      </c>
      <c r="K434" s="31"/>
      <c r="L434" s="31">
        <v>53377</v>
      </c>
      <c r="M434" s="32" t="str">
        <f t="shared" si="148"/>
        <v/>
      </c>
      <c r="N434" s="31"/>
      <c r="O434" s="31">
        <v>113282.5</v>
      </c>
      <c r="P434" s="32" t="str">
        <f t="shared" si="149"/>
        <v/>
      </c>
      <c r="Q434" s="31"/>
      <c r="R434" s="31">
        <v>74995</v>
      </c>
      <c r="S434" s="32" t="str">
        <f t="shared" si="150"/>
        <v/>
      </c>
      <c r="T434" s="31"/>
      <c r="U434" s="31">
        <v>673865.25</v>
      </c>
      <c r="V434" s="32" t="str">
        <f t="shared" si="151"/>
        <v/>
      </c>
      <c r="W434" s="31"/>
      <c r="X434" s="31">
        <v>705358.52</v>
      </c>
      <c r="Y434" s="32" t="str">
        <f t="shared" si="152"/>
        <v/>
      </c>
      <c r="Z434" s="31" t="str">
        <f t="shared" si="139"/>
        <v/>
      </c>
      <c r="AA434" s="31">
        <f t="shared" si="140"/>
        <v>1777210.27</v>
      </c>
      <c r="AB434" s="32" t="str">
        <f t="shared" si="153"/>
        <v/>
      </c>
      <c r="AC434" s="31"/>
      <c r="AD434" s="31"/>
      <c r="AE434" s="32" t="str">
        <f t="shared" si="141"/>
        <v/>
      </c>
      <c r="AF434" s="32" t="s">
        <v>313</v>
      </c>
      <c r="AG434" s="31"/>
      <c r="AH434" s="31"/>
      <c r="AI434" s="32" t="str">
        <f t="shared" si="142"/>
        <v/>
      </c>
      <c r="AJ434" s="32" t="s">
        <v>313</v>
      </c>
      <c r="AK434" s="31"/>
      <c r="AL434" s="31"/>
      <c r="AM434" s="32" t="str">
        <f t="shared" si="143"/>
        <v/>
      </c>
      <c r="AN434" s="32" t="s">
        <v>313</v>
      </c>
      <c r="AO434" s="31"/>
      <c r="AP434" s="31"/>
      <c r="AQ434" s="32" t="str">
        <f t="shared" si="144"/>
        <v/>
      </c>
      <c r="AR434" s="32" t="s">
        <v>313</v>
      </c>
      <c r="AS434" s="31"/>
      <c r="AT434" s="31"/>
      <c r="AU434" s="32" t="str">
        <f t="shared" si="145"/>
        <v/>
      </c>
      <c r="AV434" s="32" t="s">
        <v>313</v>
      </c>
      <c r="AW434" s="31"/>
      <c r="AX434" s="31"/>
      <c r="AY434" s="32" t="str">
        <f t="shared" si="146"/>
        <v/>
      </c>
      <c r="AZ434" s="32" t="s">
        <v>313</v>
      </c>
    </row>
    <row r="435" spans="1:52" ht="34" customHeight="1">
      <c r="A435" s="28" t="s">
        <v>328</v>
      </c>
      <c r="B435" s="29" t="s">
        <v>224</v>
      </c>
      <c r="C435" s="29" t="s">
        <v>85</v>
      </c>
      <c r="D435" s="29" t="s">
        <v>79</v>
      </c>
      <c r="E435" s="29" t="s">
        <v>82</v>
      </c>
      <c r="F435" s="29" t="s">
        <v>319</v>
      </c>
      <c r="G435" s="30" t="s">
        <v>312</v>
      </c>
      <c r="H435" s="31">
        <v>0</v>
      </c>
      <c r="I435" s="31">
        <v>156332</v>
      </c>
      <c r="J435" s="32">
        <f t="shared" si="147"/>
        <v>0</v>
      </c>
      <c r="K435" s="31">
        <v>0</v>
      </c>
      <c r="L435" s="31">
        <v>53377</v>
      </c>
      <c r="M435" s="32">
        <f t="shared" si="148"/>
        <v>0</v>
      </c>
      <c r="N435" s="31">
        <v>627.23593612441903</v>
      </c>
      <c r="O435" s="31">
        <v>113282.5</v>
      </c>
      <c r="P435" s="32">
        <f t="shared" si="149"/>
        <v>5.5369182011733411E-3</v>
      </c>
      <c r="Q435" s="31">
        <v>703.06109417618404</v>
      </c>
      <c r="R435" s="31">
        <v>74995</v>
      </c>
      <c r="S435" s="32">
        <f t="shared" si="150"/>
        <v>9.3747729072096008E-3</v>
      </c>
      <c r="T435" s="31">
        <v>3891.5612232958401</v>
      </c>
      <c r="U435" s="31">
        <v>673865.25</v>
      </c>
      <c r="V435" s="32">
        <f t="shared" si="151"/>
        <v>5.7749842765980886E-3</v>
      </c>
      <c r="W435" s="31">
        <v>4336.5528409377303</v>
      </c>
      <c r="X435" s="31">
        <v>705358.52</v>
      </c>
      <c r="Y435" s="32">
        <f t="shared" si="152"/>
        <v>6.1480122774128119E-3</v>
      </c>
      <c r="Z435" s="31">
        <f t="shared" si="139"/>
        <v>9558.4110945341745</v>
      </c>
      <c r="AA435" s="31">
        <f t="shared" si="140"/>
        <v>1777210.27</v>
      </c>
      <c r="AB435" s="32">
        <f t="shared" si="153"/>
        <v>5.3783231257909479E-3</v>
      </c>
      <c r="AC435" s="31"/>
      <c r="AD435" s="31"/>
      <c r="AE435" s="32" t="str">
        <f t="shared" si="141"/>
        <v/>
      </c>
      <c r="AF435" s="32" t="s">
        <v>313</v>
      </c>
      <c r="AG435" s="31"/>
      <c r="AH435" s="31"/>
      <c r="AI435" s="32" t="str">
        <f t="shared" si="142"/>
        <v/>
      </c>
      <c r="AJ435" s="32" t="s">
        <v>313</v>
      </c>
      <c r="AK435" s="31"/>
      <c r="AL435" s="31"/>
      <c r="AM435" s="32" t="str">
        <f t="shared" si="143"/>
        <v/>
      </c>
      <c r="AN435" s="32" t="s">
        <v>313</v>
      </c>
      <c r="AO435" s="31"/>
      <c r="AP435" s="31"/>
      <c r="AQ435" s="32" t="str">
        <f t="shared" si="144"/>
        <v/>
      </c>
      <c r="AR435" s="32" t="s">
        <v>313</v>
      </c>
      <c r="AS435" s="31"/>
      <c r="AT435" s="31"/>
      <c r="AU435" s="32" t="str">
        <f t="shared" si="145"/>
        <v/>
      </c>
      <c r="AV435" s="32" t="s">
        <v>313</v>
      </c>
      <c r="AW435" s="31"/>
      <c r="AX435" s="31"/>
      <c r="AY435" s="32" t="str">
        <f t="shared" si="146"/>
        <v/>
      </c>
      <c r="AZ435" s="32" t="s">
        <v>313</v>
      </c>
    </row>
    <row r="436" spans="1:52" ht="34" customHeight="1">
      <c r="A436" s="28" t="s">
        <v>328</v>
      </c>
      <c r="B436" s="29" t="s">
        <v>224</v>
      </c>
      <c r="C436" s="29" t="s">
        <v>85</v>
      </c>
      <c r="D436" s="29" t="s">
        <v>90</v>
      </c>
      <c r="E436" s="29" t="s">
        <v>90</v>
      </c>
      <c r="F436" s="29" t="s">
        <v>316</v>
      </c>
      <c r="G436" s="30" t="s">
        <v>312</v>
      </c>
      <c r="H436" s="31"/>
      <c r="I436" s="31">
        <v>156332</v>
      </c>
      <c r="J436" s="32" t="str">
        <f t="shared" si="147"/>
        <v/>
      </c>
      <c r="K436" s="31"/>
      <c r="L436" s="31">
        <v>53377</v>
      </c>
      <c r="M436" s="32" t="str">
        <f t="shared" si="148"/>
        <v/>
      </c>
      <c r="N436" s="31"/>
      <c r="O436" s="31">
        <v>113282.5</v>
      </c>
      <c r="P436" s="32" t="str">
        <f t="shared" si="149"/>
        <v/>
      </c>
      <c r="Q436" s="31"/>
      <c r="R436" s="31">
        <v>74995</v>
      </c>
      <c r="S436" s="32" t="str">
        <f t="shared" si="150"/>
        <v/>
      </c>
      <c r="T436" s="31"/>
      <c r="U436" s="31">
        <v>673865.25</v>
      </c>
      <c r="V436" s="32" t="str">
        <f t="shared" si="151"/>
        <v/>
      </c>
      <c r="W436" s="31"/>
      <c r="X436" s="31">
        <v>705358.52</v>
      </c>
      <c r="Y436" s="32" t="str">
        <f t="shared" si="152"/>
        <v/>
      </c>
      <c r="Z436" s="31" t="str">
        <f t="shared" si="139"/>
        <v/>
      </c>
      <c r="AA436" s="31">
        <f t="shared" si="140"/>
        <v>1777210.27</v>
      </c>
      <c r="AB436" s="32" t="str">
        <f t="shared" si="153"/>
        <v/>
      </c>
      <c r="AC436" s="31"/>
      <c r="AD436" s="31"/>
      <c r="AE436" s="32" t="str">
        <f t="shared" si="141"/>
        <v/>
      </c>
      <c r="AF436" s="32" t="s">
        <v>313</v>
      </c>
      <c r="AG436" s="31"/>
      <c r="AH436" s="31"/>
      <c r="AI436" s="32" t="str">
        <f t="shared" si="142"/>
        <v/>
      </c>
      <c r="AJ436" s="32" t="s">
        <v>313</v>
      </c>
      <c r="AK436" s="31"/>
      <c r="AL436" s="31"/>
      <c r="AM436" s="32" t="str">
        <f t="shared" si="143"/>
        <v/>
      </c>
      <c r="AN436" s="32" t="s">
        <v>313</v>
      </c>
      <c r="AO436" s="31"/>
      <c r="AP436" s="31"/>
      <c r="AQ436" s="32" t="str">
        <f t="shared" si="144"/>
        <v/>
      </c>
      <c r="AR436" s="32" t="s">
        <v>313</v>
      </c>
      <c r="AS436" s="31"/>
      <c r="AT436" s="31"/>
      <c r="AU436" s="32" t="str">
        <f t="shared" si="145"/>
        <v/>
      </c>
      <c r="AV436" s="32" t="s">
        <v>313</v>
      </c>
      <c r="AW436" s="31"/>
      <c r="AX436" s="31"/>
      <c r="AY436" s="32" t="str">
        <f t="shared" si="146"/>
        <v/>
      </c>
      <c r="AZ436" s="32" t="s">
        <v>313</v>
      </c>
    </row>
    <row r="437" spans="1:52" ht="34" customHeight="1">
      <c r="A437" s="28" t="s">
        <v>328</v>
      </c>
      <c r="B437" s="29" t="s">
        <v>224</v>
      </c>
      <c r="C437" s="29" t="s">
        <v>85</v>
      </c>
      <c r="D437" s="29" t="s">
        <v>93</v>
      </c>
      <c r="E437" s="29" t="s">
        <v>143</v>
      </c>
      <c r="F437" s="29" t="s">
        <v>320</v>
      </c>
      <c r="G437" s="30" t="s">
        <v>312</v>
      </c>
      <c r="H437" s="31">
        <v>5467.1863252788999</v>
      </c>
      <c r="I437" s="31">
        <v>156332</v>
      </c>
      <c r="J437" s="32">
        <f t="shared" si="147"/>
        <v>3.4971639365445971E-2</v>
      </c>
      <c r="K437" s="31">
        <v>1844.42099829479</v>
      </c>
      <c r="L437" s="31">
        <v>53377</v>
      </c>
      <c r="M437" s="32">
        <f t="shared" si="148"/>
        <v>3.4554602137527216E-2</v>
      </c>
      <c r="N437" s="31">
        <v>255.002431636252</v>
      </c>
      <c r="O437" s="31">
        <v>113282.5</v>
      </c>
      <c r="P437" s="32">
        <f t="shared" si="149"/>
        <v>2.2510311092732945E-3</v>
      </c>
      <c r="Q437" s="31">
        <v>306.05199465843901</v>
      </c>
      <c r="R437" s="31">
        <v>74995</v>
      </c>
      <c r="S437" s="32">
        <f t="shared" si="150"/>
        <v>4.0809653264676183E-3</v>
      </c>
      <c r="T437" s="31">
        <v>209.086669069263</v>
      </c>
      <c r="U437" s="31">
        <v>673865.25</v>
      </c>
      <c r="V437" s="32">
        <f t="shared" si="151"/>
        <v>3.1027964280583249E-4</v>
      </c>
      <c r="W437" s="31">
        <v>4630.5460902909499</v>
      </c>
      <c r="X437" s="31">
        <v>705358.52</v>
      </c>
      <c r="Y437" s="32">
        <f t="shared" si="152"/>
        <v>6.5648120196959555E-3</v>
      </c>
      <c r="Z437" s="31">
        <f t="shared" si="139"/>
        <v>12712.294509228594</v>
      </c>
      <c r="AA437" s="31">
        <f t="shared" si="140"/>
        <v>1777210.27</v>
      </c>
      <c r="AB437" s="32">
        <f t="shared" si="153"/>
        <v>7.1529490481892126E-3</v>
      </c>
      <c r="AC437" s="31"/>
      <c r="AD437" s="31"/>
      <c r="AE437" s="32" t="str">
        <f t="shared" si="141"/>
        <v/>
      </c>
      <c r="AF437" s="32" t="s">
        <v>313</v>
      </c>
      <c r="AG437" s="31"/>
      <c r="AH437" s="31"/>
      <c r="AI437" s="32" t="str">
        <f t="shared" si="142"/>
        <v/>
      </c>
      <c r="AJ437" s="32" t="s">
        <v>313</v>
      </c>
      <c r="AK437" s="31"/>
      <c r="AL437" s="31"/>
      <c r="AM437" s="32" t="str">
        <f t="shared" si="143"/>
        <v/>
      </c>
      <c r="AN437" s="32" t="s">
        <v>313</v>
      </c>
      <c r="AO437" s="31"/>
      <c r="AP437" s="31"/>
      <c r="AQ437" s="32" t="str">
        <f t="shared" si="144"/>
        <v/>
      </c>
      <c r="AR437" s="32" t="s">
        <v>313</v>
      </c>
      <c r="AS437" s="31"/>
      <c r="AT437" s="31"/>
      <c r="AU437" s="32" t="str">
        <f t="shared" si="145"/>
        <v/>
      </c>
      <c r="AV437" s="32" t="s">
        <v>313</v>
      </c>
      <c r="AW437" s="31"/>
      <c r="AX437" s="31"/>
      <c r="AY437" s="32" t="str">
        <f t="shared" si="146"/>
        <v/>
      </c>
      <c r="AZ437" s="32" t="s">
        <v>313</v>
      </c>
    </row>
    <row r="438" spans="1:52" ht="34" customHeight="1">
      <c r="A438" s="28" t="s">
        <v>328</v>
      </c>
      <c r="B438" s="29" t="s">
        <v>224</v>
      </c>
      <c r="C438" s="29" t="s">
        <v>85</v>
      </c>
      <c r="D438" s="29" t="s">
        <v>152</v>
      </c>
      <c r="E438" s="29" t="s">
        <v>152</v>
      </c>
      <c r="F438" s="29" t="s">
        <v>316</v>
      </c>
      <c r="G438" s="30" t="s">
        <v>312</v>
      </c>
      <c r="H438" s="31"/>
      <c r="I438" s="31">
        <v>156332</v>
      </c>
      <c r="J438" s="32" t="str">
        <f t="shared" si="147"/>
        <v/>
      </c>
      <c r="K438" s="31"/>
      <c r="L438" s="31">
        <v>53377</v>
      </c>
      <c r="M438" s="32" t="str">
        <f t="shared" si="148"/>
        <v/>
      </c>
      <c r="N438" s="31"/>
      <c r="O438" s="31">
        <v>113282.5</v>
      </c>
      <c r="P438" s="32" t="str">
        <f t="shared" si="149"/>
        <v/>
      </c>
      <c r="Q438" s="31"/>
      <c r="R438" s="31">
        <v>74995</v>
      </c>
      <c r="S438" s="32" t="str">
        <f t="shared" si="150"/>
        <v/>
      </c>
      <c r="T438" s="31"/>
      <c r="U438" s="31">
        <v>673865.25</v>
      </c>
      <c r="V438" s="32" t="str">
        <f t="shared" si="151"/>
        <v/>
      </c>
      <c r="W438" s="31"/>
      <c r="X438" s="31">
        <v>705358.52</v>
      </c>
      <c r="Y438" s="32" t="str">
        <f t="shared" si="152"/>
        <v/>
      </c>
      <c r="Z438" s="31" t="str">
        <f t="shared" si="139"/>
        <v/>
      </c>
      <c r="AA438" s="31">
        <f t="shared" si="140"/>
        <v>1777210.27</v>
      </c>
      <c r="AB438" s="32" t="str">
        <f t="shared" si="153"/>
        <v/>
      </c>
      <c r="AC438" s="31"/>
      <c r="AD438" s="31"/>
      <c r="AE438" s="32" t="str">
        <f t="shared" si="141"/>
        <v/>
      </c>
      <c r="AF438" s="32" t="s">
        <v>313</v>
      </c>
      <c r="AG438" s="31"/>
      <c r="AH438" s="31"/>
      <c r="AI438" s="32" t="str">
        <f t="shared" si="142"/>
        <v/>
      </c>
      <c r="AJ438" s="32" t="s">
        <v>313</v>
      </c>
      <c r="AK438" s="31"/>
      <c r="AL438" s="31"/>
      <c r="AM438" s="32" t="str">
        <f t="shared" si="143"/>
        <v/>
      </c>
      <c r="AN438" s="32" t="s">
        <v>313</v>
      </c>
      <c r="AO438" s="31"/>
      <c r="AP438" s="31"/>
      <c r="AQ438" s="32" t="str">
        <f t="shared" si="144"/>
        <v/>
      </c>
      <c r="AR438" s="32" t="s">
        <v>313</v>
      </c>
      <c r="AS438" s="31"/>
      <c r="AT438" s="31"/>
      <c r="AU438" s="32" t="str">
        <f t="shared" si="145"/>
        <v/>
      </c>
      <c r="AV438" s="32" t="s">
        <v>313</v>
      </c>
      <c r="AW438" s="31"/>
      <c r="AX438" s="31"/>
      <c r="AY438" s="32" t="str">
        <f t="shared" si="146"/>
        <v/>
      </c>
      <c r="AZ438" s="32" t="s">
        <v>313</v>
      </c>
    </row>
    <row r="439" spans="1:52" ht="34" customHeight="1">
      <c r="A439" s="28" t="s">
        <v>328</v>
      </c>
      <c r="B439" s="29" t="s">
        <v>230</v>
      </c>
      <c r="C439" s="29" t="s">
        <v>46</v>
      </c>
      <c r="D439" s="29"/>
      <c r="E439" s="29" t="s">
        <v>46</v>
      </c>
      <c r="F439" s="29" t="s">
        <v>311</v>
      </c>
      <c r="G439" s="30" t="s">
        <v>312</v>
      </c>
      <c r="H439" s="31">
        <v>247803</v>
      </c>
      <c r="I439" s="31">
        <v>247803</v>
      </c>
      <c r="J439" s="32"/>
      <c r="K439" s="31">
        <v>78601</v>
      </c>
      <c r="L439" s="31">
        <v>78601</v>
      </c>
      <c r="M439" s="32"/>
      <c r="N439" s="31">
        <v>260218.81</v>
      </c>
      <c r="O439" s="31">
        <v>260218.81</v>
      </c>
      <c r="P439" s="32"/>
      <c r="Q439" s="31">
        <v>172214.8</v>
      </c>
      <c r="R439" s="31">
        <v>172214.8</v>
      </c>
      <c r="S439" s="32"/>
      <c r="T439" s="31">
        <v>185785.8</v>
      </c>
      <c r="U439" s="31">
        <v>185785.8</v>
      </c>
      <c r="V439" s="32"/>
      <c r="W439" s="31">
        <v>201019</v>
      </c>
      <c r="X439" s="31">
        <v>201019</v>
      </c>
      <c r="Y439" s="32"/>
      <c r="Z439" s="31">
        <f t="shared" si="139"/>
        <v>1145642.4100000001</v>
      </c>
      <c r="AA439" s="31">
        <f t="shared" si="140"/>
        <v>1145642.4100000001</v>
      </c>
      <c r="AB439" s="32"/>
      <c r="AC439" s="31"/>
      <c r="AD439" s="31"/>
      <c r="AE439" s="32" t="str">
        <f t="shared" si="141"/>
        <v/>
      </c>
      <c r="AF439" s="32" t="s">
        <v>313</v>
      </c>
      <c r="AG439" s="31"/>
      <c r="AH439" s="31"/>
      <c r="AI439" s="32" t="str">
        <f t="shared" si="142"/>
        <v/>
      </c>
      <c r="AJ439" s="32" t="s">
        <v>313</v>
      </c>
      <c r="AK439" s="31"/>
      <c r="AL439" s="31"/>
      <c r="AM439" s="32" t="str">
        <f t="shared" si="143"/>
        <v/>
      </c>
      <c r="AN439" s="32" t="s">
        <v>313</v>
      </c>
      <c r="AO439" s="31"/>
      <c r="AP439" s="31"/>
      <c r="AQ439" s="32" t="str">
        <f t="shared" si="144"/>
        <v/>
      </c>
      <c r="AR439" s="32" t="s">
        <v>313</v>
      </c>
      <c r="AS439" s="31"/>
      <c r="AT439" s="31"/>
      <c r="AU439" s="32" t="str">
        <f t="shared" si="145"/>
        <v/>
      </c>
      <c r="AV439" s="32" t="s">
        <v>313</v>
      </c>
      <c r="AW439" s="31"/>
      <c r="AX439" s="31"/>
      <c r="AY439" s="32" t="str">
        <f t="shared" si="146"/>
        <v/>
      </c>
      <c r="AZ439" s="32" t="s">
        <v>313</v>
      </c>
    </row>
    <row r="440" spans="1:52" ht="34" customHeight="1">
      <c r="A440" s="28" t="s">
        <v>328</v>
      </c>
      <c r="B440" s="29" t="s">
        <v>230</v>
      </c>
      <c r="C440" s="29" t="s">
        <v>121</v>
      </c>
      <c r="D440" s="29"/>
      <c r="E440" s="29" t="s">
        <v>125</v>
      </c>
      <c r="F440" s="29" t="s">
        <v>314</v>
      </c>
      <c r="G440" s="30" t="s">
        <v>312</v>
      </c>
      <c r="H440" s="31">
        <v>0</v>
      </c>
      <c r="I440" s="31">
        <v>247803</v>
      </c>
      <c r="J440" s="32">
        <f t="shared" ref="J440:J469" si="154">IF(H440="","",IFERROR(H440/I440,""))</f>
        <v>0</v>
      </c>
      <c r="K440" s="31">
        <v>0</v>
      </c>
      <c r="L440" s="31">
        <v>78601</v>
      </c>
      <c r="M440" s="32">
        <f t="shared" ref="M440:M469" si="155">IF(K440="","",IFERROR(K440/L440,""))</f>
        <v>0</v>
      </c>
      <c r="N440" s="31">
        <v>0</v>
      </c>
      <c r="O440" s="31">
        <v>260218.81</v>
      </c>
      <c r="P440" s="32">
        <f t="shared" ref="P440:P469" si="156">IF(N440="","",IFERROR(N440/O440,""))</f>
        <v>0</v>
      </c>
      <c r="Q440" s="31">
        <v>0</v>
      </c>
      <c r="R440" s="31">
        <v>172214.8</v>
      </c>
      <c r="S440" s="32">
        <f t="shared" ref="S440:S469" si="157">IF(Q440="","",IFERROR(Q440/R440,""))</f>
        <v>0</v>
      </c>
      <c r="T440" s="31">
        <v>0</v>
      </c>
      <c r="U440" s="31">
        <v>185785.8</v>
      </c>
      <c r="V440" s="32">
        <f t="shared" ref="V440:V469" si="158">IF(T440="","",IFERROR(T440/U440,""))</f>
        <v>0</v>
      </c>
      <c r="W440" s="31">
        <v>0</v>
      </c>
      <c r="X440" s="31">
        <v>201019</v>
      </c>
      <c r="Y440" s="32">
        <f t="shared" ref="Y440:Y469" si="159">IF(W440="","",IFERROR(W440/X440,""))</f>
        <v>0</v>
      </c>
      <c r="Z440" s="31">
        <f t="shared" si="139"/>
        <v>0</v>
      </c>
      <c r="AA440" s="31">
        <f t="shared" si="140"/>
        <v>1145642.4100000001</v>
      </c>
      <c r="AB440" s="32">
        <f t="shared" ref="AB440:AB469" si="160">IF(Z440="","",IFERROR(Z440/AA440,""))</f>
        <v>0</v>
      </c>
      <c r="AC440" s="31"/>
      <c r="AD440" s="31"/>
      <c r="AE440" s="32" t="str">
        <f t="shared" si="141"/>
        <v/>
      </c>
      <c r="AF440" s="32" t="s">
        <v>313</v>
      </c>
      <c r="AG440" s="31"/>
      <c r="AH440" s="31"/>
      <c r="AI440" s="32" t="str">
        <f t="shared" si="142"/>
        <v/>
      </c>
      <c r="AJ440" s="32" t="s">
        <v>313</v>
      </c>
      <c r="AK440" s="31"/>
      <c r="AL440" s="31"/>
      <c r="AM440" s="32" t="str">
        <f t="shared" si="143"/>
        <v/>
      </c>
      <c r="AN440" s="32" t="s">
        <v>313</v>
      </c>
      <c r="AO440" s="31"/>
      <c r="AP440" s="31"/>
      <c r="AQ440" s="32" t="str">
        <f t="shared" si="144"/>
        <v/>
      </c>
      <c r="AR440" s="32" t="s">
        <v>313</v>
      </c>
      <c r="AS440" s="31"/>
      <c r="AT440" s="31"/>
      <c r="AU440" s="32" t="str">
        <f t="shared" si="145"/>
        <v/>
      </c>
      <c r="AV440" s="32" t="s">
        <v>313</v>
      </c>
      <c r="AW440" s="31"/>
      <c r="AX440" s="31"/>
      <c r="AY440" s="32" t="str">
        <f t="shared" si="146"/>
        <v/>
      </c>
      <c r="AZ440" s="32" t="s">
        <v>313</v>
      </c>
    </row>
    <row r="441" spans="1:52" ht="34" customHeight="1">
      <c r="A441" s="28" t="s">
        <v>328</v>
      </c>
      <c r="B441" s="29" t="s">
        <v>230</v>
      </c>
      <c r="C441" s="29" t="s">
        <v>48</v>
      </c>
      <c r="D441" s="29"/>
      <c r="E441" s="29" t="s">
        <v>127</v>
      </c>
      <c r="F441" s="29" t="s">
        <v>315</v>
      </c>
      <c r="G441" s="30" t="s">
        <v>312</v>
      </c>
      <c r="H441" s="31">
        <v>118152</v>
      </c>
      <c r="I441" s="31">
        <v>247803</v>
      </c>
      <c r="J441" s="32">
        <f t="shared" si="154"/>
        <v>0.47679810171789688</v>
      </c>
      <c r="K441" s="31">
        <v>38880</v>
      </c>
      <c r="L441" s="31">
        <v>78601</v>
      </c>
      <c r="M441" s="32">
        <f t="shared" si="155"/>
        <v>0.49465019529013626</v>
      </c>
      <c r="N441" s="31">
        <v>141639</v>
      </c>
      <c r="O441" s="31">
        <v>260218.81</v>
      </c>
      <c r="P441" s="32">
        <f t="shared" si="156"/>
        <v>0.54430730814578698</v>
      </c>
      <c r="Q441" s="31">
        <v>95652</v>
      </c>
      <c r="R441" s="31">
        <v>172214.8</v>
      </c>
      <c r="S441" s="32">
        <f t="shared" si="157"/>
        <v>0.55542264660180196</v>
      </c>
      <c r="T441" s="31">
        <v>101804</v>
      </c>
      <c r="U441" s="31">
        <v>185785.8</v>
      </c>
      <c r="V441" s="32">
        <f t="shared" si="158"/>
        <v>0.54796437617944971</v>
      </c>
      <c r="W441" s="31">
        <v>107177</v>
      </c>
      <c r="X441" s="31">
        <v>201019</v>
      </c>
      <c r="Y441" s="32">
        <f t="shared" si="159"/>
        <v>0.53316850645958835</v>
      </c>
      <c r="Z441" s="31">
        <f t="shared" si="139"/>
        <v>603304</v>
      </c>
      <c r="AA441" s="31">
        <f t="shared" si="140"/>
        <v>1145642.4100000001</v>
      </c>
      <c r="AB441" s="32">
        <f t="shared" si="160"/>
        <v>0.52660760001019857</v>
      </c>
      <c r="AC441" s="31"/>
      <c r="AD441" s="31"/>
      <c r="AE441" s="32" t="str">
        <f t="shared" si="141"/>
        <v/>
      </c>
      <c r="AF441" s="32" t="s">
        <v>313</v>
      </c>
      <c r="AG441" s="31"/>
      <c r="AH441" s="31"/>
      <c r="AI441" s="32" t="str">
        <f t="shared" si="142"/>
        <v/>
      </c>
      <c r="AJ441" s="32" t="s">
        <v>313</v>
      </c>
      <c r="AK441" s="31"/>
      <c r="AL441" s="31"/>
      <c r="AM441" s="32" t="str">
        <f t="shared" si="143"/>
        <v/>
      </c>
      <c r="AN441" s="32" t="s">
        <v>313</v>
      </c>
      <c r="AO441" s="31"/>
      <c r="AP441" s="31"/>
      <c r="AQ441" s="32" t="str">
        <f t="shared" si="144"/>
        <v/>
      </c>
      <c r="AR441" s="32" t="s">
        <v>313</v>
      </c>
      <c r="AS441" s="31"/>
      <c r="AT441" s="31"/>
      <c r="AU441" s="32" t="str">
        <f t="shared" si="145"/>
        <v/>
      </c>
      <c r="AV441" s="32" t="s">
        <v>313</v>
      </c>
      <c r="AW441" s="31"/>
      <c r="AX441" s="31"/>
      <c r="AY441" s="32" t="str">
        <f t="shared" si="146"/>
        <v/>
      </c>
      <c r="AZ441" s="32" t="s">
        <v>313</v>
      </c>
    </row>
    <row r="442" spans="1:52" ht="34" customHeight="1">
      <c r="A442" s="28" t="s">
        <v>328</v>
      </c>
      <c r="B442" s="29" t="s">
        <v>230</v>
      </c>
      <c r="C442" s="29" t="s">
        <v>52</v>
      </c>
      <c r="D442" s="29" t="s">
        <v>54</v>
      </c>
      <c r="E442" s="29" t="s">
        <v>55</v>
      </c>
      <c r="F442" s="29" t="s">
        <v>130</v>
      </c>
      <c r="G442" s="30" t="s">
        <v>312</v>
      </c>
      <c r="H442" s="31">
        <v>0</v>
      </c>
      <c r="I442" s="31">
        <v>247803</v>
      </c>
      <c r="J442" s="32">
        <f t="shared" si="154"/>
        <v>0</v>
      </c>
      <c r="K442" s="31">
        <v>0</v>
      </c>
      <c r="L442" s="31">
        <v>78601</v>
      </c>
      <c r="M442" s="32">
        <f t="shared" si="155"/>
        <v>0</v>
      </c>
      <c r="N442" s="31">
        <v>4210</v>
      </c>
      <c r="O442" s="31">
        <v>260218.81</v>
      </c>
      <c r="P442" s="32">
        <f t="shared" si="156"/>
        <v>1.6178692078408937E-2</v>
      </c>
      <c r="Q442" s="31">
        <v>0</v>
      </c>
      <c r="R442" s="31">
        <v>172214.8</v>
      </c>
      <c r="S442" s="32">
        <f t="shared" si="157"/>
        <v>0</v>
      </c>
      <c r="T442" s="31">
        <v>5815</v>
      </c>
      <c r="U442" s="31">
        <v>185785.8</v>
      </c>
      <c r="V442" s="32">
        <f t="shared" si="158"/>
        <v>3.1299485751871241E-2</v>
      </c>
      <c r="W442" s="31">
        <v>3555</v>
      </c>
      <c r="X442" s="31">
        <v>201019</v>
      </c>
      <c r="Y442" s="32">
        <f t="shared" si="159"/>
        <v>1.7684895457643308E-2</v>
      </c>
      <c r="Z442" s="31">
        <f t="shared" si="139"/>
        <v>13580</v>
      </c>
      <c r="AA442" s="31">
        <f t="shared" si="140"/>
        <v>1145642.4100000001</v>
      </c>
      <c r="AB442" s="32">
        <f t="shared" si="160"/>
        <v>1.1853611459792239E-2</v>
      </c>
      <c r="AC442" s="31"/>
      <c r="AD442" s="31"/>
      <c r="AE442" s="32" t="str">
        <f t="shared" si="141"/>
        <v/>
      </c>
      <c r="AF442" s="32" t="s">
        <v>313</v>
      </c>
      <c r="AG442" s="31"/>
      <c r="AH442" s="31"/>
      <c r="AI442" s="32" t="str">
        <f t="shared" si="142"/>
        <v/>
      </c>
      <c r="AJ442" s="32" t="s">
        <v>313</v>
      </c>
      <c r="AK442" s="31"/>
      <c r="AL442" s="31"/>
      <c r="AM442" s="32" t="str">
        <f t="shared" si="143"/>
        <v/>
      </c>
      <c r="AN442" s="32" t="s">
        <v>313</v>
      </c>
      <c r="AO442" s="31"/>
      <c r="AP442" s="31"/>
      <c r="AQ442" s="32" t="str">
        <f t="shared" si="144"/>
        <v/>
      </c>
      <c r="AR442" s="32" t="s">
        <v>313</v>
      </c>
      <c r="AS442" s="31"/>
      <c r="AT442" s="31"/>
      <c r="AU442" s="32" t="str">
        <f t="shared" si="145"/>
        <v/>
      </c>
      <c r="AV442" s="32" t="s">
        <v>313</v>
      </c>
      <c r="AW442" s="31"/>
      <c r="AX442" s="31"/>
      <c r="AY442" s="32" t="str">
        <f t="shared" si="146"/>
        <v/>
      </c>
      <c r="AZ442" s="32" t="s">
        <v>313</v>
      </c>
    </row>
    <row r="443" spans="1:52" ht="34" customHeight="1">
      <c r="A443" s="28" t="s">
        <v>328</v>
      </c>
      <c r="B443" s="29" t="s">
        <v>230</v>
      </c>
      <c r="C443" s="29" t="s">
        <v>52</v>
      </c>
      <c r="D443" s="29" t="s">
        <v>54</v>
      </c>
      <c r="E443" s="29" t="s">
        <v>58</v>
      </c>
      <c r="F443" s="29" t="s">
        <v>316</v>
      </c>
      <c r="G443" s="30" t="s">
        <v>312</v>
      </c>
      <c r="H443" s="31"/>
      <c r="I443" s="31">
        <v>247803</v>
      </c>
      <c r="J443" s="32" t="str">
        <f t="shared" si="154"/>
        <v/>
      </c>
      <c r="K443" s="31"/>
      <c r="L443" s="31">
        <v>78601</v>
      </c>
      <c r="M443" s="32" t="str">
        <f t="shared" si="155"/>
        <v/>
      </c>
      <c r="N443" s="31"/>
      <c r="O443" s="31">
        <v>260218.81</v>
      </c>
      <c r="P443" s="32" t="str">
        <f t="shared" si="156"/>
        <v/>
      </c>
      <c r="Q443" s="31"/>
      <c r="R443" s="31">
        <v>172214.8</v>
      </c>
      <c r="S443" s="32" t="str">
        <f t="shared" si="157"/>
        <v/>
      </c>
      <c r="T443" s="31"/>
      <c r="U443" s="31">
        <v>185785.8</v>
      </c>
      <c r="V443" s="32" t="str">
        <f t="shared" si="158"/>
        <v/>
      </c>
      <c r="W443" s="31"/>
      <c r="X443" s="31">
        <v>201019</v>
      </c>
      <c r="Y443" s="32" t="str">
        <f t="shared" si="159"/>
        <v/>
      </c>
      <c r="Z443" s="31" t="str">
        <f t="shared" si="139"/>
        <v/>
      </c>
      <c r="AA443" s="31">
        <f t="shared" si="140"/>
        <v>1145642.4100000001</v>
      </c>
      <c r="AB443" s="32" t="str">
        <f t="shared" si="160"/>
        <v/>
      </c>
      <c r="AC443" s="31"/>
      <c r="AD443" s="31"/>
      <c r="AE443" s="32" t="str">
        <f t="shared" si="141"/>
        <v/>
      </c>
      <c r="AF443" s="32" t="s">
        <v>313</v>
      </c>
      <c r="AG443" s="31"/>
      <c r="AH443" s="31"/>
      <c r="AI443" s="32" t="str">
        <f t="shared" si="142"/>
        <v/>
      </c>
      <c r="AJ443" s="32" t="s">
        <v>313</v>
      </c>
      <c r="AK443" s="31"/>
      <c r="AL443" s="31"/>
      <c r="AM443" s="32" t="str">
        <f t="shared" si="143"/>
        <v/>
      </c>
      <c r="AN443" s="32" t="s">
        <v>313</v>
      </c>
      <c r="AO443" s="31"/>
      <c r="AP443" s="31"/>
      <c r="AQ443" s="32" t="str">
        <f t="shared" si="144"/>
        <v/>
      </c>
      <c r="AR443" s="32" t="s">
        <v>313</v>
      </c>
      <c r="AS443" s="31"/>
      <c r="AT443" s="31"/>
      <c r="AU443" s="32" t="str">
        <f t="shared" si="145"/>
        <v/>
      </c>
      <c r="AV443" s="32" t="s">
        <v>313</v>
      </c>
      <c r="AW443" s="31"/>
      <c r="AX443" s="31"/>
      <c r="AY443" s="32" t="str">
        <f t="shared" si="146"/>
        <v/>
      </c>
      <c r="AZ443" s="32" t="s">
        <v>313</v>
      </c>
    </row>
    <row r="444" spans="1:52" ht="34" customHeight="1">
      <c r="A444" s="28" t="s">
        <v>328</v>
      </c>
      <c r="B444" s="29" t="s">
        <v>230</v>
      </c>
      <c r="C444" s="29" t="s">
        <v>52</v>
      </c>
      <c r="D444" s="29" t="s">
        <v>54</v>
      </c>
      <c r="E444" s="29" t="s">
        <v>59</v>
      </c>
      <c r="F444" s="29" t="s">
        <v>316</v>
      </c>
      <c r="G444" s="30" t="s">
        <v>312</v>
      </c>
      <c r="H444" s="31"/>
      <c r="I444" s="31">
        <v>247803</v>
      </c>
      <c r="J444" s="32" t="str">
        <f t="shared" si="154"/>
        <v/>
      </c>
      <c r="K444" s="31"/>
      <c r="L444" s="31">
        <v>78601</v>
      </c>
      <c r="M444" s="32" t="str">
        <f t="shared" si="155"/>
        <v/>
      </c>
      <c r="N444" s="31"/>
      <c r="O444" s="31">
        <v>260218.81</v>
      </c>
      <c r="P444" s="32" t="str">
        <f t="shared" si="156"/>
        <v/>
      </c>
      <c r="Q444" s="31"/>
      <c r="R444" s="31">
        <v>172214.8</v>
      </c>
      <c r="S444" s="32" t="str">
        <f t="shared" si="157"/>
        <v/>
      </c>
      <c r="T444" s="31"/>
      <c r="U444" s="31">
        <v>185785.8</v>
      </c>
      <c r="V444" s="32" t="str">
        <f t="shared" si="158"/>
        <v/>
      </c>
      <c r="W444" s="31"/>
      <c r="X444" s="31">
        <v>201019</v>
      </c>
      <c r="Y444" s="32" t="str">
        <f t="shared" si="159"/>
        <v/>
      </c>
      <c r="Z444" s="31" t="str">
        <f t="shared" si="139"/>
        <v/>
      </c>
      <c r="AA444" s="31">
        <f t="shared" si="140"/>
        <v>1145642.4100000001</v>
      </c>
      <c r="AB444" s="32" t="str">
        <f t="shared" si="160"/>
        <v/>
      </c>
      <c r="AC444" s="31"/>
      <c r="AD444" s="31"/>
      <c r="AE444" s="32" t="str">
        <f t="shared" si="141"/>
        <v/>
      </c>
      <c r="AF444" s="32" t="s">
        <v>313</v>
      </c>
      <c r="AG444" s="31"/>
      <c r="AH444" s="31"/>
      <c r="AI444" s="32" t="str">
        <f t="shared" si="142"/>
        <v/>
      </c>
      <c r="AJ444" s="32" t="s">
        <v>313</v>
      </c>
      <c r="AK444" s="31"/>
      <c r="AL444" s="31"/>
      <c r="AM444" s="32" t="str">
        <f t="shared" si="143"/>
        <v/>
      </c>
      <c r="AN444" s="32" t="s">
        <v>313</v>
      </c>
      <c r="AO444" s="31"/>
      <c r="AP444" s="31"/>
      <c r="AQ444" s="32" t="str">
        <f t="shared" si="144"/>
        <v/>
      </c>
      <c r="AR444" s="32" t="s">
        <v>313</v>
      </c>
      <c r="AS444" s="31"/>
      <c r="AT444" s="31"/>
      <c r="AU444" s="32" t="str">
        <f t="shared" si="145"/>
        <v/>
      </c>
      <c r="AV444" s="32" t="s">
        <v>313</v>
      </c>
      <c r="AW444" s="31"/>
      <c r="AX444" s="31"/>
      <c r="AY444" s="32" t="str">
        <f t="shared" si="146"/>
        <v/>
      </c>
      <c r="AZ444" s="32" t="s">
        <v>313</v>
      </c>
    </row>
    <row r="445" spans="1:52" ht="34" customHeight="1">
      <c r="A445" s="28" t="s">
        <v>328</v>
      </c>
      <c r="B445" s="29" t="s">
        <v>230</v>
      </c>
      <c r="C445" s="29" t="s">
        <v>52</v>
      </c>
      <c r="D445" s="29" t="s">
        <v>54</v>
      </c>
      <c r="E445" s="29" t="s">
        <v>64</v>
      </c>
      <c r="F445" s="29" t="s">
        <v>133</v>
      </c>
      <c r="G445" s="30" t="s">
        <v>312</v>
      </c>
      <c r="H445" s="31">
        <v>0</v>
      </c>
      <c r="I445" s="31">
        <v>247803</v>
      </c>
      <c r="J445" s="32">
        <f t="shared" si="154"/>
        <v>0</v>
      </c>
      <c r="K445" s="31">
        <v>0</v>
      </c>
      <c r="L445" s="31">
        <v>78601</v>
      </c>
      <c r="M445" s="32">
        <f t="shared" si="155"/>
        <v>0</v>
      </c>
      <c r="N445" s="31">
        <v>0</v>
      </c>
      <c r="O445" s="31">
        <v>260218.81</v>
      </c>
      <c r="P445" s="32">
        <f t="shared" si="156"/>
        <v>0</v>
      </c>
      <c r="Q445" s="31">
        <v>0</v>
      </c>
      <c r="R445" s="31">
        <v>172214.8</v>
      </c>
      <c r="S445" s="32">
        <f t="shared" si="157"/>
        <v>0</v>
      </c>
      <c r="T445" s="31">
        <v>0</v>
      </c>
      <c r="U445" s="31">
        <v>185785.8</v>
      </c>
      <c r="V445" s="32">
        <f t="shared" si="158"/>
        <v>0</v>
      </c>
      <c r="W445" s="31">
        <v>0</v>
      </c>
      <c r="X445" s="31">
        <v>201019</v>
      </c>
      <c r="Y445" s="32">
        <f t="shared" si="159"/>
        <v>0</v>
      </c>
      <c r="Z445" s="31">
        <f t="shared" si="139"/>
        <v>0</v>
      </c>
      <c r="AA445" s="31">
        <f t="shared" si="140"/>
        <v>1145642.4100000001</v>
      </c>
      <c r="AB445" s="32">
        <f t="shared" si="160"/>
        <v>0</v>
      </c>
      <c r="AC445" s="31"/>
      <c r="AD445" s="31"/>
      <c r="AE445" s="32" t="str">
        <f t="shared" si="141"/>
        <v/>
      </c>
      <c r="AF445" s="32" t="s">
        <v>313</v>
      </c>
      <c r="AG445" s="31"/>
      <c r="AH445" s="31"/>
      <c r="AI445" s="32" t="str">
        <f t="shared" si="142"/>
        <v/>
      </c>
      <c r="AJ445" s="32" t="s">
        <v>313</v>
      </c>
      <c r="AK445" s="31"/>
      <c r="AL445" s="31"/>
      <c r="AM445" s="32" t="str">
        <f t="shared" si="143"/>
        <v/>
      </c>
      <c r="AN445" s="32" t="s">
        <v>313</v>
      </c>
      <c r="AO445" s="31"/>
      <c r="AP445" s="31"/>
      <c r="AQ445" s="32" t="str">
        <f t="shared" si="144"/>
        <v/>
      </c>
      <c r="AR445" s="32" t="s">
        <v>313</v>
      </c>
      <c r="AS445" s="31"/>
      <c r="AT445" s="31"/>
      <c r="AU445" s="32" t="str">
        <f t="shared" si="145"/>
        <v/>
      </c>
      <c r="AV445" s="32" t="s">
        <v>313</v>
      </c>
      <c r="AW445" s="31"/>
      <c r="AX445" s="31"/>
      <c r="AY445" s="32" t="str">
        <f t="shared" si="146"/>
        <v/>
      </c>
      <c r="AZ445" s="32" t="s">
        <v>313</v>
      </c>
    </row>
    <row r="446" spans="1:52" ht="34" customHeight="1">
      <c r="A446" s="28" t="s">
        <v>328</v>
      </c>
      <c r="B446" s="29" t="s">
        <v>230</v>
      </c>
      <c r="C446" s="29" t="s">
        <v>52</v>
      </c>
      <c r="D446" s="29" t="s">
        <v>54</v>
      </c>
      <c r="E446" s="29" t="s">
        <v>60</v>
      </c>
      <c r="F446" s="29" t="s">
        <v>316</v>
      </c>
      <c r="G446" s="30" t="s">
        <v>312</v>
      </c>
      <c r="H446" s="31"/>
      <c r="I446" s="31">
        <v>247803</v>
      </c>
      <c r="J446" s="32" t="str">
        <f t="shared" si="154"/>
        <v/>
      </c>
      <c r="K446" s="31"/>
      <c r="L446" s="31">
        <v>78601</v>
      </c>
      <c r="M446" s="32" t="str">
        <f t="shared" si="155"/>
        <v/>
      </c>
      <c r="N446" s="31"/>
      <c r="O446" s="31">
        <v>260218.81</v>
      </c>
      <c r="P446" s="32" t="str">
        <f t="shared" si="156"/>
        <v/>
      </c>
      <c r="Q446" s="31"/>
      <c r="R446" s="31">
        <v>172214.8</v>
      </c>
      <c r="S446" s="32" t="str">
        <f t="shared" si="157"/>
        <v/>
      </c>
      <c r="T446" s="31"/>
      <c r="U446" s="31">
        <v>185785.8</v>
      </c>
      <c r="V446" s="32" t="str">
        <f t="shared" si="158"/>
        <v/>
      </c>
      <c r="W446" s="31"/>
      <c r="X446" s="31">
        <v>201019</v>
      </c>
      <c r="Y446" s="32" t="str">
        <f t="shared" si="159"/>
        <v/>
      </c>
      <c r="Z446" s="31" t="str">
        <f t="shared" si="139"/>
        <v/>
      </c>
      <c r="AA446" s="31">
        <f t="shared" si="140"/>
        <v>1145642.4100000001</v>
      </c>
      <c r="AB446" s="32" t="str">
        <f t="shared" si="160"/>
        <v/>
      </c>
      <c r="AC446" s="31"/>
      <c r="AD446" s="31"/>
      <c r="AE446" s="32" t="str">
        <f t="shared" si="141"/>
        <v/>
      </c>
      <c r="AF446" s="32" t="s">
        <v>313</v>
      </c>
      <c r="AG446" s="31"/>
      <c r="AH446" s="31"/>
      <c r="AI446" s="32" t="str">
        <f t="shared" si="142"/>
        <v/>
      </c>
      <c r="AJ446" s="32" t="s">
        <v>313</v>
      </c>
      <c r="AK446" s="31"/>
      <c r="AL446" s="31"/>
      <c r="AM446" s="32" t="str">
        <f t="shared" si="143"/>
        <v/>
      </c>
      <c r="AN446" s="32" t="s">
        <v>313</v>
      </c>
      <c r="AO446" s="31"/>
      <c r="AP446" s="31"/>
      <c r="AQ446" s="32" t="str">
        <f t="shared" si="144"/>
        <v/>
      </c>
      <c r="AR446" s="32" t="s">
        <v>313</v>
      </c>
      <c r="AS446" s="31"/>
      <c r="AT446" s="31"/>
      <c r="AU446" s="32" t="str">
        <f t="shared" si="145"/>
        <v/>
      </c>
      <c r="AV446" s="32" t="s">
        <v>313</v>
      </c>
      <c r="AW446" s="31"/>
      <c r="AX446" s="31"/>
      <c r="AY446" s="32" t="str">
        <f t="shared" si="146"/>
        <v/>
      </c>
      <c r="AZ446" s="32" t="s">
        <v>313</v>
      </c>
    </row>
    <row r="447" spans="1:52" ht="51" customHeight="1">
      <c r="A447" s="28" t="s">
        <v>328</v>
      </c>
      <c r="B447" s="29" t="s">
        <v>230</v>
      </c>
      <c r="C447" s="29" t="s">
        <v>52</v>
      </c>
      <c r="D447" s="29" t="s">
        <v>54</v>
      </c>
      <c r="E447" s="29" t="s">
        <v>61</v>
      </c>
      <c r="F447" s="29" t="s">
        <v>135</v>
      </c>
      <c r="G447" s="30" t="s">
        <v>312</v>
      </c>
      <c r="H447" s="31">
        <v>2342.4899999999998</v>
      </c>
      <c r="I447" s="31">
        <v>247803</v>
      </c>
      <c r="J447" s="32">
        <f t="shared" si="154"/>
        <v>9.4530332562559761E-3</v>
      </c>
      <c r="K447" s="31">
        <v>807.99</v>
      </c>
      <c r="L447" s="31">
        <v>78601</v>
      </c>
      <c r="M447" s="32">
        <f t="shared" si="155"/>
        <v>1.0279640208139845E-2</v>
      </c>
      <c r="N447" s="31">
        <v>2089.35</v>
      </c>
      <c r="O447" s="31">
        <v>260218.81</v>
      </c>
      <c r="P447" s="32">
        <f t="shared" si="156"/>
        <v>8.0292043453738023E-3</v>
      </c>
      <c r="Q447" s="31">
        <v>-482.34</v>
      </c>
      <c r="R447" s="31">
        <v>172214.8</v>
      </c>
      <c r="S447" s="32">
        <f t="shared" si="157"/>
        <v>-2.8008045766101403E-3</v>
      </c>
      <c r="T447" s="31">
        <v>-34.700000000000003</v>
      </c>
      <c r="U447" s="31">
        <v>185785.8</v>
      </c>
      <c r="V447" s="32">
        <f t="shared" si="158"/>
        <v>-1.8677423139981637E-4</v>
      </c>
      <c r="W447" s="31">
        <v>1952.5</v>
      </c>
      <c r="X447" s="31">
        <v>201019</v>
      </c>
      <c r="Y447" s="32">
        <f t="shared" si="159"/>
        <v>9.7130122028265993E-3</v>
      </c>
      <c r="Z447" s="31">
        <f t="shared" si="139"/>
        <v>6675.29</v>
      </c>
      <c r="AA447" s="31">
        <f t="shared" si="140"/>
        <v>1145642.4100000001</v>
      </c>
      <c r="AB447" s="32">
        <f t="shared" si="160"/>
        <v>5.8266785008421595E-3</v>
      </c>
      <c r="AC447" s="31"/>
      <c r="AD447" s="31"/>
      <c r="AE447" s="32" t="str">
        <f t="shared" si="141"/>
        <v/>
      </c>
      <c r="AF447" s="32" t="s">
        <v>313</v>
      </c>
      <c r="AG447" s="31"/>
      <c r="AH447" s="31"/>
      <c r="AI447" s="32" t="str">
        <f t="shared" si="142"/>
        <v/>
      </c>
      <c r="AJ447" s="32" t="s">
        <v>313</v>
      </c>
      <c r="AK447" s="31"/>
      <c r="AL447" s="31"/>
      <c r="AM447" s="32" t="str">
        <f t="shared" si="143"/>
        <v/>
      </c>
      <c r="AN447" s="32" t="s">
        <v>313</v>
      </c>
      <c r="AO447" s="31"/>
      <c r="AP447" s="31"/>
      <c r="AQ447" s="32" t="str">
        <f t="shared" si="144"/>
        <v/>
      </c>
      <c r="AR447" s="32" t="s">
        <v>313</v>
      </c>
      <c r="AS447" s="31"/>
      <c r="AT447" s="31"/>
      <c r="AU447" s="32" t="str">
        <f t="shared" si="145"/>
        <v/>
      </c>
      <c r="AV447" s="32" t="s">
        <v>313</v>
      </c>
      <c r="AW447" s="31"/>
      <c r="AX447" s="31"/>
      <c r="AY447" s="32" t="str">
        <f t="shared" si="146"/>
        <v/>
      </c>
      <c r="AZ447" s="32" t="s">
        <v>313</v>
      </c>
    </row>
    <row r="448" spans="1:52" ht="34" customHeight="1">
      <c r="A448" s="28" t="s">
        <v>328</v>
      </c>
      <c r="B448" s="29" t="s">
        <v>230</v>
      </c>
      <c r="C448" s="29" t="s">
        <v>52</v>
      </c>
      <c r="D448" s="29" t="s">
        <v>54</v>
      </c>
      <c r="E448" s="29" t="s">
        <v>62</v>
      </c>
      <c r="F448" s="29" t="s">
        <v>316</v>
      </c>
      <c r="G448" s="30" t="s">
        <v>312</v>
      </c>
      <c r="H448" s="31"/>
      <c r="I448" s="31">
        <v>247803</v>
      </c>
      <c r="J448" s="32" t="str">
        <f t="shared" si="154"/>
        <v/>
      </c>
      <c r="K448" s="31"/>
      <c r="L448" s="31">
        <v>78601</v>
      </c>
      <c r="M448" s="32" t="str">
        <f t="shared" si="155"/>
        <v/>
      </c>
      <c r="N448" s="31"/>
      <c r="O448" s="31">
        <v>260218.81</v>
      </c>
      <c r="P448" s="32" t="str">
        <f t="shared" si="156"/>
        <v/>
      </c>
      <c r="Q448" s="31"/>
      <c r="R448" s="31">
        <v>172214.8</v>
      </c>
      <c r="S448" s="32" t="str">
        <f t="shared" si="157"/>
        <v/>
      </c>
      <c r="T448" s="31"/>
      <c r="U448" s="31">
        <v>185785.8</v>
      </c>
      <c r="V448" s="32" t="str">
        <f t="shared" si="158"/>
        <v/>
      </c>
      <c r="W448" s="31"/>
      <c r="X448" s="31">
        <v>201019</v>
      </c>
      <c r="Y448" s="32" t="str">
        <f t="shared" si="159"/>
        <v/>
      </c>
      <c r="Z448" s="31" t="str">
        <f t="shared" si="139"/>
        <v/>
      </c>
      <c r="AA448" s="31">
        <f t="shared" si="140"/>
        <v>1145642.4100000001</v>
      </c>
      <c r="AB448" s="32" t="str">
        <f t="shared" si="160"/>
        <v/>
      </c>
      <c r="AC448" s="31"/>
      <c r="AD448" s="31"/>
      <c r="AE448" s="32" t="str">
        <f t="shared" si="141"/>
        <v/>
      </c>
      <c r="AF448" s="32" t="s">
        <v>313</v>
      </c>
      <c r="AG448" s="31"/>
      <c r="AH448" s="31"/>
      <c r="AI448" s="32" t="str">
        <f t="shared" si="142"/>
        <v/>
      </c>
      <c r="AJ448" s="32" t="s">
        <v>313</v>
      </c>
      <c r="AK448" s="31"/>
      <c r="AL448" s="31"/>
      <c r="AM448" s="32" t="str">
        <f t="shared" si="143"/>
        <v/>
      </c>
      <c r="AN448" s="32" t="s">
        <v>313</v>
      </c>
      <c r="AO448" s="31"/>
      <c r="AP448" s="31"/>
      <c r="AQ448" s="32" t="str">
        <f t="shared" si="144"/>
        <v/>
      </c>
      <c r="AR448" s="32" t="s">
        <v>313</v>
      </c>
      <c r="AS448" s="31"/>
      <c r="AT448" s="31"/>
      <c r="AU448" s="32" t="str">
        <f t="shared" si="145"/>
        <v/>
      </c>
      <c r="AV448" s="32" t="s">
        <v>313</v>
      </c>
      <c r="AW448" s="31"/>
      <c r="AX448" s="31"/>
      <c r="AY448" s="32" t="str">
        <f t="shared" si="146"/>
        <v/>
      </c>
      <c r="AZ448" s="32" t="s">
        <v>313</v>
      </c>
    </row>
    <row r="449" spans="1:52" ht="34" customHeight="1">
      <c r="A449" s="28" t="s">
        <v>328</v>
      </c>
      <c r="B449" s="29" t="s">
        <v>230</v>
      </c>
      <c r="C449" s="29" t="s">
        <v>52</v>
      </c>
      <c r="D449" s="29" t="s">
        <v>54</v>
      </c>
      <c r="E449" s="29" t="s">
        <v>63</v>
      </c>
      <c r="F449" s="29" t="s">
        <v>316</v>
      </c>
      <c r="G449" s="30" t="s">
        <v>312</v>
      </c>
      <c r="H449" s="31"/>
      <c r="I449" s="31">
        <v>247803</v>
      </c>
      <c r="J449" s="32" t="str">
        <f t="shared" si="154"/>
        <v/>
      </c>
      <c r="K449" s="31"/>
      <c r="L449" s="31">
        <v>78601</v>
      </c>
      <c r="M449" s="32" t="str">
        <f t="shared" si="155"/>
        <v/>
      </c>
      <c r="N449" s="31"/>
      <c r="O449" s="31">
        <v>260218.81</v>
      </c>
      <c r="P449" s="32" t="str">
        <f t="shared" si="156"/>
        <v/>
      </c>
      <c r="Q449" s="31"/>
      <c r="R449" s="31">
        <v>172214.8</v>
      </c>
      <c r="S449" s="32" t="str">
        <f t="shared" si="157"/>
        <v/>
      </c>
      <c r="T449" s="31"/>
      <c r="U449" s="31">
        <v>185785.8</v>
      </c>
      <c r="V449" s="32" t="str">
        <f t="shared" si="158"/>
        <v/>
      </c>
      <c r="W449" s="31"/>
      <c r="X449" s="31">
        <v>201019</v>
      </c>
      <c r="Y449" s="32" t="str">
        <f t="shared" si="159"/>
        <v/>
      </c>
      <c r="Z449" s="31" t="str">
        <f t="shared" si="139"/>
        <v/>
      </c>
      <c r="AA449" s="31">
        <f t="shared" si="140"/>
        <v>1145642.4100000001</v>
      </c>
      <c r="AB449" s="32" t="str">
        <f t="shared" si="160"/>
        <v/>
      </c>
      <c r="AC449" s="31"/>
      <c r="AD449" s="31"/>
      <c r="AE449" s="32" t="str">
        <f t="shared" si="141"/>
        <v/>
      </c>
      <c r="AF449" s="32" t="s">
        <v>313</v>
      </c>
      <c r="AG449" s="31"/>
      <c r="AH449" s="31"/>
      <c r="AI449" s="32" t="str">
        <f t="shared" si="142"/>
        <v/>
      </c>
      <c r="AJ449" s="32" t="s">
        <v>313</v>
      </c>
      <c r="AK449" s="31"/>
      <c r="AL449" s="31"/>
      <c r="AM449" s="32" t="str">
        <f t="shared" si="143"/>
        <v/>
      </c>
      <c r="AN449" s="32" t="s">
        <v>313</v>
      </c>
      <c r="AO449" s="31"/>
      <c r="AP449" s="31"/>
      <c r="AQ449" s="32" t="str">
        <f t="shared" si="144"/>
        <v/>
      </c>
      <c r="AR449" s="32" t="s">
        <v>313</v>
      </c>
      <c r="AS449" s="31"/>
      <c r="AT449" s="31"/>
      <c r="AU449" s="32" t="str">
        <f t="shared" si="145"/>
        <v/>
      </c>
      <c r="AV449" s="32" t="s">
        <v>313</v>
      </c>
      <c r="AW449" s="31"/>
      <c r="AX449" s="31"/>
      <c r="AY449" s="32" t="str">
        <f t="shared" si="146"/>
        <v/>
      </c>
      <c r="AZ449" s="32" t="s">
        <v>313</v>
      </c>
    </row>
    <row r="450" spans="1:52" ht="34" customHeight="1">
      <c r="A450" s="28" t="s">
        <v>328</v>
      </c>
      <c r="B450" s="29" t="s">
        <v>230</v>
      </c>
      <c r="C450" s="29" t="s">
        <v>52</v>
      </c>
      <c r="D450" s="29" t="s">
        <v>65</v>
      </c>
      <c r="E450" s="29" t="s">
        <v>66</v>
      </c>
      <c r="F450" s="29" t="s">
        <v>316</v>
      </c>
      <c r="G450" s="30" t="s">
        <v>312</v>
      </c>
      <c r="H450" s="31"/>
      <c r="I450" s="31">
        <v>247803</v>
      </c>
      <c r="J450" s="32" t="str">
        <f t="shared" si="154"/>
        <v/>
      </c>
      <c r="K450" s="31"/>
      <c r="L450" s="31">
        <v>78601</v>
      </c>
      <c r="M450" s="32" t="str">
        <f t="shared" si="155"/>
        <v/>
      </c>
      <c r="N450" s="31"/>
      <c r="O450" s="31">
        <v>260218.81</v>
      </c>
      <c r="P450" s="32" t="str">
        <f t="shared" si="156"/>
        <v/>
      </c>
      <c r="Q450" s="31"/>
      <c r="R450" s="31">
        <v>172214.8</v>
      </c>
      <c r="S450" s="32" t="str">
        <f t="shared" si="157"/>
        <v/>
      </c>
      <c r="T450" s="31"/>
      <c r="U450" s="31">
        <v>185785.8</v>
      </c>
      <c r="V450" s="32" t="str">
        <f t="shared" si="158"/>
        <v/>
      </c>
      <c r="W450" s="31"/>
      <c r="X450" s="31">
        <v>201019</v>
      </c>
      <c r="Y450" s="32" t="str">
        <f t="shared" si="159"/>
        <v/>
      </c>
      <c r="Z450" s="31" t="str">
        <f t="shared" si="139"/>
        <v/>
      </c>
      <c r="AA450" s="31">
        <f t="shared" si="140"/>
        <v>1145642.4100000001</v>
      </c>
      <c r="AB450" s="32" t="str">
        <f t="shared" si="160"/>
        <v/>
      </c>
      <c r="AC450" s="31"/>
      <c r="AD450" s="31"/>
      <c r="AE450" s="32" t="str">
        <f t="shared" si="141"/>
        <v/>
      </c>
      <c r="AF450" s="32" t="s">
        <v>313</v>
      </c>
      <c r="AG450" s="31"/>
      <c r="AH450" s="31"/>
      <c r="AI450" s="32" t="str">
        <f t="shared" si="142"/>
        <v/>
      </c>
      <c r="AJ450" s="32" t="s">
        <v>313</v>
      </c>
      <c r="AK450" s="31"/>
      <c r="AL450" s="31"/>
      <c r="AM450" s="32" t="str">
        <f t="shared" si="143"/>
        <v/>
      </c>
      <c r="AN450" s="32" t="s">
        <v>313</v>
      </c>
      <c r="AO450" s="31"/>
      <c r="AP450" s="31"/>
      <c r="AQ450" s="32" t="str">
        <f t="shared" si="144"/>
        <v/>
      </c>
      <c r="AR450" s="32" t="s">
        <v>313</v>
      </c>
      <c r="AS450" s="31"/>
      <c r="AT450" s="31"/>
      <c r="AU450" s="32" t="str">
        <f t="shared" si="145"/>
        <v/>
      </c>
      <c r="AV450" s="32" t="s">
        <v>313</v>
      </c>
      <c r="AW450" s="31"/>
      <c r="AX450" s="31"/>
      <c r="AY450" s="32" t="str">
        <f t="shared" si="146"/>
        <v/>
      </c>
      <c r="AZ450" s="32" t="s">
        <v>313</v>
      </c>
    </row>
    <row r="451" spans="1:52" ht="34" customHeight="1">
      <c r="A451" s="28" t="s">
        <v>328</v>
      </c>
      <c r="B451" s="29" t="s">
        <v>230</v>
      </c>
      <c r="C451" s="29" t="s">
        <v>52</v>
      </c>
      <c r="D451" s="29" t="s">
        <v>65</v>
      </c>
      <c r="E451" s="29" t="s">
        <v>67</v>
      </c>
      <c r="F451" s="29" t="s">
        <v>316</v>
      </c>
      <c r="G451" s="30" t="s">
        <v>312</v>
      </c>
      <c r="H451" s="31"/>
      <c r="I451" s="31">
        <v>247803</v>
      </c>
      <c r="J451" s="32" t="str">
        <f t="shared" si="154"/>
        <v/>
      </c>
      <c r="K451" s="31"/>
      <c r="L451" s="31">
        <v>78601</v>
      </c>
      <c r="M451" s="32" t="str">
        <f t="shared" si="155"/>
        <v/>
      </c>
      <c r="N451" s="31"/>
      <c r="O451" s="31">
        <v>260218.81</v>
      </c>
      <c r="P451" s="32" t="str">
        <f t="shared" si="156"/>
        <v/>
      </c>
      <c r="Q451" s="31"/>
      <c r="R451" s="31">
        <v>172214.8</v>
      </c>
      <c r="S451" s="32" t="str">
        <f t="shared" si="157"/>
        <v/>
      </c>
      <c r="T451" s="31"/>
      <c r="U451" s="31">
        <v>185785.8</v>
      </c>
      <c r="V451" s="32" t="str">
        <f t="shared" si="158"/>
        <v/>
      </c>
      <c r="W451" s="31"/>
      <c r="X451" s="31">
        <v>201019</v>
      </c>
      <c r="Y451" s="32" t="str">
        <f t="shared" si="159"/>
        <v/>
      </c>
      <c r="Z451" s="31" t="str">
        <f t="shared" si="139"/>
        <v/>
      </c>
      <c r="AA451" s="31">
        <f t="shared" si="140"/>
        <v>1145642.4100000001</v>
      </c>
      <c r="AB451" s="32" t="str">
        <f t="shared" si="160"/>
        <v/>
      </c>
      <c r="AC451" s="31"/>
      <c r="AD451" s="31"/>
      <c r="AE451" s="32" t="str">
        <f t="shared" si="141"/>
        <v/>
      </c>
      <c r="AF451" s="32" t="s">
        <v>313</v>
      </c>
      <c r="AG451" s="31"/>
      <c r="AH451" s="31"/>
      <c r="AI451" s="32" t="str">
        <f t="shared" si="142"/>
        <v/>
      </c>
      <c r="AJ451" s="32" t="s">
        <v>313</v>
      </c>
      <c r="AK451" s="31"/>
      <c r="AL451" s="31"/>
      <c r="AM451" s="32" t="str">
        <f t="shared" si="143"/>
        <v/>
      </c>
      <c r="AN451" s="32" t="s">
        <v>313</v>
      </c>
      <c r="AO451" s="31"/>
      <c r="AP451" s="31"/>
      <c r="AQ451" s="32" t="str">
        <f t="shared" si="144"/>
        <v/>
      </c>
      <c r="AR451" s="32" t="s">
        <v>313</v>
      </c>
      <c r="AS451" s="31"/>
      <c r="AT451" s="31"/>
      <c r="AU451" s="32" t="str">
        <f t="shared" si="145"/>
        <v/>
      </c>
      <c r="AV451" s="32" t="s">
        <v>313</v>
      </c>
      <c r="AW451" s="31"/>
      <c r="AX451" s="31"/>
      <c r="AY451" s="32" t="str">
        <f t="shared" si="146"/>
        <v/>
      </c>
      <c r="AZ451" s="32" t="s">
        <v>313</v>
      </c>
    </row>
    <row r="452" spans="1:52" ht="34" customHeight="1">
      <c r="A452" s="28" t="s">
        <v>328</v>
      </c>
      <c r="B452" s="29" t="s">
        <v>230</v>
      </c>
      <c r="C452" s="29" t="s">
        <v>52</v>
      </c>
      <c r="D452" s="29" t="s">
        <v>65</v>
      </c>
      <c r="E452" s="29" t="s">
        <v>68</v>
      </c>
      <c r="F452" s="29" t="s">
        <v>316</v>
      </c>
      <c r="G452" s="30" t="s">
        <v>312</v>
      </c>
      <c r="H452" s="31"/>
      <c r="I452" s="31">
        <v>247803</v>
      </c>
      <c r="J452" s="32" t="str">
        <f t="shared" si="154"/>
        <v/>
      </c>
      <c r="K452" s="31"/>
      <c r="L452" s="31">
        <v>78601</v>
      </c>
      <c r="M452" s="32" t="str">
        <f t="shared" si="155"/>
        <v/>
      </c>
      <c r="N452" s="31"/>
      <c r="O452" s="31">
        <v>260218.81</v>
      </c>
      <c r="P452" s="32" t="str">
        <f t="shared" si="156"/>
        <v/>
      </c>
      <c r="Q452" s="31"/>
      <c r="R452" s="31">
        <v>172214.8</v>
      </c>
      <c r="S452" s="32" t="str">
        <f t="shared" si="157"/>
        <v/>
      </c>
      <c r="T452" s="31"/>
      <c r="U452" s="31">
        <v>185785.8</v>
      </c>
      <c r="V452" s="32" t="str">
        <f t="shared" si="158"/>
        <v/>
      </c>
      <c r="W452" s="31"/>
      <c r="X452" s="31">
        <v>201019</v>
      </c>
      <c r="Y452" s="32" t="str">
        <f t="shared" si="159"/>
        <v/>
      </c>
      <c r="Z452" s="31" t="str">
        <f t="shared" si="139"/>
        <v/>
      </c>
      <c r="AA452" s="31">
        <f t="shared" si="140"/>
        <v>1145642.4100000001</v>
      </c>
      <c r="AB452" s="32" t="str">
        <f t="shared" si="160"/>
        <v/>
      </c>
      <c r="AC452" s="31"/>
      <c r="AD452" s="31"/>
      <c r="AE452" s="32" t="str">
        <f t="shared" si="141"/>
        <v/>
      </c>
      <c r="AF452" s="32" t="s">
        <v>313</v>
      </c>
      <c r="AG452" s="31"/>
      <c r="AH452" s="31"/>
      <c r="AI452" s="32" t="str">
        <f t="shared" si="142"/>
        <v/>
      </c>
      <c r="AJ452" s="32" t="s">
        <v>313</v>
      </c>
      <c r="AK452" s="31"/>
      <c r="AL452" s="31"/>
      <c r="AM452" s="32" t="str">
        <f t="shared" si="143"/>
        <v/>
      </c>
      <c r="AN452" s="32" t="s">
        <v>313</v>
      </c>
      <c r="AO452" s="31"/>
      <c r="AP452" s="31"/>
      <c r="AQ452" s="32" t="str">
        <f t="shared" si="144"/>
        <v/>
      </c>
      <c r="AR452" s="32" t="s">
        <v>313</v>
      </c>
      <c r="AS452" s="31"/>
      <c r="AT452" s="31"/>
      <c r="AU452" s="32" t="str">
        <f t="shared" si="145"/>
        <v/>
      </c>
      <c r="AV452" s="32" t="s">
        <v>313</v>
      </c>
      <c r="AW452" s="31"/>
      <c r="AX452" s="31"/>
      <c r="AY452" s="32" t="str">
        <f t="shared" si="146"/>
        <v/>
      </c>
      <c r="AZ452" s="32" t="s">
        <v>313</v>
      </c>
    </row>
    <row r="453" spans="1:52" ht="34" customHeight="1">
      <c r="A453" s="28" t="s">
        <v>328</v>
      </c>
      <c r="B453" s="29" t="s">
        <v>230</v>
      </c>
      <c r="C453" s="29" t="s">
        <v>52</v>
      </c>
      <c r="D453" s="29" t="s">
        <v>65</v>
      </c>
      <c r="E453" s="29" t="s">
        <v>69</v>
      </c>
      <c r="F453" s="29" t="s">
        <v>316</v>
      </c>
      <c r="G453" s="30" t="s">
        <v>312</v>
      </c>
      <c r="H453" s="31"/>
      <c r="I453" s="31">
        <v>247803</v>
      </c>
      <c r="J453" s="32" t="str">
        <f t="shared" si="154"/>
        <v/>
      </c>
      <c r="K453" s="31"/>
      <c r="L453" s="31">
        <v>78601</v>
      </c>
      <c r="M453" s="32" t="str">
        <f t="shared" si="155"/>
        <v/>
      </c>
      <c r="N453" s="31"/>
      <c r="O453" s="31">
        <v>260218.81</v>
      </c>
      <c r="P453" s="32" t="str">
        <f t="shared" si="156"/>
        <v/>
      </c>
      <c r="Q453" s="31"/>
      <c r="R453" s="31">
        <v>172214.8</v>
      </c>
      <c r="S453" s="32" t="str">
        <f t="shared" si="157"/>
        <v/>
      </c>
      <c r="T453" s="31"/>
      <c r="U453" s="31">
        <v>185785.8</v>
      </c>
      <c r="V453" s="32" t="str">
        <f t="shared" si="158"/>
        <v/>
      </c>
      <c r="W453" s="31"/>
      <c r="X453" s="31">
        <v>201019</v>
      </c>
      <c r="Y453" s="32" t="str">
        <f t="shared" si="159"/>
        <v/>
      </c>
      <c r="Z453" s="31" t="str">
        <f t="shared" si="139"/>
        <v/>
      </c>
      <c r="AA453" s="31">
        <f t="shared" si="140"/>
        <v>1145642.4100000001</v>
      </c>
      <c r="AB453" s="32" t="str">
        <f t="shared" si="160"/>
        <v/>
      </c>
      <c r="AC453" s="31"/>
      <c r="AD453" s="31"/>
      <c r="AE453" s="32" t="str">
        <f t="shared" si="141"/>
        <v/>
      </c>
      <c r="AF453" s="32" t="s">
        <v>313</v>
      </c>
      <c r="AG453" s="31"/>
      <c r="AH453" s="31"/>
      <c r="AI453" s="32" t="str">
        <f t="shared" si="142"/>
        <v/>
      </c>
      <c r="AJ453" s="32" t="s">
        <v>313</v>
      </c>
      <c r="AK453" s="31"/>
      <c r="AL453" s="31"/>
      <c r="AM453" s="32" t="str">
        <f t="shared" si="143"/>
        <v/>
      </c>
      <c r="AN453" s="32" t="s">
        <v>313</v>
      </c>
      <c r="AO453" s="31"/>
      <c r="AP453" s="31"/>
      <c r="AQ453" s="32" t="str">
        <f t="shared" si="144"/>
        <v/>
      </c>
      <c r="AR453" s="32" t="s">
        <v>313</v>
      </c>
      <c r="AS453" s="31"/>
      <c r="AT453" s="31"/>
      <c r="AU453" s="32" t="str">
        <f t="shared" si="145"/>
        <v/>
      </c>
      <c r="AV453" s="32" t="s">
        <v>313</v>
      </c>
      <c r="AW453" s="31"/>
      <c r="AX453" s="31"/>
      <c r="AY453" s="32" t="str">
        <f t="shared" si="146"/>
        <v/>
      </c>
      <c r="AZ453" s="32" t="s">
        <v>313</v>
      </c>
    </row>
    <row r="454" spans="1:52" ht="68" customHeight="1">
      <c r="A454" s="28" t="s">
        <v>328</v>
      </c>
      <c r="B454" s="29" t="s">
        <v>230</v>
      </c>
      <c r="C454" s="29" t="s">
        <v>52</v>
      </c>
      <c r="D454" s="29" t="s">
        <v>70</v>
      </c>
      <c r="E454" s="29" t="s">
        <v>73</v>
      </c>
      <c r="F454" s="29" t="s">
        <v>317</v>
      </c>
      <c r="G454" s="30" t="s">
        <v>312</v>
      </c>
      <c r="H454" s="31">
        <v>3453.81</v>
      </c>
      <c r="I454" s="31">
        <v>247803</v>
      </c>
      <c r="J454" s="32">
        <f t="shared" si="154"/>
        <v>1.3937724724882266E-2</v>
      </c>
      <c r="K454" s="31">
        <v>1390.76</v>
      </c>
      <c r="L454" s="31">
        <v>78601</v>
      </c>
      <c r="M454" s="32">
        <f t="shared" si="155"/>
        <v>1.7693922469179783E-2</v>
      </c>
      <c r="N454" s="31">
        <v>4858.0600000000004</v>
      </c>
      <c r="O454" s="31">
        <v>260218.81</v>
      </c>
      <c r="P454" s="32">
        <f t="shared" si="156"/>
        <v>1.8669134640958509E-2</v>
      </c>
      <c r="Q454" s="31">
        <v>3395.08</v>
      </c>
      <c r="R454" s="31">
        <v>172214.8</v>
      </c>
      <c r="S454" s="32">
        <f t="shared" si="157"/>
        <v>1.9714217361109499E-2</v>
      </c>
      <c r="T454" s="31">
        <v>12647.92</v>
      </c>
      <c r="U454" s="31">
        <v>185785.8</v>
      </c>
      <c r="V454" s="32">
        <f t="shared" si="158"/>
        <v>6.8077969360413992E-2</v>
      </c>
      <c r="W454" s="31">
        <v>12880.48</v>
      </c>
      <c r="X454" s="31">
        <v>201019</v>
      </c>
      <c r="Y454" s="32">
        <f t="shared" si="159"/>
        <v>6.4075933120749773E-2</v>
      </c>
      <c r="Z454" s="31">
        <f t="shared" ref="Z454:Z517" si="161">IF(COUNT(H454,K454,N454,Q454,T454,W454)=0,"",SUM(H454,K454,N454,Q454,T454,W454))</f>
        <v>38626.11</v>
      </c>
      <c r="AA454" s="31">
        <f t="shared" ref="AA454:AA517" si="162">IF(COUNT(I454,L454,O454,R454,U454,X454)=0,"",SUM(I454,L454,O454,R454,U454,X454))</f>
        <v>1145642.4100000001</v>
      </c>
      <c r="AB454" s="32">
        <f t="shared" si="160"/>
        <v>3.3715677477407627E-2</v>
      </c>
      <c r="AC454" s="31"/>
      <c r="AD454" s="31"/>
      <c r="AE454" s="32" t="str">
        <f t="shared" ref="AE454:AE517" si="163">IF(AC454="","",IFERROR(AC454/AD454,""))</f>
        <v/>
      </c>
      <c r="AF454" s="32" t="s">
        <v>313</v>
      </c>
      <c r="AG454" s="31"/>
      <c r="AH454" s="31"/>
      <c r="AI454" s="32" t="str">
        <f t="shared" ref="AI454:AI517" si="164">IF(AG454="","",IFERROR(AG454/AH454,""))</f>
        <v/>
      </c>
      <c r="AJ454" s="32" t="s">
        <v>313</v>
      </c>
      <c r="AK454" s="31"/>
      <c r="AL454" s="31"/>
      <c r="AM454" s="32" t="str">
        <f t="shared" ref="AM454:AM517" si="165">IF(AK454="","",IFERROR(AK454/AL454,""))</f>
        <v/>
      </c>
      <c r="AN454" s="32" t="s">
        <v>313</v>
      </c>
      <c r="AO454" s="31"/>
      <c r="AP454" s="31"/>
      <c r="AQ454" s="32" t="str">
        <f t="shared" ref="AQ454:AQ517" si="166">IF(AO454="","",IFERROR(AO454/AP454,""))</f>
        <v/>
      </c>
      <c r="AR454" s="32" t="s">
        <v>313</v>
      </c>
      <c r="AS454" s="31"/>
      <c r="AT454" s="31"/>
      <c r="AU454" s="32" t="str">
        <f t="shared" ref="AU454:AU517" si="167">IF(AS454="","",IFERROR(AS454/AT454,""))</f>
        <v/>
      </c>
      <c r="AV454" s="32" t="s">
        <v>313</v>
      </c>
      <c r="AW454" s="31"/>
      <c r="AX454" s="31"/>
      <c r="AY454" s="32" t="str">
        <f t="shared" ref="AY454:AY517" si="168">IF(AW454="","",IFERROR(AW454/AX454,""))</f>
        <v/>
      </c>
      <c r="AZ454" s="32" t="s">
        <v>313</v>
      </c>
    </row>
    <row r="455" spans="1:52" ht="34" customHeight="1">
      <c r="A455" s="28" t="s">
        <v>328</v>
      </c>
      <c r="B455" s="29" t="s">
        <v>230</v>
      </c>
      <c r="C455" s="29" t="s">
        <v>52</v>
      </c>
      <c r="D455" s="29" t="s">
        <v>70</v>
      </c>
      <c r="E455" s="29" t="s">
        <v>71</v>
      </c>
      <c r="F455" s="29" t="s">
        <v>316</v>
      </c>
      <c r="G455" s="30" t="s">
        <v>312</v>
      </c>
      <c r="H455" s="31"/>
      <c r="I455" s="31">
        <v>247803</v>
      </c>
      <c r="J455" s="32" t="str">
        <f t="shared" si="154"/>
        <v/>
      </c>
      <c r="K455" s="31"/>
      <c r="L455" s="31">
        <v>78601</v>
      </c>
      <c r="M455" s="32" t="str">
        <f t="shared" si="155"/>
        <v/>
      </c>
      <c r="N455" s="31"/>
      <c r="O455" s="31">
        <v>260218.81</v>
      </c>
      <c r="P455" s="32" t="str">
        <f t="shared" si="156"/>
        <v/>
      </c>
      <c r="Q455" s="31"/>
      <c r="R455" s="31">
        <v>172214.8</v>
      </c>
      <c r="S455" s="32" t="str">
        <f t="shared" si="157"/>
        <v/>
      </c>
      <c r="T455" s="31"/>
      <c r="U455" s="31">
        <v>185785.8</v>
      </c>
      <c r="V455" s="32" t="str">
        <f t="shared" si="158"/>
        <v/>
      </c>
      <c r="W455" s="31"/>
      <c r="X455" s="31">
        <v>201019</v>
      </c>
      <c r="Y455" s="32" t="str">
        <f t="shared" si="159"/>
        <v/>
      </c>
      <c r="Z455" s="31" t="str">
        <f t="shared" si="161"/>
        <v/>
      </c>
      <c r="AA455" s="31">
        <f t="shared" si="162"/>
        <v>1145642.4100000001</v>
      </c>
      <c r="AB455" s="32" t="str">
        <f t="shared" si="160"/>
        <v/>
      </c>
      <c r="AC455" s="31"/>
      <c r="AD455" s="31"/>
      <c r="AE455" s="32" t="str">
        <f t="shared" si="163"/>
        <v/>
      </c>
      <c r="AF455" s="32" t="s">
        <v>313</v>
      </c>
      <c r="AG455" s="31"/>
      <c r="AH455" s="31"/>
      <c r="AI455" s="32" t="str">
        <f t="shared" si="164"/>
        <v/>
      </c>
      <c r="AJ455" s="32" t="s">
        <v>313</v>
      </c>
      <c r="AK455" s="31"/>
      <c r="AL455" s="31"/>
      <c r="AM455" s="32" t="str">
        <f t="shared" si="165"/>
        <v/>
      </c>
      <c r="AN455" s="32" t="s">
        <v>313</v>
      </c>
      <c r="AO455" s="31"/>
      <c r="AP455" s="31"/>
      <c r="AQ455" s="32" t="str">
        <f t="shared" si="166"/>
        <v/>
      </c>
      <c r="AR455" s="32" t="s">
        <v>313</v>
      </c>
      <c r="AS455" s="31"/>
      <c r="AT455" s="31"/>
      <c r="AU455" s="32" t="str">
        <f t="shared" si="167"/>
        <v/>
      </c>
      <c r="AV455" s="32" t="s">
        <v>313</v>
      </c>
      <c r="AW455" s="31"/>
      <c r="AX455" s="31"/>
      <c r="AY455" s="32" t="str">
        <f t="shared" si="168"/>
        <v/>
      </c>
      <c r="AZ455" s="32" t="s">
        <v>313</v>
      </c>
    </row>
    <row r="456" spans="1:52" ht="34" customHeight="1">
      <c r="A456" s="28" t="s">
        <v>328</v>
      </c>
      <c r="B456" s="29" t="s">
        <v>230</v>
      </c>
      <c r="C456" s="29" t="s">
        <v>52</v>
      </c>
      <c r="D456" s="29" t="s">
        <v>70</v>
      </c>
      <c r="E456" s="29" t="s">
        <v>72</v>
      </c>
      <c r="F456" s="29" t="s">
        <v>316</v>
      </c>
      <c r="G456" s="30" t="s">
        <v>312</v>
      </c>
      <c r="H456" s="31"/>
      <c r="I456" s="31">
        <v>247803</v>
      </c>
      <c r="J456" s="32" t="str">
        <f t="shared" si="154"/>
        <v/>
      </c>
      <c r="K456" s="31"/>
      <c r="L456" s="31">
        <v>78601</v>
      </c>
      <c r="M456" s="32" t="str">
        <f t="shared" si="155"/>
        <v/>
      </c>
      <c r="N456" s="31"/>
      <c r="O456" s="31">
        <v>260218.81</v>
      </c>
      <c r="P456" s="32" t="str">
        <f t="shared" si="156"/>
        <v/>
      </c>
      <c r="Q456" s="31"/>
      <c r="R456" s="31">
        <v>172214.8</v>
      </c>
      <c r="S456" s="32" t="str">
        <f t="shared" si="157"/>
        <v/>
      </c>
      <c r="T456" s="31"/>
      <c r="U456" s="31">
        <v>185785.8</v>
      </c>
      <c r="V456" s="32" t="str">
        <f t="shared" si="158"/>
        <v/>
      </c>
      <c r="W456" s="31"/>
      <c r="X456" s="31">
        <v>201019</v>
      </c>
      <c r="Y456" s="32" t="str">
        <f t="shared" si="159"/>
        <v/>
      </c>
      <c r="Z456" s="31" t="str">
        <f t="shared" si="161"/>
        <v/>
      </c>
      <c r="AA456" s="31">
        <f t="shared" si="162"/>
        <v>1145642.4100000001</v>
      </c>
      <c r="AB456" s="32" t="str">
        <f t="shared" si="160"/>
        <v/>
      </c>
      <c r="AC456" s="31"/>
      <c r="AD456" s="31"/>
      <c r="AE456" s="32" t="str">
        <f t="shared" si="163"/>
        <v/>
      </c>
      <c r="AF456" s="32" t="s">
        <v>313</v>
      </c>
      <c r="AG456" s="31"/>
      <c r="AH456" s="31"/>
      <c r="AI456" s="32" t="str">
        <f t="shared" si="164"/>
        <v/>
      </c>
      <c r="AJ456" s="32" t="s">
        <v>313</v>
      </c>
      <c r="AK456" s="31"/>
      <c r="AL456" s="31"/>
      <c r="AM456" s="32" t="str">
        <f t="shared" si="165"/>
        <v/>
      </c>
      <c r="AN456" s="32" t="s">
        <v>313</v>
      </c>
      <c r="AO456" s="31"/>
      <c r="AP456" s="31"/>
      <c r="AQ456" s="32" t="str">
        <f t="shared" si="166"/>
        <v/>
      </c>
      <c r="AR456" s="32" t="s">
        <v>313</v>
      </c>
      <c r="AS456" s="31"/>
      <c r="AT456" s="31"/>
      <c r="AU456" s="32" t="str">
        <f t="shared" si="167"/>
        <v/>
      </c>
      <c r="AV456" s="32" t="s">
        <v>313</v>
      </c>
      <c r="AW456" s="31"/>
      <c r="AX456" s="31"/>
      <c r="AY456" s="32" t="str">
        <f t="shared" si="168"/>
        <v/>
      </c>
      <c r="AZ456" s="32" t="s">
        <v>313</v>
      </c>
    </row>
    <row r="457" spans="1:52" ht="34" customHeight="1">
      <c r="A457" s="28" t="s">
        <v>328</v>
      </c>
      <c r="B457" s="29" t="s">
        <v>230</v>
      </c>
      <c r="C457" s="29" t="s">
        <v>52</v>
      </c>
      <c r="D457" s="29" t="s">
        <v>74</v>
      </c>
      <c r="E457" s="29" t="s">
        <v>75</v>
      </c>
      <c r="F457" s="29" t="s">
        <v>139</v>
      </c>
      <c r="G457" s="30" t="s">
        <v>312</v>
      </c>
      <c r="H457" s="31">
        <v>4202.63</v>
      </c>
      <c r="I457" s="31">
        <v>247803</v>
      </c>
      <c r="J457" s="32">
        <f t="shared" si="154"/>
        <v>1.6959560618717288E-2</v>
      </c>
      <c r="K457" s="31">
        <v>1513.4</v>
      </c>
      <c r="L457" s="31">
        <v>78601</v>
      </c>
      <c r="M457" s="32">
        <f t="shared" si="155"/>
        <v>1.9254207961730767E-2</v>
      </c>
      <c r="N457" s="31">
        <v>4150.17</v>
      </c>
      <c r="O457" s="31">
        <v>260218.81</v>
      </c>
      <c r="P457" s="32">
        <f t="shared" si="156"/>
        <v>1.5948770190748317E-2</v>
      </c>
      <c r="Q457" s="31">
        <v>3640.46</v>
      </c>
      <c r="R457" s="31">
        <v>172214.8</v>
      </c>
      <c r="S457" s="32">
        <f t="shared" si="157"/>
        <v>2.1139065864257893E-2</v>
      </c>
      <c r="T457" s="31">
        <v>7883.88</v>
      </c>
      <c r="U457" s="31">
        <v>185785.8</v>
      </c>
      <c r="V457" s="32">
        <f t="shared" si="158"/>
        <v>4.2435320675745944E-2</v>
      </c>
      <c r="W457" s="31">
        <v>8369.5499999999993</v>
      </c>
      <c r="X457" s="31">
        <v>201019</v>
      </c>
      <c r="Y457" s="32">
        <f t="shared" si="159"/>
        <v>4.1635616533760487E-2</v>
      </c>
      <c r="Z457" s="31">
        <f t="shared" si="161"/>
        <v>29760.09</v>
      </c>
      <c r="AA457" s="31">
        <f t="shared" si="162"/>
        <v>1145642.4100000001</v>
      </c>
      <c r="AB457" s="32">
        <f t="shared" si="160"/>
        <v>2.5976770535231841E-2</v>
      </c>
      <c r="AC457" s="31"/>
      <c r="AD457" s="31"/>
      <c r="AE457" s="32" t="str">
        <f t="shared" si="163"/>
        <v/>
      </c>
      <c r="AF457" s="32" t="s">
        <v>313</v>
      </c>
      <c r="AG457" s="31"/>
      <c r="AH457" s="31"/>
      <c r="AI457" s="32" t="str">
        <f t="shared" si="164"/>
        <v/>
      </c>
      <c r="AJ457" s="32" t="s">
        <v>313</v>
      </c>
      <c r="AK457" s="31"/>
      <c r="AL457" s="31"/>
      <c r="AM457" s="32" t="str">
        <f t="shared" si="165"/>
        <v/>
      </c>
      <c r="AN457" s="32" t="s">
        <v>313</v>
      </c>
      <c r="AO457" s="31"/>
      <c r="AP457" s="31"/>
      <c r="AQ457" s="32" t="str">
        <f t="shared" si="166"/>
        <v/>
      </c>
      <c r="AR457" s="32" t="s">
        <v>313</v>
      </c>
      <c r="AS457" s="31"/>
      <c r="AT457" s="31"/>
      <c r="AU457" s="32" t="str">
        <f t="shared" si="167"/>
        <v/>
      </c>
      <c r="AV457" s="32" t="s">
        <v>313</v>
      </c>
      <c r="AW457" s="31"/>
      <c r="AX457" s="31"/>
      <c r="AY457" s="32" t="str">
        <f t="shared" si="168"/>
        <v/>
      </c>
      <c r="AZ457" s="32" t="s">
        <v>313</v>
      </c>
    </row>
    <row r="458" spans="1:52" ht="34" customHeight="1">
      <c r="A458" s="28" t="s">
        <v>328</v>
      </c>
      <c r="B458" s="29" t="s">
        <v>230</v>
      </c>
      <c r="C458" s="29" t="s">
        <v>52</v>
      </c>
      <c r="D458" s="29" t="s">
        <v>74</v>
      </c>
      <c r="E458" s="29" t="s">
        <v>76</v>
      </c>
      <c r="F458" s="29" t="s">
        <v>141</v>
      </c>
      <c r="G458" s="30" t="s">
        <v>312</v>
      </c>
      <c r="H458" s="31">
        <v>1191.617855</v>
      </c>
      <c r="I458" s="31">
        <v>247803</v>
      </c>
      <c r="J458" s="32">
        <f t="shared" si="154"/>
        <v>4.808730544020855E-3</v>
      </c>
      <c r="K458" s="31">
        <v>426.63702072321502</v>
      </c>
      <c r="L458" s="31">
        <v>78601</v>
      </c>
      <c r="M458" s="32">
        <f t="shared" si="155"/>
        <v>5.4278828605643058E-3</v>
      </c>
      <c r="N458" s="31">
        <v>1156.1600000000001</v>
      </c>
      <c r="O458" s="31">
        <v>260218.81</v>
      </c>
      <c r="P458" s="32">
        <f t="shared" si="156"/>
        <v>4.4430300791860515E-3</v>
      </c>
      <c r="Q458" s="31">
        <v>977</v>
      </c>
      <c r="R458" s="31">
        <v>172214.8</v>
      </c>
      <c r="S458" s="32">
        <f t="shared" si="157"/>
        <v>5.6731477201727148E-3</v>
      </c>
      <c r="T458" s="31">
        <v>2155.66</v>
      </c>
      <c r="U458" s="31">
        <v>185785.8</v>
      </c>
      <c r="V458" s="32">
        <f t="shared" si="158"/>
        <v>1.1602931978654989E-2</v>
      </c>
      <c r="W458" s="31">
        <v>2821.2</v>
      </c>
      <c r="X458" s="31">
        <v>201019</v>
      </c>
      <c r="Y458" s="32">
        <f t="shared" si="159"/>
        <v>1.4034494251787143E-2</v>
      </c>
      <c r="Z458" s="31">
        <f t="shared" si="161"/>
        <v>8728.2748757232148</v>
      </c>
      <c r="AA458" s="31">
        <f t="shared" si="162"/>
        <v>1145642.4100000001</v>
      </c>
      <c r="AB458" s="32">
        <f t="shared" si="160"/>
        <v>7.6186729816707932E-3</v>
      </c>
      <c r="AC458" s="31"/>
      <c r="AD458" s="31"/>
      <c r="AE458" s="32" t="str">
        <f t="shared" si="163"/>
        <v/>
      </c>
      <c r="AF458" s="32" t="s">
        <v>313</v>
      </c>
      <c r="AG458" s="31"/>
      <c r="AH458" s="31"/>
      <c r="AI458" s="32" t="str">
        <f t="shared" si="164"/>
        <v/>
      </c>
      <c r="AJ458" s="32" t="s">
        <v>313</v>
      </c>
      <c r="AK458" s="31"/>
      <c r="AL458" s="31"/>
      <c r="AM458" s="32" t="str">
        <f t="shared" si="165"/>
        <v/>
      </c>
      <c r="AN458" s="32" t="s">
        <v>313</v>
      </c>
      <c r="AO458" s="31"/>
      <c r="AP458" s="31"/>
      <c r="AQ458" s="32" t="str">
        <f t="shared" si="166"/>
        <v/>
      </c>
      <c r="AR458" s="32" t="s">
        <v>313</v>
      </c>
      <c r="AS458" s="31"/>
      <c r="AT458" s="31"/>
      <c r="AU458" s="32" t="str">
        <f t="shared" si="167"/>
        <v/>
      </c>
      <c r="AV458" s="32" t="s">
        <v>313</v>
      </c>
      <c r="AW458" s="31"/>
      <c r="AX458" s="31"/>
      <c r="AY458" s="32" t="str">
        <f t="shared" si="168"/>
        <v/>
      </c>
      <c r="AZ458" s="32" t="s">
        <v>313</v>
      </c>
    </row>
    <row r="459" spans="1:52" ht="34" customHeight="1">
      <c r="A459" s="28" t="s">
        <v>328</v>
      </c>
      <c r="B459" s="29" t="s">
        <v>230</v>
      </c>
      <c r="C459" s="29" t="s">
        <v>52</v>
      </c>
      <c r="D459" s="29" t="s">
        <v>74</v>
      </c>
      <c r="E459" s="29" t="s">
        <v>77</v>
      </c>
      <c r="F459" s="29" t="s">
        <v>316</v>
      </c>
      <c r="G459" s="30" t="s">
        <v>312</v>
      </c>
      <c r="H459" s="31"/>
      <c r="I459" s="31">
        <v>247803</v>
      </c>
      <c r="J459" s="32" t="str">
        <f t="shared" si="154"/>
        <v/>
      </c>
      <c r="K459" s="31"/>
      <c r="L459" s="31">
        <v>78601</v>
      </c>
      <c r="M459" s="32" t="str">
        <f t="shared" si="155"/>
        <v/>
      </c>
      <c r="N459" s="31"/>
      <c r="O459" s="31">
        <v>260218.81</v>
      </c>
      <c r="P459" s="32" t="str">
        <f t="shared" si="156"/>
        <v/>
      </c>
      <c r="Q459" s="31"/>
      <c r="R459" s="31">
        <v>172214.8</v>
      </c>
      <c r="S459" s="32" t="str">
        <f t="shared" si="157"/>
        <v/>
      </c>
      <c r="T459" s="31"/>
      <c r="U459" s="31">
        <v>185785.8</v>
      </c>
      <c r="V459" s="32" t="str">
        <f t="shared" si="158"/>
        <v/>
      </c>
      <c r="W459" s="31"/>
      <c r="X459" s="31">
        <v>201019</v>
      </c>
      <c r="Y459" s="32" t="str">
        <f t="shared" si="159"/>
        <v/>
      </c>
      <c r="Z459" s="31" t="str">
        <f t="shared" si="161"/>
        <v/>
      </c>
      <c r="AA459" s="31">
        <f t="shared" si="162"/>
        <v>1145642.4100000001</v>
      </c>
      <c r="AB459" s="32" t="str">
        <f t="shared" si="160"/>
        <v/>
      </c>
      <c r="AC459" s="31"/>
      <c r="AD459" s="31"/>
      <c r="AE459" s="32" t="str">
        <f t="shared" si="163"/>
        <v/>
      </c>
      <c r="AF459" s="32" t="s">
        <v>313</v>
      </c>
      <c r="AG459" s="31"/>
      <c r="AH459" s="31"/>
      <c r="AI459" s="32" t="str">
        <f t="shared" si="164"/>
        <v/>
      </c>
      <c r="AJ459" s="32" t="s">
        <v>313</v>
      </c>
      <c r="AK459" s="31"/>
      <c r="AL459" s="31"/>
      <c r="AM459" s="32" t="str">
        <f t="shared" si="165"/>
        <v/>
      </c>
      <c r="AN459" s="32" t="s">
        <v>313</v>
      </c>
      <c r="AO459" s="31"/>
      <c r="AP459" s="31"/>
      <c r="AQ459" s="32" t="str">
        <f t="shared" si="166"/>
        <v/>
      </c>
      <c r="AR459" s="32" t="s">
        <v>313</v>
      </c>
      <c r="AS459" s="31"/>
      <c r="AT459" s="31"/>
      <c r="AU459" s="32" t="str">
        <f t="shared" si="167"/>
        <v/>
      </c>
      <c r="AV459" s="32" t="s">
        <v>313</v>
      </c>
      <c r="AW459" s="31"/>
      <c r="AX459" s="31"/>
      <c r="AY459" s="32" t="str">
        <f t="shared" si="168"/>
        <v/>
      </c>
      <c r="AZ459" s="32" t="s">
        <v>313</v>
      </c>
    </row>
    <row r="460" spans="1:52" ht="34" customHeight="1">
      <c r="A460" s="28" t="s">
        <v>328</v>
      </c>
      <c r="B460" s="29" t="s">
        <v>230</v>
      </c>
      <c r="C460" s="29" t="s">
        <v>52</v>
      </c>
      <c r="D460" s="29" t="s">
        <v>74</v>
      </c>
      <c r="E460" s="29" t="s">
        <v>78</v>
      </c>
      <c r="F460" s="29" t="s">
        <v>144</v>
      </c>
      <c r="G460" s="30" t="s">
        <v>312</v>
      </c>
      <c r="H460" s="31">
        <v>814.63859173521905</v>
      </c>
      <c r="I460" s="31">
        <v>247803</v>
      </c>
      <c r="J460" s="32">
        <f t="shared" si="154"/>
        <v>3.2874444285792303E-3</v>
      </c>
      <c r="K460" s="31">
        <v>420.814499610947</v>
      </c>
      <c r="L460" s="31">
        <v>78601</v>
      </c>
      <c r="M460" s="32">
        <f t="shared" si="155"/>
        <v>5.353805926272528E-3</v>
      </c>
      <c r="N460" s="31">
        <v>214.834984170876</v>
      </c>
      <c r="O460" s="31">
        <v>260218.81</v>
      </c>
      <c r="P460" s="32">
        <f t="shared" si="156"/>
        <v>8.2559360013550131E-4</v>
      </c>
      <c r="Q460" s="31">
        <v>237.221023972203</v>
      </c>
      <c r="R460" s="31">
        <v>172214.8</v>
      </c>
      <c r="S460" s="32">
        <f t="shared" si="157"/>
        <v>1.3774717618474314E-3</v>
      </c>
      <c r="T460" s="31">
        <v>183.89550412115901</v>
      </c>
      <c r="U460" s="31">
        <v>185785.8</v>
      </c>
      <c r="V460" s="32">
        <f t="shared" si="158"/>
        <v>9.898254017323123E-4</v>
      </c>
      <c r="W460" s="31">
        <v>398.17363693864598</v>
      </c>
      <c r="X460" s="31">
        <v>201019</v>
      </c>
      <c r="Y460" s="32">
        <f t="shared" si="159"/>
        <v>1.9807761303093042E-3</v>
      </c>
      <c r="Z460" s="31">
        <f t="shared" si="161"/>
        <v>2269.57824054905</v>
      </c>
      <c r="AA460" s="31">
        <f t="shared" si="162"/>
        <v>1145642.4100000001</v>
      </c>
      <c r="AB460" s="32">
        <f t="shared" si="160"/>
        <v>1.9810529190771226E-3</v>
      </c>
      <c r="AC460" s="31"/>
      <c r="AD460" s="31"/>
      <c r="AE460" s="32" t="str">
        <f t="shared" si="163"/>
        <v/>
      </c>
      <c r="AF460" s="32" t="s">
        <v>313</v>
      </c>
      <c r="AG460" s="31"/>
      <c r="AH460" s="31"/>
      <c r="AI460" s="32" t="str">
        <f t="shared" si="164"/>
        <v/>
      </c>
      <c r="AJ460" s="32" t="s">
        <v>313</v>
      </c>
      <c r="AK460" s="31"/>
      <c r="AL460" s="31"/>
      <c r="AM460" s="32" t="str">
        <f t="shared" si="165"/>
        <v/>
      </c>
      <c r="AN460" s="32" t="s">
        <v>313</v>
      </c>
      <c r="AO460" s="31"/>
      <c r="AP460" s="31"/>
      <c r="AQ460" s="32" t="str">
        <f t="shared" si="166"/>
        <v/>
      </c>
      <c r="AR460" s="32" t="s">
        <v>313</v>
      </c>
      <c r="AS460" s="31"/>
      <c r="AT460" s="31"/>
      <c r="AU460" s="32" t="str">
        <f t="shared" si="167"/>
        <v/>
      </c>
      <c r="AV460" s="32" t="s">
        <v>313</v>
      </c>
      <c r="AW460" s="31"/>
      <c r="AX460" s="31"/>
      <c r="AY460" s="32" t="str">
        <f t="shared" si="168"/>
        <v/>
      </c>
      <c r="AZ460" s="32" t="s">
        <v>313</v>
      </c>
    </row>
    <row r="461" spans="1:52" ht="34" customHeight="1">
      <c r="A461" s="28" t="s">
        <v>328</v>
      </c>
      <c r="B461" s="29" t="s">
        <v>230</v>
      </c>
      <c r="C461" s="29" t="s">
        <v>52</v>
      </c>
      <c r="D461" s="29" t="s">
        <v>79</v>
      </c>
      <c r="E461" s="29" t="s">
        <v>80</v>
      </c>
      <c r="F461" s="29" t="s">
        <v>318</v>
      </c>
      <c r="G461" s="30" t="s">
        <v>312</v>
      </c>
      <c r="H461" s="31">
        <v>0</v>
      </c>
      <c r="I461" s="31">
        <v>247803</v>
      </c>
      <c r="J461" s="32">
        <f t="shared" si="154"/>
        <v>0</v>
      </c>
      <c r="K461" s="31">
        <v>-3.2741809263825397E-11</v>
      </c>
      <c r="L461" s="31">
        <v>78601</v>
      </c>
      <c r="M461" s="32">
        <f t="shared" si="155"/>
        <v>-4.1655715911789157E-16</v>
      </c>
      <c r="N461" s="31">
        <v>56070.55</v>
      </c>
      <c r="O461" s="31">
        <v>260218.81</v>
      </c>
      <c r="P461" s="32">
        <f t="shared" si="156"/>
        <v>0.21547462306817866</v>
      </c>
      <c r="Q461" s="31">
        <v>47357.38</v>
      </c>
      <c r="R461" s="31">
        <v>172214.8</v>
      </c>
      <c r="S461" s="32">
        <f t="shared" si="157"/>
        <v>0.2749901866738515</v>
      </c>
      <c r="T461" s="31">
        <v>67202.66</v>
      </c>
      <c r="U461" s="31">
        <v>185785.8</v>
      </c>
      <c r="V461" s="32">
        <f t="shared" si="158"/>
        <v>0.36172118644159029</v>
      </c>
      <c r="W461" s="31">
        <v>62717</v>
      </c>
      <c r="X461" s="31">
        <v>201019</v>
      </c>
      <c r="Y461" s="32">
        <f t="shared" si="159"/>
        <v>0.31199538352096068</v>
      </c>
      <c r="Z461" s="31">
        <f t="shared" si="161"/>
        <v>233347.58999999997</v>
      </c>
      <c r="AA461" s="31">
        <f t="shared" si="162"/>
        <v>1145642.4100000001</v>
      </c>
      <c r="AB461" s="32">
        <f t="shared" si="160"/>
        <v>0.20368274425175997</v>
      </c>
      <c r="AC461" s="31"/>
      <c r="AD461" s="31"/>
      <c r="AE461" s="32" t="str">
        <f t="shared" si="163"/>
        <v/>
      </c>
      <c r="AF461" s="32" t="s">
        <v>313</v>
      </c>
      <c r="AG461" s="31"/>
      <c r="AH461" s="31"/>
      <c r="AI461" s="32" t="str">
        <f t="shared" si="164"/>
        <v/>
      </c>
      <c r="AJ461" s="32" t="s">
        <v>313</v>
      </c>
      <c r="AK461" s="31"/>
      <c r="AL461" s="31"/>
      <c r="AM461" s="32" t="str">
        <f t="shared" si="165"/>
        <v/>
      </c>
      <c r="AN461" s="32" t="s">
        <v>313</v>
      </c>
      <c r="AO461" s="31"/>
      <c r="AP461" s="31"/>
      <c r="AQ461" s="32" t="str">
        <f t="shared" si="166"/>
        <v/>
      </c>
      <c r="AR461" s="32" t="s">
        <v>313</v>
      </c>
      <c r="AS461" s="31"/>
      <c r="AT461" s="31"/>
      <c r="AU461" s="32" t="str">
        <f t="shared" si="167"/>
        <v/>
      </c>
      <c r="AV461" s="32" t="s">
        <v>313</v>
      </c>
      <c r="AW461" s="31"/>
      <c r="AX461" s="31"/>
      <c r="AY461" s="32" t="str">
        <f t="shared" si="168"/>
        <v/>
      </c>
      <c r="AZ461" s="32" t="s">
        <v>313</v>
      </c>
    </row>
    <row r="462" spans="1:52" ht="34" customHeight="1">
      <c r="A462" s="28" t="s">
        <v>328</v>
      </c>
      <c r="B462" s="29" t="s">
        <v>230</v>
      </c>
      <c r="C462" s="29" t="s">
        <v>52</v>
      </c>
      <c r="D462" s="29" t="s">
        <v>79</v>
      </c>
      <c r="E462" s="29" t="s">
        <v>81</v>
      </c>
      <c r="F462" s="29" t="s">
        <v>316</v>
      </c>
      <c r="G462" s="30" t="s">
        <v>312</v>
      </c>
      <c r="H462" s="31"/>
      <c r="I462" s="31">
        <v>247803</v>
      </c>
      <c r="J462" s="32" t="str">
        <f t="shared" si="154"/>
        <v/>
      </c>
      <c r="K462" s="31"/>
      <c r="L462" s="31">
        <v>78601</v>
      </c>
      <c r="M462" s="32" t="str">
        <f t="shared" si="155"/>
        <v/>
      </c>
      <c r="N462" s="31"/>
      <c r="O462" s="31">
        <v>260218.81</v>
      </c>
      <c r="P462" s="32" t="str">
        <f t="shared" si="156"/>
        <v/>
      </c>
      <c r="Q462" s="31"/>
      <c r="R462" s="31">
        <v>172214.8</v>
      </c>
      <c r="S462" s="32" t="str">
        <f t="shared" si="157"/>
        <v/>
      </c>
      <c r="T462" s="31"/>
      <c r="U462" s="31">
        <v>185785.8</v>
      </c>
      <c r="V462" s="32" t="str">
        <f t="shared" si="158"/>
        <v/>
      </c>
      <c r="W462" s="31"/>
      <c r="X462" s="31">
        <v>201019</v>
      </c>
      <c r="Y462" s="32" t="str">
        <f t="shared" si="159"/>
        <v/>
      </c>
      <c r="Z462" s="31" t="str">
        <f t="shared" si="161"/>
        <v/>
      </c>
      <c r="AA462" s="31">
        <f t="shared" si="162"/>
        <v>1145642.4100000001</v>
      </c>
      <c r="AB462" s="32" t="str">
        <f t="shared" si="160"/>
        <v/>
      </c>
      <c r="AC462" s="31"/>
      <c r="AD462" s="31"/>
      <c r="AE462" s="32" t="str">
        <f t="shared" si="163"/>
        <v/>
      </c>
      <c r="AF462" s="32" t="s">
        <v>313</v>
      </c>
      <c r="AG462" s="31"/>
      <c r="AH462" s="31"/>
      <c r="AI462" s="32" t="str">
        <f t="shared" si="164"/>
        <v/>
      </c>
      <c r="AJ462" s="32" t="s">
        <v>313</v>
      </c>
      <c r="AK462" s="31"/>
      <c r="AL462" s="31"/>
      <c r="AM462" s="32" t="str">
        <f t="shared" si="165"/>
        <v/>
      </c>
      <c r="AN462" s="32" t="s">
        <v>313</v>
      </c>
      <c r="AO462" s="31"/>
      <c r="AP462" s="31"/>
      <c r="AQ462" s="32" t="str">
        <f t="shared" si="166"/>
        <v/>
      </c>
      <c r="AR462" s="32" t="s">
        <v>313</v>
      </c>
      <c r="AS462" s="31"/>
      <c r="AT462" s="31"/>
      <c r="AU462" s="32" t="str">
        <f t="shared" si="167"/>
        <v/>
      </c>
      <c r="AV462" s="32" t="s">
        <v>313</v>
      </c>
      <c r="AW462" s="31"/>
      <c r="AX462" s="31"/>
      <c r="AY462" s="32" t="str">
        <f t="shared" si="168"/>
        <v/>
      </c>
      <c r="AZ462" s="32" t="s">
        <v>313</v>
      </c>
    </row>
    <row r="463" spans="1:52" ht="34" customHeight="1">
      <c r="A463" s="28" t="s">
        <v>328</v>
      </c>
      <c r="B463" s="29" t="s">
        <v>230</v>
      </c>
      <c r="C463" s="29" t="s">
        <v>52</v>
      </c>
      <c r="D463" s="29" t="s">
        <v>79</v>
      </c>
      <c r="E463" s="29" t="s">
        <v>82</v>
      </c>
      <c r="F463" s="29" t="s">
        <v>316</v>
      </c>
      <c r="G463" s="30" t="s">
        <v>312</v>
      </c>
      <c r="H463" s="31"/>
      <c r="I463" s="31">
        <v>247803</v>
      </c>
      <c r="J463" s="32" t="str">
        <f t="shared" si="154"/>
        <v/>
      </c>
      <c r="K463" s="31"/>
      <c r="L463" s="31">
        <v>78601</v>
      </c>
      <c r="M463" s="32" t="str">
        <f t="shared" si="155"/>
        <v/>
      </c>
      <c r="N463" s="31"/>
      <c r="O463" s="31">
        <v>260218.81</v>
      </c>
      <c r="P463" s="32" t="str">
        <f t="shared" si="156"/>
        <v/>
      </c>
      <c r="Q463" s="31"/>
      <c r="R463" s="31">
        <v>172214.8</v>
      </c>
      <c r="S463" s="32" t="str">
        <f t="shared" si="157"/>
        <v/>
      </c>
      <c r="T463" s="31"/>
      <c r="U463" s="31">
        <v>185785.8</v>
      </c>
      <c r="V463" s="32" t="str">
        <f t="shared" si="158"/>
        <v/>
      </c>
      <c r="W463" s="31"/>
      <c r="X463" s="31">
        <v>201019</v>
      </c>
      <c r="Y463" s="32" t="str">
        <f t="shared" si="159"/>
        <v/>
      </c>
      <c r="Z463" s="31" t="str">
        <f t="shared" si="161"/>
        <v/>
      </c>
      <c r="AA463" s="31">
        <f t="shared" si="162"/>
        <v>1145642.4100000001</v>
      </c>
      <c r="AB463" s="32" t="str">
        <f t="shared" si="160"/>
        <v/>
      </c>
      <c r="AC463" s="31"/>
      <c r="AD463" s="31"/>
      <c r="AE463" s="32" t="str">
        <f t="shared" si="163"/>
        <v/>
      </c>
      <c r="AF463" s="32" t="s">
        <v>313</v>
      </c>
      <c r="AG463" s="31"/>
      <c r="AH463" s="31"/>
      <c r="AI463" s="32" t="str">
        <f t="shared" si="164"/>
        <v/>
      </c>
      <c r="AJ463" s="32" t="s">
        <v>313</v>
      </c>
      <c r="AK463" s="31"/>
      <c r="AL463" s="31"/>
      <c r="AM463" s="32" t="str">
        <f t="shared" si="165"/>
        <v/>
      </c>
      <c r="AN463" s="32" t="s">
        <v>313</v>
      </c>
      <c r="AO463" s="31"/>
      <c r="AP463" s="31"/>
      <c r="AQ463" s="32" t="str">
        <f t="shared" si="166"/>
        <v/>
      </c>
      <c r="AR463" s="32" t="s">
        <v>313</v>
      </c>
      <c r="AS463" s="31"/>
      <c r="AT463" s="31"/>
      <c r="AU463" s="32" t="str">
        <f t="shared" si="167"/>
        <v/>
      </c>
      <c r="AV463" s="32" t="s">
        <v>313</v>
      </c>
      <c r="AW463" s="31"/>
      <c r="AX463" s="31"/>
      <c r="AY463" s="32" t="str">
        <f t="shared" si="168"/>
        <v/>
      </c>
      <c r="AZ463" s="32" t="s">
        <v>313</v>
      </c>
    </row>
    <row r="464" spans="1:52" ht="34" customHeight="1">
      <c r="A464" s="28" t="s">
        <v>328</v>
      </c>
      <c r="B464" s="29" t="s">
        <v>230</v>
      </c>
      <c r="C464" s="29" t="s">
        <v>85</v>
      </c>
      <c r="D464" s="29" t="s">
        <v>79</v>
      </c>
      <c r="E464" s="29" t="s">
        <v>80</v>
      </c>
      <c r="F464" s="29" t="s">
        <v>316</v>
      </c>
      <c r="G464" s="30" t="s">
        <v>312</v>
      </c>
      <c r="H464" s="31"/>
      <c r="I464" s="31">
        <v>247803</v>
      </c>
      <c r="J464" s="32" t="str">
        <f t="shared" si="154"/>
        <v/>
      </c>
      <c r="K464" s="31"/>
      <c r="L464" s="31">
        <v>78601</v>
      </c>
      <c r="M464" s="32" t="str">
        <f t="shared" si="155"/>
        <v/>
      </c>
      <c r="N464" s="31"/>
      <c r="O464" s="31">
        <v>260218.81</v>
      </c>
      <c r="P464" s="32" t="str">
        <f t="shared" si="156"/>
        <v/>
      </c>
      <c r="Q464" s="31"/>
      <c r="R464" s="31">
        <v>172214.8</v>
      </c>
      <c r="S464" s="32" t="str">
        <f t="shared" si="157"/>
        <v/>
      </c>
      <c r="T464" s="31"/>
      <c r="U464" s="31">
        <v>185785.8</v>
      </c>
      <c r="V464" s="32" t="str">
        <f t="shared" si="158"/>
        <v/>
      </c>
      <c r="W464" s="31"/>
      <c r="X464" s="31">
        <v>201019</v>
      </c>
      <c r="Y464" s="32" t="str">
        <f t="shared" si="159"/>
        <v/>
      </c>
      <c r="Z464" s="31" t="str">
        <f t="shared" si="161"/>
        <v/>
      </c>
      <c r="AA464" s="31">
        <f t="shared" si="162"/>
        <v>1145642.4100000001</v>
      </c>
      <c r="AB464" s="32" t="str">
        <f t="shared" si="160"/>
        <v/>
      </c>
      <c r="AC464" s="31"/>
      <c r="AD464" s="31"/>
      <c r="AE464" s="32" t="str">
        <f t="shared" si="163"/>
        <v/>
      </c>
      <c r="AF464" s="32" t="s">
        <v>313</v>
      </c>
      <c r="AG464" s="31"/>
      <c r="AH464" s="31"/>
      <c r="AI464" s="32" t="str">
        <f t="shared" si="164"/>
        <v/>
      </c>
      <c r="AJ464" s="32" t="s">
        <v>313</v>
      </c>
      <c r="AK464" s="31"/>
      <c r="AL464" s="31"/>
      <c r="AM464" s="32" t="str">
        <f t="shared" si="165"/>
        <v/>
      </c>
      <c r="AN464" s="32" t="s">
        <v>313</v>
      </c>
      <c r="AO464" s="31"/>
      <c r="AP464" s="31"/>
      <c r="AQ464" s="32" t="str">
        <f t="shared" si="166"/>
        <v/>
      </c>
      <c r="AR464" s="32" t="s">
        <v>313</v>
      </c>
      <c r="AS464" s="31"/>
      <c r="AT464" s="31"/>
      <c r="AU464" s="32" t="str">
        <f t="shared" si="167"/>
        <v/>
      </c>
      <c r="AV464" s="32" t="s">
        <v>313</v>
      </c>
      <c r="AW464" s="31"/>
      <c r="AX464" s="31"/>
      <c r="AY464" s="32" t="str">
        <f t="shared" si="168"/>
        <v/>
      </c>
      <c r="AZ464" s="32" t="s">
        <v>313</v>
      </c>
    </row>
    <row r="465" spans="1:52" ht="34" customHeight="1">
      <c r="A465" s="28" t="s">
        <v>328</v>
      </c>
      <c r="B465" s="29" t="s">
        <v>230</v>
      </c>
      <c r="C465" s="29" t="s">
        <v>85</v>
      </c>
      <c r="D465" s="29" t="s">
        <v>79</v>
      </c>
      <c r="E465" s="29" t="s">
        <v>81</v>
      </c>
      <c r="F465" s="29" t="s">
        <v>316</v>
      </c>
      <c r="G465" s="30" t="s">
        <v>312</v>
      </c>
      <c r="H465" s="31"/>
      <c r="I465" s="31">
        <v>247803</v>
      </c>
      <c r="J465" s="32" t="str">
        <f t="shared" si="154"/>
        <v/>
      </c>
      <c r="K465" s="31"/>
      <c r="L465" s="31">
        <v>78601</v>
      </c>
      <c r="M465" s="32" t="str">
        <f t="shared" si="155"/>
        <v/>
      </c>
      <c r="N465" s="31"/>
      <c r="O465" s="31">
        <v>260218.81</v>
      </c>
      <c r="P465" s="32" t="str">
        <f t="shared" si="156"/>
        <v/>
      </c>
      <c r="Q465" s="31"/>
      <c r="R465" s="31">
        <v>172214.8</v>
      </c>
      <c r="S465" s="32" t="str">
        <f t="shared" si="157"/>
        <v/>
      </c>
      <c r="T465" s="31"/>
      <c r="U465" s="31">
        <v>185785.8</v>
      </c>
      <c r="V465" s="32" t="str">
        <f t="shared" si="158"/>
        <v/>
      </c>
      <c r="W465" s="31"/>
      <c r="X465" s="31">
        <v>201019</v>
      </c>
      <c r="Y465" s="32" t="str">
        <f t="shared" si="159"/>
        <v/>
      </c>
      <c r="Z465" s="31" t="str">
        <f t="shared" si="161"/>
        <v/>
      </c>
      <c r="AA465" s="31">
        <f t="shared" si="162"/>
        <v>1145642.4100000001</v>
      </c>
      <c r="AB465" s="32" t="str">
        <f t="shared" si="160"/>
        <v/>
      </c>
      <c r="AC465" s="31"/>
      <c r="AD465" s="31"/>
      <c r="AE465" s="32" t="str">
        <f t="shared" si="163"/>
        <v/>
      </c>
      <c r="AF465" s="32" t="s">
        <v>313</v>
      </c>
      <c r="AG465" s="31"/>
      <c r="AH465" s="31"/>
      <c r="AI465" s="32" t="str">
        <f t="shared" si="164"/>
        <v/>
      </c>
      <c r="AJ465" s="32" t="s">
        <v>313</v>
      </c>
      <c r="AK465" s="31"/>
      <c r="AL465" s="31"/>
      <c r="AM465" s="32" t="str">
        <f t="shared" si="165"/>
        <v/>
      </c>
      <c r="AN465" s="32" t="s">
        <v>313</v>
      </c>
      <c r="AO465" s="31"/>
      <c r="AP465" s="31"/>
      <c r="AQ465" s="32" t="str">
        <f t="shared" si="166"/>
        <v/>
      </c>
      <c r="AR465" s="32" t="s">
        <v>313</v>
      </c>
      <c r="AS465" s="31"/>
      <c r="AT465" s="31"/>
      <c r="AU465" s="32" t="str">
        <f t="shared" si="167"/>
        <v/>
      </c>
      <c r="AV465" s="32" t="s">
        <v>313</v>
      </c>
      <c r="AW465" s="31"/>
      <c r="AX465" s="31"/>
      <c r="AY465" s="32" t="str">
        <f t="shared" si="168"/>
        <v/>
      </c>
      <c r="AZ465" s="32" t="s">
        <v>313</v>
      </c>
    </row>
    <row r="466" spans="1:52" ht="34" customHeight="1">
      <c r="A466" s="28" t="s">
        <v>328</v>
      </c>
      <c r="B466" s="29" t="s">
        <v>230</v>
      </c>
      <c r="C466" s="29" t="s">
        <v>85</v>
      </c>
      <c r="D466" s="29" t="s">
        <v>79</v>
      </c>
      <c r="E466" s="29" t="s">
        <v>82</v>
      </c>
      <c r="F466" s="29" t="s">
        <v>319</v>
      </c>
      <c r="G466" s="30" t="s">
        <v>312</v>
      </c>
      <c r="H466" s="31">
        <v>0</v>
      </c>
      <c r="I466" s="31">
        <v>247803</v>
      </c>
      <c r="J466" s="32">
        <f t="shared" si="154"/>
        <v>0</v>
      </c>
      <c r="K466" s="31">
        <v>0</v>
      </c>
      <c r="L466" s="31">
        <v>78601</v>
      </c>
      <c r="M466" s="32">
        <f t="shared" si="155"/>
        <v>0</v>
      </c>
      <c r="N466" s="31">
        <v>8425.1</v>
      </c>
      <c r="O466" s="31">
        <v>260218.81</v>
      </c>
      <c r="P466" s="32">
        <f t="shared" si="156"/>
        <v>3.2376983047459174E-2</v>
      </c>
      <c r="Q466" s="31">
        <v>249.85</v>
      </c>
      <c r="R466" s="31">
        <v>172214.8</v>
      </c>
      <c r="S466" s="32">
        <f t="shared" si="157"/>
        <v>1.4508044604761032E-3</v>
      </c>
      <c r="T466" s="31">
        <v>4838.6000000000004</v>
      </c>
      <c r="U466" s="31">
        <v>185785.8</v>
      </c>
      <c r="V466" s="32">
        <f t="shared" si="158"/>
        <v>2.6043971067756529E-2</v>
      </c>
      <c r="W466" s="31">
        <v>8120.82</v>
      </c>
      <c r="X466" s="31">
        <v>201019</v>
      </c>
      <c r="Y466" s="32">
        <f t="shared" si="159"/>
        <v>4.0398270810221917E-2</v>
      </c>
      <c r="Z466" s="31">
        <f t="shared" si="161"/>
        <v>21634.370000000003</v>
      </c>
      <c r="AA466" s="31">
        <f t="shared" si="162"/>
        <v>1145642.4100000001</v>
      </c>
      <c r="AB466" s="32">
        <f t="shared" si="160"/>
        <v>1.8884051263430447E-2</v>
      </c>
      <c r="AC466" s="31"/>
      <c r="AD466" s="31"/>
      <c r="AE466" s="32" t="str">
        <f t="shared" si="163"/>
        <v/>
      </c>
      <c r="AF466" s="32" t="s">
        <v>313</v>
      </c>
      <c r="AG466" s="31"/>
      <c r="AH466" s="31"/>
      <c r="AI466" s="32" t="str">
        <f t="shared" si="164"/>
        <v/>
      </c>
      <c r="AJ466" s="32" t="s">
        <v>313</v>
      </c>
      <c r="AK466" s="31"/>
      <c r="AL466" s="31"/>
      <c r="AM466" s="32" t="str">
        <f t="shared" si="165"/>
        <v/>
      </c>
      <c r="AN466" s="32" t="s">
        <v>313</v>
      </c>
      <c r="AO466" s="31"/>
      <c r="AP466" s="31"/>
      <c r="AQ466" s="32" t="str">
        <f t="shared" si="166"/>
        <v/>
      </c>
      <c r="AR466" s="32" t="s">
        <v>313</v>
      </c>
      <c r="AS466" s="31"/>
      <c r="AT466" s="31"/>
      <c r="AU466" s="32" t="str">
        <f t="shared" si="167"/>
        <v/>
      </c>
      <c r="AV466" s="32" t="s">
        <v>313</v>
      </c>
      <c r="AW466" s="31"/>
      <c r="AX466" s="31"/>
      <c r="AY466" s="32" t="str">
        <f t="shared" si="168"/>
        <v/>
      </c>
      <c r="AZ466" s="32" t="s">
        <v>313</v>
      </c>
    </row>
    <row r="467" spans="1:52" ht="34" customHeight="1">
      <c r="A467" s="28" t="s">
        <v>328</v>
      </c>
      <c r="B467" s="29" t="s">
        <v>230</v>
      </c>
      <c r="C467" s="29" t="s">
        <v>85</v>
      </c>
      <c r="D467" s="29" t="s">
        <v>90</v>
      </c>
      <c r="E467" s="29" t="s">
        <v>90</v>
      </c>
      <c r="F467" s="29" t="s">
        <v>316</v>
      </c>
      <c r="G467" s="30" t="s">
        <v>312</v>
      </c>
      <c r="H467" s="31"/>
      <c r="I467" s="31">
        <v>247803</v>
      </c>
      <c r="J467" s="32" t="str">
        <f t="shared" si="154"/>
        <v/>
      </c>
      <c r="K467" s="31"/>
      <c r="L467" s="31">
        <v>78601</v>
      </c>
      <c r="M467" s="32" t="str">
        <f t="shared" si="155"/>
        <v/>
      </c>
      <c r="N467" s="31"/>
      <c r="O467" s="31">
        <v>260218.81</v>
      </c>
      <c r="P467" s="32" t="str">
        <f t="shared" si="156"/>
        <v/>
      </c>
      <c r="Q467" s="31"/>
      <c r="R467" s="31">
        <v>172214.8</v>
      </c>
      <c r="S467" s="32" t="str">
        <f t="shared" si="157"/>
        <v/>
      </c>
      <c r="T467" s="31"/>
      <c r="U467" s="31">
        <v>185785.8</v>
      </c>
      <c r="V467" s="32" t="str">
        <f t="shared" si="158"/>
        <v/>
      </c>
      <c r="W467" s="31"/>
      <c r="X467" s="31">
        <v>201019</v>
      </c>
      <c r="Y467" s="32" t="str">
        <f t="shared" si="159"/>
        <v/>
      </c>
      <c r="Z467" s="31" t="str">
        <f t="shared" si="161"/>
        <v/>
      </c>
      <c r="AA467" s="31">
        <f t="shared" si="162"/>
        <v>1145642.4100000001</v>
      </c>
      <c r="AB467" s="32" t="str">
        <f t="shared" si="160"/>
        <v/>
      </c>
      <c r="AC467" s="31"/>
      <c r="AD467" s="31"/>
      <c r="AE467" s="32" t="str">
        <f t="shared" si="163"/>
        <v/>
      </c>
      <c r="AF467" s="32" t="s">
        <v>313</v>
      </c>
      <c r="AG467" s="31"/>
      <c r="AH467" s="31"/>
      <c r="AI467" s="32" t="str">
        <f t="shared" si="164"/>
        <v/>
      </c>
      <c r="AJ467" s="32" t="s">
        <v>313</v>
      </c>
      <c r="AK467" s="31"/>
      <c r="AL467" s="31"/>
      <c r="AM467" s="32" t="str">
        <f t="shared" si="165"/>
        <v/>
      </c>
      <c r="AN467" s="32" t="s">
        <v>313</v>
      </c>
      <c r="AO467" s="31"/>
      <c r="AP467" s="31"/>
      <c r="AQ467" s="32" t="str">
        <f t="shared" si="166"/>
        <v/>
      </c>
      <c r="AR467" s="32" t="s">
        <v>313</v>
      </c>
      <c r="AS467" s="31"/>
      <c r="AT467" s="31"/>
      <c r="AU467" s="32" t="str">
        <f t="shared" si="167"/>
        <v/>
      </c>
      <c r="AV467" s="32" t="s">
        <v>313</v>
      </c>
      <c r="AW467" s="31"/>
      <c r="AX467" s="31"/>
      <c r="AY467" s="32" t="str">
        <f t="shared" si="168"/>
        <v/>
      </c>
      <c r="AZ467" s="32" t="s">
        <v>313</v>
      </c>
    </row>
    <row r="468" spans="1:52" ht="34" customHeight="1">
      <c r="A468" s="28" t="s">
        <v>328</v>
      </c>
      <c r="B468" s="29" t="s">
        <v>230</v>
      </c>
      <c r="C468" s="29" t="s">
        <v>85</v>
      </c>
      <c r="D468" s="29" t="s">
        <v>93</v>
      </c>
      <c r="E468" s="29" t="s">
        <v>143</v>
      </c>
      <c r="F468" s="29" t="s">
        <v>320</v>
      </c>
      <c r="G468" s="30" t="s">
        <v>312</v>
      </c>
      <c r="H468" s="31">
        <v>814.63859173521905</v>
      </c>
      <c r="I468" s="31">
        <v>247803</v>
      </c>
      <c r="J468" s="32">
        <f t="shared" si="154"/>
        <v>3.2874444285792303E-3</v>
      </c>
      <c r="K468" s="31">
        <v>420.814499610947</v>
      </c>
      <c r="L468" s="31">
        <v>78601</v>
      </c>
      <c r="M468" s="32">
        <f t="shared" si="155"/>
        <v>5.353805926272528E-3</v>
      </c>
      <c r="N468" s="31">
        <v>214.834984170876</v>
      </c>
      <c r="O468" s="31">
        <v>260218.81</v>
      </c>
      <c r="P468" s="32">
        <f t="shared" si="156"/>
        <v>8.2559360013550131E-4</v>
      </c>
      <c r="Q468" s="31">
        <v>237.221023972203</v>
      </c>
      <c r="R468" s="31">
        <v>172214.8</v>
      </c>
      <c r="S468" s="32">
        <f t="shared" si="157"/>
        <v>1.3774717618474314E-3</v>
      </c>
      <c r="T468" s="31">
        <v>183.89550412115901</v>
      </c>
      <c r="U468" s="31">
        <v>185785.8</v>
      </c>
      <c r="V468" s="32">
        <f t="shared" si="158"/>
        <v>9.898254017323123E-4</v>
      </c>
      <c r="W468" s="31">
        <v>398.17363693864598</v>
      </c>
      <c r="X468" s="31">
        <v>201019</v>
      </c>
      <c r="Y468" s="32">
        <f t="shared" si="159"/>
        <v>1.9807761303093042E-3</v>
      </c>
      <c r="Z468" s="31">
        <f t="shared" si="161"/>
        <v>2269.57824054905</v>
      </c>
      <c r="AA468" s="31">
        <f t="shared" si="162"/>
        <v>1145642.4100000001</v>
      </c>
      <c r="AB468" s="32">
        <f t="shared" si="160"/>
        <v>1.9810529190771226E-3</v>
      </c>
      <c r="AC468" s="31"/>
      <c r="AD468" s="31"/>
      <c r="AE468" s="32" t="str">
        <f t="shared" si="163"/>
        <v/>
      </c>
      <c r="AF468" s="32" t="s">
        <v>313</v>
      </c>
      <c r="AG468" s="31"/>
      <c r="AH468" s="31"/>
      <c r="AI468" s="32" t="str">
        <f t="shared" si="164"/>
        <v/>
      </c>
      <c r="AJ468" s="32" t="s">
        <v>313</v>
      </c>
      <c r="AK468" s="31"/>
      <c r="AL468" s="31"/>
      <c r="AM468" s="32" t="str">
        <f t="shared" si="165"/>
        <v/>
      </c>
      <c r="AN468" s="32" t="s">
        <v>313</v>
      </c>
      <c r="AO468" s="31"/>
      <c r="AP468" s="31"/>
      <c r="AQ468" s="32" t="str">
        <f t="shared" si="166"/>
        <v/>
      </c>
      <c r="AR468" s="32" t="s">
        <v>313</v>
      </c>
      <c r="AS468" s="31"/>
      <c r="AT468" s="31"/>
      <c r="AU468" s="32" t="str">
        <f t="shared" si="167"/>
        <v/>
      </c>
      <c r="AV468" s="32" t="s">
        <v>313</v>
      </c>
      <c r="AW468" s="31"/>
      <c r="AX468" s="31"/>
      <c r="AY468" s="32" t="str">
        <f t="shared" si="168"/>
        <v/>
      </c>
      <c r="AZ468" s="32" t="s">
        <v>313</v>
      </c>
    </row>
    <row r="469" spans="1:52" ht="34" customHeight="1">
      <c r="A469" s="28" t="s">
        <v>328</v>
      </c>
      <c r="B469" s="29" t="s">
        <v>230</v>
      </c>
      <c r="C469" s="29" t="s">
        <v>85</v>
      </c>
      <c r="D469" s="29" t="s">
        <v>152</v>
      </c>
      <c r="E469" s="29" t="s">
        <v>152</v>
      </c>
      <c r="F469" s="29" t="s">
        <v>316</v>
      </c>
      <c r="G469" s="30" t="s">
        <v>312</v>
      </c>
      <c r="H469" s="31"/>
      <c r="I469" s="31">
        <v>247803</v>
      </c>
      <c r="J469" s="32" t="str">
        <f t="shared" si="154"/>
        <v/>
      </c>
      <c r="K469" s="31"/>
      <c r="L469" s="31">
        <v>78601</v>
      </c>
      <c r="M469" s="32" t="str">
        <f t="shared" si="155"/>
        <v/>
      </c>
      <c r="N469" s="31"/>
      <c r="O469" s="31">
        <v>260218.81</v>
      </c>
      <c r="P469" s="32" t="str">
        <f t="shared" si="156"/>
        <v/>
      </c>
      <c r="Q469" s="31"/>
      <c r="R469" s="31">
        <v>172214.8</v>
      </c>
      <c r="S469" s="32" t="str">
        <f t="shared" si="157"/>
        <v/>
      </c>
      <c r="T469" s="31"/>
      <c r="U469" s="31">
        <v>185785.8</v>
      </c>
      <c r="V469" s="32" t="str">
        <f t="shared" si="158"/>
        <v/>
      </c>
      <c r="W469" s="31"/>
      <c r="X469" s="31">
        <v>201019</v>
      </c>
      <c r="Y469" s="32" t="str">
        <f t="shared" si="159"/>
        <v/>
      </c>
      <c r="Z469" s="31" t="str">
        <f t="shared" si="161"/>
        <v/>
      </c>
      <c r="AA469" s="31">
        <f t="shared" si="162"/>
        <v>1145642.4100000001</v>
      </c>
      <c r="AB469" s="32" t="str">
        <f t="shared" si="160"/>
        <v/>
      </c>
      <c r="AC469" s="31"/>
      <c r="AD469" s="31"/>
      <c r="AE469" s="32" t="str">
        <f t="shared" si="163"/>
        <v/>
      </c>
      <c r="AF469" s="32" t="s">
        <v>313</v>
      </c>
      <c r="AG469" s="31"/>
      <c r="AH469" s="31"/>
      <c r="AI469" s="32" t="str">
        <f t="shared" si="164"/>
        <v/>
      </c>
      <c r="AJ469" s="32" t="s">
        <v>313</v>
      </c>
      <c r="AK469" s="31"/>
      <c r="AL469" s="31"/>
      <c r="AM469" s="32" t="str">
        <f t="shared" si="165"/>
        <v/>
      </c>
      <c r="AN469" s="32" t="s">
        <v>313</v>
      </c>
      <c r="AO469" s="31"/>
      <c r="AP469" s="31"/>
      <c r="AQ469" s="32" t="str">
        <f t="shared" si="166"/>
        <v/>
      </c>
      <c r="AR469" s="32" t="s">
        <v>313</v>
      </c>
      <c r="AS469" s="31"/>
      <c r="AT469" s="31"/>
      <c r="AU469" s="32" t="str">
        <f t="shared" si="167"/>
        <v/>
      </c>
      <c r="AV469" s="32" t="s">
        <v>313</v>
      </c>
      <c r="AW469" s="31"/>
      <c r="AX469" s="31"/>
      <c r="AY469" s="32" t="str">
        <f t="shared" si="168"/>
        <v/>
      </c>
      <c r="AZ469" s="32" t="s">
        <v>313</v>
      </c>
    </row>
    <row r="470" spans="1:52" ht="34" customHeight="1">
      <c r="A470" s="28" t="s">
        <v>328</v>
      </c>
      <c r="B470" s="29" t="s">
        <v>228</v>
      </c>
      <c r="C470" s="29" t="s">
        <v>46</v>
      </c>
      <c r="D470" s="29"/>
      <c r="E470" s="29" t="s">
        <v>46</v>
      </c>
      <c r="F470" s="29" t="s">
        <v>311</v>
      </c>
      <c r="G470" s="30" t="s">
        <v>312</v>
      </c>
      <c r="H470" s="31">
        <v>332962.32</v>
      </c>
      <c r="I470" s="31">
        <v>277011.68</v>
      </c>
      <c r="J470" s="32"/>
      <c r="K470" s="31">
        <v>185289.4</v>
      </c>
      <c r="L470" s="31">
        <v>142513.85999999999</v>
      </c>
      <c r="M470" s="32"/>
      <c r="N470" s="31">
        <v>414973.64</v>
      </c>
      <c r="O470" s="31">
        <v>325621.17</v>
      </c>
      <c r="P470" s="32"/>
      <c r="Q470" s="31">
        <v>467096.88</v>
      </c>
      <c r="R470" s="31">
        <v>342496.49</v>
      </c>
      <c r="S470" s="32"/>
      <c r="T470" s="31">
        <v>415975.61</v>
      </c>
      <c r="U470" s="31">
        <v>325964.5</v>
      </c>
      <c r="V470" s="32"/>
      <c r="W470" s="31">
        <v>316977.3</v>
      </c>
      <c r="X470" s="31">
        <v>262721.08</v>
      </c>
      <c r="Y470" s="32"/>
      <c r="Z470" s="31">
        <f t="shared" si="161"/>
        <v>2133275.15</v>
      </c>
      <c r="AA470" s="31">
        <f t="shared" si="162"/>
        <v>1676328.78</v>
      </c>
      <c r="AB470" s="32"/>
      <c r="AC470" s="31"/>
      <c r="AD470" s="31"/>
      <c r="AE470" s="32" t="str">
        <f t="shared" si="163"/>
        <v/>
      </c>
      <c r="AF470" s="32" t="s">
        <v>313</v>
      </c>
      <c r="AG470" s="31"/>
      <c r="AH470" s="31"/>
      <c r="AI470" s="32" t="str">
        <f t="shared" si="164"/>
        <v/>
      </c>
      <c r="AJ470" s="32" t="s">
        <v>313</v>
      </c>
      <c r="AK470" s="31"/>
      <c r="AL470" s="31"/>
      <c r="AM470" s="32" t="str">
        <f t="shared" si="165"/>
        <v/>
      </c>
      <c r="AN470" s="32" t="s">
        <v>313</v>
      </c>
      <c r="AO470" s="31"/>
      <c r="AP470" s="31"/>
      <c r="AQ470" s="32" t="str">
        <f t="shared" si="166"/>
        <v/>
      </c>
      <c r="AR470" s="32" t="s">
        <v>313</v>
      </c>
      <c r="AS470" s="31"/>
      <c r="AT470" s="31"/>
      <c r="AU470" s="32" t="str">
        <f t="shared" si="167"/>
        <v/>
      </c>
      <c r="AV470" s="32" t="s">
        <v>313</v>
      </c>
      <c r="AW470" s="31"/>
      <c r="AX470" s="31"/>
      <c r="AY470" s="32" t="str">
        <f t="shared" si="168"/>
        <v/>
      </c>
      <c r="AZ470" s="32" t="s">
        <v>313</v>
      </c>
    </row>
    <row r="471" spans="1:52" ht="34" customHeight="1">
      <c r="A471" s="28" t="s">
        <v>328</v>
      </c>
      <c r="B471" s="29" t="s">
        <v>228</v>
      </c>
      <c r="C471" s="29" t="s">
        <v>121</v>
      </c>
      <c r="D471" s="29"/>
      <c r="E471" s="29" t="s">
        <v>125</v>
      </c>
      <c r="F471" s="29" t="s">
        <v>314</v>
      </c>
      <c r="G471" s="30" t="s">
        <v>312</v>
      </c>
      <c r="H471" s="31">
        <v>0</v>
      </c>
      <c r="I471" s="31">
        <v>277011.68</v>
      </c>
      <c r="J471" s="32">
        <f t="shared" ref="J471:J500" si="169">IF(H471="","",IFERROR(H471/I471,""))</f>
        <v>0</v>
      </c>
      <c r="K471" s="31">
        <v>0</v>
      </c>
      <c r="L471" s="31">
        <v>142513.85999999999</v>
      </c>
      <c r="M471" s="32">
        <f t="shared" ref="M471:M500" si="170">IF(K471="","",IFERROR(K471/L471,""))</f>
        <v>0</v>
      </c>
      <c r="N471" s="31">
        <v>0</v>
      </c>
      <c r="O471" s="31">
        <v>325621.17</v>
      </c>
      <c r="P471" s="32">
        <f t="shared" ref="P471:P500" si="171">IF(N471="","",IFERROR(N471/O471,""))</f>
        <v>0</v>
      </c>
      <c r="Q471" s="31">
        <v>30</v>
      </c>
      <c r="R471" s="31">
        <v>342496.49</v>
      </c>
      <c r="S471" s="32">
        <f t="shared" ref="S471:S500" si="172">IF(Q471="","",IFERROR(Q471/R471,""))</f>
        <v>8.7592138535492727E-5</v>
      </c>
      <c r="T471" s="31">
        <v>22.22</v>
      </c>
      <c r="U471" s="31">
        <v>325964.5</v>
      </c>
      <c r="V471" s="32">
        <f t="shared" ref="V471:V500" si="173">IF(T471="","",IFERROR(T471/U471,""))</f>
        <v>6.8166932288638796E-5</v>
      </c>
      <c r="W471" s="31">
        <v>34.840000000000003</v>
      </c>
      <c r="X471" s="31">
        <v>262721.08</v>
      </c>
      <c r="Y471" s="32">
        <f t="shared" ref="Y471:Y500" si="174">IF(W471="","",IFERROR(W471/X471,""))</f>
        <v>1.3261212233140943E-4</v>
      </c>
      <c r="Z471" s="31">
        <f t="shared" si="161"/>
        <v>87.06</v>
      </c>
      <c r="AA471" s="31">
        <f t="shared" si="162"/>
        <v>1676328.78</v>
      </c>
      <c r="AB471" s="32">
        <f t="shared" ref="AB471:AB500" si="175">IF(Z471="","",IFERROR(Z471/AA471,""))</f>
        <v>5.1934919353946786E-5</v>
      </c>
      <c r="AC471" s="31"/>
      <c r="AD471" s="31"/>
      <c r="AE471" s="32" t="str">
        <f t="shared" si="163"/>
        <v/>
      </c>
      <c r="AF471" s="32" t="s">
        <v>313</v>
      </c>
      <c r="AG471" s="31"/>
      <c r="AH471" s="31"/>
      <c r="AI471" s="32" t="str">
        <f t="shared" si="164"/>
        <v/>
      </c>
      <c r="AJ471" s="32" t="s">
        <v>313</v>
      </c>
      <c r="AK471" s="31"/>
      <c r="AL471" s="31"/>
      <c r="AM471" s="32" t="str">
        <f t="shared" si="165"/>
        <v/>
      </c>
      <c r="AN471" s="32" t="s">
        <v>313</v>
      </c>
      <c r="AO471" s="31"/>
      <c r="AP471" s="31"/>
      <c r="AQ471" s="32" t="str">
        <f t="shared" si="166"/>
        <v/>
      </c>
      <c r="AR471" s="32" t="s">
        <v>313</v>
      </c>
      <c r="AS471" s="31"/>
      <c r="AT471" s="31"/>
      <c r="AU471" s="32" t="str">
        <f t="shared" si="167"/>
        <v/>
      </c>
      <c r="AV471" s="32" t="s">
        <v>313</v>
      </c>
      <c r="AW471" s="31"/>
      <c r="AX471" s="31"/>
      <c r="AY471" s="32" t="str">
        <f t="shared" si="168"/>
        <v/>
      </c>
      <c r="AZ471" s="32" t="s">
        <v>313</v>
      </c>
    </row>
    <row r="472" spans="1:52" ht="34" customHeight="1">
      <c r="A472" s="28" t="s">
        <v>328</v>
      </c>
      <c r="B472" s="29" t="s">
        <v>228</v>
      </c>
      <c r="C472" s="29" t="s">
        <v>48</v>
      </c>
      <c r="D472" s="29"/>
      <c r="E472" s="29" t="s">
        <v>127</v>
      </c>
      <c r="F472" s="29" t="s">
        <v>315</v>
      </c>
      <c r="G472" s="30" t="s">
        <v>312</v>
      </c>
      <c r="H472" s="31">
        <v>81576</v>
      </c>
      <c r="I472" s="31">
        <v>277011.68</v>
      </c>
      <c r="J472" s="32">
        <f t="shared" si="169"/>
        <v>0.29448577763941219</v>
      </c>
      <c r="K472" s="31">
        <v>43259</v>
      </c>
      <c r="L472" s="31">
        <v>142513.85999999999</v>
      </c>
      <c r="M472" s="32">
        <f t="shared" si="170"/>
        <v>0.30354240633156665</v>
      </c>
      <c r="N472" s="31">
        <v>113098</v>
      </c>
      <c r="O472" s="31">
        <v>325621.17</v>
      </c>
      <c r="P472" s="32">
        <f t="shared" si="171"/>
        <v>0.34732999700234479</v>
      </c>
      <c r="Q472" s="31">
        <v>118813.5</v>
      </c>
      <c r="R472" s="31">
        <v>342496.49</v>
      </c>
      <c r="S472" s="32">
        <f t="shared" si="172"/>
        <v>0.34690428506289217</v>
      </c>
      <c r="T472" s="31">
        <v>111817.85</v>
      </c>
      <c r="U472" s="31">
        <v>325964.5</v>
      </c>
      <c r="V472" s="32">
        <f t="shared" si="173"/>
        <v>0.34303689512201485</v>
      </c>
      <c r="W472" s="31">
        <v>90005.11</v>
      </c>
      <c r="X472" s="31">
        <v>262721.08</v>
      </c>
      <c r="Y472" s="32">
        <f t="shared" si="174"/>
        <v>0.34258807858128476</v>
      </c>
      <c r="Z472" s="31">
        <f t="shared" si="161"/>
        <v>558569.46</v>
      </c>
      <c r="AA472" s="31">
        <f t="shared" si="162"/>
        <v>1676328.78</v>
      </c>
      <c r="AB472" s="32">
        <f t="shared" si="175"/>
        <v>0.33320996851226281</v>
      </c>
      <c r="AC472" s="31"/>
      <c r="AD472" s="31"/>
      <c r="AE472" s="32" t="str">
        <f t="shared" si="163"/>
        <v/>
      </c>
      <c r="AF472" s="32" t="s">
        <v>313</v>
      </c>
      <c r="AG472" s="31"/>
      <c r="AH472" s="31"/>
      <c r="AI472" s="32" t="str">
        <f t="shared" si="164"/>
        <v/>
      </c>
      <c r="AJ472" s="32" t="s">
        <v>313</v>
      </c>
      <c r="AK472" s="31"/>
      <c r="AL472" s="31"/>
      <c r="AM472" s="32" t="str">
        <f t="shared" si="165"/>
        <v/>
      </c>
      <c r="AN472" s="32" t="s">
        <v>313</v>
      </c>
      <c r="AO472" s="31"/>
      <c r="AP472" s="31"/>
      <c r="AQ472" s="32" t="str">
        <f t="shared" si="166"/>
        <v/>
      </c>
      <c r="AR472" s="32" t="s">
        <v>313</v>
      </c>
      <c r="AS472" s="31"/>
      <c r="AT472" s="31"/>
      <c r="AU472" s="32" t="str">
        <f t="shared" si="167"/>
        <v/>
      </c>
      <c r="AV472" s="32" t="s">
        <v>313</v>
      </c>
      <c r="AW472" s="31"/>
      <c r="AX472" s="31"/>
      <c r="AY472" s="32" t="str">
        <f t="shared" si="168"/>
        <v/>
      </c>
      <c r="AZ472" s="32" t="s">
        <v>313</v>
      </c>
    </row>
    <row r="473" spans="1:52" ht="34" customHeight="1">
      <c r="A473" s="28" t="s">
        <v>328</v>
      </c>
      <c r="B473" s="29" t="s">
        <v>228</v>
      </c>
      <c r="C473" s="29" t="s">
        <v>52</v>
      </c>
      <c r="D473" s="29" t="s">
        <v>54</v>
      </c>
      <c r="E473" s="29" t="s">
        <v>55</v>
      </c>
      <c r="F473" s="29" t="s">
        <v>130</v>
      </c>
      <c r="G473" s="30" t="s">
        <v>312</v>
      </c>
      <c r="H473" s="31">
        <v>61176.67</v>
      </c>
      <c r="I473" s="31">
        <v>277011.68</v>
      </c>
      <c r="J473" s="32">
        <f t="shared" si="169"/>
        <v>0.22084509216362286</v>
      </c>
      <c r="K473" s="31">
        <v>40272.79</v>
      </c>
      <c r="L473" s="31">
        <v>142513.85999999999</v>
      </c>
      <c r="M473" s="32">
        <f t="shared" si="170"/>
        <v>0.28258858471730403</v>
      </c>
      <c r="N473" s="31">
        <v>82254.16</v>
      </c>
      <c r="O473" s="31">
        <v>325621.17</v>
      </c>
      <c r="P473" s="32">
        <f t="shared" si="171"/>
        <v>0.25260691741879071</v>
      </c>
      <c r="Q473" s="31">
        <v>120361.5</v>
      </c>
      <c r="R473" s="31">
        <v>342496.49</v>
      </c>
      <c r="S473" s="32">
        <f t="shared" si="172"/>
        <v>0.35142403941132361</v>
      </c>
      <c r="T473" s="31">
        <v>89143.08</v>
      </c>
      <c r="U473" s="31">
        <v>325964.5</v>
      </c>
      <c r="V473" s="32">
        <f t="shared" si="173"/>
        <v>0.27347481090732273</v>
      </c>
      <c r="W473" s="31">
        <v>86273.13</v>
      </c>
      <c r="X473" s="31">
        <v>262721.08</v>
      </c>
      <c r="Y473" s="32">
        <f t="shared" si="174"/>
        <v>0.32838297558764601</v>
      </c>
      <c r="Z473" s="31">
        <f t="shared" si="161"/>
        <v>479481.33</v>
      </c>
      <c r="AA473" s="31">
        <f t="shared" si="162"/>
        <v>1676328.78</v>
      </c>
      <c r="AB473" s="32">
        <f t="shared" si="175"/>
        <v>0.28603060194432745</v>
      </c>
      <c r="AC473" s="31"/>
      <c r="AD473" s="31"/>
      <c r="AE473" s="32" t="str">
        <f t="shared" si="163"/>
        <v/>
      </c>
      <c r="AF473" s="32" t="s">
        <v>313</v>
      </c>
      <c r="AG473" s="31"/>
      <c r="AH473" s="31"/>
      <c r="AI473" s="32" t="str">
        <f t="shared" si="164"/>
        <v/>
      </c>
      <c r="AJ473" s="32" t="s">
        <v>313</v>
      </c>
      <c r="AK473" s="31"/>
      <c r="AL473" s="31"/>
      <c r="AM473" s="32" t="str">
        <f t="shared" si="165"/>
        <v/>
      </c>
      <c r="AN473" s="32" t="s">
        <v>313</v>
      </c>
      <c r="AO473" s="31"/>
      <c r="AP473" s="31"/>
      <c r="AQ473" s="32" t="str">
        <f t="shared" si="166"/>
        <v/>
      </c>
      <c r="AR473" s="32" t="s">
        <v>313</v>
      </c>
      <c r="AS473" s="31"/>
      <c r="AT473" s="31"/>
      <c r="AU473" s="32" t="str">
        <f t="shared" si="167"/>
        <v/>
      </c>
      <c r="AV473" s="32" t="s">
        <v>313</v>
      </c>
      <c r="AW473" s="31"/>
      <c r="AX473" s="31"/>
      <c r="AY473" s="32" t="str">
        <f t="shared" si="168"/>
        <v/>
      </c>
      <c r="AZ473" s="32" t="s">
        <v>313</v>
      </c>
    </row>
    <row r="474" spans="1:52" ht="34" customHeight="1">
      <c r="A474" s="28" t="s">
        <v>328</v>
      </c>
      <c r="B474" s="29" t="s">
        <v>228</v>
      </c>
      <c r="C474" s="29" t="s">
        <v>52</v>
      </c>
      <c r="D474" s="29" t="s">
        <v>54</v>
      </c>
      <c r="E474" s="29" t="s">
        <v>58</v>
      </c>
      <c r="F474" s="29" t="s">
        <v>316</v>
      </c>
      <c r="G474" s="30" t="s">
        <v>312</v>
      </c>
      <c r="H474" s="31"/>
      <c r="I474" s="31">
        <v>277011.68</v>
      </c>
      <c r="J474" s="32" t="str">
        <f t="shared" si="169"/>
        <v/>
      </c>
      <c r="K474" s="31"/>
      <c r="L474" s="31">
        <v>142513.85999999999</v>
      </c>
      <c r="M474" s="32" t="str">
        <f t="shared" si="170"/>
        <v/>
      </c>
      <c r="N474" s="31"/>
      <c r="O474" s="31">
        <v>325621.17</v>
      </c>
      <c r="P474" s="32" t="str">
        <f t="shared" si="171"/>
        <v/>
      </c>
      <c r="Q474" s="31"/>
      <c r="R474" s="31">
        <v>342496.49</v>
      </c>
      <c r="S474" s="32" t="str">
        <f t="shared" si="172"/>
        <v/>
      </c>
      <c r="T474" s="31"/>
      <c r="U474" s="31">
        <v>325964.5</v>
      </c>
      <c r="V474" s="32" t="str">
        <f t="shared" si="173"/>
        <v/>
      </c>
      <c r="W474" s="31"/>
      <c r="X474" s="31">
        <v>262721.08</v>
      </c>
      <c r="Y474" s="32" t="str">
        <f t="shared" si="174"/>
        <v/>
      </c>
      <c r="Z474" s="31" t="str">
        <f t="shared" si="161"/>
        <v/>
      </c>
      <c r="AA474" s="31">
        <f t="shared" si="162"/>
        <v>1676328.78</v>
      </c>
      <c r="AB474" s="32" t="str">
        <f t="shared" si="175"/>
        <v/>
      </c>
      <c r="AC474" s="31"/>
      <c r="AD474" s="31"/>
      <c r="AE474" s="32" t="str">
        <f t="shared" si="163"/>
        <v/>
      </c>
      <c r="AF474" s="32" t="s">
        <v>313</v>
      </c>
      <c r="AG474" s="31"/>
      <c r="AH474" s="31"/>
      <c r="AI474" s="32" t="str">
        <f t="shared" si="164"/>
        <v/>
      </c>
      <c r="AJ474" s="32" t="s">
        <v>313</v>
      </c>
      <c r="AK474" s="31"/>
      <c r="AL474" s="31"/>
      <c r="AM474" s="32" t="str">
        <f t="shared" si="165"/>
        <v/>
      </c>
      <c r="AN474" s="32" t="s">
        <v>313</v>
      </c>
      <c r="AO474" s="31"/>
      <c r="AP474" s="31"/>
      <c r="AQ474" s="32" t="str">
        <f t="shared" si="166"/>
        <v/>
      </c>
      <c r="AR474" s="32" t="s">
        <v>313</v>
      </c>
      <c r="AS474" s="31"/>
      <c r="AT474" s="31"/>
      <c r="AU474" s="32" t="str">
        <f t="shared" si="167"/>
        <v/>
      </c>
      <c r="AV474" s="32" t="s">
        <v>313</v>
      </c>
      <c r="AW474" s="31"/>
      <c r="AX474" s="31"/>
      <c r="AY474" s="32" t="str">
        <f t="shared" si="168"/>
        <v/>
      </c>
      <c r="AZ474" s="32" t="s">
        <v>313</v>
      </c>
    </row>
    <row r="475" spans="1:52" ht="34" customHeight="1">
      <c r="A475" s="28" t="s">
        <v>328</v>
      </c>
      <c r="B475" s="29" t="s">
        <v>228</v>
      </c>
      <c r="C475" s="29" t="s">
        <v>52</v>
      </c>
      <c r="D475" s="29" t="s">
        <v>54</v>
      </c>
      <c r="E475" s="29" t="s">
        <v>59</v>
      </c>
      <c r="F475" s="29" t="s">
        <v>316</v>
      </c>
      <c r="G475" s="30" t="s">
        <v>312</v>
      </c>
      <c r="H475" s="31"/>
      <c r="I475" s="31">
        <v>277011.68</v>
      </c>
      <c r="J475" s="32" t="str">
        <f t="shared" si="169"/>
        <v/>
      </c>
      <c r="K475" s="31"/>
      <c r="L475" s="31">
        <v>142513.85999999999</v>
      </c>
      <c r="M475" s="32" t="str">
        <f t="shared" si="170"/>
        <v/>
      </c>
      <c r="N475" s="31"/>
      <c r="O475" s="31">
        <v>325621.17</v>
      </c>
      <c r="P475" s="32" t="str">
        <f t="shared" si="171"/>
        <v/>
      </c>
      <c r="Q475" s="31"/>
      <c r="R475" s="31">
        <v>342496.49</v>
      </c>
      <c r="S475" s="32" t="str">
        <f t="shared" si="172"/>
        <v/>
      </c>
      <c r="T475" s="31"/>
      <c r="U475" s="31">
        <v>325964.5</v>
      </c>
      <c r="V475" s="32" t="str">
        <f t="shared" si="173"/>
        <v/>
      </c>
      <c r="W475" s="31"/>
      <c r="X475" s="31">
        <v>262721.08</v>
      </c>
      <c r="Y475" s="32" t="str">
        <f t="shared" si="174"/>
        <v/>
      </c>
      <c r="Z475" s="31" t="str">
        <f t="shared" si="161"/>
        <v/>
      </c>
      <c r="AA475" s="31">
        <f t="shared" si="162"/>
        <v>1676328.78</v>
      </c>
      <c r="AB475" s="32" t="str">
        <f t="shared" si="175"/>
        <v/>
      </c>
      <c r="AC475" s="31"/>
      <c r="AD475" s="31"/>
      <c r="AE475" s="32" t="str">
        <f t="shared" si="163"/>
        <v/>
      </c>
      <c r="AF475" s="32" t="s">
        <v>313</v>
      </c>
      <c r="AG475" s="31"/>
      <c r="AH475" s="31"/>
      <c r="AI475" s="32" t="str">
        <f t="shared" si="164"/>
        <v/>
      </c>
      <c r="AJ475" s="32" t="s">
        <v>313</v>
      </c>
      <c r="AK475" s="31"/>
      <c r="AL475" s="31"/>
      <c r="AM475" s="32" t="str">
        <f t="shared" si="165"/>
        <v/>
      </c>
      <c r="AN475" s="32" t="s">
        <v>313</v>
      </c>
      <c r="AO475" s="31"/>
      <c r="AP475" s="31"/>
      <c r="AQ475" s="32" t="str">
        <f t="shared" si="166"/>
        <v/>
      </c>
      <c r="AR475" s="32" t="s">
        <v>313</v>
      </c>
      <c r="AS475" s="31"/>
      <c r="AT475" s="31"/>
      <c r="AU475" s="32" t="str">
        <f t="shared" si="167"/>
        <v/>
      </c>
      <c r="AV475" s="32" t="s">
        <v>313</v>
      </c>
      <c r="AW475" s="31"/>
      <c r="AX475" s="31"/>
      <c r="AY475" s="32" t="str">
        <f t="shared" si="168"/>
        <v/>
      </c>
      <c r="AZ475" s="32" t="s">
        <v>313</v>
      </c>
    </row>
    <row r="476" spans="1:52" ht="34" customHeight="1">
      <c r="A476" s="28" t="s">
        <v>328</v>
      </c>
      <c r="B476" s="29" t="s">
        <v>228</v>
      </c>
      <c r="C476" s="29" t="s">
        <v>52</v>
      </c>
      <c r="D476" s="29" t="s">
        <v>54</v>
      </c>
      <c r="E476" s="29" t="s">
        <v>64</v>
      </c>
      <c r="F476" s="29" t="s">
        <v>133</v>
      </c>
      <c r="G476" s="30" t="s">
        <v>312</v>
      </c>
      <c r="H476" s="31">
        <v>55950.64</v>
      </c>
      <c r="I476" s="31">
        <v>277011.68</v>
      </c>
      <c r="J476" s="32">
        <f t="shared" si="169"/>
        <v>0.20197935336156222</v>
      </c>
      <c r="K476" s="31">
        <v>42775.54</v>
      </c>
      <c r="L476" s="31">
        <v>142513.85999999999</v>
      </c>
      <c r="M476" s="32">
        <f t="shared" si="170"/>
        <v>0.30015003452997485</v>
      </c>
      <c r="N476" s="31">
        <v>89352.47</v>
      </c>
      <c r="O476" s="31">
        <v>325621.17</v>
      </c>
      <c r="P476" s="32">
        <f t="shared" si="171"/>
        <v>0.27440620645150315</v>
      </c>
      <c r="Q476" s="31">
        <v>124630.39</v>
      </c>
      <c r="R476" s="31">
        <v>342496.49</v>
      </c>
      <c r="S476" s="32">
        <f t="shared" si="172"/>
        <v>0.36388807955374958</v>
      </c>
      <c r="T476" s="31">
        <v>90033.33</v>
      </c>
      <c r="U476" s="31">
        <v>325964.5</v>
      </c>
      <c r="V476" s="32">
        <f t="shared" si="173"/>
        <v>0.27620593653603381</v>
      </c>
      <c r="W476" s="31">
        <v>54291.06</v>
      </c>
      <c r="X476" s="31">
        <v>262721.08</v>
      </c>
      <c r="Y476" s="32">
        <f t="shared" si="174"/>
        <v>0.20664904392140895</v>
      </c>
      <c r="Z476" s="31">
        <f t="shared" si="161"/>
        <v>457033.43</v>
      </c>
      <c r="AA476" s="31">
        <f t="shared" si="162"/>
        <v>1676328.78</v>
      </c>
      <c r="AB476" s="32">
        <f t="shared" si="175"/>
        <v>0.27263949378713165</v>
      </c>
      <c r="AC476" s="31"/>
      <c r="AD476" s="31"/>
      <c r="AE476" s="32" t="str">
        <f t="shared" si="163"/>
        <v/>
      </c>
      <c r="AF476" s="32" t="s">
        <v>313</v>
      </c>
      <c r="AG476" s="31"/>
      <c r="AH476" s="31"/>
      <c r="AI476" s="32" t="str">
        <f t="shared" si="164"/>
        <v/>
      </c>
      <c r="AJ476" s="32" t="s">
        <v>313</v>
      </c>
      <c r="AK476" s="31"/>
      <c r="AL476" s="31"/>
      <c r="AM476" s="32" t="str">
        <f t="shared" si="165"/>
        <v/>
      </c>
      <c r="AN476" s="32" t="s">
        <v>313</v>
      </c>
      <c r="AO476" s="31"/>
      <c r="AP476" s="31"/>
      <c r="AQ476" s="32" t="str">
        <f t="shared" si="166"/>
        <v/>
      </c>
      <c r="AR476" s="32" t="s">
        <v>313</v>
      </c>
      <c r="AS476" s="31"/>
      <c r="AT476" s="31"/>
      <c r="AU476" s="32" t="str">
        <f t="shared" si="167"/>
        <v/>
      </c>
      <c r="AV476" s="32" t="s">
        <v>313</v>
      </c>
      <c r="AW476" s="31"/>
      <c r="AX476" s="31"/>
      <c r="AY476" s="32" t="str">
        <f t="shared" si="168"/>
        <v/>
      </c>
      <c r="AZ476" s="32" t="s">
        <v>313</v>
      </c>
    </row>
    <row r="477" spans="1:52" ht="34" customHeight="1">
      <c r="A477" s="28" t="s">
        <v>328</v>
      </c>
      <c r="B477" s="29" t="s">
        <v>228</v>
      </c>
      <c r="C477" s="29" t="s">
        <v>52</v>
      </c>
      <c r="D477" s="29" t="s">
        <v>54</v>
      </c>
      <c r="E477" s="29" t="s">
        <v>60</v>
      </c>
      <c r="F477" s="29" t="s">
        <v>316</v>
      </c>
      <c r="G477" s="30" t="s">
        <v>312</v>
      </c>
      <c r="H477" s="31"/>
      <c r="I477" s="31">
        <v>277011.68</v>
      </c>
      <c r="J477" s="32" t="str">
        <f t="shared" si="169"/>
        <v/>
      </c>
      <c r="K477" s="31"/>
      <c r="L477" s="31">
        <v>142513.85999999999</v>
      </c>
      <c r="M477" s="32" t="str">
        <f t="shared" si="170"/>
        <v/>
      </c>
      <c r="N477" s="31"/>
      <c r="O477" s="31">
        <v>325621.17</v>
      </c>
      <c r="P477" s="32" t="str">
        <f t="shared" si="171"/>
        <v/>
      </c>
      <c r="Q477" s="31"/>
      <c r="R477" s="31">
        <v>342496.49</v>
      </c>
      <c r="S477" s="32" t="str">
        <f t="shared" si="172"/>
        <v/>
      </c>
      <c r="T477" s="31"/>
      <c r="U477" s="31">
        <v>325964.5</v>
      </c>
      <c r="V477" s="32" t="str">
        <f t="shared" si="173"/>
        <v/>
      </c>
      <c r="W477" s="31"/>
      <c r="X477" s="31">
        <v>262721.08</v>
      </c>
      <c r="Y477" s="32" t="str">
        <f t="shared" si="174"/>
        <v/>
      </c>
      <c r="Z477" s="31" t="str">
        <f t="shared" si="161"/>
        <v/>
      </c>
      <c r="AA477" s="31">
        <f t="shared" si="162"/>
        <v>1676328.78</v>
      </c>
      <c r="AB477" s="32" t="str">
        <f t="shared" si="175"/>
        <v/>
      </c>
      <c r="AC477" s="31"/>
      <c r="AD477" s="31"/>
      <c r="AE477" s="32" t="str">
        <f t="shared" si="163"/>
        <v/>
      </c>
      <c r="AF477" s="32" t="s">
        <v>313</v>
      </c>
      <c r="AG477" s="31"/>
      <c r="AH477" s="31"/>
      <c r="AI477" s="32" t="str">
        <f t="shared" si="164"/>
        <v/>
      </c>
      <c r="AJ477" s="32" t="s">
        <v>313</v>
      </c>
      <c r="AK477" s="31"/>
      <c r="AL477" s="31"/>
      <c r="AM477" s="32" t="str">
        <f t="shared" si="165"/>
        <v/>
      </c>
      <c r="AN477" s="32" t="s">
        <v>313</v>
      </c>
      <c r="AO477" s="31"/>
      <c r="AP477" s="31"/>
      <c r="AQ477" s="32" t="str">
        <f t="shared" si="166"/>
        <v/>
      </c>
      <c r="AR477" s="32" t="s">
        <v>313</v>
      </c>
      <c r="AS477" s="31"/>
      <c r="AT477" s="31"/>
      <c r="AU477" s="32" t="str">
        <f t="shared" si="167"/>
        <v/>
      </c>
      <c r="AV477" s="32" t="s">
        <v>313</v>
      </c>
      <c r="AW477" s="31"/>
      <c r="AX477" s="31"/>
      <c r="AY477" s="32" t="str">
        <f t="shared" si="168"/>
        <v/>
      </c>
      <c r="AZ477" s="32" t="s">
        <v>313</v>
      </c>
    </row>
    <row r="478" spans="1:52" ht="51" customHeight="1">
      <c r="A478" s="28" t="s">
        <v>328</v>
      </c>
      <c r="B478" s="29" t="s">
        <v>228</v>
      </c>
      <c r="C478" s="29" t="s">
        <v>52</v>
      </c>
      <c r="D478" s="29" t="s">
        <v>54</v>
      </c>
      <c r="E478" s="29" t="s">
        <v>61</v>
      </c>
      <c r="F478" s="29" t="s">
        <v>135</v>
      </c>
      <c r="G478" s="30" t="s">
        <v>312</v>
      </c>
      <c r="H478" s="31">
        <v>17790.411638000001</v>
      </c>
      <c r="I478" s="31">
        <v>277011.68</v>
      </c>
      <c r="J478" s="32">
        <f t="shared" si="169"/>
        <v>6.4222604758037649E-2</v>
      </c>
      <c r="K478" s="31">
        <v>8982.0417199999993</v>
      </c>
      <c r="L478" s="31">
        <v>142513.85999999999</v>
      </c>
      <c r="M478" s="32">
        <f t="shared" si="170"/>
        <v>6.3025741636638016E-2</v>
      </c>
      <c r="N478" s="31">
        <v>20178.874577999999</v>
      </c>
      <c r="O478" s="31">
        <v>325621.17</v>
      </c>
      <c r="P478" s="32">
        <f t="shared" si="171"/>
        <v>6.1970401304067543E-2</v>
      </c>
      <c r="Q478" s="31">
        <v>21499.940535999998</v>
      </c>
      <c r="R478" s="31">
        <v>342496.49</v>
      </c>
      <c r="S478" s="32">
        <f t="shared" si="172"/>
        <v>6.2774192331138928E-2</v>
      </c>
      <c r="T478" s="31">
        <v>22851.984111999998</v>
      </c>
      <c r="U478" s="31">
        <v>325964.5</v>
      </c>
      <c r="V478" s="32">
        <f t="shared" si="173"/>
        <v>7.0105744987567664E-2</v>
      </c>
      <c r="W478" s="31">
        <v>20025.578701999999</v>
      </c>
      <c r="X478" s="31">
        <v>262721.08</v>
      </c>
      <c r="Y478" s="32">
        <f t="shared" si="174"/>
        <v>7.6223722519715584E-2</v>
      </c>
      <c r="Z478" s="31">
        <f t="shared" si="161"/>
        <v>111328.831286</v>
      </c>
      <c r="AA478" s="31">
        <f t="shared" si="162"/>
        <v>1676328.78</v>
      </c>
      <c r="AB478" s="32">
        <f t="shared" si="175"/>
        <v>6.6412288934155267E-2</v>
      </c>
      <c r="AC478" s="31"/>
      <c r="AD478" s="31"/>
      <c r="AE478" s="32" t="str">
        <f t="shared" si="163"/>
        <v/>
      </c>
      <c r="AF478" s="32" t="s">
        <v>313</v>
      </c>
      <c r="AG478" s="31"/>
      <c r="AH478" s="31"/>
      <c r="AI478" s="32" t="str">
        <f t="shared" si="164"/>
        <v/>
      </c>
      <c r="AJ478" s="32" t="s">
        <v>313</v>
      </c>
      <c r="AK478" s="31"/>
      <c r="AL478" s="31"/>
      <c r="AM478" s="32" t="str">
        <f t="shared" si="165"/>
        <v/>
      </c>
      <c r="AN478" s="32" t="s">
        <v>313</v>
      </c>
      <c r="AO478" s="31"/>
      <c r="AP478" s="31"/>
      <c r="AQ478" s="32" t="str">
        <f t="shared" si="166"/>
        <v/>
      </c>
      <c r="AR478" s="32" t="s">
        <v>313</v>
      </c>
      <c r="AS478" s="31"/>
      <c r="AT478" s="31"/>
      <c r="AU478" s="32" t="str">
        <f t="shared" si="167"/>
        <v/>
      </c>
      <c r="AV478" s="32" t="s">
        <v>313</v>
      </c>
      <c r="AW478" s="31"/>
      <c r="AX478" s="31"/>
      <c r="AY478" s="32" t="str">
        <f t="shared" si="168"/>
        <v/>
      </c>
      <c r="AZ478" s="32" t="s">
        <v>313</v>
      </c>
    </row>
    <row r="479" spans="1:52" ht="34" customHeight="1">
      <c r="A479" s="28" t="s">
        <v>328</v>
      </c>
      <c r="B479" s="29" t="s">
        <v>228</v>
      </c>
      <c r="C479" s="29" t="s">
        <v>52</v>
      </c>
      <c r="D479" s="29" t="s">
        <v>54</v>
      </c>
      <c r="E479" s="29" t="s">
        <v>62</v>
      </c>
      <c r="F479" s="29" t="s">
        <v>316</v>
      </c>
      <c r="G479" s="30" t="s">
        <v>312</v>
      </c>
      <c r="H479" s="31"/>
      <c r="I479" s="31">
        <v>277011.68</v>
      </c>
      <c r="J479" s="32" t="str">
        <f t="shared" si="169"/>
        <v/>
      </c>
      <c r="K479" s="31"/>
      <c r="L479" s="31">
        <v>142513.85999999999</v>
      </c>
      <c r="M479" s="32" t="str">
        <f t="shared" si="170"/>
        <v/>
      </c>
      <c r="N479" s="31"/>
      <c r="O479" s="31">
        <v>325621.17</v>
      </c>
      <c r="P479" s="32" t="str">
        <f t="shared" si="171"/>
        <v/>
      </c>
      <c r="Q479" s="31"/>
      <c r="R479" s="31">
        <v>342496.49</v>
      </c>
      <c r="S479" s="32" t="str">
        <f t="shared" si="172"/>
        <v/>
      </c>
      <c r="T479" s="31"/>
      <c r="U479" s="31">
        <v>325964.5</v>
      </c>
      <c r="V479" s="32" t="str">
        <f t="shared" si="173"/>
        <v/>
      </c>
      <c r="W479" s="31"/>
      <c r="X479" s="31">
        <v>262721.08</v>
      </c>
      <c r="Y479" s="32" t="str">
        <f t="shared" si="174"/>
        <v/>
      </c>
      <c r="Z479" s="31" t="str">
        <f t="shared" si="161"/>
        <v/>
      </c>
      <c r="AA479" s="31">
        <f t="shared" si="162"/>
        <v>1676328.78</v>
      </c>
      <c r="AB479" s="32" t="str">
        <f t="shared" si="175"/>
        <v/>
      </c>
      <c r="AC479" s="31"/>
      <c r="AD479" s="31"/>
      <c r="AE479" s="32" t="str">
        <f t="shared" si="163"/>
        <v/>
      </c>
      <c r="AF479" s="32" t="s">
        <v>313</v>
      </c>
      <c r="AG479" s="31"/>
      <c r="AH479" s="31"/>
      <c r="AI479" s="32" t="str">
        <f t="shared" si="164"/>
        <v/>
      </c>
      <c r="AJ479" s="32" t="s">
        <v>313</v>
      </c>
      <c r="AK479" s="31"/>
      <c r="AL479" s="31"/>
      <c r="AM479" s="32" t="str">
        <f t="shared" si="165"/>
        <v/>
      </c>
      <c r="AN479" s="32" t="s">
        <v>313</v>
      </c>
      <c r="AO479" s="31"/>
      <c r="AP479" s="31"/>
      <c r="AQ479" s="32" t="str">
        <f t="shared" si="166"/>
        <v/>
      </c>
      <c r="AR479" s="32" t="s">
        <v>313</v>
      </c>
      <c r="AS479" s="31"/>
      <c r="AT479" s="31"/>
      <c r="AU479" s="32" t="str">
        <f t="shared" si="167"/>
        <v/>
      </c>
      <c r="AV479" s="32" t="s">
        <v>313</v>
      </c>
      <c r="AW479" s="31"/>
      <c r="AX479" s="31"/>
      <c r="AY479" s="32" t="str">
        <f t="shared" si="168"/>
        <v/>
      </c>
      <c r="AZ479" s="32" t="s">
        <v>313</v>
      </c>
    </row>
    <row r="480" spans="1:52" ht="34" customHeight="1">
      <c r="A480" s="28" t="s">
        <v>328</v>
      </c>
      <c r="B480" s="29" t="s">
        <v>228</v>
      </c>
      <c r="C480" s="29" t="s">
        <v>52</v>
      </c>
      <c r="D480" s="29" t="s">
        <v>54</v>
      </c>
      <c r="E480" s="29" t="s">
        <v>63</v>
      </c>
      <c r="F480" s="29" t="s">
        <v>316</v>
      </c>
      <c r="G480" s="30" t="s">
        <v>312</v>
      </c>
      <c r="H480" s="31"/>
      <c r="I480" s="31">
        <v>277011.68</v>
      </c>
      <c r="J480" s="32" t="str">
        <f t="shared" si="169"/>
        <v/>
      </c>
      <c r="K480" s="31"/>
      <c r="L480" s="31">
        <v>142513.85999999999</v>
      </c>
      <c r="M480" s="32" t="str">
        <f t="shared" si="170"/>
        <v/>
      </c>
      <c r="N480" s="31"/>
      <c r="O480" s="31">
        <v>325621.17</v>
      </c>
      <c r="P480" s="32" t="str">
        <f t="shared" si="171"/>
        <v/>
      </c>
      <c r="Q480" s="31"/>
      <c r="R480" s="31">
        <v>342496.49</v>
      </c>
      <c r="S480" s="32" t="str">
        <f t="shared" si="172"/>
        <v/>
      </c>
      <c r="T480" s="31"/>
      <c r="U480" s="31">
        <v>325964.5</v>
      </c>
      <c r="V480" s="32" t="str">
        <f t="shared" si="173"/>
        <v/>
      </c>
      <c r="W480" s="31"/>
      <c r="X480" s="31">
        <v>262721.08</v>
      </c>
      <c r="Y480" s="32" t="str">
        <f t="shared" si="174"/>
        <v/>
      </c>
      <c r="Z480" s="31" t="str">
        <f t="shared" si="161"/>
        <v/>
      </c>
      <c r="AA480" s="31">
        <f t="shared" si="162"/>
        <v>1676328.78</v>
      </c>
      <c r="AB480" s="32" t="str">
        <f t="shared" si="175"/>
        <v/>
      </c>
      <c r="AC480" s="31"/>
      <c r="AD480" s="31"/>
      <c r="AE480" s="32" t="str">
        <f t="shared" si="163"/>
        <v/>
      </c>
      <c r="AF480" s="32" t="s">
        <v>313</v>
      </c>
      <c r="AG480" s="31"/>
      <c r="AH480" s="31"/>
      <c r="AI480" s="32" t="str">
        <f t="shared" si="164"/>
        <v/>
      </c>
      <c r="AJ480" s="32" t="s">
        <v>313</v>
      </c>
      <c r="AK480" s="31"/>
      <c r="AL480" s="31"/>
      <c r="AM480" s="32" t="str">
        <f t="shared" si="165"/>
        <v/>
      </c>
      <c r="AN480" s="32" t="s">
        <v>313</v>
      </c>
      <c r="AO480" s="31"/>
      <c r="AP480" s="31"/>
      <c r="AQ480" s="32" t="str">
        <f t="shared" si="166"/>
        <v/>
      </c>
      <c r="AR480" s="32" t="s">
        <v>313</v>
      </c>
      <c r="AS480" s="31"/>
      <c r="AT480" s="31"/>
      <c r="AU480" s="32" t="str">
        <f t="shared" si="167"/>
        <v/>
      </c>
      <c r="AV480" s="32" t="s">
        <v>313</v>
      </c>
      <c r="AW480" s="31"/>
      <c r="AX480" s="31"/>
      <c r="AY480" s="32" t="str">
        <f t="shared" si="168"/>
        <v/>
      </c>
      <c r="AZ480" s="32" t="s">
        <v>313</v>
      </c>
    </row>
    <row r="481" spans="1:52" ht="34" customHeight="1">
      <c r="A481" s="28" t="s">
        <v>328</v>
      </c>
      <c r="B481" s="29" t="s">
        <v>228</v>
      </c>
      <c r="C481" s="29" t="s">
        <v>52</v>
      </c>
      <c r="D481" s="29" t="s">
        <v>65</v>
      </c>
      <c r="E481" s="29" t="s">
        <v>66</v>
      </c>
      <c r="F481" s="29" t="s">
        <v>316</v>
      </c>
      <c r="G481" s="30" t="s">
        <v>312</v>
      </c>
      <c r="H481" s="31"/>
      <c r="I481" s="31">
        <v>277011.68</v>
      </c>
      <c r="J481" s="32" t="str">
        <f t="shared" si="169"/>
        <v/>
      </c>
      <c r="K481" s="31"/>
      <c r="L481" s="31">
        <v>142513.85999999999</v>
      </c>
      <c r="M481" s="32" t="str">
        <f t="shared" si="170"/>
        <v/>
      </c>
      <c r="N481" s="31"/>
      <c r="O481" s="31">
        <v>325621.17</v>
      </c>
      <c r="P481" s="32" t="str">
        <f t="shared" si="171"/>
        <v/>
      </c>
      <c r="Q481" s="31"/>
      <c r="R481" s="31">
        <v>342496.49</v>
      </c>
      <c r="S481" s="32" t="str">
        <f t="shared" si="172"/>
        <v/>
      </c>
      <c r="T481" s="31"/>
      <c r="U481" s="31">
        <v>325964.5</v>
      </c>
      <c r="V481" s="32" t="str">
        <f t="shared" si="173"/>
        <v/>
      </c>
      <c r="W481" s="31"/>
      <c r="X481" s="31">
        <v>262721.08</v>
      </c>
      <c r="Y481" s="32" t="str">
        <f t="shared" si="174"/>
        <v/>
      </c>
      <c r="Z481" s="31" t="str">
        <f t="shared" si="161"/>
        <v/>
      </c>
      <c r="AA481" s="31">
        <f t="shared" si="162"/>
        <v>1676328.78</v>
      </c>
      <c r="AB481" s="32" t="str">
        <f t="shared" si="175"/>
        <v/>
      </c>
      <c r="AC481" s="31"/>
      <c r="AD481" s="31"/>
      <c r="AE481" s="32" t="str">
        <f t="shared" si="163"/>
        <v/>
      </c>
      <c r="AF481" s="32" t="s">
        <v>313</v>
      </c>
      <c r="AG481" s="31"/>
      <c r="AH481" s="31"/>
      <c r="AI481" s="32" t="str">
        <f t="shared" si="164"/>
        <v/>
      </c>
      <c r="AJ481" s="32" t="s">
        <v>313</v>
      </c>
      <c r="AK481" s="31"/>
      <c r="AL481" s="31"/>
      <c r="AM481" s="32" t="str">
        <f t="shared" si="165"/>
        <v/>
      </c>
      <c r="AN481" s="32" t="s">
        <v>313</v>
      </c>
      <c r="AO481" s="31"/>
      <c r="AP481" s="31"/>
      <c r="AQ481" s="32" t="str">
        <f t="shared" si="166"/>
        <v/>
      </c>
      <c r="AR481" s="32" t="s">
        <v>313</v>
      </c>
      <c r="AS481" s="31"/>
      <c r="AT481" s="31"/>
      <c r="AU481" s="32" t="str">
        <f t="shared" si="167"/>
        <v/>
      </c>
      <c r="AV481" s="32" t="s">
        <v>313</v>
      </c>
      <c r="AW481" s="31"/>
      <c r="AX481" s="31"/>
      <c r="AY481" s="32" t="str">
        <f t="shared" si="168"/>
        <v/>
      </c>
      <c r="AZ481" s="32" t="s">
        <v>313</v>
      </c>
    </row>
    <row r="482" spans="1:52" ht="34" customHeight="1">
      <c r="A482" s="28" t="s">
        <v>328</v>
      </c>
      <c r="B482" s="29" t="s">
        <v>228</v>
      </c>
      <c r="C482" s="29" t="s">
        <v>52</v>
      </c>
      <c r="D482" s="29" t="s">
        <v>65</v>
      </c>
      <c r="E482" s="29" t="s">
        <v>67</v>
      </c>
      <c r="F482" s="29" t="s">
        <v>316</v>
      </c>
      <c r="G482" s="30" t="s">
        <v>312</v>
      </c>
      <c r="H482" s="31"/>
      <c r="I482" s="31">
        <v>277011.68</v>
      </c>
      <c r="J482" s="32" t="str">
        <f t="shared" si="169"/>
        <v/>
      </c>
      <c r="K482" s="31"/>
      <c r="L482" s="31">
        <v>142513.85999999999</v>
      </c>
      <c r="M482" s="32" t="str">
        <f t="shared" si="170"/>
        <v/>
      </c>
      <c r="N482" s="31"/>
      <c r="O482" s="31">
        <v>325621.17</v>
      </c>
      <c r="P482" s="32" t="str">
        <f t="shared" si="171"/>
        <v/>
      </c>
      <c r="Q482" s="31"/>
      <c r="R482" s="31">
        <v>342496.49</v>
      </c>
      <c r="S482" s="32" t="str">
        <f t="shared" si="172"/>
        <v/>
      </c>
      <c r="T482" s="31"/>
      <c r="U482" s="31">
        <v>325964.5</v>
      </c>
      <c r="V482" s="32" t="str">
        <f t="shared" si="173"/>
        <v/>
      </c>
      <c r="W482" s="31"/>
      <c r="X482" s="31">
        <v>262721.08</v>
      </c>
      <c r="Y482" s="32" t="str">
        <f t="shared" si="174"/>
        <v/>
      </c>
      <c r="Z482" s="31" t="str">
        <f t="shared" si="161"/>
        <v/>
      </c>
      <c r="AA482" s="31">
        <f t="shared" si="162"/>
        <v>1676328.78</v>
      </c>
      <c r="AB482" s="32" t="str">
        <f t="shared" si="175"/>
        <v/>
      </c>
      <c r="AC482" s="31"/>
      <c r="AD482" s="31"/>
      <c r="AE482" s="32" t="str">
        <f t="shared" si="163"/>
        <v/>
      </c>
      <c r="AF482" s="32" t="s">
        <v>313</v>
      </c>
      <c r="AG482" s="31"/>
      <c r="AH482" s="31"/>
      <c r="AI482" s="32" t="str">
        <f t="shared" si="164"/>
        <v/>
      </c>
      <c r="AJ482" s="32" t="s">
        <v>313</v>
      </c>
      <c r="AK482" s="31"/>
      <c r="AL482" s="31"/>
      <c r="AM482" s="32" t="str">
        <f t="shared" si="165"/>
        <v/>
      </c>
      <c r="AN482" s="32" t="s">
        <v>313</v>
      </c>
      <c r="AO482" s="31"/>
      <c r="AP482" s="31"/>
      <c r="AQ482" s="32" t="str">
        <f t="shared" si="166"/>
        <v/>
      </c>
      <c r="AR482" s="32" t="s">
        <v>313</v>
      </c>
      <c r="AS482" s="31"/>
      <c r="AT482" s="31"/>
      <c r="AU482" s="32" t="str">
        <f t="shared" si="167"/>
        <v/>
      </c>
      <c r="AV482" s="32" t="s">
        <v>313</v>
      </c>
      <c r="AW482" s="31"/>
      <c r="AX482" s="31"/>
      <c r="AY482" s="32" t="str">
        <f t="shared" si="168"/>
        <v/>
      </c>
      <c r="AZ482" s="32" t="s">
        <v>313</v>
      </c>
    </row>
    <row r="483" spans="1:52" ht="34" customHeight="1">
      <c r="A483" s="28" t="s">
        <v>328</v>
      </c>
      <c r="B483" s="29" t="s">
        <v>228</v>
      </c>
      <c r="C483" s="29" t="s">
        <v>52</v>
      </c>
      <c r="D483" s="29" t="s">
        <v>65</v>
      </c>
      <c r="E483" s="29" t="s">
        <v>68</v>
      </c>
      <c r="F483" s="29" t="s">
        <v>316</v>
      </c>
      <c r="G483" s="30" t="s">
        <v>312</v>
      </c>
      <c r="H483" s="31"/>
      <c r="I483" s="31">
        <v>277011.68</v>
      </c>
      <c r="J483" s="32" t="str">
        <f t="shared" si="169"/>
        <v/>
      </c>
      <c r="K483" s="31"/>
      <c r="L483" s="31">
        <v>142513.85999999999</v>
      </c>
      <c r="M483" s="32" t="str">
        <f t="shared" si="170"/>
        <v/>
      </c>
      <c r="N483" s="31"/>
      <c r="O483" s="31">
        <v>325621.17</v>
      </c>
      <c r="P483" s="32" t="str">
        <f t="shared" si="171"/>
        <v/>
      </c>
      <c r="Q483" s="31"/>
      <c r="R483" s="31">
        <v>342496.49</v>
      </c>
      <c r="S483" s="32" t="str">
        <f t="shared" si="172"/>
        <v/>
      </c>
      <c r="T483" s="31"/>
      <c r="U483" s="31">
        <v>325964.5</v>
      </c>
      <c r="V483" s="32" t="str">
        <f t="shared" si="173"/>
        <v/>
      </c>
      <c r="W483" s="31"/>
      <c r="X483" s="31">
        <v>262721.08</v>
      </c>
      <c r="Y483" s="32" t="str">
        <f t="shared" si="174"/>
        <v/>
      </c>
      <c r="Z483" s="31" t="str">
        <f t="shared" si="161"/>
        <v/>
      </c>
      <c r="AA483" s="31">
        <f t="shared" si="162"/>
        <v>1676328.78</v>
      </c>
      <c r="AB483" s="32" t="str">
        <f t="shared" si="175"/>
        <v/>
      </c>
      <c r="AC483" s="31"/>
      <c r="AD483" s="31"/>
      <c r="AE483" s="32" t="str">
        <f t="shared" si="163"/>
        <v/>
      </c>
      <c r="AF483" s="32" t="s">
        <v>313</v>
      </c>
      <c r="AG483" s="31"/>
      <c r="AH483" s="31"/>
      <c r="AI483" s="32" t="str">
        <f t="shared" si="164"/>
        <v/>
      </c>
      <c r="AJ483" s="32" t="s">
        <v>313</v>
      </c>
      <c r="AK483" s="31"/>
      <c r="AL483" s="31"/>
      <c r="AM483" s="32" t="str">
        <f t="shared" si="165"/>
        <v/>
      </c>
      <c r="AN483" s="32" t="s">
        <v>313</v>
      </c>
      <c r="AO483" s="31"/>
      <c r="AP483" s="31"/>
      <c r="AQ483" s="32" t="str">
        <f t="shared" si="166"/>
        <v/>
      </c>
      <c r="AR483" s="32" t="s">
        <v>313</v>
      </c>
      <c r="AS483" s="31"/>
      <c r="AT483" s="31"/>
      <c r="AU483" s="32" t="str">
        <f t="shared" si="167"/>
        <v/>
      </c>
      <c r="AV483" s="32" t="s">
        <v>313</v>
      </c>
      <c r="AW483" s="31"/>
      <c r="AX483" s="31"/>
      <c r="AY483" s="32" t="str">
        <f t="shared" si="168"/>
        <v/>
      </c>
      <c r="AZ483" s="32" t="s">
        <v>313</v>
      </c>
    </row>
    <row r="484" spans="1:52" ht="34" customHeight="1">
      <c r="A484" s="28" t="s">
        <v>328</v>
      </c>
      <c r="B484" s="29" t="s">
        <v>228</v>
      </c>
      <c r="C484" s="29" t="s">
        <v>52</v>
      </c>
      <c r="D484" s="29" t="s">
        <v>65</v>
      </c>
      <c r="E484" s="29" t="s">
        <v>69</v>
      </c>
      <c r="F484" s="29" t="s">
        <v>316</v>
      </c>
      <c r="G484" s="30" t="s">
        <v>312</v>
      </c>
      <c r="H484" s="31"/>
      <c r="I484" s="31">
        <v>277011.68</v>
      </c>
      <c r="J484" s="32" t="str">
        <f t="shared" si="169"/>
        <v/>
      </c>
      <c r="K484" s="31"/>
      <c r="L484" s="31">
        <v>142513.85999999999</v>
      </c>
      <c r="M484" s="32" t="str">
        <f t="shared" si="170"/>
        <v/>
      </c>
      <c r="N484" s="31"/>
      <c r="O484" s="31">
        <v>325621.17</v>
      </c>
      <c r="P484" s="32" t="str">
        <f t="shared" si="171"/>
        <v/>
      </c>
      <c r="Q484" s="31"/>
      <c r="R484" s="31">
        <v>342496.49</v>
      </c>
      <c r="S484" s="32" t="str">
        <f t="shared" si="172"/>
        <v/>
      </c>
      <c r="T484" s="31"/>
      <c r="U484" s="31">
        <v>325964.5</v>
      </c>
      <c r="V484" s="32" t="str">
        <f t="shared" si="173"/>
        <v/>
      </c>
      <c r="W484" s="31"/>
      <c r="X484" s="31">
        <v>262721.08</v>
      </c>
      <c r="Y484" s="32" t="str">
        <f t="shared" si="174"/>
        <v/>
      </c>
      <c r="Z484" s="31" t="str">
        <f t="shared" si="161"/>
        <v/>
      </c>
      <c r="AA484" s="31">
        <f t="shared" si="162"/>
        <v>1676328.78</v>
      </c>
      <c r="AB484" s="32" t="str">
        <f t="shared" si="175"/>
        <v/>
      </c>
      <c r="AC484" s="31"/>
      <c r="AD484" s="31"/>
      <c r="AE484" s="32" t="str">
        <f t="shared" si="163"/>
        <v/>
      </c>
      <c r="AF484" s="32" t="s">
        <v>313</v>
      </c>
      <c r="AG484" s="31"/>
      <c r="AH484" s="31"/>
      <c r="AI484" s="32" t="str">
        <f t="shared" si="164"/>
        <v/>
      </c>
      <c r="AJ484" s="32" t="s">
        <v>313</v>
      </c>
      <c r="AK484" s="31"/>
      <c r="AL484" s="31"/>
      <c r="AM484" s="32" t="str">
        <f t="shared" si="165"/>
        <v/>
      </c>
      <c r="AN484" s="32" t="s">
        <v>313</v>
      </c>
      <c r="AO484" s="31"/>
      <c r="AP484" s="31"/>
      <c r="AQ484" s="32" t="str">
        <f t="shared" si="166"/>
        <v/>
      </c>
      <c r="AR484" s="32" t="s">
        <v>313</v>
      </c>
      <c r="AS484" s="31"/>
      <c r="AT484" s="31"/>
      <c r="AU484" s="32" t="str">
        <f t="shared" si="167"/>
        <v/>
      </c>
      <c r="AV484" s="32" t="s">
        <v>313</v>
      </c>
      <c r="AW484" s="31"/>
      <c r="AX484" s="31"/>
      <c r="AY484" s="32" t="str">
        <f t="shared" si="168"/>
        <v/>
      </c>
      <c r="AZ484" s="32" t="s">
        <v>313</v>
      </c>
    </row>
    <row r="485" spans="1:52" ht="68" customHeight="1">
      <c r="A485" s="28" t="s">
        <v>328</v>
      </c>
      <c r="B485" s="29" t="s">
        <v>228</v>
      </c>
      <c r="C485" s="29" t="s">
        <v>52</v>
      </c>
      <c r="D485" s="29" t="s">
        <v>70</v>
      </c>
      <c r="E485" s="29" t="s">
        <v>73</v>
      </c>
      <c r="F485" s="29" t="s">
        <v>317</v>
      </c>
      <c r="G485" s="30" t="s">
        <v>312</v>
      </c>
      <c r="H485" s="31">
        <v>13525.68</v>
      </c>
      <c r="I485" s="31">
        <v>277011.68</v>
      </c>
      <c r="J485" s="32">
        <f t="shared" si="169"/>
        <v>4.8827110827962206E-2</v>
      </c>
      <c r="K485" s="31">
        <v>6673.55</v>
      </c>
      <c r="L485" s="31">
        <v>142513.85999999999</v>
      </c>
      <c r="M485" s="32">
        <f t="shared" si="170"/>
        <v>4.6827375246169048E-2</v>
      </c>
      <c r="N485" s="31">
        <v>15289.61</v>
      </c>
      <c r="O485" s="31">
        <v>325621.17</v>
      </c>
      <c r="P485" s="32">
        <f t="shared" si="171"/>
        <v>4.6955208716927099E-2</v>
      </c>
      <c r="Q485" s="31">
        <v>14989.47</v>
      </c>
      <c r="R485" s="31">
        <v>342496.49</v>
      </c>
      <c r="S485" s="32">
        <f t="shared" si="172"/>
        <v>4.3765324427120403E-2</v>
      </c>
      <c r="T485" s="31">
        <v>17121.16</v>
      </c>
      <c r="U485" s="31">
        <v>325964.5</v>
      </c>
      <c r="V485" s="32">
        <f t="shared" si="173"/>
        <v>5.2524615410573849E-2</v>
      </c>
      <c r="W485" s="31">
        <v>14260.76</v>
      </c>
      <c r="X485" s="31">
        <v>262721.08</v>
      </c>
      <c r="Y485" s="32">
        <f t="shared" si="174"/>
        <v>5.428098879617882E-2</v>
      </c>
      <c r="Z485" s="31">
        <f t="shared" si="161"/>
        <v>81860.23</v>
      </c>
      <c r="AA485" s="31">
        <f t="shared" si="162"/>
        <v>1676328.78</v>
      </c>
      <c r="AB485" s="32">
        <f t="shared" si="175"/>
        <v>4.8833039781134104E-2</v>
      </c>
      <c r="AC485" s="31"/>
      <c r="AD485" s="31"/>
      <c r="AE485" s="32" t="str">
        <f t="shared" si="163"/>
        <v/>
      </c>
      <c r="AF485" s="32" t="s">
        <v>313</v>
      </c>
      <c r="AG485" s="31"/>
      <c r="AH485" s="31"/>
      <c r="AI485" s="32" t="str">
        <f t="shared" si="164"/>
        <v/>
      </c>
      <c r="AJ485" s="32" t="s">
        <v>313</v>
      </c>
      <c r="AK485" s="31"/>
      <c r="AL485" s="31"/>
      <c r="AM485" s="32" t="str">
        <f t="shared" si="165"/>
        <v/>
      </c>
      <c r="AN485" s="32" t="s">
        <v>313</v>
      </c>
      <c r="AO485" s="31"/>
      <c r="AP485" s="31"/>
      <c r="AQ485" s="32" t="str">
        <f t="shared" si="166"/>
        <v/>
      </c>
      <c r="AR485" s="32" t="s">
        <v>313</v>
      </c>
      <c r="AS485" s="31"/>
      <c r="AT485" s="31"/>
      <c r="AU485" s="32" t="str">
        <f t="shared" si="167"/>
        <v/>
      </c>
      <c r="AV485" s="32" t="s">
        <v>313</v>
      </c>
      <c r="AW485" s="31"/>
      <c r="AX485" s="31"/>
      <c r="AY485" s="32" t="str">
        <f t="shared" si="168"/>
        <v/>
      </c>
      <c r="AZ485" s="32" t="s">
        <v>313</v>
      </c>
    </row>
    <row r="486" spans="1:52" ht="34" customHeight="1">
      <c r="A486" s="28" t="s">
        <v>328</v>
      </c>
      <c r="B486" s="29" t="s">
        <v>228</v>
      </c>
      <c r="C486" s="29" t="s">
        <v>52</v>
      </c>
      <c r="D486" s="29" t="s">
        <v>70</v>
      </c>
      <c r="E486" s="29" t="s">
        <v>71</v>
      </c>
      <c r="F486" s="29" t="s">
        <v>316</v>
      </c>
      <c r="G486" s="30" t="s">
        <v>312</v>
      </c>
      <c r="H486" s="31"/>
      <c r="I486" s="31">
        <v>277011.68</v>
      </c>
      <c r="J486" s="32" t="str">
        <f t="shared" si="169"/>
        <v/>
      </c>
      <c r="K486" s="31"/>
      <c r="L486" s="31">
        <v>142513.85999999999</v>
      </c>
      <c r="M486" s="32" t="str">
        <f t="shared" si="170"/>
        <v/>
      </c>
      <c r="N486" s="31"/>
      <c r="O486" s="31">
        <v>325621.17</v>
      </c>
      <c r="P486" s="32" t="str">
        <f t="shared" si="171"/>
        <v/>
      </c>
      <c r="Q486" s="31"/>
      <c r="R486" s="31">
        <v>342496.49</v>
      </c>
      <c r="S486" s="32" t="str">
        <f t="shared" si="172"/>
        <v/>
      </c>
      <c r="T486" s="31"/>
      <c r="U486" s="31">
        <v>325964.5</v>
      </c>
      <c r="V486" s="32" t="str">
        <f t="shared" si="173"/>
        <v/>
      </c>
      <c r="W486" s="31"/>
      <c r="X486" s="31">
        <v>262721.08</v>
      </c>
      <c r="Y486" s="32" t="str">
        <f t="shared" si="174"/>
        <v/>
      </c>
      <c r="Z486" s="31" t="str">
        <f t="shared" si="161"/>
        <v/>
      </c>
      <c r="AA486" s="31">
        <f t="shared" si="162"/>
        <v>1676328.78</v>
      </c>
      <c r="AB486" s="32" t="str">
        <f t="shared" si="175"/>
        <v/>
      </c>
      <c r="AC486" s="31"/>
      <c r="AD486" s="31"/>
      <c r="AE486" s="32" t="str">
        <f t="shared" si="163"/>
        <v/>
      </c>
      <c r="AF486" s="32" t="s">
        <v>313</v>
      </c>
      <c r="AG486" s="31"/>
      <c r="AH486" s="31"/>
      <c r="AI486" s="32" t="str">
        <f t="shared" si="164"/>
        <v/>
      </c>
      <c r="AJ486" s="32" t="s">
        <v>313</v>
      </c>
      <c r="AK486" s="31"/>
      <c r="AL486" s="31"/>
      <c r="AM486" s="32" t="str">
        <f t="shared" si="165"/>
        <v/>
      </c>
      <c r="AN486" s="32" t="s">
        <v>313</v>
      </c>
      <c r="AO486" s="31"/>
      <c r="AP486" s="31"/>
      <c r="AQ486" s="32" t="str">
        <f t="shared" si="166"/>
        <v/>
      </c>
      <c r="AR486" s="32" t="s">
        <v>313</v>
      </c>
      <c r="AS486" s="31"/>
      <c r="AT486" s="31"/>
      <c r="AU486" s="32" t="str">
        <f t="shared" si="167"/>
        <v/>
      </c>
      <c r="AV486" s="32" t="s">
        <v>313</v>
      </c>
      <c r="AW486" s="31"/>
      <c r="AX486" s="31"/>
      <c r="AY486" s="32" t="str">
        <f t="shared" si="168"/>
        <v/>
      </c>
      <c r="AZ486" s="32" t="s">
        <v>313</v>
      </c>
    </row>
    <row r="487" spans="1:52" ht="34" customHeight="1">
      <c r="A487" s="28" t="s">
        <v>328</v>
      </c>
      <c r="B487" s="29" t="s">
        <v>228</v>
      </c>
      <c r="C487" s="29" t="s">
        <v>52</v>
      </c>
      <c r="D487" s="29" t="s">
        <v>70</v>
      </c>
      <c r="E487" s="29" t="s">
        <v>72</v>
      </c>
      <c r="F487" s="29" t="s">
        <v>316</v>
      </c>
      <c r="G487" s="30" t="s">
        <v>312</v>
      </c>
      <c r="H487" s="31"/>
      <c r="I487" s="31">
        <v>277011.68</v>
      </c>
      <c r="J487" s="32" t="str">
        <f t="shared" si="169"/>
        <v/>
      </c>
      <c r="K487" s="31"/>
      <c r="L487" s="31">
        <v>142513.85999999999</v>
      </c>
      <c r="M487" s="32" t="str">
        <f t="shared" si="170"/>
        <v/>
      </c>
      <c r="N487" s="31"/>
      <c r="O487" s="31">
        <v>325621.17</v>
      </c>
      <c r="P487" s="32" t="str">
        <f t="shared" si="171"/>
        <v/>
      </c>
      <c r="Q487" s="31"/>
      <c r="R487" s="31">
        <v>342496.49</v>
      </c>
      <c r="S487" s="32" t="str">
        <f t="shared" si="172"/>
        <v/>
      </c>
      <c r="T487" s="31"/>
      <c r="U487" s="31">
        <v>325964.5</v>
      </c>
      <c r="V487" s="32" t="str">
        <f t="shared" si="173"/>
        <v/>
      </c>
      <c r="W487" s="31"/>
      <c r="X487" s="31">
        <v>262721.08</v>
      </c>
      <c r="Y487" s="32" t="str">
        <f t="shared" si="174"/>
        <v/>
      </c>
      <c r="Z487" s="31" t="str">
        <f t="shared" si="161"/>
        <v/>
      </c>
      <c r="AA487" s="31">
        <f t="shared" si="162"/>
        <v>1676328.78</v>
      </c>
      <c r="AB487" s="32" t="str">
        <f t="shared" si="175"/>
        <v/>
      </c>
      <c r="AC487" s="31"/>
      <c r="AD487" s="31"/>
      <c r="AE487" s="32" t="str">
        <f t="shared" si="163"/>
        <v/>
      </c>
      <c r="AF487" s="32" t="s">
        <v>313</v>
      </c>
      <c r="AG487" s="31"/>
      <c r="AH487" s="31"/>
      <c r="AI487" s="32" t="str">
        <f t="shared" si="164"/>
        <v/>
      </c>
      <c r="AJ487" s="32" t="s">
        <v>313</v>
      </c>
      <c r="AK487" s="31"/>
      <c r="AL487" s="31"/>
      <c r="AM487" s="32" t="str">
        <f t="shared" si="165"/>
        <v/>
      </c>
      <c r="AN487" s="32" t="s">
        <v>313</v>
      </c>
      <c r="AO487" s="31"/>
      <c r="AP487" s="31"/>
      <c r="AQ487" s="32" t="str">
        <f t="shared" si="166"/>
        <v/>
      </c>
      <c r="AR487" s="32" t="s">
        <v>313</v>
      </c>
      <c r="AS487" s="31"/>
      <c r="AT487" s="31"/>
      <c r="AU487" s="32" t="str">
        <f t="shared" si="167"/>
        <v/>
      </c>
      <c r="AV487" s="32" t="s">
        <v>313</v>
      </c>
      <c r="AW487" s="31"/>
      <c r="AX487" s="31"/>
      <c r="AY487" s="32" t="str">
        <f t="shared" si="168"/>
        <v/>
      </c>
      <c r="AZ487" s="32" t="s">
        <v>313</v>
      </c>
    </row>
    <row r="488" spans="1:52" ht="34" customHeight="1">
      <c r="A488" s="28" t="s">
        <v>328</v>
      </c>
      <c r="B488" s="29" t="s">
        <v>228</v>
      </c>
      <c r="C488" s="29" t="s">
        <v>52</v>
      </c>
      <c r="D488" s="29" t="s">
        <v>74</v>
      </c>
      <c r="E488" s="29" t="s">
        <v>75</v>
      </c>
      <c r="F488" s="29" t="s">
        <v>139</v>
      </c>
      <c r="G488" s="30" t="s">
        <v>312</v>
      </c>
      <c r="H488" s="31">
        <v>4717.3</v>
      </c>
      <c r="I488" s="31">
        <v>277011.68</v>
      </c>
      <c r="J488" s="32">
        <f t="shared" si="169"/>
        <v>1.7029245842630176E-2</v>
      </c>
      <c r="K488" s="31">
        <v>3182.8</v>
      </c>
      <c r="L488" s="31">
        <v>142513.85999999999</v>
      </c>
      <c r="M488" s="32">
        <f t="shared" si="170"/>
        <v>2.2333266392475796E-2</v>
      </c>
      <c r="N488" s="31">
        <v>6103.1</v>
      </c>
      <c r="O488" s="31">
        <v>325621.17</v>
      </c>
      <c r="P488" s="32">
        <f t="shared" si="171"/>
        <v>1.8742945982289792E-2</v>
      </c>
      <c r="Q488" s="31">
        <v>6167.3</v>
      </c>
      <c r="R488" s="31">
        <v>342496.49</v>
      </c>
      <c r="S488" s="32">
        <f t="shared" si="172"/>
        <v>1.8006899866331479E-2</v>
      </c>
      <c r="T488" s="31">
        <v>5727.6</v>
      </c>
      <c r="U488" s="31">
        <v>325964.5</v>
      </c>
      <c r="V488" s="32">
        <f t="shared" si="173"/>
        <v>1.7571238585796921E-2</v>
      </c>
      <c r="W488" s="31">
        <v>5027.8</v>
      </c>
      <c r="X488" s="31">
        <v>262721.08</v>
      </c>
      <c r="Y488" s="32">
        <f t="shared" si="174"/>
        <v>1.9137406103842142E-2</v>
      </c>
      <c r="Z488" s="31">
        <f t="shared" si="161"/>
        <v>30925.899999999998</v>
      </c>
      <c r="AA488" s="31">
        <f t="shared" si="162"/>
        <v>1676328.78</v>
      </c>
      <c r="AB488" s="32">
        <f t="shared" si="175"/>
        <v>1.8448588587735158E-2</v>
      </c>
      <c r="AC488" s="31"/>
      <c r="AD488" s="31"/>
      <c r="AE488" s="32" t="str">
        <f t="shared" si="163"/>
        <v/>
      </c>
      <c r="AF488" s="32" t="s">
        <v>313</v>
      </c>
      <c r="AG488" s="31"/>
      <c r="AH488" s="31"/>
      <c r="AI488" s="32" t="str">
        <f t="shared" si="164"/>
        <v/>
      </c>
      <c r="AJ488" s="32" t="s">
        <v>313</v>
      </c>
      <c r="AK488" s="31"/>
      <c r="AL488" s="31"/>
      <c r="AM488" s="32" t="str">
        <f t="shared" si="165"/>
        <v/>
      </c>
      <c r="AN488" s="32" t="s">
        <v>313</v>
      </c>
      <c r="AO488" s="31"/>
      <c r="AP488" s="31"/>
      <c r="AQ488" s="32" t="str">
        <f t="shared" si="166"/>
        <v/>
      </c>
      <c r="AR488" s="32" t="s">
        <v>313</v>
      </c>
      <c r="AS488" s="31"/>
      <c r="AT488" s="31"/>
      <c r="AU488" s="32" t="str">
        <f t="shared" si="167"/>
        <v/>
      </c>
      <c r="AV488" s="32" t="s">
        <v>313</v>
      </c>
      <c r="AW488" s="31"/>
      <c r="AX488" s="31"/>
      <c r="AY488" s="32" t="str">
        <f t="shared" si="168"/>
        <v/>
      </c>
      <c r="AZ488" s="32" t="s">
        <v>313</v>
      </c>
    </row>
    <row r="489" spans="1:52" ht="34" customHeight="1">
      <c r="A489" s="28" t="s">
        <v>328</v>
      </c>
      <c r="B489" s="29" t="s">
        <v>228</v>
      </c>
      <c r="C489" s="29" t="s">
        <v>52</v>
      </c>
      <c r="D489" s="29" t="s">
        <v>74</v>
      </c>
      <c r="E489" s="29" t="s">
        <v>76</v>
      </c>
      <c r="F489" s="29" t="s">
        <v>141</v>
      </c>
      <c r="G489" s="30" t="s">
        <v>312</v>
      </c>
      <c r="H489" s="31">
        <v>2506.9929099999999</v>
      </c>
      <c r="I489" s="31">
        <v>277011.68</v>
      </c>
      <c r="J489" s="32">
        <f t="shared" si="169"/>
        <v>9.0501343120261216E-3</v>
      </c>
      <c r="K489" s="31">
        <v>1386.5444718516701</v>
      </c>
      <c r="L489" s="31">
        <v>142513.85999999999</v>
      </c>
      <c r="M489" s="32">
        <f t="shared" si="170"/>
        <v>9.7291903527956525E-3</v>
      </c>
      <c r="N489" s="31">
        <v>2668.73</v>
      </c>
      <c r="O489" s="31">
        <v>325621.17</v>
      </c>
      <c r="P489" s="32">
        <f t="shared" si="171"/>
        <v>8.1958123300152758E-3</v>
      </c>
      <c r="Q489" s="31">
        <v>2761.23</v>
      </c>
      <c r="R489" s="31">
        <v>342496.49</v>
      </c>
      <c r="S489" s="32">
        <f t="shared" si="172"/>
        <v>8.0620680229452867E-3</v>
      </c>
      <c r="T489" s="31">
        <v>2769.58</v>
      </c>
      <c r="U489" s="31">
        <v>325964.5</v>
      </c>
      <c r="V489" s="32">
        <f t="shared" si="173"/>
        <v>8.4965694116997392E-3</v>
      </c>
      <c r="W489" s="31">
        <v>2324.16</v>
      </c>
      <c r="X489" s="31">
        <v>262721.08</v>
      </c>
      <c r="Y489" s="32">
        <f t="shared" si="174"/>
        <v>8.846492257111609E-3</v>
      </c>
      <c r="Z489" s="31">
        <f t="shared" si="161"/>
        <v>14417.23738185167</v>
      </c>
      <c r="AA489" s="31">
        <f t="shared" si="162"/>
        <v>1676328.78</v>
      </c>
      <c r="AB489" s="32">
        <f t="shared" si="175"/>
        <v>8.6004831235145119E-3</v>
      </c>
      <c r="AC489" s="31"/>
      <c r="AD489" s="31"/>
      <c r="AE489" s="32" t="str">
        <f t="shared" si="163"/>
        <v/>
      </c>
      <c r="AF489" s="32" t="s">
        <v>313</v>
      </c>
      <c r="AG489" s="31"/>
      <c r="AH489" s="31"/>
      <c r="AI489" s="32" t="str">
        <f t="shared" si="164"/>
        <v/>
      </c>
      <c r="AJ489" s="32" t="s">
        <v>313</v>
      </c>
      <c r="AK489" s="31"/>
      <c r="AL489" s="31"/>
      <c r="AM489" s="32" t="str">
        <f t="shared" si="165"/>
        <v/>
      </c>
      <c r="AN489" s="32" t="s">
        <v>313</v>
      </c>
      <c r="AO489" s="31"/>
      <c r="AP489" s="31"/>
      <c r="AQ489" s="32" t="str">
        <f t="shared" si="166"/>
        <v/>
      </c>
      <c r="AR489" s="32" t="s">
        <v>313</v>
      </c>
      <c r="AS489" s="31"/>
      <c r="AT489" s="31"/>
      <c r="AU489" s="32" t="str">
        <f t="shared" si="167"/>
        <v/>
      </c>
      <c r="AV489" s="32" t="s">
        <v>313</v>
      </c>
      <c r="AW489" s="31"/>
      <c r="AX489" s="31"/>
      <c r="AY489" s="32" t="str">
        <f t="shared" si="168"/>
        <v/>
      </c>
      <c r="AZ489" s="32" t="s">
        <v>313</v>
      </c>
    </row>
    <row r="490" spans="1:52" ht="34" customHeight="1">
      <c r="A490" s="28" t="s">
        <v>328</v>
      </c>
      <c r="B490" s="29" t="s">
        <v>228</v>
      </c>
      <c r="C490" s="29" t="s">
        <v>52</v>
      </c>
      <c r="D490" s="29" t="s">
        <v>74</v>
      </c>
      <c r="E490" s="29" t="s">
        <v>77</v>
      </c>
      <c r="F490" s="29" t="s">
        <v>316</v>
      </c>
      <c r="G490" s="30" t="s">
        <v>312</v>
      </c>
      <c r="H490" s="31"/>
      <c r="I490" s="31">
        <v>277011.68</v>
      </c>
      <c r="J490" s="32" t="str">
        <f t="shared" si="169"/>
        <v/>
      </c>
      <c r="K490" s="31"/>
      <c r="L490" s="31">
        <v>142513.85999999999</v>
      </c>
      <c r="M490" s="32" t="str">
        <f t="shared" si="170"/>
        <v/>
      </c>
      <c r="N490" s="31"/>
      <c r="O490" s="31">
        <v>325621.17</v>
      </c>
      <c r="P490" s="32" t="str">
        <f t="shared" si="171"/>
        <v/>
      </c>
      <c r="Q490" s="31"/>
      <c r="R490" s="31">
        <v>342496.49</v>
      </c>
      <c r="S490" s="32" t="str">
        <f t="shared" si="172"/>
        <v/>
      </c>
      <c r="T490" s="31"/>
      <c r="U490" s="31">
        <v>325964.5</v>
      </c>
      <c r="V490" s="32" t="str">
        <f t="shared" si="173"/>
        <v/>
      </c>
      <c r="W490" s="31"/>
      <c r="X490" s="31">
        <v>262721.08</v>
      </c>
      <c r="Y490" s="32" t="str">
        <f t="shared" si="174"/>
        <v/>
      </c>
      <c r="Z490" s="31" t="str">
        <f t="shared" si="161"/>
        <v/>
      </c>
      <c r="AA490" s="31">
        <f t="shared" si="162"/>
        <v>1676328.78</v>
      </c>
      <c r="AB490" s="32" t="str">
        <f t="shared" si="175"/>
        <v/>
      </c>
      <c r="AC490" s="31"/>
      <c r="AD490" s="31"/>
      <c r="AE490" s="32" t="str">
        <f t="shared" si="163"/>
        <v/>
      </c>
      <c r="AF490" s="32" t="s">
        <v>313</v>
      </c>
      <c r="AG490" s="31"/>
      <c r="AH490" s="31"/>
      <c r="AI490" s="32" t="str">
        <f t="shared" si="164"/>
        <v/>
      </c>
      <c r="AJ490" s="32" t="s">
        <v>313</v>
      </c>
      <c r="AK490" s="31"/>
      <c r="AL490" s="31"/>
      <c r="AM490" s="32" t="str">
        <f t="shared" si="165"/>
        <v/>
      </c>
      <c r="AN490" s="32" t="s">
        <v>313</v>
      </c>
      <c r="AO490" s="31"/>
      <c r="AP490" s="31"/>
      <c r="AQ490" s="32" t="str">
        <f t="shared" si="166"/>
        <v/>
      </c>
      <c r="AR490" s="32" t="s">
        <v>313</v>
      </c>
      <c r="AS490" s="31"/>
      <c r="AT490" s="31"/>
      <c r="AU490" s="32" t="str">
        <f t="shared" si="167"/>
        <v/>
      </c>
      <c r="AV490" s="32" t="s">
        <v>313</v>
      </c>
      <c r="AW490" s="31"/>
      <c r="AX490" s="31"/>
      <c r="AY490" s="32" t="str">
        <f t="shared" si="168"/>
        <v/>
      </c>
      <c r="AZ490" s="32" t="s">
        <v>313</v>
      </c>
    </row>
    <row r="491" spans="1:52" ht="34" customHeight="1">
      <c r="A491" s="28" t="s">
        <v>328</v>
      </c>
      <c r="B491" s="29" t="s">
        <v>228</v>
      </c>
      <c r="C491" s="29" t="s">
        <v>52</v>
      </c>
      <c r="D491" s="29" t="s">
        <v>74</v>
      </c>
      <c r="E491" s="29" t="s">
        <v>78</v>
      </c>
      <c r="F491" s="29" t="s">
        <v>144</v>
      </c>
      <c r="G491" s="30" t="s">
        <v>312</v>
      </c>
      <c r="H491" s="31">
        <v>2266.8204291762599</v>
      </c>
      <c r="I491" s="31">
        <v>277011.68</v>
      </c>
      <c r="J491" s="32">
        <f t="shared" si="169"/>
        <v>8.1831222032813199E-3</v>
      </c>
      <c r="K491" s="31">
        <v>2457.7357477277601</v>
      </c>
      <c r="L491" s="31">
        <v>142513.85999999999</v>
      </c>
      <c r="M491" s="32">
        <f t="shared" si="170"/>
        <v>1.7245591044462345E-2</v>
      </c>
      <c r="N491" s="31">
        <v>687.10679073348103</v>
      </c>
      <c r="O491" s="31">
        <v>325621.17</v>
      </c>
      <c r="P491" s="32">
        <f t="shared" si="171"/>
        <v>2.1101416432275613E-3</v>
      </c>
      <c r="Q491" s="31">
        <v>1527.80172433911</v>
      </c>
      <c r="R491" s="31">
        <v>342496.49</v>
      </c>
      <c r="S491" s="32">
        <f t="shared" si="172"/>
        <v>4.4607806764358666E-3</v>
      </c>
      <c r="T491" s="31">
        <v>1011.00541991724</v>
      </c>
      <c r="U491" s="31">
        <v>325964.5</v>
      </c>
      <c r="V491" s="32">
        <f t="shared" si="173"/>
        <v>3.1015813682693668E-3</v>
      </c>
      <c r="W491" s="31">
        <v>1754.4525877609101</v>
      </c>
      <c r="X491" s="31">
        <v>262721.08</v>
      </c>
      <c r="Y491" s="32">
        <f t="shared" si="174"/>
        <v>6.678004626659231E-3</v>
      </c>
      <c r="Z491" s="31">
        <f t="shared" si="161"/>
        <v>9704.9226996547604</v>
      </c>
      <c r="AA491" s="31">
        <f t="shared" si="162"/>
        <v>1676328.78</v>
      </c>
      <c r="AB491" s="32">
        <f t="shared" si="175"/>
        <v>5.7893909687900006E-3</v>
      </c>
      <c r="AC491" s="31"/>
      <c r="AD491" s="31"/>
      <c r="AE491" s="32" t="str">
        <f t="shared" si="163"/>
        <v/>
      </c>
      <c r="AF491" s="32" t="s">
        <v>313</v>
      </c>
      <c r="AG491" s="31"/>
      <c r="AH491" s="31"/>
      <c r="AI491" s="32" t="str">
        <f t="shared" si="164"/>
        <v/>
      </c>
      <c r="AJ491" s="32" t="s">
        <v>313</v>
      </c>
      <c r="AK491" s="31"/>
      <c r="AL491" s="31"/>
      <c r="AM491" s="32" t="str">
        <f t="shared" si="165"/>
        <v/>
      </c>
      <c r="AN491" s="32" t="s">
        <v>313</v>
      </c>
      <c r="AO491" s="31"/>
      <c r="AP491" s="31"/>
      <c r="AQ491" s="32" t="str">
        <f t="shared" si="166"/>
        <v/>
      </c>
      <c r="AR491" s="32" t="s">
        <v>313</v>
      </c>
      <c r="AS491" s="31"/>
      <c r="AT491" s="31"/>
      <c r="AU491" s="32" t="str">
        <f t="shared" si="167"/>
        <v/>
      </c>
      <c r="AV491" s="32" t="s">
        <v>313</v>
      </c>
      <c r="AW491" s="31"/>
      <c r="AX491" s="31"/>
      <c r="AY491" s="32" t="str">
        <f t="shared" si="168"/>
        <v/>
      </c>
      <c r="AZ491" s="32" t="s">
        <v>313</v>
      </c>
    </row>
    <row r="492" spans="1:52" ht="34" customHeight="1">
      <c r="A492" s="28" t="s">
        <v>328</v>
      </c>
      <c r="B492" s="29" t="s">
        <v>228</v>
      </c>
      <c r="C492" s="29" t="s">
        <v>52</v>
      </c>
      <c r="D492" s="29" t="s">
        <v>79</v>
      </c>
      <c r="E492" s="29" t="s">
        <v>80</v>
      </c>
      <c r="F492" s="29" t="s">
        <v>318</v>
      </c>
      <c r="G492" s="30" t="s">
        <v>312</v>
      </c>
      <c r="H492" s="31">
        <v>0</v>
      </c>
      <c r="I492" s="31">
        <v>277011.68</v>
      </c>
      <c r="J492" s="32">
        <f t="shared" si="169"/>
        <v>0</v>
      </c>
      <c r="K492" s="31">
        <v>0</v>
      </c>
      <c r="L492" s="31">
        <v>142513.85999999999</v>
      </c>
      <c r="M492" s="32">
        <f t="shared" si="170"/>
        <v>0</v>
      </c>
      <c r="N492" s="31">
        <v>30129.470970631501</v>
      </c>
      <c r="O492" s="31">
        <v>325621.17</v>
      </c>
      <c r="P492" s="32">
        <f t="shared" si="171"/>
        <v>9.2529214149778716E-2</v>
      </c>
      <c r="Q492" s="31">
        <v>37121.185183873597</v>
      </c>
      <c r="R492" s="31">
        <v>342496.49</v>
      </c>
      <c r="S492" s="32">
        <f t="shared" si="172"/>
        <v>0.1083841331742512</v>
      </c>
      <c r="T492" s="31">
        <v>41936.149503111999</v>
      </c>
      <c r="U492" s="31">
        <v>325964.5</v>
      </c>
      <c r="V492" s="32">
        <f t="shared" si="173"/>
        <v>0.12865250511363047</v>
      </c>
      <c r="W492" s="31">
        <v>33285.677606317797</v>
      </c>
      <c r="X492" s="31">
        <v>262721.08</v>
      </c>
      <c r="Y492" s="32">
        <f t="shared" si="174"/>
        <v>0.12669587688326264</v>
      </c>
      <c r="Z492" s="31">
        <f t="shared" si="161"/>
        <v>142472.4832639349</v>
      </c>
      <c r="AA492" s="31">
        <f t="shared" si="162"/>
        <v>1676328.78</v>
      </c>
      <c r="AB492" s="32">
        <f t="shared" si="175"/>
        <v>8.499077565436472E-2</v>
      </c>
      <c r="AC492" s="31"/>
      <c r="AD492" s="31"/>
      <c r="AE492" s="32" t="str">
        <f t="shared" si="163"/>
        <v/>
      </c>
      <c r="AF492" s="32" t="s">
        <v>313</v>
      </c>
      <c r="AG492" s="31"/>
      <c r="AH492" s="31"/>
      <c r="AI492" s="32" t="str">
        <f t="shared" si="164"/>
        <v/>
      </c>
      <c r="AJ492" s="32" t="s">
        <v>313</v>
      </c>
      <c r="AK492" s="31"/>
      <c r="AL492" s="31"/>
      <c r="AM492" s="32" t="str">
        <f t="shared" si="165"/>
        <v/>
      </c>
      <c r="AN492" s="32" t="s">
        <v>313</v>
      </c>
      <c r="AO492" s="31"/>
      <c r="AP492" s="31"/>
      <c r="AQ492" s="32" t="str">
        <f t="shared" si="166"/>
        <v/>
      </c>
      <c r="AR492" s="32" t="s">
        <v>313</v>
      </c>
      <c r="AS492" s="31"/>
      <c r="AT492" s="31"/>
      <c r="AU492" s="32" t="str">
        <f t="shared" si="167"/>
        <v/>
      </c>
      <c r="AV492" s="32" t="s">
        <v>313</v>
      </c>
      <c r="AW492" s="31"/>
      <c r="AX492" s="31"/>
      <c r="AY492" s="32" t="str">
        <f t="shared" si="168"/>
        <v/>
      </c>
      <c r="AZ492" s="32" t="s">
        <v>313</v>
      </c>
    </row>
    <row r="493" spans="1:52" ht="34" customHeight="1">
      <c r="A493" s="28" t="s">
        <v>328</v>
      </c>
      <c r="B493" s="29" t="s">
        <v>228</v>
      </c>
      <c r="C493" s="29" t="s">
        <v>52</v>
      </c>
      <c r="D493" s="29" t="s">
        <v>79</v>
      </c>
      <c r="E493" s="29" t="s">
        <v>81</v>
      </c>
      <c r="F493" s="29" t="s">
        <v>316</v>
      </c>
      <c r="G493" s="30" t="s">
        <v>312</v>
      </c>
      <c r="H493" s="31"/>
      <c r="I493" s="31">
        <v>277011.68</v>
      </c>
      <c r="J493" s="32" t="str">
        <f t="shared" si="169"/>
        <v/>
      </c>
      <c r="K493" s="31"/>
      <c r="L493" s="31">
        <v>142513.85999999999</v>
      </c>
      <c r="M493" s="32" t="str">
        <f t="shared" si="170"/>
        <v/>
      </c>
      <c r="N493" s="31"/>
      <c r="O493" s="31">
        <v>325621.17</v>
      </c>
      <c r="P493" s="32" t="str">
        <f t="shared" si="171"/>
        <v/>
      </c>
      <c r="Q493" s="31"/>
      <c r="R493" s="31">
        <v>342496.49</v>
      </c>
      <c r="S493" s="32" t="str">
        <f t="shared" si="172"/>
        <v/>
      </c>
      <c r="T493" s="31"/>
      <c r="U493" s="31">
        <v>325964.5</v>
      </c>
      <c r="V493" s="32" t="str">
        <f t="shared" si="173"/>
        <v/>
      </c>
      <c r="W493" s="31"/>
      <c r="X493" s="31">
        <v>262721.08</v>
      </c>
      <c r="Y493" s="32" t="str">
        <f t="shared" si="174"/>
        <v/>
      </c>
      <c r="Z493" s="31" t="str">
        <f t="shared" si="161"/>
        <v/>
      </c>
      <c r="AA493" s="31">
        <f t="shared" si="162"/>
        <v>1676328.78</v>
      </c>
      <c r="AB493" s="32" t="str">
        <f t="shared" si="175"/>
        <v/>
      </c>
      <c r="AC493" s="31"/>
      <c r="AD493" s="31"/>
      <c r="AE493" s="32" t="str">
        <f t="shared" si="163"/>
        <v/>
      </c>
      <c r="AF493" s="32" t="s">
        <v>313</v>
      </c>
      <c r="AG493" s="31"/>
      <c r="AH493" s="31"/>
      <c r="AI493" s="32" t="str">
        <f t="shared" si="164"/>
        <v/>
      </c>
      <c r="AJ493" s="32" t="s">
        <v>313</v>
      </c>
      <c r="AK493" s="31"/>
      <c r="AL493" s="31"/>
      <c r="AM493" s="32" t="str">
        <f t="shared" si="165"/>
        <v/>
      </c>
      <c r="AN493" s="32" t="s">
        <v>313</v>
      </c>
      <c r="AO493" s="31"/>
      <c r="AP493" s="31"/>
      <c r="AQ493" s="32" t="str">
        <f t="shared" si="166"/>
        <v/>
      </c>
      <c r="AR493" s="32" t="s">
        <v>313</v>
      </c>
      <c r="AS493" s="31"/>
      <c r="AT493" s="31"/>
      <c r="AU493" s="32" t="str">
        <f t="shared" si="167"/>
        <v/>
      </c>
      <c r="AV493" s="32" t="s">
        <v>313</v>
      </c>
      <c r="AW493" s="31"/>
      <c r="AX493" s="31"/>
      <c r="AY493" s="32" t="str">
        <f t="shared" si="168"/>
        <v/>
      </c>
      <c r="AZ493" s="32" t="s">
        <v>313</v>
      </c>
    </row>
    <row r="494" spans="1:52" ht="34" customHeight="1">
      <c r="A494" s="28" t="s">
        <v>328</v>
      </c>
      <c r="B494" s="29" t="s">
        <v>228</v>
      </c>
      <c r="C494" s="29" t="s">
        <v>52</v>
      </c>
      <c r="D494" s="29" t="s">
        <v>79</v>
      </c>
      <c r="E494" s="29" t="s">
        <v>82</v>
      </c>
      <c r="F494" s="29" t="s">
        <v>316</v>
      </c>
      <c r="G494" s="30" t="s">
        <v>312</v>
      </c>
      <c r="H494" s="31"/>
      <c r="I494" s="31">
        <v>277011.68</v>
      </c>
      <c r="J494" s="32" t="str">
        <f t="shared" si="169"/>
        <v/>
      </c>
      <c r="K494" s="31"/>
      <c r="L494" s="31">
        <v>142513.85999999999</v>
      </c>
      <c r="M494" s="32" t="str">
        <f t="shared" si="170"/>
        <v/>
      </c>
      <c r="N494" s="31"/>
      <c r="O494" s="31">
        <v>325621.17</v>
      </c>
      <c r="P494" s="32" t="str">
        <f t="shared" si="171"/>
        <v/>
      </c>
      <c r="Q494" s="31"/>
      <c r="R494" s="31">
        <v>342496.49</v>
      </c>
      <c r="S494" s="32" t="str">
        <f t="shared" si="172"/>
        <v/>
      </c>
      <c r="T494" s="31"/>
      <c r="U494" s="31">
        <v>325964.5</v>
      </c>
      <c r="V494" s="32" t="str">
        <f t="shared" si="173"/>
        <v/>
      </c>
      <c r="W494" s="31"/>
      <c r="X494" s="31">
        <v>262721.08</v>
      </c>
      <c r="Y494" s="32" t="str">
        <f t="shared" si="174"/>
        <v/>
      </c>
      <c r="Z494" s="31" t="str">
        <f t="shared" si="161"/>
        <v/>
      </c>
      <c r="AA494" s="31">
        <f t="shared" si="162"/>
        <v>1676328.78</v>
      </c>
      <c r="AB494" s="32" t="str">
        <f t="shared" si="175"/>
        <v/>
      </c>
      <c r="AC494" s="31"/>
      <c r="AD494" s="31"/>
      <c r="AE494" s="32" t="str">
        <f t="shared" si="163"/>
        <v/>
      </c>
      <c r="AF494" s="32" t="s">
        <v>313</v>
      </c>
      <c r="AG494" s="31"/>
      <c r="AH494" s="31"/>
      <c r="AI494" s="32" t="str">
        <f t="shared" si="164"/>
        <v/>
      </c>
      <c r="AJ494" s="32" t="s">
        <v>313</v>
      </c>
      <c r="AK494" s="31"/>
      <c r="AL494" s="31"/>
      <c r="AM494" s="32" t="str">
        <f t="shared" si="165"/>
        <v/>
      </c>
      <c r="AN494" s="32" t="s">
        <v>313</v>
      </c>
      <c r="AO494" s="31"/>
      <c r="AP494" s="31"/>
      <c r="AQ494" s="32" t="str">
        <f t="shared" si="166"/>
        <v/>
      </c>
      <c r="AR494" s="32" t="s">
        <v>313</v>
      </c>
      <c r="AS494" s="31"/>
      <c r="AT494" s="31"/>
      <c r="AU494" s="32" t="str">
        <f t="shared" si="167"/>
        <v/>
      </c>
      <c r="AV494" s="32" t="s">
        <v>313</v>
      </c>
      <c r="AW494" s="31"/>
      <c r="AX494" s="31"/>
      <c r="AY494" s="32" t="str">
        <f t="shared" si="168"/>
        <v/>
      </c>
      <c r="AZ494" s="32" t="s">
        <v>313</v>
      </c>
    </row>
    <row r="495" spans="1:52" ht="34" customHeight="1">
      <c r="A495" s="28" t="s">
        <v>328</v>
      </c>
      <c r="B495" s="29" t="s">
        <v>228</v>
      </c>
      <c r="C495" s="29" t="s">
        <v>85</v>
      </c>
      <c r="D495" s="29" t="s">
        <v>79</v>
      </c>
      <c r="E495" s="29" t="s">
        <v>80</v>
      </c>
      <c r="F495" s="29" t="s">
        <v>316</v>
      </c>
      <c r="G495" s="30" t="s">
        <v>312</v>
      </c>
      <c r="H495" s="31"/>
      <c r="I495" s="31">
        <v>277011.68</v>
      </c>
      <c r="J495" s="32" t="str">
        <f t="shared" si="169"/>
        <v/>
      </c>
      <c r="K495" s="31"/>
      <c r="L495" s="31">
        <v>142513.85999999999</v>
      </c>
      <c r="M495" s="32" t="str">
        <f t="shared" si="170"/>
        <v/>
      </c>
      <c r="N495" s="31"/>
      <c r="O495" s="31">
        <v>325621.17</v>
      </c>
      <c r="P495" s="32" t="str">
        <f t="shared" si="171"/>
        <v/>
      </c>
      <c r="Q495" s="31"/>
      <c r="R495" s="31">
        <v>342496.49</v>
      </c>
      <c r="S495" s="32" t="str">
        <f t="shared" si="172"/>
        <v/>
      </c>
      <c r="T495" s="31"/>
      <c r="U495" s="31">
        <v>325964.5</v>
      </c>
      <c r="V495" s="32" t="str">
        <f t="shared" si="173"/>
        <v/>
      </c>
      <c r="W495" s="31"/>
      <c r="X495" s="31">
        <v>262721.08</v>
      </c>
      <c r="Y495" s="32" t="str">
        <f t="shared" si="174"/>
        <v/>
      </c>
      <c r="Z495" s="31" t="str">
        <f t="shared" si="161"/>
        <v/>
      </c>
      <c r="AA495" s="31">
        <f t="shared" si="162"/>
        <v>1676328.78</v>
      </c>
      <c r="AB495" s="32" t="str">
        <f t="shared" si="175"/>
        <v/>
      </c>
      <c r="AC495" s="31"/>
      <c r="AD495" s="31"/>
      <c r="AE495" s="32" t="str">
        <f t="shared" si="163"/>
        <v/>
      </c>
      <c r="AF495" s="32" t="s">
        <v>313</v>
      </c>
      <c r="AG495" s="31"/>
      <c r="AH495" s="31"/>
      <c r="AI495" s="32" t="str">
        <f t="shared" si="164"/>
        <v/>
      </c>
      <c r="AJ495" s="32" t="s">
        <v>313</v>
      </c>
      <c r="AK495" s="31"/>
      <c r="AL495" s="31"/>
      <c r="AM495" s="32" t="str">
        <f t="shared" si="165"/>
        <v/>
      </c>
      <c r="AN495" s="32" t="s">
        <v>313</v>
      </c>
      <c r="AO495" s="31"/>
      <c r="AP495" s="31"/>
      <c r="AQ495" s="32" t="str">
        <f t="shared" si="166"/>
        <v/>
      </c>
      <c r="AR495" s="32" t="s">
        <v>313</v>
      </c>
      <c r="AS495" s="31"/>
      <c r="AT495" s="31"/>
      <c r="AU495" s="32" t="str">
        <f t="shared" si="167"/>
        <v/>
      </c>
      <c r="AV495" s="32" t="s">
        <v>313</v>
      </c>
      <c r="AW495" s="31"/>
      <c r="AX495" s="31"/>
      <c r="AY495" s="32" t="str">
        <f t="shared" si="168"/>
        <v/>
      </c>
      <c r="AZ495" s="32" t="s">
        <v>313</v>
      </c>
    </row>
    <row r="496" spans="1:52" ht="34" customHeight="1">
      <c r="A496" s="28" t="s">
        <v>328</v>
      </c>
      <c r="B496" s="29" t="s">
        <v>228</v>
      </c>
      <c r="C496" s="29" t="s">
        <v>85</v>
      </c>
      <c r="D496" s="29" t="s">
        <v>79</v>
      </c>
      <c r="E496" s="29" t="s">
        <v>81</v>
      </c>
      <c r="F496" s="29" t="s">
        <v>316</v>
      </c>
      <c r="G496" s="30" t="s">
        <v>312</v>
      </c>
      <c r="H496" s="31"/>
      <c r="I496" s="31">
        <v>277011.68</v>
      </c>
      <c r="J496" s="32" t="str">
        <f t="shared" si="169"/>
        <v/>
      </c>
      <c r="K496" s="31"/>
      <c r="L496" s="31">
        <v>142513.85999999999</v>
      </c>
      <c r="M496" s="32" t="str">
        <f t="shared" si="170"/>
        <v/>
      </c>
      <c r="N496" s="31"/>
      <c r="O496" s="31">
        <v>325621.17</v>
      </c>
      <c r="P496" s="32" t="str">
        <f t="shared" si="171"/>
        <v/>
      </c>
      <c r="Q496" s="31"/>
      <c r="R496" s="31">
        <v>342496.49</v>
      </c>
      <c r="S496" s="32" t="str">
        <f t="shared" si="172"/>
        <v/>
      </c>
      <c r="T496" s="31"/>
      <c r="U496" s="31">
        <v>325964.5</v>
      </c>
      <c r="V496" s="32" t="str">
        <f t="shared" si="173"/>
        <v/>
      </c>
      <c r="W496" s="31"/>
      <c r="X496" s="31">
        <v>262721.08</v>
      </c>
      <c r="Y496" s="32" t="str">
        <f t="shared" si="174"/>
        <v/>
      </c>
      <c r="Z496" s="31" t="str">
        <f t="shared" si="161"/>
        <v/>
      </c>
      <c r="AA496" s="31">
        <f t="shared" si="162"/>
        <v>1676328.78</v>
      </c>
      <c r="AB496" s="32" t="str">
        <f t="shared" si="175"/>
        <v/>
      </c>
      <c r="AC496" s="31"/>
      <c r="AD496" s="31"/>
      <c r="AE496" s="32" t="str">
        <f t="shared" si="163"/>
        <v/>
      </c>
      <c r="AF496" s="32" t="s">
        <v>313</v>
      </c>
      <c r="AG496" s="31"/>
      <c r="AH496" s="31"/>
      <c r="AI496" s="32" t="str">
        <f t="shared" si="164"/>
        <v/>
      </c>
      <c r="AJ496" s="32" t="s">
        <v>313</v>
      </c>
      <c r="AK496" s="31"/>
      <c r="AL496" s="31"/>
      <c r="AM496" s="32" t="str">
        <f t="shared" si="165"/>
        <v/>
      </c>
      <c r="AN496" s="32" t="s">
        <v>313</v>
      </c>
      <c r="AO496" s="31"/>
      <c r="AP496" s="31"/>
      <c r="AQ496" s="32" t="str">
        <f t="shared" si="166"/>
        <v/>
      </c>
      <c r="AR496" s="32" t="s">
        <v>313</v>
      </c>
      <c r="AS496" s="31"/>
      <c r="AT496" s="31"/>
      <c r="AU496" s="32" t="str">
        <f t="shared" si="167"/>
        <v/>
      </c>
      <c r="AV496" s="32" t="s">
        <v>313</v>
      </c>
      <c r="AW496" s="31"/>
      <c r="AX496" s="31"/>
      <c r="AY496" s="32" t="str">
        <f t="shared" si="168"/>
        <v/>
      </c>
      <c r="AZ496" s="32" t="s">
        <v>313</v>
      </c>
    </row>
    <row r="497" spans="1:52" ht="34" customHeight="1">
      <c r="A497" s="28" t="s">
        <v>328</v>
      </c>
      <c r="B497" s="29" t="s">
        <v>228</v>
      </c>
      <c r="C497" s="29" t="s">
        <v>85</v>
      </c>
      <c r="D497" s="29" t="s">
        <v>79</v>
      </c>
      <c r="E497" s="29" t="s">
        <v>82</v>
      </c>
      <c r="F497" s="29" t="s">
        <v>319</v>
      </c>
      <c r="G497" s="30" t="s">
        <v>312</v>
      </c>
      <c r="H497" s="31">
        <v>0</v>
      </c>
      <c r="I497" s="31">
        <v>277011.68</v>
      </c>
      <c r="J497" s="32">
        <f t="shared" si="169"/>
        <v>0</v>
      </c>
      <c r="K497" s="31">
        <v>0</v>
      </c>
      <c r="L497" s="31">
        <v>142513.85999999999</v>
      </c>
      <c r="M497" s="32">
        <f t="shared" si="170"/>
        <v>0</v>
      </c>
      <c r="N497" s="31">
        <v>557.45766708319604</v>
      </c>
      <c r="O497" s="31">
        <v>325621.17</v>
      </c>
      <c r="P497" s="32">
        <f t="shared" si="171"/>
        <v>1.711982261728241E-3</v>
      </c>
      <c r="Q497" s="31">
        <v>1040.84041139187</v>
      </c>
      <c r="R497" s="31">
        <v>342496.49</v>
      </c>
      <c r="S497" s="32">
        <f t="shared" si="172"/>
        <v>3.0389812502658641E-3</v>
      </c>
      <c r="T497" s="31">
        <v>871.83086053514705</v>
      </c>
      <c r="U497" s="31">
        <v>325964.5</v>
      </c>
      <c r="V497" s="32">
        <f t="shared" si="173"/>
        <v>2.6746190475807857E-3</v>
      </c>
      <c r="W497" s="31">
        <v>882.26802256571705</v>
      </c>
      <c r="X497" s="31">
        <v>262721.08</v>
      </c>
      <c r="Y497" s="32">
        <f t="shared" si="174"/>
        <v>3.3581927364401709E-3</v>
      </c>
      <c r="Z497" s="31">
        <f t="shared" si="161"/>
        <v>3352.3969615759306</v>
      </c>
      <c r="AA497" s="31">
        <f t="shared" si="162"/>
        <v>1676328.78</v>
      </c>
      <c r="AB497" s="32">
        <f t="shared" si="175"/>
        <v>1.9998445421762255E-3</v>
      </c>
      <c r="AC497" s="31"/>
      <c r="AD497" s="31"/>
      <c r="AE497" s="32" t="str">
        <f t="shared" si="163"/>
        <v/>
      </c>
      <c r="AF497" s="32" t="s">
        <v>313</v>
      </c>
      <c r="AG497" s="31"/>
      <c r="AH497" s="31"/>
      <c r="AI497" s="32" t="str">
        <f t="shared" si="164"/>
        <v/>
      </c>
      <c r="AJ497" s="32" t="s">
        <v>313</v>
      </c>
      <c r="AK497" s="31"/>
      <c r="AL497" s="31"/>
      <c r="AM497" s="32" t="str">
        <f t="shared" si="165"/>
        <v/>
      </c>
      <c r="AN497" s="32" t="s">
        <v>313</v>
      </c>
      <c r="AO497" s="31"/>
      <c r="AP497" s="31"/>
      <c r="AQ497" s="32" t="str">
        <f t="shared" si="166"/>
        <v/>
      </c>
      <c r="AR497" s="32" t="s">
        <v>313</v>
      </c>
      <c r="AS497" s="31"/>
      <c r="AT497" s="31"/>
      <c r="AU497" s="32" t="str">
        <f t="shared" si="167"/>
        <v/>
      </c>
      <c r="AV497" s="32" t="s">
        <v>313</v>
      </c>
      <c r="AW497" s="31"/>
      <c r="AX497" s="31"/>
      <c r="AY497" s="32" t="str">
        <f t="shared" si="168"/>
        <v/>
      </c>
      <c r="AZ497" s="32" t="s">
        <v>313</v>
      </c>
    </row>
    <row r="498" spans="1:52" ht="34" customHeight="1">
      <c r="A498" s="28" t="s">
        <v>328</v>
      </c>
      <c r="B498" s="29" t="s">
        <v>228</v>
      </c>
      <c r="C498" s="29" t="s">
        <v>85</v>
      </c>
      <c r="D498" s="29" t="s">
        <v>90</v>
      </c>
      <c r="E498" s="29" t="s">
        <v>90</v>
      </c>
      <c r="F498" s="29" t="s">
        <v>316</v>
      </c>
      <c r="G498" s="30" t="s">
        <v>312</v>
      </c>
      <c r="H498" s="31"/>
      <c r="I498" s="31">
        <v>277011.68</v>
      </c>
      <c r="J498" s="32" t="str">
        <f t="shared" si="169"/>
        <v/>
      </c>
      <c r="K498" s="31"/>
      <c r="L498" s="31">
        <v>142513.85999999999</v>
      </c>
      <c r="M498" s="32" t="str">
        <f t="shared" si="170"/>
        <v/>
      </c>
      <c r="N498" s="31"/>
      <c r="O498" s="31">
        <v>325621.17</v>
      </c>
      <c r="P498" s="32" t="str">
        <f t="shared" si="171"/>
        <v/>
      </c>
      <c r="Q498" s="31"/>
      <c r="R498" s="31">
        <v>342496.49</v>
      </c>
      <c r="S498" s="32" t="str">
        <f t="shared" si="172"/>
        <v/>
      </c>
      <c r="T498" s="31"/>
      <c r="U498" s="31">
        <v>325964.5</v>
      </c>
      <c r="V498" s="32" t="str">
        <f t="shared" si="173"/>
        <v/>
      </c>
      <c r="W498" s="31"/>
      <c r="X498" s="31">
        <v>262721.08</v>
      </c>
      <c r="Y498" s="32" t="str">
        <f t="shared" si="174"/>
        <v/>
      </c>
      <c r="Z498" s="31" t="str">
        <f t="shared" si="161"/>
        <v/>
      </c>
      <c r="AA498" s="31">
        <f t="shared" si="162"/>
        <v>1676328.78</v>
      </c>
      <c r="AB498" s="32" t="str">
        <f t="shared" si="175"/>
        <v/>
      </c>
      <c r="AC498" s="31"/>
      <c r="AD498" s="31"/>
      <c r="AE498" s="32" t="str">
        <f t="shared" si="163"/>
        <v/>
      </c>
      <c r="AF498" s="32" t="s">
        <v>313</v>
      </c>
      <c r="AG498" s="31"/>
      <c r="AH498" s="31"/>
      <c r="AI498" s="32" t="str">
        <f t="shared" si="164"/>
        <v/>
      </c>
      <c r="AJ498" s="32" t="s">
        <v>313</v>
      </c>
      <c r="AK498" s="31"/>
      <c r="AL498" s="31"/>
      <c r="AM498" s="32" t="str">
        <f t="shared" si="165"/>
        <v/>
      </c>
      <c r="AN498" s="32" t="s">
        <v>313</v>
      </c>
      <c r="AO498" s="31"/>
      <c r="AP498" s="31"/>
      <c r="AQ498" s="32" t="str">
        <f t="shared" si="166"/>
        <v/>
      </c>
      <c r="AR498" s="32" t="s">
        <v>313</v>
      </c>
      <c r="AS498" s="31"/>
      <c r="AT498" s="31"/>
      <c r="AU498" s="32" t="str">
        <f t="shared" si="167"/>
        <v/>
      </c>
      <c r="AV498" s="32" t="s">
        <v>313</v>
      </c>
      <c r="AW498" s="31"/>
      <c r="AX498" s="31"/>
      <c r="AY498" s="32" t="str">
        <f t="shared" si="168"/>
        <v/>
      </c>
      <c r="AZ498" s="32" t="s">
        <v>313</v>
      </c>
    </row>
    <row r="499" spans="1:52" ht="34" customHeight="1">
      <c r="A499" s="28" t="s">
        <v>328</v>
      </c>
      <c r="B499" s="29" t="s">
        <v>228</v>
      </c>
      <c r="C499" s="29" t="s">
        <v>85</v>
      </c>
      <c r="D499" s="29" t="s">
        <v>93</v>
      </c>
      <c r="E499" s="29" t="s">
        <v>143</v>
      </c>
      <c r="F499" s="29" t="s">
        <v>320</v>
      </c>
      <c r="G499" s="30" t="s">
        <v>312</v>
      </c>
      <c r="H499" s="31">
        <v>2266.8204291762599</v>
      </c>
      <c r="I499" s="31">
        <v>277011.68</v>
      </c>
      <c r="J499" s="32">
        <f t="shared" si="169"/>
        <v>8.1831222032813199E-3</v>
      </c>
      <c r="K499" s="31">
        <v>2457.7357477277601</v>
      </c>
      <c r="L499" s="31">
        <v>142513.85999999999</v>
      </c>
      <c r="M499" s="32">
        <f t="shared" si="170"/>
        <v>1.7245591044462345E-2</v>
      </c>
      <c r="N499" s="31">
        <v>687.10679073348103</v>
      </c>
      <c r="O499" s="31">
        <v>325621.17</v>
      </c>
      <c r="P499" s="32">
        <f t="shared" si="171"/>
        <v>2.1101416432275613E-3</v>
      </c>
      <c r="Q499" s="31">
        <v>1527.80172433911</v>
      </c>
      <c r="R499" s="31">
        <v>342496.49</v>
      </c>
      <c r="S499" s="32">
        <f t="shared" si="172"/>
        <v>4.4607806764358666E-3</v>
      </c>
      <c r="T499" s="31">
        <v>1011.00541991724</v>
      </c>
      <c r="U499" s="31">
        <v>325964.5</v>
      </c>
      <c r="V499" s="32">
        <f t="shared" si="173"/>
        <v>3.1015813682693668E-3</v>
      </c>
      <c r="W499" s="31">
        <v>1754.4525877609101</v>
      </c>
      <c r="X499" s="31">
        <v>262721.08</v>
      </c>
      <c r="Y499" s="32">
        <f t="shared" si="174"/>
        <v>6.678004626659231E-3</v>
      </c>
      <c r="Z499" s="31">
        <f t="shared" si="161"/>
        <v>9704.9226996547604</v>
      </c>
      <c r="AA499" s="31">
        <f t="shared" si="162"/>
        <v>1676328.78</v>
      </c>
      <c r="AB499" s="32">
        <f t="shared" si="175"/>
        <v>5.7893909687900006E-3</v>
      </c>
      <c r="AC499" s="31"/>
      <c r="AD499" s="31"/>
      <c r="AE499" s="32" t="str">
        <f t="shared" si="163"/>
        <v/>
      </c>
      <c r="AF499" s="32" t="s">
        <v>313</v>
      </c>
      <c r="AG499" s="31"/>
      <c r="AH499" s="31"/>
      <c r="AI499" s="32" t="str">
        <f t="shared" si="164"/>
        <v/>
      </c>
      <c r="AJ499" s="32" t="s">
        <v>313</v>
      </c>
      <c r="AK499" s="31"/>
      <c r="AL499" s="31"/>
      <c r="AM499" s="32" t="str">
        <f t="shared" si="165"/>
        <v/>
      </c>
      <c r="AN499" s="32" t="s">
        <v>313</v>
      </c>
      <c r="AO499" s="31"/>
      <c r="AP499" s="31"/>
      <c r="AQ499" s="32" t="str">
        <f t="shared" si="166"/>
        <v/>
      </c>
      <c r="AR499" s="32" t="s">
        <v>313</v>
      </c>
      <c r="AS499" s="31"/>
      <c r="AT499" s="31"/>
      <c r="AU499" s="32" t="str">
        <f t="shared" si="167"/>
        <v/>
      </c>
      <c r="AV499" s="32" t="s">
        <v>313</v>
      </c>
      <c r="AW499" s="31"/>
      <c r="AX499" s="31"/>
      <c r="AY499" s="32" t="str">
        <f t="shared" si="168"/>
        <v/>
      </c>
      <c r="AZ499" s="32" t="s">
        <v>313</v>
      </c>
    </row>
    <row r="500" spans="1:52" ht="34" customHeight="1">
      <c r="A500" s="28" t="s">
        <v>328</v>
      </c>
      <c r="B500" s="29" t="s">
        <v>228</v>
      </c>
      <c r="C500" s="29" t="s">
        <v>85</v>
      </c>
      <c r="D500" s="29" t="s">
        <v>152</v>
      </c>
      <c r="E500" s="29" t="s">
        <v>152</v>
      </c>
      <c r="F500" s="29" t="s">
        <v>316</v>
      </c>
      <c r="G500" s="30" t="s">
        <v>312</v>
      </c>
      <c r="H500" s="31"/>
      <c r="I500" s="31">
        <v>277011.68</v>
      </c>
      <c r="J500" s="32" t="str">
        <f t="shared" si="169"/>
        <v/>
      </c>
      <c r="K500" s="31"/>
      <c r="L500" s="31">
        <v>142513.85999999999</v>
      </c>
      <c r="M500" s="32" t="str">
        <f t="shared" si="170"/>
        <v/>
      </c>
      <c r="N500" s="31"/>
      <c r="O500" s="31">
        <v>325621.17</v>
      </c>
      <c r="P500" s="32" t="str">
        <f t="shared" si="171"/>
        <v/>
      </c>
      <c r="Q500" s="31"/>
      <c r="R500" s="31">
        <v>342496.49</v>
      </c>
      <c r="S500" s="32" t="str">
        <f t="shared" si="172"/>
        <v/>
      </c>
      <c r="T500" s="31"/>
      <c r="U500" s="31">
        <v>325964.5</v>
      </c>
      <c r="V500" s="32" t="str">
        <f t="shared" si="173"/>
        <v/>
      </c>
      <c r="W500" s="31"/>
      <c r="X500" s="31">
        <v>262721.08</v>
      </c>
      <c r="Y500" s="32" t="str">
        <f t="shared" si="174"/>
        <v/>
      </c>
      <c r="Z500" s="31" t="str">
        <f t="shared" si="161"/>
        <v/>
      </c>
      <c r="AA500" s="31">
        <f t="shared" si="162"/>
        <v>1676328.78</v>
      </c>
      <c r="AB500" s="32" t="str">
        <f t="shared" si="175"/>
        <v/>
      </c>
      <c r="AC500" s="31"/>
      <c r="AD500" s="31"/>
      <c r="AE500" s="32" t="str">
        <f t="shared" si="163"/>
        <v/>
      </c>
      <c r="AF500" s="32" t="s">
        <v>313</v>
      </c>
      <c r="AG500" s="31"/>
      <c r="AH500" s="31"/>
      <c r="AI500" s="32" t="str">
        <f t="shared" si="164"/>
        <v/>
      </c>
      <c r="AJ500" s="32" t="s">
        <v>313</v>
      </c>
      <c r="AK500" s="31"/>
      <c r="AL500" s="31"/>
      <c r="AM500" s="32" t="str">
        <f t="shared" si="165"/>
        <v/>
      </c>
      <c r="AN500" s="32" t="s">
        <v>313</v>
      </c>
      <c r="AO500" s="31"/>
      <c r="AP500" s="31"/>
      <c r="AQ500" s="32" t="str">
        <f t="shared" si="166"/>
        <v/>
      </c>
      <c r="AR500" s="32" t="s">
        <v>313</v>
      </c>
      <c r="AS500" s="31"/>
      <c r="AT500" s="31"/>
      <c r="AU500" s="32" t="str">
        <f t="shared" si="167"/>
        <v/>
      </c>
      <c r="AV500" s="32" t="s">
        <v>313</v>
      </c>
      <c r="AW500" s="31"/>
      <c r="AX500" s="31"/>
      <c r="AY500" s="32" t="str">
        <f t="shared" si="168"/>
        <v/>
      </c>
      <c r="AZ500" s="32" t="s">
        <v>313</v>
      </c>
    </row>
    <row r="501" spans="1:52" ht="34" customHeight="1">
      <c r="A501" s="28" t="s">
        <v>328</v>
      </c>
      <c r="B501" s="29" t="s">
        <v>229</v>
      </c>
      <c r="C501" s="29" t="s">
        <v>46</v>
      </c>
      <c r="D501" s="29"/>
      <c r="E501" s="29" t="s">
        <v>46</v>
      </c>
      <c r="F501" s="29" t="s">
        <v>311</v>
      </c>
      <c r="G501" s="30" t="s">
        <v>312</v>
      </c>
      <c r="H501" s="31">
        <v>128</v>
      </c>
      <c r="I501" s="31">
        <v>128</v>
      </c>
      <c r="J501" s="32"/>
      <c r="K501" s="31">
        <v>0</v>
      </c>
      <c r="L501" s="31">
        <v>0</v>
      </c>
      <c r="M501" s="32"/>
      <c r="N501" s="31">
        <v>16896</v>
      </c>
      <c r="O501" s="31">
        <v>15598.23</v>
      </c>
      <c r="P501" s="32"/>
      <c r="Q501" s="31">
        <v>-8200</v>
      </c>
      <c r="R501" s="31">
        <v>-8837</v>
      </c>
      <c r="S501" s="32"/>
      <c r="T501" s="31">
        <v>-5504</v>
      </c>
      <c r="U501" s="31">
        <v>-5632</v>
      </c>
      <c r="V501" s="32"/>
      <c r="W501" s="31">
        <v>0</v>
      </c>
      <c r="X501" s="31">
        <v>0</v>
      </c>
      <c r="Y501" s="32"/>
      <c r="Z501" s="31">
        <f t="shared" si="161"/>
        <v>3320</v>
      </c>
      <c r="AA501" s="31">
        <f t="shared" si="162"/>
        <v>1257.2299999999996</v>
      </c>
      <c r="AB501" s="32"/>
      <c r="AC501" s="31"/>
      <c r="AD501" s="31"/>
      <c r="AE501" s="32" t="str">
        <f t="shared" si="163"/>
        <v/>
      </c>
      <c r="AF501" s="32" t="s">
        <v>313</v>
      </c>
      <c r="AG501" s="31"/>
      <c r="AH501" s="31"/>
      <c r="AI501" s="32" t="str">
        <f t="shared" si="164"/>
        <v/>
      </c>
      <c r="AJ501" s="32" t="s">
        <v>313</v>
      </c>
      <c r="AK501" s="31"/>
      <c r="AL501" s="31"/>
      <c r="AM501" s="32" t="str">
        <f t="shared" si="165"/>
        <v/>
      </c>
      <c r="AN501" s="32" t="s">
        <v>313</v>
      </c>
      <c r="AO501" s="31"/>
      <c r="AP501" s="31"/>
      <c r="AQ501" s="32" t="str">
        <f t="shared" si="166"/>
        <v/>
      </c>
      <c r="AR501" s="32" t="s">
        <v>313</v>
      </c>
      <c r="AS501" s="31"/>
      <c r="AT501" s="31"/>
      <c r="AU501" s="32" t="str">
        <f t="shared" si="167"/>
        <v/>
      </c>
      <c r="AV501" s="32" t="s">
        <v>313</v>
      </c>
      <c r="AW501" s="31"/>
      <c r="AX501" s="31"/>
      <c r="AY501" s="32" t="str">
        <f t="shared" si="168"/>
        <v/>
      </c>
      <c r="AZ501" s="32" t="s">
        <v>313</v>
      </c>
    </row>
    <row r="502" spans="1:52" ht="34" customHeight="1">
      <c r="A502" s="28" t="s">
        <v>328</v>
      </c>
      <c r="B502" s="29" t="s">
        <v>229</v>
      </c>
      <c r="C502" s="29" t="s">
        <v>121</v>
      </c>
      <c r="D502" s="29"/>
      <c r="E502" s="29" t="s">
        <v>125</v>
      </c>
      <c r="F502" s="29" t="s">
        <v>314</v>
      </c>
      <c r="G502" s="30" t="s">
        <v>312</v>
      </c>
      <c r="H502" s="31">
        <v>0</v>
      </c>
      <c r="I502" s="31">
        <v>128</v>
      </c>
      <c r="J502" s="32">
        <f t="shared" ref="J502:J531" si="176">IF(H502="","",IFERROR(H502/I502,""))</f>
        <v>0</v>
      </c>
      <c r="K502" s="31">
        <v>0</v>
      </c>
      <c r="L502" s="31">
        <v>0</v>
      </c>
      <c r="M502" s="32" t="str">
        <f t="shared" ref="M502:M531" si="177">IF(K502="","",IFERROR(K502/L502,""))</f>
        <v/>
      </c>
      <c r="N502" s="31">
        <v>0</v>
      </c>
      <c r="O502" s="31">
        <v>15598.23</v>
      </c>
      <c r="P502" s="32">
        <f t="shared" ref="P502:P531" si="178">IF(N502="","",IFERROR(N502/O502,""))</f>
        <v>0</v>
      </c>
      <c r="Q502" s="31">
        <v>0</v>
      </c>
      <c r="R502" s="31">
        <v>-8837</v>
      </c>
      <c r="S502" s="32">
        <f t="shared" ref="S502:S531" si="179">IF(Q502="","",IFERROR(Q502/R502,""))</f>
        <v>0</v>
      </c>
      <c r="T502" s="31">
        <v>0</v>
      </c>
      <c r="U502" s="31">
        <v>-5632</v>
      </c>
      <c r="V502" s="32">
        <f t="shared" ref="V502:V531" si="180">IF(T502="","",IFERROR(T502/U502,""))</f>
        <v>0</v>
      </c>
      <c r="W502" s="31">
        <v>0</v>
      </c>
      <c r="X502" s="31">
        <v>0</v>
      </c>
      <c r="Y502" s="32" t="str">
        <f t="shared" ref="Y502:Y531" si="181">IF(W502="","",IFERROR(W502/X502,""))</f>
        <v/>
      </c>
      <c r="Z502" s="31">
        <f t="shared" si="161"/>
        <v>0</v>
      </c>
      <c r="AA502" s="31">
        <f t="shared" si="162"/>
        <v>1257.2299999999996</v>
      </c>
      <c r="AB502" s="32">
        <f t="shared" ref="AB502:AB531" si="182">IF(Z502="","",IFERROR(Z502/AA502,""))</f>
        <v>0</v>
      </c>
      <c r="AC502" s="31"/>
      <c r="AD502" s="31"/>
      <c r="AE502" s="32" t="str">
        <f t="shared" si="163"/>
        <v/>
      </c>
      <c r="AF502" s="32" t="s">
        <v>313</v>
      </c>
      <c r="AG502" s="31"/>
      <c r="AH502" s="31"/>
      <c r="AI502" s="32" t="str">
        <f t="shared" si="164"/>
        <v/>
      </c>
      <c r="AJ502" s="32" t="s">
        <v>313</v>
      </c>
      <c r="AK502" s="31"/>
      <c r="AL502" s="31"/>
      <c r="AM502" s="32" t="str">
        <f t="shared" si="165"/>
        <v/>
      </c>
      <c r="AN502" s="32" t="s">
        <v>313</v>
      </c>
      <c r="AO502" s="31"/>
      <c r="AP502" s="31"/>
      <c r="AQ502" s="32" t="str">
        <f t="shared" si="166"/>
        <v/>
      </c>
      <c r="AR502" s="32" t="s">
        <v>313</v>
      </c>
      <c r="AS502" s="31"/>
      <c r="AT502" s="31"/>
      <c r="AU502" s="32" t="str">
        <f t="shared" si="167"/>
        <v/>
      </c>
      <c r="AV502" s="32" t="s">
        <v>313</v>
      </c>
      <c r="AW502" s="31"/>
      <c r="AX502" s="31"/>
      <c r="AY502" s="32" t="str">
        <f t="shared" si="168"/>
        <v/>
      </c>
      <c r="AZ502" s="32" t="s">
        <v>313</v>
      </c>
    </row>
    <row r="503" spans="1:52" ht="34" customHeight="1">
      <c r="A503" s="28" t="s">
        <v>328</v>
      </c>
      <c r="B503" s="29" t="s">
        <v>229</v>
      </c>
      <c r="C503" s="29" t="s">
        <v>48</v>
      </c>
      <c r="D503" s="29"/>
      <c r="E503" s="29" t="s">
        <v>127</v>
      </c>
      <c r="F503" s="29" t="s">
        <v>315</v>
      </c>
      <c r="G503" s="30" t="s">
        <v>312</v>
      </c>
      <c r="H503" s="31">
        <v>33</v>
      </c>
      <c r="I503" s="31">
        <v>128</v>
      </c>
      <c r="J503" s="32">
        <f t="shared" si="176"/>
        <v>0.2578125</v>
      </c>
      <c r="K503" s="31">
        <v>0</v>
      </c>
      <c r="L503" s="31">
        <v>0</v>
      </c>
      <c r="M503" s="32" t="str">
        <f t="shared" si="177"/>
        <v/>
      </c>
      <c r="N503" s="31">
        <v>5269</v>
      </c>
      <c r="O503" s="31">
        <v>15598.23</v>
      </c>
      <c r="P503" s="32">
        <f t="shared" si="178"/>
        <v>0.33779473696695073</v>
      </c>
      <c r="Q503" s="31">
        <v>1748</v>
      </c>
      <c r="R503" s="31">
        <v>-8837</v>
      </c>
      <c r="S503" s="32">
        <f t="shared" si="179"/>
        <v>-0.19780468484779903</v>
      </c>
      <c r="T503" s="31">
        <v>114</v>
      </c>
      <c r="U503" s="31">
        <v>-5632</v>
      </c>
      <c r="V503" s="32">
        <f t="shared" si="180"/>
        <v>-2.0241477272727272E-2</v>
      </c>
      <c r="W503" s="31">
        <v>0</v>
      </c>
      <c r="X503" s="31">
        <v>0</v>
      </c>
      <c r="Y503" s="32" t="str">
        <f t="shared" si="181"/>
        <v/>
      </c>
      <c r="Z503" s="31">
        <f t="shared" si="161"/>
        <v>7164</v>
      </c>
      <c r="AA503" s="31">
        <f t="shared" si="162"/>
        <v>1257.2299999999996</v>
      </c>
      <c r="AB503" s="32">
        <f t="shared" si="182"/>
        <v>5.6982413719049037</v>
      </c>
      <c r="AC503" s="31"/>
      <c r="AD503" s="31"/>
      <c r="AE503" s="32" t="str">
        <f t="shared" si="163"/>
        <v/>
      </c>
      <c r="AF503" s="32" t="s">
        <v>313</v>
      </c>
      <c r="AG503" s="31"/>
      <c r="AH503" s="31"/>
      <c r="AI503" s="32" t="str">
        <f t="shared" si="164"/>
        <v/>
      </c>
      <c r="AJ503" s="32" t="s">
        <v>313</v>
      </c>
      <c r="AK503" s="31"/>
      <c r="AL503" s="31"/>
      <c r="AM503" s="32" t="str">
        <f t="shared" si="165"/>
        <v/>
      </c>
      <c r="AN503" s="32" t="s">
        <v>313</v>
      </c>
      <c r="AO503" s="31"/>
      <c r="AP503" s="31"/>
      <c r="AQ503" s="32" t="str">
        <f t="shared" si="166"/>
        <v/>
      </c>
      <c r="AR503" s="32" t="s">
        <v>313</v>
      </c>
      <c r="AS503" s="31"/>
      <c r="AT503" s="31"/>
      <c r="AU503" s="32" t="str">
        <f t="shared" si="167"/>
        <v/>
      </c>
      <c r="AV503" s="32" t="s">
        <v>313</v>
      </c>
      <c r="AW503" s="31"/>
      <c r="AX503" s="31"/>
      <c r="AY503" s="32" t="str">
        <f t="shared" si="168"/>
        <v/>
      </c>
      <c r="AZ503" s="32" t="s">
        <v>313</v>
      </c>
    </row>
    <row r="504" spans="1:52" ht="34" customHeight="1">
      <c r="A504" s="28" t="s">
        <v>328</v>
      </c>
      <c r="B504" s="29" t="s">
        <v>229</v>
      </c>
      <c r="C504" s="29" t="s">
        <v>52</v>
      </c>
      <c r="D504" s="29" t="s">
        <v>54</v>
      </c>
      <c r="E504" s="29" t="s">
        <v>55</v>
      </c>
      <c r="F504" s="29" t="s">
        <v>130</v>
      </c>
      <c r="G504" s="30" t="s">
        <v>312</v>
      </c>
      <c r="H504" s="31">
        <v>0</v>
      </c>
      <c r="I504" s="31">
        <v>128</v>
      </c>
      <c r="J504" s="32">
        <f t="shared" si="176"/>
        <v>0</v>
      </c>
      <c r="K504" s="31">
        <v>0</v>
      </c>
      <c r="L504" s="31">
        <v>0</v>
      </c>
      <c r="M504" s="32" t="str">
        <f t="shared" si="177"/>
        <v/>
      </c>
      <c r="N504" s="31">
        <v>0</v>
      </c>
      <c r="O504" s="31">
        <v>15598.23</v>
      </c>
      <c r="P504" s="32">
        <f t="shared" si="178"/>
        <v>0</v>
      </c>
      <c r="Q504" s="31">
        <v>0</v>
      </c>
      <c r="R504" s="31">
        <v>-8837</v>
      </c>
      <c r="S504" s="32">
        <f t="shared" si="179"/>
        <v>0</v>
      </c>
      <c r="T504" s="31">
        <v>0</v>
      </c>
      <c r="U504" s="31">
        <v>-5632</v>
      </c>
      <c r="V504" s="32">
        <f t="shared" si="180"/>
        <v>0</v>
      </c>
      <c r="W504" s="31">
        <v>0</v>
      </c>
      <c r="X504" s="31">
        <v>0</v>
      </c>
      <c r="Y504" s="32" t="str">
        <f t="shared" si="181"/>
        <v/>
      </c>
      <c r="Z504" s="31">
        <f t="shared" si="161"/>
        <v>0</v>
      </c>
      <c r="AA504" s="31">
        <f t="shared" si="162"/>
        <v>1257.2299999999996</v>
      </c>
      <c r="AB504" s="32">
        <f t="shared" si="182"/>
        <v>0</v>
      </c>
      <c r="AC504" s="31"/>
      <c r="AD504" s="31"/>
      <c r="AE504" s="32" t="str">
        <f t="shared" si="163"/>
        <v/>
      </c>
      <c r="AF504" s="32" t="s">
        <v>313</v>
      </c>
      <c r="AG504" s="31"/>
      <c r="AH504" s="31"/>
      <c r="AI504" s="32" t="str">
        <f t="shared" si="164"/>
        <v/>
      </c>
      <c r="AJ504" s="32" t="s">
        <v>313</v>
      </c>
      <c r="AK504" s="31"/>
      <c r="AL504" s="31"/>
      <c r="AM504" s="32" t="str">
        <f t="shared" si="165"/>
        <v/>
      </c>
      <c r="AN504" s="32" t="s">
        <v>313</v>
      </c>
      <c r="AO504" s="31"/>
      <c r="AP504" s="31"/>
      <c r="AQ504" s="32" t="str">
        <f t="shared" si="166"/>
        <v/>
      </c>
      <c r="AR504" s="32" t="s">
        <v>313</v>
      </c>
      <c r="AS504" s="31"/>
      <c r="AT504" s="31"/>
      <c r="AU504" s="32" t="str">
        <f t="shared" si="167"/>
        <v/>
      </c>
      <c r="AV504" s="32" t="s">
        <v>313</v>
      </c>
      <c r="AW504" s="31"/>
      <c r="AX504" s="31"/>
      <c r="AY504" s="32" t="str">
        <f t="shared" si="168"/>
        <v/>
      </c>
      <c r="AZ504" s="32" t="s">
        <v>313</v>
      </c>
    </row>
    <row r="505" spans="1:52" ht="34" customHeight="1">
      <c r="A505" s="28" t="s">
        <v>328</v>
      </c>
      <c r="B505" s="29" t="s">
        <v>229</v>
      </c>
      <c r="C505" s="29" t="s">
        <v>52</v>
      </c>
      <c r="D505" s="29" t="s">
        <v>54</v>
      </c>
      <c r="E505" s="29" t="s">
        <v>58</v>
      </c>
      <c r="F505" s="29" t="s">
        <v>316</v>
      </c>
      <c r="G505" s="30" t="s">
        <v>312</v>
      </c>
      <c r="H505" s="31"/>
      <c r="I505" s="31">
        <v>128</v>
      </c>
      <c r="J505" s="32" t="str">
        <f t="shared" si="176"/>
        <v/>
      </c>
      <c r="K505" s="31"/>
      <c r="L505" s="31">
        <v>0</v>
      </c>
      <c r="M505" s="32" t="str">
        <f t="shared" si="177"/>
        <v/>
      </c>
      <c r="N505" s="31"/>
      <c r="O505" s="31">
        <v>15598.23</v>
      </c>
      <c r="P505" s="32" t="str">
        <f t="shared" si="178"/>
        <v/>
      </c>
      <c r="Q505" s="31"/>
      <c r="R505" s="31">
        <v>-8837</v>
      </c>
      <c r="S505" s="32" t="str">
        <f t="shared" si="179"/>
        <v/>
      </c>
      <c r="T505" s="31"/>
      <c r="U505" s="31">
        <v>-5632</v>
      </c>
      <c r="V505" s="32" t="str">
        <f t="shared" si="180"/>
        <v/>
      </c>
      <c r="W505" s="31"/>
      <c r="X505" s="31">
        <v>0</v>
      </c>
      <c r="Y505" s="32" t="str">
        <f t="shared" si="181"/>
        <v/>
      </c>
      <c r="Z505" s="31" t="str">
        <f t="shared" si="161"/>
        <v/>
      </c>
      <c r="AA505" s="31">
        <f t="shared" si="162"/>
        <v>1257.2299999999996</v>
      </c>
      <c r="AB505" s="32" t="str">
        <f t="shared" si="182"/>
        <v/>
      </c>
      <c r="AC505" s="31"/>
      <c r="AD505" s="31"/>
      <c r="AE505" s="32" t="str">
        <f t="shared" si="163"/>
        <v/>
      </c>
      <c r="AF505" s="32" t="s">
        <v>313</v>
      </c>
      <c r="AG505" s="31"/>
      <c r="AH505" s="31"/>
      <c r="AI505" s="32" t="str">
        <f t="shared" si="164"/>
        <v/>
      </c>
      <c r="AJ505" s="32" t="s">
        <v>313</v>
      </c>
      <c r="AK505" s="31"/>
      <c r="AL505" s="31"/>
      <c r="AM505" s="32" t="str">
        <f t="shared" si="165"/>
        <v/>
      </c>
      <c r="AN505" s="32" t="s">
        <v>313</v>
      </c>
      <c r="AO505" s="31"/>
      <c r="AP505" s="31"/>
      <c r="AQ505" s="32" t="str">
        <f t="shared" si="166"/>
        <v/>
      </c>
      <c r="AR505" s="32" t="s">
        <v>313</v>
      </c>
      <c r="AS505" s="31"/>
      <c r="AT505" s="31"/>
      <c r="AU505" s="32" t="str">
        <f t="shared" si="167"/>
        <v/>
      </c>
      <c r="AV505" s="32" t="s">
        <v>313</v>
      </c>
      <c r="AW505" s="31"/>
      <c r="AX505" s="31"/>
      <c r="AY505" s="32" t="str">
        <f t="shared" si="168"/>
        <v/>
      </c>
      <c r="AZ505" s="32" t="s">
        <v>313</v>
      </c>
    </row>
    <row r="506" spans="1:52" ht="34" customHeight="1">
      <c r="A506" s="28" t="s">
        <v>328</v>
      </c>
      <c r="B506" s="29" t="s">
        <v>229</v>
      </c>
      <c r="C506" s="29" t="s">
        <v>52</v>
      </c>
      <c r="D506" s="29" t="s">
        <v>54</v>
      </c>
      <c r="E506" s="29" t="s">
        <v>59</v>
      </c>
      <c r="F506" s="29" t="s">
        <v>316</v>
      </c>
      <c r="G506" s="30" t="s">
        <v>312</v>
      </c>
      <c r="H506" s="31"/>
      <c r="I506" s="31">
        <v>128</v>
      </c>
      <c r="J506" s="32" t="str">
        <f t="shared" si="176"/>
        <v/>
      </c>
      <c r="K506" s="31"/>
      <c r="L506" s="31">
        <v>0</v>
      </c>
      <c r="M506" s="32" t="str">
        <f t="shared" si="177"/>
        <v/>
      </c>
      <c r="N506" s="31"/>
      <c r="O506" s="31">
        <v>15598.23</v>
      </c>
      <c r="P506" s="32" t="str">
        <f t="shared" si="178"/>
        <v/>
      </c>
      <c r="Q506" s="31"/>
      <c r="R506" s="31">
        <v>-8837</v>
      </c>
      <c r="S506" s="32" t="str">
        <f t="shared" si="179"/>
        <v/>
      </c>
      <c r="T506" s="31"/>
      <c r="U506" s="31">
        <v>-5632</v>
      </c>
      <c r="V506" s="32" t="str">
        <f t="shared" si="180"/>
        <v/>
      </c>
      <c r="W506" s="31"/>
      <c r="X506" s="31">
        <v>0</v>
      </c>
      <c r="Y506" s="32" t="str">
        <f t="shared" si="181"/>
        <v/>
      </c>
      <c r="Z506" s="31" t="str">
        <f t="shared" si="161"/>
        <v/>
      </c>
      <c r="AA506" s="31">
        <f t="shared" si="162"/>
        <v>1257.2299999999996</v>
      </c>
      <c r="AB506" s="32" t="str">
        <f t="shared" si="182"/>
        <v/>
      </c>
      <c r="AC506" s="31"/>
      <c r="AD506" s="31"/>
      <c r="AE506" s="32" t="str">
        <f t="shared" si="163"/>
        <v/>
      </c>
      <c r="AF506" s="32" t="s">
        <v>313</v>
      </c>
      <c r="AG506" s="31"/>
      <c r="AH506" s="31"/>
      <c r="AI506" s="32" t="str">
        <f t="shared" si="164"/>
        <v/>
      </c>
      <c r="AJ506" s="32" t="s">
        <v>313</v>
      </c>
      <c r="AK506" s="31"/>
      <c r="AL506" s="31"/>
      <c r="AM506" s="32" t="str">
        <f t="shared" si="165"/>
        <v/>
      </c>
      <c r="AN506" s="32" t="s">
        <v>313</v>
      </c>
      <c r="AO506" s="31"/>
      <c r="AP506" s="31"/>
      <c r="AQ506" s="32" t="str">
        <f t="shared" si="166"/>
        <v/>
      </c>
      <c r="AR506" s="32" t="s">
        <v>313</v>
      </c>
      <c r="AS506" s="31"/>
      <c r="AT506" s="31"/>
      <c r="AU506" s="32" t="str">
        <f t="shared" si="167"/>
        <v/>
      </c>
      <c r="AV506" s="32" t="s">
        <v>313</v>
      </c>
      <c r="AW506" s="31"/>
      <c r="AX506" s="31"/>
      <c r="AY506" s="32" t="str">
        <f t="shared" si="168"/>
        <v/>
      </c>
      <c r="AZ506" s="32" t="s">
        <v>313</v>
      </c>
    </row>
    <row r="507" spans="1:52" ht="34" customHeight="1">
      <c r="A507" s="28" t="s">
        <v>328</v>
      </c>
      <c r="B507" s="29" t="s">
        <v>229</v>
      </c>
      <c r="C507" s="29" t="s">
        <v>52</v>
      </c>
      <c r="D507" s="29" t="s">
        <v>54</v>
      </c>
      <c r="E507" s="29" t="s">
        <v>64</v>
      </c>
      <c r="F507" s="29" t="s">
        <v>133</v>
      </c>
      <c r="G507" s="30" t="s">
        <v>312</v>
      </c>
      <c r="H507" s="31">
        <v>0</v>
      </c>
      <c r="I507" s="31">
        <v>128</v>
      </c>
      <c r="J507" s="32">
        <f t="shared" si="176"/>
        <v>0</v>
      </c>
      <c r="K507" s="31">
        <v>0</v>
      </c>
      <c r="L507" s="31">
        <v>0</v>
      </c>
      <c r="M507" s="32" t="str">
        <f t="shared" si="177"/>
        <v/>
      </c>
      <c r="N507" s="31">
        <v>1297.77</v>
      </c>
      <c r="O507" s="31">
        <v>15598.23</v>
      </c>
      <c r="P507" s="32">
        <f t="shared" si="178"/>
        <v>8.3199824595482946E-2</v>
      </c>
      <c r="Q507" s="31">
        <v>637</v>
      </c>
      <c r="R507" s="31">
        <v>-8837</v>
      </c>
      <c r="S507" s="32">
        <f t="shared" si="179"/>
        <v>-7.2083286183093814E-2</v>
      </c>
      <c r="T507" s="31">
        <v>128</v>
      </c>
      <c r="U507" s="31">
        <v>-5632</v>
      </c>
      <c r="V507" s="32">
        <f t="shared" si="180"/>
        <v>-2.2727272727272728E-2</v>
      </c>
      <c r="W507" s="31">
        <v>0</v>
      </c>
      <c r="X507" s="31">
        <v>0</v>
      </c>
      <c r="Y507" s="32" t="str">
        <f t="shared" si="181"/>
        <v/>
      </c>
      <c r="Z507" s="31">
        <f t="shared" si="161"/>
        <v>2062.77</v>
      </c>
      <c r="AA507" s="31">
        <f t="shared" si="162"/>
        <v>1257.2299999999996</v>
      </c>
      <c r="AB507" s="32">
        <f t="shared" si="182"/>
        <v>1.6407260405812785</v>
      </c>
      <c r="AC507" s="31"/>
      <c r="AD507" s="31"/>
      <c r="AE507" s="32" t="str">
        <f t="shared" si="163"/>
        <v/>
      </c>
      <c r="AF507" s="32" t="s">
        <v>313</v>
      </c>
      <c r="AG507" s="31"/>
      <c r="AH507" s="31"/>
      <c r="AI507" s="32" t="str">
        <f t="shared" si="164"/>
        <v/>
      </c>
      <c r="AJ507" s="32" t="s">
        <v>313</v>
      </c>
      <c r="AK507" s="31"/>
      <c r="AL507" s="31"/>
      <c r="AM507" s="32" t="str">
        <f t="shared" si="165"/>
        <v/>
      </c>
      <c r="AN507" s="32" t="s">
        <v>313</v>
      </c>
      <c r="AO507" s="31"/>
      <c r="AP507" s="31"/>
      <c r="AQ507" s="32" t="str">
        <f t="shared" si="166"/>
        <v/>
      </c>
      <c r="AR507" s="32" t="s">
        <v>313</v>
      </c>
      <c r="AS507" s="31"/>
      <c r="AT507" s="31"/>
      <c r="AU507" s="32" t="str">
        <f t="shared" si="167"/>
        <v/>
      </c>
      <c r="AV507" s="32" t="s">
        <v>313</v>
      </c>
      <c r="AW507" s="31"/>
      <c r="AX507" s="31"/>
      <c r="AY507" s="32" t="str">
        <f t="shared" si="168"/>
        <v/>
      </c>
      <c r="AZ507" s="32" t="s">
        <v>313</v>
      </c>
    </row>
    <row r="508" spans="1:52" ht="34" customHeight="1">
      <c r="A508" s="28" t="s">
        <v>328</v>
      </c>
      <c r="B508" s="29" t="s">
        <v>229</v>
      </c>
      <c r="C508" s="29" t="s">
        <v>52</v>
      </c>
      <c r="D508" s="29" t="s">
        <v>54</v>
      </c>
      <c r="E508" s="29" t="s">
        <v>60</v>
      </c>
      <c r="F508" s="29" t="s">
        <v>316</v>
      </c>
      <c r="G508" s="30" t="s">
        <v>312</v>
      </c>
      <c r="H508" s="31"/>
      <c r="I508" s="31">
        <v>128</v>
      </c>
      <c r="J508" s="32" t="str">
        <f t="shared" si="176"/>
        <v/>
      </c>
      <c r="K508" s="31"/>
      <c r="L508" s="31">
        <v>0</v>
      </c>
      <c r="M508" s="32" t="str">
        <f t="shared" si="177"/>
        <v/>
      </c>
      <c r="N508" s="31"/>
      <c r="O508" s="31">
        <v>15598.23</v>
      </c>
      <c r="P508" s="32" t="str">
        <f t="shared" si="178"/>
        <v/>
      </c>
      <c r="Q508" s="31"/>
      <c r="R508" s="31">
        <v>-8837</v>
      </c>
      <c r="S508" s="32" t="str">
        <f t="shared" si="179"/>
        <v/>
      </c>
      <c r="T508" s="31"/>
      <c r="U508" s="31">
        <v>-5632</v>
      </c>
      <c r="V508" s="32" t="str">
        <f t="shared" si="180"/>
        <v/>
      </c>
      <c r="W508" s="31"/>
      <c r="X508" s="31">
        <v>0</v>
      </c>
      <c r="Y508" s="32" t="str">
        <f t="shared" si="181"/>
        <v/>
      </c>
      <c r="Z508" s="31" t="str">
        <f t="shared" si="161"/>
        <v/>
      </c>
      <c r="AA508" s="31">
        <f t="shared" si="162"/>
        <v>1257.2299999999996</v>
      </c>
      <c r="AB508" s="32" t="str">
        <f t="shared" si="182"/>
        <v/>
      </c>
      <c r="AC508" s="31"/>
      <c r="AD508" s="31"/>
      <c r="AE508" s="32" t="str">
        <f t="shared" si="163"/>
        <v/>
      </c>
      <c r="AF508" s="32" t="s">
        <v>313</v>
      </c>
      <c r="AG508" s="31"/>
      <c r="AH508" s="31"/>
      <c r="AI508" s="32" t="str">
        <f t="shared" si="164"/>
        <v/>
      </c>
      <c r="AJ508" s="32" t="s">
        <v>313</v>
      </c>
      <c r="AK508" s="31"/>
      <c r="AL508" s="31"/>
      <c r="AM508" s="32" t="str">
        <f t="shared" si="165"/>
        <v/>
      </c>
      <c r="AN508" s="32" t="s">
        <v>313</v>
      </c>
      <c r="AO508" s="31"/>
      <c r="AP508" s="31"/>
      <c r="AQ508" s="32" t="str">
        <f t="shared" si="166"/>
        <v/>
      </c>
      <c r="AR508" s="32" t="s">
        <v>313</v>
      </c>
      <c r="AS508" s="31"/>
      <c r="AT508" s="31"/>
      <c r="AU508" s="32" t="str">
        <f t="shared" si="167"/>
        <v/>
      </c>
      <c r="AV508" s="32" t="s">
        <v>313</v>
      </c>
      <c r="AW508" s="31"/>
      <c r="AX508" s="31"/>
      <c r="AY508" s="32" t="str">
        <f t="shared" si="168"/>
        <v/>
      </c>
      <c r="AZ508" s="32" t="s">
        <v>313</v>
      </c>
    </row>
    <row r="509" spans="1:52" ht="51" customHeight="1">
      <c r="A509" s="28" t="s">
        <v>328</v>
      </c>
      <c r="B509" s="29" t="s">
        <v>229</v>
      </c>
      <c r="C509" s="29" t="s">
        <v>52</v>
      </c>
      <c r="D509" s="29" t="s">
        <v>54</v>
      </c>
      <c r="E509" s="29" t="s">
        <v>61</v>
      </c>
      <c r="F509" s="29" t="s">
        <v>135</v>
      </c>
      <c r="G509" s="30" t="s">
        <v>312</v>
      </c>
      <c r="H509" s="31">
        <v>0</v>
      </c>
      <c r="I509" s="31">
        <v>128</v>
      </c>
      <c r="J509" s="32">
        <f t="shared" si="176"/>
        <v>0</v>
      </c>
      <c r="K509" s="31">
        <v>0</v>
      </c>
      <c r="L509" s="31">
        <v>0</v>
      </c>
      <c r="M509" s="32" t="str">
        <f t="shared" si="177"/>
        <v/>
      </c>
      <c r="N509" s="31">
        <v>235.53327300000001</v>
      </c>
      <c r="O509" s="31">
        <v>15598.23</v>
      </c>
      <c r="P509" s="32">
        <f t="shared" si="178"/>
        <v>1.5100000000000001E-2</v>
      </c>
      <c r="Q509" s="31">
        <v>-17.441818999999999</v>
      </c>
      <c r="R509" s="31">
        <v>-8837</v>
      </c>
      <c r="S509" s="32">
        <f t="shared" si="179"/>
        <v>1.973726264569424E-3</v>
      </c>
      <c r="T509" s="31">
        <v>-144.76179999999999</v>
      </c>
      <c r="U509" s="31">
        <v>-5632</v>
      </c>
      <c r="V509" s="32">
        <f t="shared" si="180"/>
        <v>2.5703444602272727E-2</v>
      </c>
      <c r="W509" s="31">
        <v>0</v>
      </c>
      <c r="X509" s="31">
        <v>0</v>
      </c>
      <c r="Y509" s="32" t="str">
        <f t="shared" si="181"/>
        <v/>
      </c>
      <c r="Z509" s="31">
        <f t="shared" si="161"/>
        <v>73.329654000000005</v>
      </c>
      <c r="AA509" s="31">
        <f t="shared" si="162"/>
        <v>1257.2299999999996</v>
      </c>
      <c r="AB509" s="32">
        <f t="shared" si="182"/>
        <v>5.8326363513438298E-2</v>
      </c>
      <c r="AC509" s="31"/>
      <c r="AD509" s="31"/>
      <c r="AE509" s="32" t="str">
        <f t="shared" si="163"/>
        <v/>
      </c>
      <c r="AF509" s="32" t="s">
        <v>313</v>
      </c>
      <c r="AG509" s="31"/>
      <c r="AH509" s="31"/>
      <c r="AI509" s="32" t="str">
        <f t="shared" si="164"/>
        <v/>
      </c>
      <c r="AJ509" s="32" t="s">
        <v>313</v>
      </c>
      <c r="AK509" s="31"/>
      <c r="AL509" s="31"/>
      <c r="AM509" s="32" t="str">
        <f t="shared" si="165"/>
        <v/>
      </c>
      <c r="AN509" s="32" t="s">
        <v>313</v>
      </c>
      <c r="AO509" s="31"/>
      <c r="AP509" s="31"/>
      <c r="AQ509" s="32" t="str">
        <f t="shared" si="166"/>
        <v/>
      </c>
      <c r="AR509" s="32" t="s">
        <v>313</v>
      </c>
      <c r="AS509" s="31"/>
      <c r="AT509" s="31"/>
      <c r="AU509" s="32" t="str">
        <f t="shared" si="167"/>
        <v/>
      </c>
      <c r="AV509" s="32" t="s">
        <v>313</v>
      </c>
      <c r="AW509" s="31"/>
      <c r="AX509" s="31"/>
      <c r="AY509" s="32" t="str">
        <f t="shared" si="168"/>
        <v/>
      </c>
      <c r="AZ509" s="32" t="s">
        <v>313</v>
      </c>
    </row>
    <row r="510" spans="1:52" ht="34" customHeight="1">
      <c r="A510" s="28" t="s">
        <v>328</v>
      </c>
      <c r="B510" s="29" t="s">
        <v>229</v>
      </c>
      <c r="C510" s="29" t="s">
        <v>52</v>
      </c>
      <c r="D510" s="29" t="s">
        <v>54</v>
      </c>
      <c r="E510" s="29" t="s">
        <v>62</v>
      </c>
      <c r="F510" s="29" t="s">
        <v>316</v>
      </c>
      <c r="G510" s="30" t="s">
        <v>312</v>
      </c>
      <c r="H510" s="31"/>
      <c r="I510" s="31">
        <v>128</v>
      </c>
      <c r="J510" s="32" t="str">
        <f t="shared" si="176"/>
        <v/>
      </c>
      <c r="K510" s="31"/>
      <c r="L510" s="31">
        <v>0</v>
      </c>
      <c r="M510" s="32" t="str">
        <f t="shared" si="177"/>
        <v/>
      </c>
      <c r="N510" s="31"/>
      <c r="O510" s="31">
        <v>15598.23</v>
      </c>
      <c r="P510" s="32" t="str">
        <f t="shared" si="178"/>
        <v/>
      </c>
      <c r="Q510" s="31"/>
      <c r="R510" s="31">
        <v>-8837</v>
      </c>
      <c r="S510" s="32" t="str">
        <f t="shared" si="179"/>
        <v/>
      </c>
      <c r="T510" s="31"/>
      <c r="U510" s="31">
        <v>-5632</v>
      </c>
      <c r="V510" s="32" t="str">
        <f t="shared" si="180"/>
        <v/>
      </c>
      <c r="W510" s="31"/>
      <c r="X510" s="31">
        <v>0</v>
      </c>
      <c r="Y510" s="32" t="str">
        <f t="shared" si="181"/>
        <v/>
      </c>
      <c r="Z510" s="31" t="str">
        <f t="shared" si="161"/>
        <v/>
      </c>
      <c r="AA510" s="31">
        <f t="shared" si="162"/>
        <v>1257.2299999999996</v>
      </c>
      <c r="AB510" s="32" t="str">
        <f t="shared" si="182"/>
        <v/>
      </c>
      <c r="AC510" s="31"/>
      <c r="AD510" s="31"/>
      <c r="AE510" s="32" t="str">
        <f t="shared" si="163"/>
        <v/>
      </c>
      <c r="AF510" s="32" t="s">
        <v>313</v>
      </c>
      <c r="AG510" s="31"/>
      <c r="AH510" s="31"/>
      <c r="AI510" s="32" t="str">
        <f t="shared" si="164"/>
        <v/>
      </c>
      <c r="AJ510" s="32" t="s">
        <v>313</v>
      </c>
      <c r="AK510" s="31"/>
      <c r="AL510" s="31"/>
      <c r="AM510" s="32" t="str">
        <f t="shared" si="165"/>
        <v/>
      </c>
      <c r="AN510" s="32" t="s">
        <v>313</v>
      </c>
      <c r="AO510" s="31"/>
      <c r="AP510" s="31"/>
      <c r="AQ510" s="32" t="str">
        <f t="shared" si="166"/>
        <v/>
      </c>
      <c r="AR510" s="32" t="s">
        <v>313</v>
      </c>
      <c r="AS510" s="31"/>
      <c r="AT510" s="31"/>
      <c r="AU510" s="32" t="str">
        <f t="shared" si="167"/>
        <v/>
      </c>
      <c r="AV510" s="32" t="s">
        <v>313</v>
      </c>
      <c r="AW510" s="31"/>
      <c r="AX510" s="31"/>
      <c r="AY510" s="32" t="str">
        <f t="shared" si="168"/>
        <v/>
      </c>
      <c r="AZ510" s="32" t="s">
        <v>313</v>
      </c>
    </row>
    <row r="511" spans="1:52" ht="34" customHeight="1">
      <c r="A511" s="28" t="s">
        <v>328</v>
      </c>
      <c r="B511" s="29" t="s">
        <v>229</v>
      </c>
      <c r="C511" s="29" t="s">
        <v>52</v>
      </c>
      <c r="D511" s="29" t="s">
        <v>54</v>
      </c>
      <c r="E511" s="29" t="s">
        <v>63</v>
      </c>
      <c r="F511" s="29" t="s">
        <v>316</v>
      </c>
      <c r="G511" s="30" t="s">
        <v>312</v>
      </c>
      <c r="H511" s="31"/>
      <c r="I511" s="31">
        <v>128</v>
      </c>
      <c r="J511" s="32" t="str">
        <f t="shared" si="176"/>
        <v/>
      </c>
      <c r="K511" s="31"/>
      <c r="L511" s="31">
        <v>0</v>
      </c>
      <c r="M511" s="32" t="str">
        <f t="shared" si="177"/>
        <v/>
      </c>
      <c r="N511" s="31"/>
      <c r="O511" s="31">
        <v>15598.23</v>
      </c>
      <c r="P511" s="32" t="str">
        <f t="shared" si="178"/>
        <v/>
      </c>
      <c r="Q511" s="31"/>
      <c r="R511" s="31">
        <v>-8837</v>
      </c>
      <c r="S511" s="32" t="str">
        <f t="shared" si="179"/>
        <v/>
      </c>
      <c r="T511" s="31"/>
      <c r="U511" s="31">
        <v>-5632</v>
      </c>
      <c r="V511" s="32" t="str">
        <f t="shared" si="180"/>
        <v/>
      </c>
      <c r="W511" s="31"/>
      <c r="X511" s="31">
        <v>0</v>
      </c>
      <c r="Y511" s="32" t="str">
        <f t="shared" si="181"/>
        <v/>
      </c>
      <c r="Z511" s="31" t="str">
        <f t="shared" si="161"/>
        <v/>
      </c>
      <c r="AA511" s="31">
        <f t="shared" si="162"/>
        <v>1257.2299999999996</v>
      </c>
      <c r="AB511" s="32" t="str">
        <f t="shared" si="182"/>
        <v/>
      </c>
      <c r="AC511" s="31"/>
      <c r="AD511" s="31"/>
      <c r="AE511" s="32" t="str">
        <f t="shared" si="163"/>
        <v/>
      </c>
      <c r="AF511" s="32" t="s">
        <v>313</v>
      </c>
      <c r="AG511" s="31"/>
      <c r="AH511" s="31"/>
      <c r="AI511" s="32" t="str">
        <f t="shared" si="164"/>
        <v/>
      </c>
      <c r="AJ511" s="32" t="s">
        <v>313</v>
      </c>
      <c r="AK511" s="31"/>
      <c r="AL511" s="31"/>
      <c r="AM511" s="32" t="str">
        <f t="shared" si="165"/>
        <v/>
      </c>
      <c r="AN511" s="32" t="s">
        <v>313</v>
      </c>
      <c r="AO511" s="31"/>
      <c r="AP511" s="31"/>
      <c r="AQ511" s="32" t="str">
        <f t="shared" si="166"/>
        <v/>
      </c>
      <c r="AR511" s="32" t="s">
        <v>313</v>
      </c>
      <c r="AS511" s="31"/>
      <c r="AT511" s="31"/>
      <c r="AU511" s="32" t="str">
        <f t="shared" si="167"/>
        <v/>
      </c>
      <c r="AV511" s="32" t="s">
        <v>313</v>
      </c>
      <c r="AW511" s="31"/>
      <c r="AX511" s="31"/>
      <c r="AY511" s="32" t="str">
        <f t="shared" si="168"/>
        <v/>
      </c>
      <c r="AZ511" s="32" t="s">
        <v>313</v>
      </c>
    </row>
    <row r="512" spans="1:52" ht="34" customHeight="1">
      <c r="A512" s="28" t="s">
        <v>328</v>
      </c>
      <c r="B512" s="29" t="s">
        <v>229</v>
      </c>
      <c r="C512" s="29" t="s">
        <v>52</v>
      </c>
      <c r="D512" s="29" t="s">
        <v>65</v>
      </c>
      <c r="E512" s="29" t="s">
        <v>66</v>
      </c>
      <c r="F512" s="29" t="s">
        <v>316</v>
      </c>
      <c r="G512" s="30" t="s">
        <v>312</v>
      </c>
      <c r="H512" s="31"/>
      <c r="I512" s="31">
        <v>128</v>
      </c>
      <c r="J512" s="32" t="str">
        <f t="shared" si="176"/>
        <v/>
      </c>
      <c r="K512" s="31"/>
      <c r="L512" s="31">
        <v>0</v>
      </c>
      <c r="M512" s="32" t="str">
        <f t="shared" si="177"/>
        <v/>
      </c>
      <c r="N512" s="31"/>
      <c r="O512" s="31">
        <v>15598.23</v>
      </c>
      <c r="P512" s="32" t="str">
        <f t="shared" si="178"/>
        <v/>
      </c>
      <c r="Q512" s="31"/>
      <c r="R512" s="31">
        <v>-8837</v>
      </c>
      <c r="S512" s="32" t="str">
        <f t="shared" si="179"/>
        <v/>
      </c>
      <c r="T512" s="31"/>
      <c r="U512" s="31">
        <v>-5632</v>
      </c>
      <c r="V512" s="32" t="str">
        <f t="shared" si="180"/>
        <v/>
      </c>
      <c r="W512" s="31"/>
      <c r="X512" s="31">
        <v>0</v>
      </c>
      <c r="Y512" s="32" t="str">
        <f t="shared" si="181"/>
        <v/>
      </c>
      <c r="Z512" s="31" t="str">
        <f t="shared" si="161"/>
        <v/>
      </c>
      <c r="AA512" s="31">
        <f t="shared" si="162"/>
        <v>1257.2299999999996</v>
      </c>
      <c r="AB512" s="32" t="str">
        <f t="shared" si="182"/>
        <v/>
      </c>
      <c r="AC512" s="31"/>
      <c r="AD512" s="31"/>
      <c r="AE512" s="32" t="str">
        <f t="shared" si="163"/>
        <v/>
      </c>
      <c r="AF512" s="32" t="s">
        <v>313</v>
      </c>
      <c r="AG512" s="31"/>
      <c r="AH512" s="31"/>
      <c r="AI512" s="32" t="str">
        <f t="shared" si="164"/>
        <v/>
      </c>
      <c r="AJ512" s="32" t="s">
        <v>313</v>
      </c>
      <c r="AK512" s="31"/>
      <c r="AL512" s="31"/>
      <c r="AM512" s="32" t="str">
        <f t="shared" si="165"/>
        <v/>
      </c>
      <c r="AN512" s="32" t="s">
        <v>313</v>
      </c>
      <c r="AO512" s="31"/>
      <c r="AP512" s="31"/>
      <c r="AQ512" s="32" t="str">
        <f t="shared" si="166"/>
        <v/>
      </c>
      <c r="AR512" s="32" t="s">
        <v>313</v>
      </c>
      <c r="AS512" s="31"/>
      <c r="AT512" s="31"/>
      <c r="AU512" s="32" t="str">
        <f t="shared" si="167"/>
        <v/>
      </c>
      <c r="AV512" s="32" t="s">
        <v>313</v>
      </c>
      <c r="AW512" s="31"/>
      <c r="AX512" s="31"/>
      <c r="AY512" s="32" t="str">
        <f t="shared" si="168"/>
        <v/>
      </c>
      <c r="AZ512" s="32" t="s">
        <v>313</v>
      </c>
    </row>
    <row r="513" spans="1:52" ht="34" customHeight="1">
      <c r="A513" s="28" t="s">
        <v>328</v>
      </c>
      <c r="B513" s="29" t="s">
        <v>229</v>
      </c>
      <c r="C513" s="29" t="s">
        <v>52</v>
      </c>
      <c r="D513" s="29" t="s">
        <v>65</v>
      </c>
      <c r="E513" s="29" t="s">
        <v>67</v>
      </c>
      <c r="F513" s="29" t="s">
        <v>316</v>
      </c>
      <c r="G513" s="30" t="s">
        <v>312</v>
      </c>
      <c r="H513" s="31"/>
      <c r="I513" s="31">
        <v>128</v>
      </c>
      <c r="J513" s="32" t="str">
        <f t="shared" si="176"/>
        <v/>
      </c>
      <c r="K513" s="31"/>
      <c r="L513" s="31">
        <v>0</v>
      </c>
      <c r="M513" s="32" t="str">
        <f t="shared" si="177"/>
        <v/>
      </c>
      <c r="N513" s="31"/>
      <c r="O513" s="31">
        <v>15598.23</v>
      </c>
      <c r="P513" s="32" t="str">
        <f t="shared" si="178"/>
        <v/>
      </c>
      <c r="Q513" s="31"/>
      <c r="R513" s="31">
        <v>-8837</v>
      </c>
      <c r="S513" s="32" t="str">
        <f t="shared" si="179"/>
        <v/>
      </c>
      <c r="T513" s="31"/>
      <c r="U513" s="31">
        <v>-5632</v>
      </c>
      <c r="V513" s="32" t="str">
        <f t="shared" si="180"/>
        <v/>
      </c>
      <c r="W513" s="31"/>
      <c r="X513" s="31">
        <v>0</v>
      </c>
      <c r="Y513" s="32" t="str">
        <f t="shared" si="181"/>
        <v/>
      </c>
      <c r="Z513" s="31" t="str">
        <f t="shared" si="161"/>
        <v/>
      </c>
      <c r="AA513" s="31">
        <f t="shared" si="162"/>
        <v>1257.2299999999996</v>
      </c>
      <c r="AB513" s="32" t="str">
        <f t="shared" si="182"/>
        <v/>
      </c>
      <c r="AC513" s="31"/>
      <c r="AD513" s="31"/>
      <c r="AE513" s="32" t="str">
        <f t="shared" si="163"/>
        <v/>
      </c>
      <c r="AF513" s="32" t="s">
        <v>313</v>
      </c>
      <c r="AG513" s="31"/>
      <c r="AH513" s="31"/>
      <c r="AI513" s="32" t="str">
        <f t="shared" si="164"/>
        <v/>
      </c>
      <c r="AJ513" s="32" t="s">
        <v>313</v>
      </c>
      <c r="AK513" s="31"/>
      <c r="AL513" s="31"/>
      <c r="AM513" s="32" t="str">
        <f t="shared" si="165"/>
        <v/>
      </c>
      <c r="AN513" s="32" t="s">
        <v>313</v>
      </c>
      <c r="AO513" s="31"/>
      <c r="AP513" s="31"/>
      <c r="AQ513" s="32" t="str">
        <f t="shared" si="166"/>
        <v/>
      </c>
      <c r="AR513" s="32" t="s">
        <v>313</v>
      </c>
      <c r="AS513" s="31"/>
      <c r="AT513" s="31"/>
      <c r="AU513" s="32" t="str">
        <f t="shared" si="167"/>
        <v/>
      </c>
      <c r="AV513" s="32" t="s">
        <v>313</v>
      </c>
      <c r="AW513" s="31"/>
      <c r="AX513" s="31"/>
      <c r="AY513" s="32" t="str">
        <f t="shared" si="168"/>
        <v/>
      </c>
      <c r="AZ513" s="32" t="s">
        <v>313</v>
      </c>
    </row>
    <row r="514" spans="1:52" ht="34" customHeight="1">
      <c r="A514" s="28" t="s">
        <v>328</v>
      </c>
      <c r="B514" s="29" t="s">
        <v>229</v>
      </c>
      <c r="C514" s="29" t="s">
        <v>52</v>
      </c>
      <c r="D514" s="29" t="s">
        <v>65</v>
      </c>
      <c r="E514" s="29" t="s">
        <v>68</v>
      </c>
      <c r="F514" s="29" t="s">
        <v>316</v>
      </c>
      <c r="G514" s="30" t="s">
        <v>312</v>
      </c>
      <c r="H514" s="31"/>
      <c r="I514" s="31">
        <v>128</v>
      </c>
      <c r="J514" s="32" t="str">
        <f t="shared" si="176"/>
        <v/>
      </c>
      <c r="K514" s="31"/>
      <c r="L514" s="31">
        <v>0</v>
      </c>
      <c r="M514" s="32" t="str">
        <f t="shared" si="177"/>
        <v/>
      </c>
      <c r="N514" s="31"/>
      <c r="O514" s="31">
        <v>15598.23</v>
      </c>
      <c r="P514" s="32" t="str">
        <f t="shared" si="178"/>
        <v/>
      </c>
      <c r="Q514" s="31"/>
      <c r="R514" s="31">
        <v>-8837</v>
      </c>
      <c r="S514" s="32" t="str">
        <f t="shared" si="179"/>
        <v/>
      </c>
      <c r="T514" s="31"/>
      <c r="U514" s="31">
        <v>-5632</v>
      </c>
      <c r="V514" s="32" t="str">
        <f t="shared" si="180"/>
        <v/>
      </c>
      <c r="W514" s="31"/>
      <c r="X514" s="31">
        <v>0</v>
      </c>
      <c r="Y514" s="32" t="str">
        <f t="shared" si="181"/>
        <v/>
      </c>
      <c r="Z514" s="31" t="str">
        <f t="shared" si="161"/>
        <v/>
      </c>
      <c r="AA514" s="31">
        <f t="shared" si="162"/>
        <v>1257.2299999999996</v>
      </c>
      <c r="AB514" s="32" t="str">
        <f t="shared" si="182"/>
        <v/>
      </c>
      <c r="AC514" s="31"/>
      <c r="AD514" s="31"/>
      <c r="AE514" s="32" t="str">
        <f t="shared" si="163"/>
        <v/>
      </c>
      <c r="AF514" s="32" t="s">
        <v>313</v>
      </c>
      <c r="AG514" s="31"/>
      <c r="AH514" s="31"/>
      <c r="AI514" s="32" t="str">
        <f t="shared" si="164"/>
        <v/>
      </c>
      <c r="AJ514" s="32" t="s">
        <v>313</v>
      </c>
      <c r="AK514" s="31"/>
      <c r="AL514" s="31"/>
      <c r="AM514" s="32" t="str">
        <f t="shared" si="165"/>
        <v/>
      </c>
      <c r="AN514" s="32" t="s">
        <v>313</v>
      </c>
      <c r="AO514" s="31"/>
      <c r="AP514" s="31"/>
      <c r="AQ514" s="32" t="str">
        <f t="shared" si="166"/>
        <v/>
      </c>
      <c r="AR514" s="32" t="s">
        <v>313</v>
      </c>
      <c r="AS514" s="31"/>
      <c r="AT514" s="31"/>
      <c r="AU514" s="32" t="str">
        <f t="shared" si="167"/>
        <v/>
      </c>
      <c r="AV514" s="32" t="s">
        <v>313</v>
      </c>
      <c r="AW514" s="31"/>
      <c r="AX514" s="31"/>
      <c r="AY514" s="32" t="str">
        <f t="shared" si="168"/>
        <v/>
      </c>
      <c r="AZ514" s="32" t="s">
        <v>313</v>
      </c>
    </row>
    <row r="515" spans="1:52" ht="34" customHeight="1">
      <c r="A515" s="28" t="s">
        <v>328</v>
      </c>
      <c r="B515" s="29" t="s">
        <v>229</v>
      </c>
      <c r="C515" s="29" t="s">
        <v>52</v>
      </c>
      <c r="D515" s="29" t="s">
        <v>65</v>
      </c>
      <c r="E515" s="29" t="s">
        <v>69</v>
      </c>
      <c r="F515" s="29" t="s">
        <v>316</v>
      </c>
      <c r="G515" s="30" t="s">
        <v>312</v>
      </c>
      <c r="H515" s="31"/>
      <c r="I515" s="31">
        <v>128</v>
      </c>
      <c r="J515" s="32" t="str">
        <f t="shared" si="176"/>
        <v/>
      </c>
      <c r="K515" s="31"/>
      <c r="L515" s="31">
        <v>0</v>
      </c>
      <c r="M515" s="32" t="str">
        <f t="shared" si="177"/>
        <v/>
      </c>
      <c r="N515" s="31"/>
      <c r="O515" s="31">
        <v>15598.23</v>
      </c>
      <c r="P515" s="32" t="str">
        <f t="shared" si="178"/>
        <v/>
      </c>
      <c r="Q515" s="31"/>
      <c r="R515" s="31">
        <v>-8837</v>
      </c>
      <c r="S515" s="32" t="str">
        <f t="shared" si="179"/>
        <v/>
      </c>
      <c r="T515" s="31"/>
      <c r="U515" s="31">
        <v>-5632</v>
      </c>
      <c r="V515" s="32" t="str">
        <f t="shared" si="180"/>
        <v/>
      </c>
      <c r="W515" s="31"/>
      <c r="X515" s="31">
        <v>0</v>
      </c>
      <c r="Y515" s="32" t="str">
        <f t="shared" si="181"/>
        <v/>
      </c>
      <c r="Z515" s="31" t="str">
        <f t="shared" si="161"/>
        <v/>
      </c>
      <c r="AA515" s="31">
        <f t="shared" si="162"/>
        <v>1257.2299999999996</v>
      </c>
      <c r="AB515" s="32" t="str">
        <f t="shared" si="182"/>
        <v/>
      </c>
      <c r="AC515" s="31"/>
      <c r="AD515" s="31"/>
      <c r="AE515" s="32" t="str">
        <f t="shared" si="163"/>
        <v/>
      </c>
      <c r="AF515" s="32" t="s">
        <v>313</v>
      </c>
      <c r="AG515" s="31"/>
      <c r="AH515" s="31"/>
      <c r="AI515" s="32" t="str">
        <f t="shared" si="164"/>
        <v/>
      </c>
      <c r="AJ515" s="32" t="s">
        <v>313</v>
      </c>
      <c r="AK515" s="31"/>
      <c r="AL515" s="31"/>
      <c r="AM515" s="32" t="str">
        <f t="shared" si="165"/>
        <v/>
      </c>
      <c r="AN515" s="32" t="s">
        <v>313</v>
      </c>
      <c r="AO515" s="31"/>
      <c r="AP515" s="31"/>
      <c r="AQ515" s="32" t="str">
        <f t="shared" si="166"/>
        <v/>
      </c>
      <c r="AR515" s="32" t="s">
        <v>313</v>
      </c>
      <c r="AS515" s="31"/>
      <c r="AT515" s="31"/>
      <c r="AU515" s="32" t="str">
        <f t="shared" si="167"/>
        <v/>
      </c>
      <c r="AV515" s="32" t="s">
        <v>313</v>
      </c>
      <c r="AW515" s="31"/>
      <c r="AX515" s="31"/>
      <c r="AY515" s="32" t="str">
        <f t="shared" si="168"/>
        <v/>
      </c>
      <c r="AZ515" s="32" t="s">
        <v>313</v>
      </c>
    </row>
    <row r="516" spans="1:52" ht="68" customHeight="1">
      <c r="A516" s="28" t="s">
        <v>328</v>
      </c>
      <c r="B516" s="29" t="s">
        <v>229</v>
      </c>
      <c r="C516" s="29" t="s">
        <v>52</v>
      </c>
      <c r="D516" s="29" t="s">
        <v>70</v>
      </c>
      <c r="E516" s="29" t="s">
        <v>73</v>
      </c>
      <c r="F516" s="29" t="s">
        <v>317</v>
      </c>
      <c r="G516" s="30" t="s">
        <v>312</v>
      </c>
      <c r="H516" s="31">
        <v>2.06</v>
      </c>
      <c r="I516" s="31">
        <v>128</v>
      </c>
      <c r="J516" s="32">
        <f t="shared" si="176"/>
        <v>1.609375E-2</v>
      </c>
      <c r="K516" s="31">
        <v>0</v>
      </c>
      <c r="L516" s="31">
        <v>0</v>
      </c>
      <c r="M516" s="32" t="str">
        <f t="shared" si="177"/>
        <v/>
      </c>
      <c r="N516" s="31">
        <v>199.92</v>
      </c>
      <c r="O516" s="31">
        <v>15598.23</v>
      </c>
      <c r="P516" s="32">
        <f t="shared" si="178"/>
        <v>1.2816838833636893E-2</v>
      </c>
      <c r="Q516" s="31">
        <v>114.24</v>
      </c>
      <c r="R516" s="31">
        <v>-8837</v>
      </c>
      <c r="S516" s="32">
        <f t="shared" si="179"/>
        <v>-1.2927464071517483E-2</v>
      </c>
      <c r="T516" s="31">
        <v>7.14</v>
      </c>
      <c r="U516" s="31">
        <v>-5632</v>
      </c>
      <c r="V516" s="32">
        <f t="shared" si="180"/>
        <v>-1.2677556818181817E-3</v>
      </c>
      <c r="W516" s="31">
        <v>0</v>
      </c>
      <c r="X516" s="31">
        <v>0</v>
      </c>
      <c r="Y516" s="32" t="str">
        <f t="shared" si="181"/>
        <v/>
      </c>
      <c r="Z516" s="31">
        <f t="shared" si="161"/>
        <v>323.35999999999996</v>
      </c>
      <c r="AA516" s="31">
        <f t="shared" si="162"/>
        <v>1257.2299999999996</v>
      </c>
      <c r="AB516" s="32">
        <f t="shared" si="182"/>
        <v>0.25720035315733802</v>
      </c>
      <c r="AC516" s="31"/>
      <c r="AD516" s="31"/>
      <c r="AE516" s="32" t="str">
        <f t="shared" si="163"/>
        <v/>
      </c>
      <c r="AF516" s="32" t="s">
        <v>313</v>
      </c>
      <c r="AG516" s="31"/>
      <c r="AH516" s="31"/>
      <c r="AI516" s="32" t="str">
        <f t="shared" si="164"/>
        <v/>
      </c>
      <c r="AJ516" s="32" t="s">
        <v>313</v>
      </c>
      <c r="AK516" s="31"/>
      <c r="AL516" s="31"/>
      <c r="AM516" s="32" t="str">
        <f t="shared" si="165"/>
        <v/>
      </c>
      <c r="AN516" s="32" t="s">
        <v>313</v>
      </c>
      <c r="AO516" s="31"/>
      <c r="AP516" s="31"/>
      <c r="AQ516" s="32" t="str">
        <f t="shared" si="166"/>
        <v/>
      </c>
      <c r="AR516" s="32" t="s">
        <v>313</v>
      </c>
      <c r="AS516" s="31"/>
      <c r="AT516" s="31"/>
      <c r="AU516" s="32" t="str">
        <f t="shared" si="167"/>
        <v/>
      </c>
      <c r="AV516" s="32" t="s">
        <v>313</v>
      </c>
      <c r="AW516" s="31"/>
      <c r="AX516" s="31"/>
      <c r="AY516" s="32" t="str">
        <f t="shared" si="168"/>
        <v/>
      </c>
      <c r="AZ516" s="32" t="s">
        <v>313</v>
      </c>
    </row>
    <row r="517" spans="1:52" ht="34" customHeight="1">
      <c r="A517" s="28" t="s">
        <v>328</v>
      </c>
      <c r="B517" s="29" t="s">
        <v>229</v>
      </c>
      <c r="C517" s="29" t="s">
        <v>52</v>
      </c>
      <c r="D517" s="29" t="s">
        <v>70</v>
      </c>
      <c r="E517" s="29" t="s">
        <v>71</v>
      </c>
      <c r="F517" s="29" t="s">
        <v>316</v>
      </c>
      <c r="G517" s="30" t="s">
        <v>312</v>
      </c>
      <c r="H517" s="31"/>
      <c r="I517" s="31">
        <v>128</v>
      </c>
      <c r="J517" s="32" t="str">
        <f t="shared" si="176"/>
        <v/>
      </c>
      <c r="K517" s="31"/>
      <c r="L517" s="31">
        <v>0</v>
      </c>
      <c r="M517" s="32" t="str">
        <f t="shared" si="177"/>
        <v/>
      </c>
      <c r="N517" s="31"/>
      <c r="O517" s="31">
        <v>15598.23</v>
      </c>
      <c r="P517" s="32" t="str">
        <f t="shared" si="178"/>
        <v/>
      </c>
      <c r="Q517" s="31"/>
      <c r="R517" s="31">
        <v>-8837</v>
      </c>
      <c r="S517" s="32" t="str">
        <f t="shared" si="179"/>
        <v/>
      </c>
      <c r="T517" s="31"/>
      <c r="U517" s="31">
        <v>-5632</v>
      </c>
      <c r="V517" s="32" t="str">
        <f t="shared" si="180"/>
        <v/>
      </c>
      <c r="W517" s="31"/>
      <c r="X517" s="31">
        <v>0</v>
      </c>
      <c r="Y517" s="32" t="str">
        <f t="shared" si="181"/>
        <v/>
      </c>
      <c r="Z517" s="31" t="str">
        <f t="shared" si="161"/>
        <v/>
      </c>
      <c r="AA517" s="31">
        <f t="shared" si="162"/>
        <v>1257.2299999999996</v>
      </c>
      <c r="AB517" s="32" t="str">
        <f t="shared" si="182"/>
        <v/>
      </c>
      <c r="AC517" s="31"/>
      <c r="AD517" s="31"/>
      <c r="AE517" s="32" t="str">
        <f t="shared" si="163"/>
        <v/>
      </c>
      <c r="AF517" s="32" t="s">
        <v>313</v>
      </c>
      <c r="AG517" s="31"/>
      <c r="AH517" s="31"/>
      <c r="AI517" s="32" t="str">
        <f t="shared" si="164"/>
        <v/>
      </c>
      <c r="AJ517" s="32" t="s">
        <v>313</v>
      </c>
      <c r="AK517" s="31"/>
      <c r="AL517" s="31"/>
      <c r="AM517" s="32" t="str">
        <f t="shared" si="165"/>
        <v/>
      </c>
      <c r="AN517" s="32" t="s">
        <v>313</v>
      </c>
      <c r="AO517" s="31"/>
      <c r="AP517" s="31"/>
      <c r="AQ517" s="32" t="str">
        <f t="shared" si="166"/>
        <v/>
      </c>
      <c r="AR517" s="32" t="s">
        <v>313</v>
      </c>
      <c r="AS517" s="31"/>
      <c r="AT517" s="31"/>
      <c r="AU517" s="32" t="str">
        <f t="shared" si="167"/>
        <v/>
      </c>
      <c r="AV517" s="32" t="s">
        <v>313</v>
      </c>
      <c r="AW517" s="31"/>
      <c r="AX517" s="31"/>
      <c r="AY517" s="32" t="str">
        <f t="shared" si="168"/>
        <v/>
      </c>
      <c r="AZ517" s="32" t="s">
        <v>313</v>
      </c>
    </row>
    <row r="518" spans="1:52" ht="34" customHeight="1">
      <c r="A518" s="28" t="s">
        <v>328</v>
      </c>
      <c r="B518" s="29" t="s">
        <v>229</v>
      </c>
      <c r="C518" s="29" t="s">
        <v>52</v>
      </c>
      <c r="D518" s="29" t="s">
        <v>70</v>
      </c>
      <c r="E518" s="29" t="s">
        <v>72</v>
      </c>
      <c r="F518" s="29" t="s">
        <v>316</v>
      </c>
      <c r="G518" s="30" t="s">
        <v>312</v>
      </c>
      <c r="H518" s="31"/>
      <c r="I518" s="31">
        <v>128</v>
      </c>
      <c r="J518" s="32" t="str">
        <f t="shared" si="176"/>
        <v/>
      </c>
      <c r="K518" s="31"/>
      <c r="L518" s="31">
        <v>0</v>
      </c>
      <c r="M518" s="32" t="str">
        <f t="shared" si="177"/>
        <v/>
      </c>
      <c r="N518" s="31"/>
      <c r="O518" s="31">
        <v>15598.23</v>
      </c>
      <c r="P518" s="32" t="str">
        <f t="shared" si="178"/>
        <v/>
      </c>
      <c r="Q518" s="31"/>
      <c r="R518" s="31">
        <v>-8837</v>
      </c>
      <c r="S518" s="32" t="str">
        <f t="shared" si="179"/>
        <v/>
      </c>
      <c r="T518" s="31"/>
      <c r="U518" s="31">
        <v>-5632</v>
      </c>
      <c r="V518" s="32" t="str">
        <f t="shared" si="180"/>
        <v/>
      </c>
      <c r="W518" s="31"/>
      <c r="X518" s="31">
        <v>0</v>
      </c>
      <c r="Y518" s="32" t="str">
        <f t="shared" si="181"/>
        <v/>
      </c>
      <c r="Z518" s="31" t="str">
        <f t="shared" ref="Z518:Z532" si="183">IF(COUNT(H518,K518,N518,Q518,T518,W518)=0,"",SUM(H518,K518,N518,Q518,T518,W518))</f>
        <v/>
      </c>
      <c r="AA518" s="31">
        <f t="shared" ref="AA518:AA532" si="184">IF(COUNT(I518,L518,O518,R518,U518,X518)=0,"",SUM(I518,L518,O518,R518,U518,X518))</f>
        <v>1257.2299999999996</v>
      </c>
      <c r="AB518" s="32" t="str">
        <f t="shared" si="182"/>
        <v/>
      </c>
      <c r="AC518" s="31"/>
      <c r="AD518" s="31"/>
      <c r="AE518" s="32" t="str">
        <f t="shared" ref="AE518:AE532" si="185">IF(AC518="","",IFERROR(AC518/AD518,""))</f>
        <v/>
      </c>
      <c r="AF518" s="32" t="s">
        <v>313</v>
      </c>
      <c r="AG518" s="31"/>
      <c r="AH518" s="31"/>
      <c r="AI518" s="32" t="str">
        <f t="shared" ref="AI518:AI532" si="186">IF(AG518="","",IFERROR(AG518/AH518,""))</f>
        <v/>
      </c>
      <c r="AJ518" s="32" t="s">
        <v>313</v>
      </c>
      <c r="AK518" s="31"/>
      <c r="AL518" s="31"/>
      <c r="AM518" s="32" t="str">
        <f t="shared" ref="AM518:AM532" si="187">IF(AK518="","",IFERROR(AK518/AL518,""))</f>
        <v/>
      </c>
      <c r="AN518" s="32" t="s">
        <v>313</v>
      </c>
      <c r="AO518" s="31"/>
      <c r="AP518" s="31"/>
      <c r="AQ518" s="32" t="str">
        <f t="shared" ref="AQ518:AQ532" si="188">IF(AO518="","",IFERROR(AO518/AP518,""))</f>
        <v/>
      </c>
      <c r="AR518" s="32" t="s">
        <v>313</v>
      </c>
      <c r="AS518" s="31"/>
      <c r="AT518" s="31"/>
      <c r="AU518" s="32" t="str">
        <f t="shared" ref="AU518:AU532" si="189">IF(AS518="","",IFERROR(AS518/AT518,""))</f>
        <v/>
      </c>
      <c r="AV518" s="32" t="s">
        <v>313</v>
      </c>
      <c r="AW518" s="31"/>
      <c r="AX518" s="31"/>
      <c r="AY518" s="32" t="str">
        <f t="shared" ref="AY518:AY532" si="190">IF(AW518="","",IFERROR(AW518/AX518,""))</f>
        <v/>
      </c>
      <c r="AZ518" s="32" t="s">
        <v>313</v>
      </c>
    </row>
    <row r="519" spans="1:52" ht="34" customHeight="1">
      <c r="A519" s="28" t="s">
        <v>328</v>
      </c>
      <c r="B519" s="29" t="s">
        <v>229</v>
      </c>
      <c r="C519" s="29" t="s">
        <v>52</v>
      </c>
      <c r="D519" s="29" t="s">
        <v>74</v>
      </c>
      <c r="E519" s="29" t="s">
        <v>75</v>
      </c>
      <c r="F519" s="29" t="s">
        <v>139</v>
      </c>
      <c r="G519" s="30" t="s">
        <v>312</v>
      </c>
      <c r="H519" s="31">
        <v>3.5</v>
      </c>
      <c r="I519" s="31">
        <v>128</v>
      </c>
      <c r="J519" s="32">
        <f t="shared" si="176"/>
        <v>2.734375E-2</v>
      </c>
      <c r="K519" s="31">
        <v>0</v>
      </c>
      <c r="L519" s="31">
        <v>0</v>
      </c>
      <c r="M519" s="32" t="str">
        <f t="shared" si="177"/>
        <v/>
      </c>
      <c r="N519" s="31">
        <v>374.3</v>
      </c>
      <c r="O519" s="31">
        <v>15598.23</v>
      </c>
      <c r="P519" s="32">
        <f t="shared" si="178"/>
        <v>2.3996312402112294E-2</v>
      </c>
      <c r="Q519" s="31">
        <v>242.9</v>
      </c>
      <c r="R519" s="31">
        <v>-8837</v>
      </c>
      <c r="S519" s="32">
        <f t="shared" si="179"/>
        <v>-2.7486703632454455E-2</v>
      </c>
      <c r="T519" s="31">
        <v>19.399999999999999</v>
      </c>
      <c r="U519" s="31">
        <v>-5632</v>
      </c>
      <c r="V519" s="32">
        <f t="shared" si="180"/>
        <v>-3.4446022727272724E-3</v>
      </c>
      <c r="W519" s="31">
        <v>0</v>
      </c>
      <c r="X519" s="31">
        <v>0</v>
      </c>
      <c r="Y519" s="32" t="str">
        <f t="shared" si="181"/>
        <v/>
      </c>
      <c r="Z519" s="31">
        <f t="shared" si="183"/>
        <v>640.1</v>
      </c>
      <c r="AA519" s="31">
        <f t="shared" si="184"/>
        <v>1257.2299999999996</v>
      </c>
      <c r="AB519" s="32">
        <f t="shared" si="182"/>
        <v>0.50913516222170985</v>
      </c>
      <c r="AC519" s="31"/>
      <c r="AD519" s="31"/>
      <c r="AE519" s="32" t="str">
        <f t="shared" si="185"/>
        <v/>
      </c>
      <c r="AF519" s="32" t="s">
        <v>313</v>
      </c>
      <c r="AG519" s="31"/>
      <c r="AH519" s="31"/>
      <c r="AI519" s="32" t="str">
        <f t="shared" si="186"/>
        <v/>
      </c>
      <c r="AJ519" s="32" t="s">
        <v>313</v>
      </c>
      <c r="AK519" s="31"/>
      <c r="AL519" s="31"/>
      <c r="AM519" s="32" t="str">
        <f t="shared" si="187"/>
        <v/>
      </c>
      <c r="AN519" s="32" t="s">
        <v>313</v>
      </c>
      <c r="AO519" s="31"/>
      <c r="AP519" s="31"/>
      <c r="AQ519" s="32" t="str">
        <f t="shared" si="188"/>
        <v/>
      </c>
      <c r="AR519" s="32" t="s">
        <v>313</v>
      </c>
      <c r="AS519" s="31"/>
      <c r="AT519" s="31"/>
      <c r="AU519" s="32" t="str">
        <f t="shared" si="189"/>
        <v/>
      </c>
      <c r="AV519" s="32" t="s">
        <v>313</v>
      </c>
      <c r="AW519" s="31"/>
      <c r="AX519" s="31"/>
      <c r="AY519" s="32" t="str">
        <f t="shared" si="190"/>
        <v/>
      </c>
      <c r="AZ519" s="32" t="s">
        <v>313</v>
      </c>
    </row>
    <row r="520" spans="1:52" ht="34" customHeight="1">
      <c r="A520" s="28" t="s">
        <v>328</v>
      </c>
      <c r="B520" s="29" t="s">
        <v>229</v>
      </c>
      <c r="C520" s="29" t="s">
        <v>52</v>
      </c>
      <c r="D520" s="29" t="s">
        <v>74</v>
      </c>
      <c r="E520" s="29" t="s">
        <v>76</v>
      </c>
      <c r="F520" s="29" t="s">
        <v>141</v>
      </c>
      <c r="G520" s="30" t="s">
        <v>312</v>
      </c>
      <c r="H520" s="31">
        <v>1.8404050000000001</v>
      </c>
      <c r="I520" s="31">
        <v>128</v>
      </c>
      <c r="J520" s="32">
        <f t="shared" si="176"/>
        <v>1.4378164062500001E-2</v>
      </c>
      <c r="K520" s="31">
        <v>0</v>
      </c>
      <c r="L520" s="31">
        <v>0</v>
      </c>
      <c r="M520" s="32" t="str">
        <f t="shared" si="177"/>
        <v/>
      </c>
      <c r="N520" s="31">
        <v>139.46</v>
      </c>
      <c r="O520" s="31">
        <v>15598.23</v>
      </c>
      <c r="P520" s="32">
        <f t="shared" si="178"/>
        <v>8.9407580219037688E-3</v>
      </c>
      <c r="Q520" s="31">
        <v>79.53</v>
      </c>
      <c r="R520" s="31">
        <v>-8837</v>
      </c>
      <c r="S520" s="32">
        <f t="shared" si="179"/>
        <v>-8.9996605182754326E-3</v>
      </c>
      <c r="T520" s="31">
        <v>4.71</v>
      </c>
      <c r="U520" s="31">
        <v>-5632</v>
      </c>
      <c r="V520" s="32">
        <f t="shared" si="180"/>
        <v>-8.362926136363636E-4</v>
      </c>
      <c r="W520" s="31">
        <v>0</v>
      </c>
      <c r="X520" s="31">
        <v>0</v>
      </c>
      <c r="Y520" s="32" t="str">
        <f t="shared" si="181"/>
        <v/>
      </c>
      <c r="Z520" s="31">
        <f t="shared" si="183"/>
        <v>225.54040500000002</v>
      </c>
      <c r="AA520" s="31">
        <f t="shared" si="184"/>
        <v>1257.2299999999996</v>
      </c>
      <c r="AB520" s="32">
        <f t="shared" si="182"/>
        <v>0.17939470502612895</v>
      </c>
      <c r="AC520" s="31"/>
      <c r="AD520" s="31"/>
      <c r="AE520" s="32" t="str">
        <f t="shared" si="185"/>
        <v/>
      </c>
      <c r="AF520" s="32" t="s">
        <v>313</v>
      </c>
      <c r="AG520" s="31"/>
      <c r="AH520" s="31"/>
      <c r="AI520" s="32" t="str">
        <f t="shared" si="186"/>
        <v/>
      </c>
      <c r="AJ520" s="32" t="s">
        <v>313</v>
      </c>
      <c r="AK520" s="31"/>
      <c r="AL520" s="31"/>
      <c r="AM520" s="32" t="str">
        <f t="shared" si="187"/>
        <v/>
      </c>
      <c r="AN520" s="32" t="s">
        <v>313</v>
      </c>
      <c r="AO520" s="31"/>
      <c r="AP520" s="31"/>
      <c r="AQ520" s="32" t="str">
        <f t="shared" si="188"/>
        <v/>
      </c>
      <c r="AR520" s="32" t="s">
        <v>313</v>
      </c>
      <c r="AS520" s="31"/>
      <c r="AT520" s="31"/>
      <c r="AU520" s="32" t="str">
        <f t="shared" si="189"/>
        <v/>
      </c>
      <c r="AV520" s="32" t="s">
        <v>313</v>
      </c>
      <c r="AW520" s="31"/>
      <c r="AX520" s="31"/>
      <c r="AY520" s="32" t="str">
        <f t="shared" si="190"/>
        <v/>
      </c>
      <c r="AZ520" s="32" t="s">
        <v>313</v>
      </c>
    </row>
    <row r="521" spans="1:52" ht="34" customHeight="1">
      <c r="A521" s="28" t="s">
        <v>328</v>
      </c>
      <c r="B521" s="29" t="s">
        <v>229</v>
      </c>
      <c r="C521" s="29" t="s">
        <v>52</v>
      </c>
      <c r="D521" s="29" t="s">
        <v>74</v>
      </c>
      <c r="E521" s="29" t="s">
        <v>77</v>
      </c>
      <c r="F521" s="29" t="s">
        <v>316</v>
      </c>
      <c r="G521" s="30" t="s">
        <v>312</v>
      </c>
      <c r="H521" s="31"/>
      <c r="I521" s="31">
        <v>128</v>
      </c>
      <c r="J521" s="32" t="str">
        <f t="shared" si="176"/>
        <v/>
      </c>
      <c r="K521" s="31"/>
      <c r="L521" s="31">
        <v>0</v>
      </c>
      <c r="M521" s="32" t="str">
        <f t="shared" si="177"/>
        <v/>
      </c>
      <c r="N521" s="31"/>
      <c r="O521" s="31">
        <v>15598.23</v>
      </c>
      <c r="P521" s="32" t="str">
        <f t="shared" si="178"/>
        <v/>
      </c>
      <c r="Q521" s="31"/>
      <c r="R521" s="31">
        <v>-8837</v>
      </c>
      <c r="S521" s="32" t="str">
        <f t="shared" si="179"/>
        <v/>
      </c>
      <c r="T521" s="31"/>
      <c r="U521" s="31">
        <v>-5632</v>
      </c>
      <c r="V521" s="32" t="str">
        <f t="shared" si="180"/>
        <v/>
      </c>
      <c r="W521" s="31"/>
      <c r="X521" s="31">
        <v>0</v>
      </c>
      <c r="Y521" s="32" t="str">
        <f t="shared" si="181"/>
        <v/>
      </c>
      <c r="Z521" s="31" t="str">
        <f t="shared" si="183"/>
        <v/>
      </c>
      <c r="AA521" s="31">
        <f t="shared" si="184"/>
        <v>1257.2299999999996</v>
      </c>
      <c r="AB521" s="32" t="str">
        <f t="shared" si="182"/>
        <v/>
      </c>
      <c r="AC521" s="31"/>
      <c r="AD521" s="31"/>
      <c r="AE521" s="32" t="str">
        <f t="shared" si="185"/>
        <v/>
      </c>
      <c r="AF521" s="32" t="s">
        <v>313</v>
      </c>
      <c r="AG521" s="31"/>
      <c r="AH521" s="31"/>
      <c r="AI521" s="32" t="str">
        <f t="shared" si="186"/>
        <v/>
      </c>
      <c r="AJ521" s="32" t="s">
        <v>313</v>
      </c>
      <c r="AK521" s="31"/>
      <c r="AL521" s="31"/>
      <c r="AM521" s="32" t="str">
        <f t="shared" si="187"/>
        <v/>
      </c>
      <c r="AN521" s="32" t="s">
        <v>313</v>
      </c>
      <c r="AO521" s="31"/>
      <c r="AP521" s="31"/>
      <c r="AQ521" s="32" t="str">
        <f t="shared" si="188"/>
        <v/>
      </c>
      <c r="AR521" s="32" t="s">
        <v>313</v>
      </c>
      <c r="AS521" s="31"/>
      <c r="AT521" s="31"/>
      <c r="AU521" s="32" t="str">
        <f t="shared" si="189"/>
        <v/>
      </c>
      <c r="AV521" s="32" t="s">
        <v>313</v>
      </c>
      <c r="AW521" s="31"/>
      <c r="AX521" s="31"/>
      <c r="AY521" s="32" t="str">
        <f t="shared" si="190"/>
        <v/>
      </c>
      <c r="AZ521" s="32" t="s">
        <v>313</v>
      </c>
    </row>
    <row r="522" spans="1:52" ht="34" customHeight="1">
      <c r="A522" s="28" t="s">
        <v>328</v>
      </c>
      <c r="B522" s="29" t="s">
        <v>229</v>
      </c>
      <c r="C522" s="29" t="s">
        <v>52</v>
      </c>
      <c r="D522" s="29" t="s">
        <v>74</v>
      </c>
      <c r="E522" s="29" t="s">
        <v>78</v>
      </c>
      <c r="F522" s="29" t="s">
        <v>144</v>
      </c>
      <c r="G522" s="30" t="s">
        <v>312</v>
      </c>
      <c r="H522" s="31">
        <v>0</v>
      </c>
      <c r="I522" s="31">
        <v>128</v>
      </c>
      <c r="J522" s="32">
        <f t="shared" si="176"/>
        <v>0</v>
      </c>
      <c r="K522" s="31">
        <v>0</v>
      </c>
      <c r="L522" s="31">
        <v>0</v>
      </c>
      <c r="M522" s="32" t="str">
        <f t="shared" si="177"/>
        <v/>
      </c>
      <c r="N522" s="31">
        <v>55.990987375979003</v>
      </c>
      <c r="O522" s="31">
        <v>15598.23</v>
      </c>
      <c r="P522" s="32">
        <f t="shared" si="178"/>
        <v>3.5895731359249739E-3</v>
      </c>
      <c r="Q522" s="31">
        <v>63.9144727800754</v>
      </c>
      <c r="R522" s="31">
        <v>-8837</v>
      </c>
      <c r="S522" s="32">
        <f t="shared" si="179"/>
        <v>-7.2325984813936175E-3</v>
      </c>
      <c r="T522" s="31">
        <v>3.3588219930805199</v>
      </c>
      <c r="U522" s="31">
        <v>-5632</v>
      </c>
      <c r="V522" s="32">
        <f t="shared" si="180"/>
        <v>-5.9638174593049E-4</v>
      </c>
      <c r="W522" s="31">
        <v>0</v>
      </c>
      <c r="X522" s="31">
        <v>0</v>
      </c>
      <c r="Y522" s="32" t="str">
        <f t="shared" si="181"/>
        <v/>
      </c>
      <c r="Z522" s="31">
        <f t="shared" si="183"/>
        <v>123.26428214913493</v>
      </c>
      <c r="AA522" s="31">
        <f t="shared" si="184"/>
        <v>1257.2299999999996</v>
      </c>
      <c r="AB522" s="32">
        <f t="shared" si="182"/>
        <v>9.8044337272523693E-2</v>
      </c>
      <c r="AC522" s="31"/>
      <c r="AD522" s="31"/>
      <c r="AE522" s="32" t="str">
        <f t="shared" si="185"/>
        <v/>
      </c>
      <c r="AF522" s="32" t="s">
        <v>313</v>
      </c>
      <c r="AG522" s="31"/>
      <c r="AH522" s="31"/>
      <c r="AI522" s="32" t="str">
        <f t="shared" si="186"/>
        <v/>
      </c>
      <c r="AJ522" s="32" t="s">
        <v>313</v>
      </c>
      <c r="AK522" s="31"/>
      <c r="AL522" s="31"/>
      <c r="AM522" s="32" t="str">
        <f t="shared" si="187"/>
        <v/>
      </c>
      <c r="AN522" s="32" t="s">
        <v>313</v>
      </c>
      <c r="AO522" s="31"/>
      <c r="AP522" s="31"/>
      <c r="AQ522" s="32" t="str">
        <f t="shared" si="188"/>
        <v/>
      </c>
      <c r="AR522" s="32" t="s">
        <v>313</v>
      </c>
      <c r="AS522" s="31"/>
      <c r="AT522" s="31"/>
      <c r="AU522" s="32" t="str">
        <f t="shared" si="189"/>
        <v/>
      </c>
      <c r="AV522" s="32" t="s">
        <v>313</v>
      </c>
      <c r="AW522" s="31"/>
      <c r="AX522" s="31"/>
      <c r="AY522" s="32" t="str">
        <f t="shared" si="190"/>
        <v/>
      </c>
      <c r="AZ522" s="32" t="s">
        <v>313</v>
      </c>
    </row>
    <row r="523" spans="1:52" ht="34" customHeight="1">
      <c r="A523" s="28" t="s">
        <v>328</v>
      </c>
      <c r="B523" s="29" t="s">
        <v>229</v>
      </c>
      <c r="C523" s="29" t="s">
        <v>52</v>
      </c>
      <c r="D523" s="29" t="s">
        <v>79</v>
      </c>
      <c r="E523" s="29" t="s">
        <v>80</v>
      </c>
      <c r="F523" s="29" t="s">
        <v>318</v>
      </c>
      <c r="G523" s="30" t="s">
        <v>312</v>
      </c>
      <c r="H523" s="31">
        <v>0</v>
      </c>
      <c r="I523" s="31">
        <v>128</v>
      </c>
      <c r="J523" s="32">
        <f t="shared" si="176"/>
        <v>0</v>
      </c>
      <c r="K523" s="31">
        <v>0</v>
      </c>
      <c r="L523" s="31">
        <v>0</v>
      </c>
      <c r="M523" s="32" t="str">
        <f t="shared" si="177"/>
        <v/>
      </c>
      <c r="N523" s="31">
        <v>675.41853650252096</v>
      </c>
      <c r="O523" s="31">
        <v>15598.23</v>
      </c>
      <c r="P523" s="32">
        <f t="shared" si="178"/>
        <v>4.3300973027229434E-2</v>
      </c>
      <c r="Q523" s="31">
        <v>-760.95167831767799</v>
      </c>
      <c r="R523" s="31">
        <v>-8837</v>
      </c>
      <c r="S523" s="32">
        <f t="shared" si="179"/>
        <v>8.6109729355853565E-2</v>
      </c>
      <c r="T523" s="31">
        <v>-401.23500287901498</v>
      </c>
      <c r="U523" s="31">
        <v>-5632</v>
      </c>
      <c r="V523" s="32">
        <f t="shared" si="180"/>
        <v>7.1242010454370563E-2</v>
      </c>
      <c r="W523" s="31">
        <v>0</v>
      </c>
      <c r="X523" s="31">
        <v>0</v>
      </c>
      <c r="Y523" s="32" t="str">
        <f t="shared" si="181"/>
        <v/>
      </c>
      <c r="Z523" s="31">
        <f t="shared" si="183"/>
        <v>-486.76814469417201</v>
      </c>
      <c r="AA523" s="31">
        <f t="shared" si="184"/>
        <v>1257.2299999999996</v>
      </c>
      <c r="AB523" s="32">
        <f t="shared" si="182"/>
        <v>-0.38717509500582403</v>
      </c>
      <c r="AC523" s="31"/>
      <c r="AD523" s="31"/>
      <c r="AE523" s="32" t="str">
        <f t="shared" si="185"/>
        <v/>
      </c>
      <c r="AF523" s="32" t="s">
        <v>313</v>
      </c>
      <c r="AG523" s="31"/>
      <c r="AH523" s="31"/>
      <c r="AI523" s="32" t="str">
        <f t="shared" si="186"/>
        <v/>
      </c>
      <c r="AJ523" s="32" t="s">
        <v>313</v>
      </c>
      <c r="AK523" s="31"/>
      <c r="AL523" s="31"/>
      <c r="AM523" s="32" t="str">
        <f t="shared" si="187"/>
        <v/>
      </c>
      <c r="AN523" s="32" t="s">
        <v>313</v>
      </c>
      <c r="AO523" s="31"/>
      <c r="AP523" s="31"/>
      <c r="AQ523" s="32" t="str">
        <f t="shared" si="188"/>
        <v/>
      </c>
      <c r="AR523" s="32" t="s">
        <v>313</v>
      </c>
      <c r="AS523" s="31"/>
      <c r="AT523" s="31"/>
      <c r="AU523" s="32" t="str">
        <f t="shared" si="189"/>
        <v/>
      </c>
      <c r="AV523" s="32" t="s">
        <v>313</v>
      </c>
      <c r="AW523" s="31"/>
      <c r="AX523" s="31"/>
      <c r="AY523" s="32" t="str">
        <f t="shared" si="190"/>
        <v/>
      </c>
      <c r="AZ523" s="32" t="s">
        <v>313</v>
      </c>
    </row>
    <row r="524" spans="1:52" ht="34" customHeight="1">
      <c r="A524" s="28" t="s">
        <v>328</v>
      </c>
      <c r="B524" s="29" t="s">
        <v>229</v>
      </c>
      <c r="C524" s="29" t="s">
        <v>52</v>
      </c>
      <c r="D524" s="29" t="s">
        <v>79</v>
      </c>
      <c r="E524" s="29" t="s">
        <v>81</v>
      </c>
      <c r="F524" s="29" t="s">
        <v>316</v>
      </c>
      <c r="G524" s="30" t="s">
        <v>312</v>
      </c>
      <c r="H524" s="31"/>
      <c r="I524" s="31">
        <v>128</v>
      </c>
      <c r="J524" s="32" t="str">
        <f t="shared" si="176"/>
        <v/>
      </c>
      <c r="K524" s="31"/>
      <c r="L524" s="31">
        <v>0</v>
      </c>
      <c r="M524" s="32" t="str">
        <f t="shared" si="177"/>
        <v/>
      </c>
      <c r="N524" s="31"/>
      <c r="O524" s="31">
        <v>15598.23</v>
      </c>
      <c r="P524" s="32" t="str">
        <f t="shared" si="178"/>
        <v/>
      </c>
      <c r="Q524" s="31"/>
      <c r="R524" s="31">
        <v>-8837</v>
      </c>
      <c r="S524" s="32" t="str">
        <f t="shared" si="179"/>
        <v/>
      </c>
      <c r="T524" s="31"/>
      <c r="U524" s="31">
        <v>-5632</v>
      </c>
      <c r="V524" s="32" t="str">
        <f t="shared" si="180"/>
        <v/>
      </c>
      <c r="W524" s="31"/>
      <c r="X524" s="31">
        <v>0</v>
      </c>
      <c r="Y524" s="32" t="str">
        <f t="shared" si="181"/>
        <v/>
      </c>
      <c r="Z524" s="31" t="str">
        <f t="shared" si="183"/>
        <v/>
      </c>
      <c r="AA524" s="31">
        <f t="shared" si="184"/>
        <v>1257.2299999999996</v>
      </c>
      <c r="AB524" s="32" t="str">
        <f t="shared" si="182"/>
        <v/>
      </c>
      <c r="AC524" s="31"/>
      <c r="AD524" s="31"/>
      <c r="AE524" s="32" t="str">
        <f t="shared" si="185"/>
        <v/>
      </c>
      <c r="AF524" s="32" t="s">
        <v>313</v>
      </c>
      <c r="AG524" s="31"/>
      <c r="AH524" s="31"/>
      <c r="AI524" s="32" t="str">
        <f t="shared" si="186"/>
        <v/>
      </c>
      <c r="AJ524" s="32" t="s">
        <v>313</v>
      </c>
      <c r="AK524" s="31"/>
      <c r="AL524" s="31"/>
      <c r="AM524" s="32" t="str">
        <f t="shared" si="187"/>
        <v/>
      </c>
      <c r="AN524" s="32" t="s">
        <v>313</v>
      </c>
      <c r="AO524" s="31"/>
      <c r="AP524" s="31"/>
      <c r="AQ524" s="32" t="str">
        <f t="shared" si="188"/>
        <v/>
      </c>
      <c r="AR524" s="32" t="s">
        <v>313</v>
      </c>
      <c r="AS524" s="31"/>
      <c r="AT524" s="31"/>
      <c r="AU524" s="32" t="str">
        <f t="shared" si="189"/>
        <v/>
      </c>
      <c r="AV524" s="32" t="s">
        <v>313</v>
      </c>
      <c r="AW524" s="31"/>
      <c r="AX524" s="31"/>
      <c r="AY524" s="32" t="str">
        <f t="shared" si="190"/>
        <v/>
      </c>
      <c r="AZ524" s="32" t="s">
        <v>313</v>
      </c>
    </row>
    <row r="525" spans="1:52" ht="34" customHeight="1">
      <c r="A525" s="28" t="s">
        <v>328</v>
      </c>
      <c r="B525" s="29" t="s">
        <v>229</v>
      </c>
      <c r="C525" s="29" t="s">
        <v>52</v>
      </c>
      <c r="D525" s="29" t="s">
        <v>79</v>
      </c>
      <c r="E525" s="29" t="s">
        <v>82</v>
      </c>
      <c r="F525" s="29" t="s">
        <v>316</v>
      </c>
      <c r="G525" s="30" t="s">
        <v>312</v>
      </c>
      <c r="H525" s="31"/>
      <c r="I525" s="31">
        <v>128</v>
      </c>
      <c r="J525" s="32" t="str">
        <f t="shared" si="176"/>
        <v/>
      </c>
      <c r="K525" s="31"/>
      <c r="L525" s="31">
        <v>0</v>
      </c>
      <c r="M525" s="32" t="str">
        <f t="shared" si="177"/>
        <v/>
      </c>
      <c r="N525" s="31"/>
      <c r="O525" s="31">
        <v>15598.23</v>
      </c>
      <c r="P525" s="32" t="str">
        <f t="shared" si="178"/>
        <v/>
      </c>
      <c r="Q525" s="31"/>
      <c r="R525" s="31">
        <v>-8837</v>
      </c>
      <c r="S525" s="32" t="str">
        <f t="shared" si="179"/>
        <v/>
      </c>
      <c r="T525" s="31"/>
      <c r="U525" s="31">
        <v>-5632</v>
      </c>
      <c r="V525" s="32" t="str">
        <f t="shared" si="180"/>
        <v/>
      </c>
      <c r="W525" s="31"/>
      <c r="X525" s="31">
        <v>0</v>
      </c>
      <c r="Y525" s="32" t="str">
        <f t="shared" si="181"/>
        <v/>
      </c>
      <c r="Z525" s="31" t="str">
        <f t="shared" si="183"/>
        <v/>
      </c>
      <c r="AA525" s="31">
        <f t="shared" si="184"/>
        <v>1257.2299999999996</v>
      </c>
      <c r="AB525" s="32" t="str">
        <f t="shared" si="182"/>
        <v/>
      </c>
      <c r="AC525" s="31"/>
      <c r="AD525" s="31"/>
      <c r="AE525" s="32" t="str">
        <f t="shared" si="185"/>
        <v/>
      </c>
      <c r="AF525" s="32" t="s">
        <v>313</v>
      </c>
      <c r="AG525" s="31"/>
      <c r="AH525" s="31"/>
      <c r="AI525" s="32" t="str">
        <f t="shared" si="186"/>
        <v/>
      </c>
      <c r="AJ525" s="32" t="s">
        <v>313</v>
      </c>
      <c r="AK525" s="31"/>
      <c r="AL525" s="31"/>
      <c r="AM525" s="32" t="str">
        <f t="shared" si="187"/>
        <v/>
      </c>
      <c r="AN525" s="32" t="s">
        <v>313</v>
      </c>
      <c r="AO525" s="31"/>
      <c r="AP525" s="31"/>
      <c r="AQ525" s="32" t="str">
        <f t="shared" si="188"/>
        <v/>
      </c>
      <c r="AR525" s="32" t="s">
        <v>313</v>
      </c>
      <c r="AS525" s="31"/>
      <c r="AT525" s="31"/>
      <c r="AU525" s="32" t="str">
        <f t="shared" si="189"/>
        <v/>
      </c>
      <c r="AV525" s="32" t="s">
        <v>313</v>
      </c>
      <c r="AW525" s="31"/>
      <c r="AX525" s="31"/>
      <c r="AY525" s="32" t="str">
        <f t="shared" si="190"/>
        <v/>
      </c>
      <c r="AZ525" s="32" t="s">
        <v>313</v>
      </c>
    </row>
    <row r="526" spans="1:52" ht="34" customHeight="1">
      <c r="A526" s="28" t="s">
        <v>328</v>
      </c>
      <c r="B526" s="29" t="s">
        <v>229</v>
      </c>
      <c r="C526" s="29" t="s">
        <v>85</v>
      </c>
      <c r="D526" s="29" t="s">
        <v>79</v>
      </c>
      <c r="E526" s="29" t="s">
        <v>80</v>
      </c>
      <c r="F526" s="29" t="s">
        <v>316</v>
      </c>
      <c r="G526" s="30" t="s">
        <v>312</v>
      </c>
      <c r="H526" s="31"/>
      <c r="I526" s="31">
        <v>128</v>
      </c>
      <c r="J526" s="32" t="str">
        <f t="shared" si="176"/>
        <v/>
      </c>
      <c r="K526" s="31"/>
      <c r="L526" s="31">
        <v>0</v>
      </c>
      <c r="M526" s="32" t="str">
        <f t="shared" si="177"/>
        <v/>
      </c>
      <c r="N526" s="31"/>
      <c r="O526" s="31">
        <v>15598.23</v>
      </c>
      <c r="P526" s="32" t="str">
        <f t="shared" si="178"/>
        <v/>
      </c>
      <c r="Q526" s="31"/>
      <c r="R526" s="31">
        <v>-8837</v>
      </c>
      <c r="S526" s="32" t="str">
        <f t="shared" si="179"/>
        <v/>
      </c>
      <c r="T526" s="31"/>
      <c r="U526" s="31">
        <v>-5632</v>
      </c>
      <c r="V526" s="32" t="str">
        <f t="shared" si="180"/>
        <v/>
      </c>
      <c r="W526" s="31"/>
      <c r="X526" s="31">
        <v>0</v>
      </c>
      <c r="Y526" s="32" t="str">
        <f t="shared" si="181"/>
        <v/>
      </c>
      <c r="Z526" s="31" t="str">
        <f t="shared" si="183"/>
        <v/>
      </c>
      <c r="AA526" s="31">
        <f t="shared" si="184"/>
        <v>1257.2299999999996</v>
      </c>
      <c r="AB526" s="32" t="str">
        <f t="shared" si="182"/>
        <v/>
      </c>
      <c r="AC526" s="31"/>
      <c r="AD526" s="31"/>
      <c r="AE526" s="32" t="str">
        <f t="shared" si="185"/>
        <v/>
      </c>
      <c r="AF526" s="32" t="s">
        <v>313</v>
      </c>
      <c r="AG526" s="31"/>
      <c r="AH526" s="31"/>
      <c r="AI526" s="32" t="str">
        <f t="shared" si="186"/>
        <v/>
      </c>
      <c r="AJ526" s="32" t="s">
        <v>313</v>
      </c>
      <c r="AK526" s="31"/>
      <c r="AL526" s="31"/>
      <c r="AM526" s="32" t="str">
        <f t="shared" si="187"/>
        <v/>
      </c>
      <c r="AN526" s="32" t="s">
        <v>313</v>
      </c>
      <c r="AO526" s="31"/>
      <c r="AP526" s="31"/>
      <c r="AQ526" s="32" t="str">
        <f t="shared" si="188"/>
        <v/>
      </c>
      <c r="AR526" s="32" t="s">
        <v>313</v>
      </c>
      <c r="AS526" s="31"/>
      <c r="AT526" s="31"/>
      <c r="AU526" s="32" t="str">
        <f t="shared" si="189"/>
        <v/>
      </c>
      <c r="AV526" s="32" t="s">
        <v>313</v>
      </c>
      <c r="AW526" s="31"/>
      <c r="AX526" s="31"/>
      <c r="AY526" s="32" t="str">
        <f t="shared" si="190"/>
        <v/>
      </c>
      <c r="AZ526" s="32" t="s">
        <v>313</v>
      </c>
    </row>
    <row r="527" spans="1:52" ht="34" customHeight="1">
      <c r="A527" s="28" t="s">
        <v>328</v>
      </c>
      <c r="B527" s="29" t="s">
        <v>229</v>
      </c>
      <c r="C527" s="29" t="s">
        <v>85</v>
      </c>
      <c r="D527" s="29" t="s">
        <v>79</v>
      </c>
      <c r="E527" s="29" t="s">
        <v>81</v>
      </c>
      <c r="F527" s="29" t="s">
        <v>316</v>
      </c>
      <c r="G527" s="30" t="s">
        <v>312</v>
      </c>
      <c r="H527" s="31"/>
      <c r="I527" s="31">
        <v>128</v>
      </c>
      <c r="J527" s="32" t="str">
        <f t="shared" si="176"/>
        <v/>
      </c>
      <c r="K527" s="31"/>
      <c r="L527" s="31">
        <v>0</v>
      </c>
      <c r="M527" s="32" t="str">
        <f t="shared" si="177"/>
        <v/>
      </c>
      <c r="N527" s="31"/>
      <c r="O527" s="31">
        <v>15598.23</v>
      </c>
      <c r="P527" s="32" t="str">
        <f t="shared" si="178"/>
        <v/>
      </c>
      <c r="Q527" s="31"/>
      <c r="R527" s="31">
        <v>-8837</v>
      </c>
      <c r="S527" s="32" t="str">
        <f t="shared" si="179"/>
        <v/>
      </c>
      <c r="T527" s="31"/>
      <c r="U527" s="31">
        <v>-5632</v>
      </c>
      <c r="V527" s="32" t="str">
        <f t="shared" si="180"/>
        <v/>
      </c>
      <c r="W527" s="31"/>
      <c r="X527" s="31">
        <v>0</v>
      </c>
      <c r="Y527" s="32" t="str">
        <f t="shared" si="181"/>
        <v/>
      </c>
      <c r="Z527" s="31" t="str">
        <f t="shared" si="183"/>
        <v/>
      </c>
      <c r="AA527" s="31">
        <f t="shared" si="184"/>
        <v>1257.2299999999996</v>
      </c>
      <c r="AB527" s="32" t="str">
        <f t="shared" si="182"/>
        <v/>
      </c>
      <c r="AC527" s="31"/>
      <c r="AD527" s="31"/>
      <c r="AE527" s="32" t="str">
        <f t="shared" si="185"/>
        <v/>
      </c>
      <c r="AF527" s="32" t="s">
        <v>313</v>
      </c>
      <c r="AG527" s="31"/>
      <c r="AH527" s="31"/>
      <c r="AI527" s="32" t="str">
        <f t="shared" si="186"/>
        <v/>
      </c>
      <c r="AJ527" s="32" t="s">
        <v>313</v>
      </c>
      <c r="AK527" s="31"/>
      <c r="AL527" s="31"/>
      <c r="AM527" s="32" t="str">
        <f t="shared" si="187"/>
        <v/>
      </c>
      <c r="AN527" s="32" t="s">
        <v>313</v>
      </c>
      <c r="AO527" s="31"/>
      <c r="AP527" s="31"/>
      <c r="AQ527" s="32" t="str">
        <f t="shared" si="188"/>
        <v/>
      </c>
      <c r="AR527" s="32" t="s">
        <v>313</v>
      </c>
      <c r="AS527" s="31"/>
      <c r="AT527" s="31"/>
      <c r="AU527" s="32" t="str">
        <f t="shared" si="189"/>
        <v/>
      </c>
      <c r="AV527" s="32" t="s">
        <v>313</v>
      </c>
      <c r="AW527" s="31"/>
      <c r="AX527" s="31"/>
      <c r="AY527" s="32" t="str">
        <f t="shared" si="190"/>
        <v/>
      </c>
      <c r="AZ527" s="32" t="s">
        <v>313</v>
      </c>
    </row>
    <row r="528" spans="1:52" ht="34" customHeight="1">
      <c r="A528" s="28" t="s">
        <v>328</v>
      </c>
      <c r="B528" s="29" t="s">
        <v>229</v>
      </c>
      <c r="C528" s="29" t="s">
        <v>85</v>
      </c>
      <c r="D528" s="29" t="s">
        <v>79</v>
      </c>
      <c r="E528" s="29" t="s">
        <v>82</v>
      </c>
      <c r="F528" s="29" t="s">
        <v>319</v>
      </c>
      <c r="G528" s="30" t="s">
        <v>312</v>
      </c>
      <c r="H528" s="31">
        <v>0</v>
      </c>
      <c r="I528" s="31">
        <v>128</v>
      </c>
      <c r="J528" s="32">
        <f t="shared" si="176"/>
        <v>0</v>
      </c>
      <c r="K528" s="31">
        <v>0</v>
      </c>
      <c r="L528" s="31">
        <v>0</v>
      </c>
      <c r="M528" s="32" t="str">
        <f t="shared" si="177"/>
        <v/>
      </c>
      <c r="N528" s="31">
        <v>86.366123593088005</v>
      </c>
      <c r="O528" s="31">
        <v>15598.23</v>
      </c>
      <c r="P528" s="32">
        <f t="shared" si="178"/>
        <v>5.5369182011733385E-3</v>
      </c>
      <c r="Q528" s="31">
        <v>-82.844868181011194</v>
      </c>
      <c r="R528" s="31">
        <v>-8837</v>
      </c>
      <c r="S528" s="32">
        <f t="shared" si="179"/>
        <v>9.3747729072095956E-3</v>
      </c>
      <c r="T528" s="31">
        <v>-32.524711445800399</v>
      </c>
      <c r="U528" s="31">
        <v>-5632</v>
      </c>
      <c r="V528" s="32">
        <f t="shared" si="180"/>
        <v>5.7749842765980825E-3</v>
      </c>
      <c r="W528" s="31">
        <v>0</v>
      </c>
      <c r="X528" s="31">
        <v>0</v>
      </c>
      <c r="Y528" s="32" t="str">
        <f t="shared" si="181"/>
        <v/>
      </c>
      <c r="Z528" s="31">
        <f t="shared" si="183"/>
        <v>-29.003456033723587</v>
      </c>
      <c r="AA528" s="31">
        <f t="shared" si="184"/>
        <v>1257.2299999999996</v>
      </c>
      <c r="AB528" s="32">
        <f t="shared" si="182"/>
        <v>-2.3069331811779545E-2</v>
      </c>
      <c r="AC528" s="31"/>
      <c r="AD528" s="31"/>
      <c r="AE528" s="32" t="str">
        <f t="shared" si="185"/>
        <v/>
      </c>
      <c r="AF528" s="32" t="s">
        <v>313</v>
      </c>
      <c r="AG528" s="31"/>
      <c r="AH528" s="31"/>
      <c r="AI528" s="32" t="str">
        <f t="shared" si="186"/>
        <v/>
      </c>
      <c r="AJ528" s="32" t="s">
        <v>313</v>
      </c>
      <c r="AK528" s="31"/>
      <c r="AL528" s="31"/>
      <c r="AM528" s="32" t="str">
        <f t="shared" si="187"/>
        <v/>
      </c>
      <c r="AN528" s="32" t="s">
        <v>313</v>
      </c>
      <c r="AO528" s="31"/>
      <c r="AP528" s="31"/>
      <c r="AQ528" s="32" t="str">
        <f t="shared" si="188"/>
        <v/>
      </c>
      <c r="AR528" s="32" t="s">
        <v>313</v>
      </c>
      <c r="AS528" s="31"/>
      <c r="AT528" s="31"/>
      <c r="AU528" s="32" t="str">
        <f t="shared" si="189"/>
        <v/>
      </c>
      <c r="AV528" s="32" t="s">
        <v>313</v>
      </c>
      <c r="AW528" s="31"/>
      <c r="AX528" s="31"/>
      <c r="AY528" s="32" t="str">
        <f t="shared" si="190"/>
        <v/>
      </c>
      <c r="AZ528" s="32" t="s">
        <v>313</v>
      </c>
    </row>
    <row r="529" spans="1:52" ht="34" customHeight="1">
      <c r="A529" s="28" t="s">
        <v>328</v>
      </c>
      <c r="B529" s="29" t="s">
        <v>229</v>
      </c>
      <c r="C529" s="29" t="s">
        <v>85</v>
      </c>
      <c r="D529" s="29" t="s">
        <v>90</v>
      </c>
      <c r="E529" s="29" t="s">
        <v>90</v>
      </c>
      <c r="F529" s="29" t="s">
        <v>316</v>
      </c>
      <c r="G529" s="30" t="s">
        <v>312</v>
      </c>
      <c r="H529" s="31"/>
      <c r="I529" s="31">
        <v>128</v>
      </c>
      <c r="J529" s="32" t="str">
        <f t="shared" si="176"/>
        <v/>
      </c>
      <c r="K529" s="31"/>
      <c r="L529" s="31">
        <v>0</v>
      </c>
      <c r="M529" s="32" t="str">
        <f t="shared" si="177"/>
        <v/>
      </c>
      <c r="N529" s="31"/>
      <c r="O529" s="31">
        <v>15598.23</v>
      </c>
      <c r="P529" s="32" t="str">
        <f t="shared" si="178"/>
        <v/>
      </c>
      <c r="Q529" s="31"/>
      <c r="R529" s="31">
        <v>-8837</v>
      </c>
      <c r="S529" s="32" t="str">
        <f t="shared" si="179"/>
        <v/>
      </c>
      <c r="T529" s="31"/>
      <c r="U529" s="31">
        <v>-5632</v>
      </c>
      <c r="V529" s="32" t="str">
        <f t="shared" si="180"/>
        <v/>
      </c>
      <c r="W529" s="31"/>
      <c r="X529" s="31">
        <v>0</v>
      </c>
      <c r="Y529" s="32" t="str">
        <f t="shared" si="181"/>
        <v/>
      </c>
      <c r="Z529" s="31" t="str">
        <f t="shared" si="183"/>
        <v/>
      </c>
      <c r="AA529" s="31">
        <f t="shared" si="184"/>
        <v>1257.2299999999996</v>
      </c>
      <c r="AB529" s="32" t="str">
        <f t="shared" si="182"/>
        <v/>
      </c>
      <c r="AC529" s="31"/>
      <c r="AD529" s="31"/>
      <c r="AE529" s="32" t="str">
        <f t="shared" si="185"/>
        <v/>
      </c>
      <c r="AF529" s="32" t="s">
        <v>313</v>
      </c>
      <c r="AG529" s="31"/>
      <c r="AH529" s="31"/>
      <c r="AI529" s="32" t="str">
        <f t="shared" si="186"/>
        <v/>
      </c>
      <c r="AJ529" s="32" t="s">
        <v>313</v>
      </c>
      <c r="AK529" s="31"/>
      <c r="AL529" s="31"/>
      <c r="AM529" s="32" t="str">
        <f t="shared" si="187"/>
        <v/>
      </c>
      <c r="AN529" s="32" t="s">
        <v>313</v>
      </c>
      <c r="AO529" s="31"/>
      <c r="AP529" s="31"/>
      <c r="AQ529" s="32" t="str">
        <f t="shared" si="188"/>
        <v/>
      </c>
      <c r="AR529" s="32" t="s">
        <v>313</v>
      </c>
      <c r="AS529" s="31"/>
      <c r="AT529" s="31"/>
      <c r="AU529" s="32" t="str">
        <f t="shared" si="189"/>
        <v/>
      </c>
      <c r="AV529" s="32" t="s">
        <v>313</v>
      </c>
      <c r="AW529" s="31"/>
      <c r="AX529" s="31"/>
      <c r="AY529" s="32" t="str">
        <f t="shared" si="190"/>
        <v/>
      </c>
      <c r="AZ529" s="32" t="s">
        <v>313</v>
      </c>
    </row>
    <row r="530" spans="1:52" ht="34" customHeight="1">
      <c r="A530" s="28" t="s">
        <v>328</v>
      </c>
      <c r="B530" s="29" t="s">
        <v>229</v>
      </c>
      <c r="C530" s="29" t="s">
        <v>85</v>
      </c>
      <c r="D530" s="29" t="s">
        <v>93</v>
      </c>
      <c r="E530" s="29" t="s">
        <v>143</v>
      </c>
      <c r="F530" s="29" t="s">
        <v>320</v>
      </c>
      <c r="G530" s="30" t="s">
        <v>312</v>
      </c>
      <c r="H530" s="31">
        <v>0</v>
      </c>
      <c r="I530" s="31">
        <v>128</v>
      </c>
      <c r="J530" s="32">
        <f t="shared" si="176"/>
        <v>0</v>
      </c>
      <c r="K530" s="31">
        <v>0</v>
      </c>
      <c r="L530" s="31">
        <v>0</v>
      </c>
      <c r="M530" s="32" t="str">
        <f t="shared" si="177"/>
        <v/>
      </c>
      <c r="N530" s="31">
        <v>55.990987375979003</v>
      </c>
      <c r="O530" s="31">
        <v>15598.23</v>
      </c>
      <c r="P530" s="32">
        <f t="shared" si="178"/>
        <v>3.5895731359249739E-3</v>
      </c>
      <c r="Q530" s="31">
        <v>63.9144727800754</v>
      </c>
      <c r="R530" s="31">
        <v>-8837</v>
      </c>
      <c r="S530" s="32">
        <f t="shared" si="179"/>
        <v>-7.2325984813936175E-3</v>
      </c>
      <c r="T530" s="31">
        <v>3.3588219930805199</v>
      </c>
      <c r="U530" s="31">
        <v>-5632</v>
      </c>
      <c r="V530" s="32">
        <f t="shared" si="180"/>
        <v>-5.9638174593049E-4</v>
      </c>
      <c r="W530" s="31">
        <v>0</v>
      </c>
      <c r="X530" s="31">
        <v>0</v>
      </c>
      <c r="Y530" s="32" t="str">
        <f t="shared" si="181"/>
        <v/>
      </c>
      <c r="Z530" s="31">
        <f t="shared" si="183"/>
        <v>123.26428214913493</v>
      </c>
      <c r="AA530" s="31">
        <f t="shared" si="184"/>
        <v>1257.2299999999996</v>
      </c>
      <c r="AB530" s="32">
        <f t="shared" si="182"/>
        <v>9.8044337272523693E-2</v>
      </c>
      <c r="AC530" s="31"/>
      <c r="AD530" s="31"/>
      <c r="AE530" s="32" t="str">
        <f t="shared" si="185"/>
        <v/>
      </c>
      <c r="AF530" s="32" t="s">
        <v>313</v>
      </c>
      <c r="AG530" s="31"/>
      <c r="AH530" s="31"/>
      <c r="AI530" s="32" t="str">
        <f t="shared" si="186"/>
        <v/>
      </c>
      <c r="AJ530" s="32" t="s">
        <v>313</v>
      </c>
      <c r="AK530" s="31"/>
      <c r="AL530" s="31"/>
      <c r="AM530" s="32" t="str">
        <f t="shared" si="187"/>
        <v/>
      </c>
      <c r="AN530" s="32" t="s">
        <v>313</v>
      </c>
      <c r="AO530" s="31"/>
      <c r="AP530" s="31"/>
      <c r="AQ530" s="32" t="str">
        <f t="shared" si="188"/>
        <v/>
      </c>
      <c r="AR530" s="32" t="s">
        <v>313</v>
      </c>
      <c r="AS530" s="31"/>
      <c r="AT530" s="31"/>
      <c r="AU530" s="32" t="str">
        <f t="shared" si="189"/>
        <v/>
      </c>
      <c r="AV530" s="32" t="s">
        <v>313</v>
      </c>
      <c r="AW530" s="31"/>
      <c r="AX530" s="31"/>
      <c r="AY530" s="32" t="str">
        <f t="shared" si="190"/>
        <v/>
      </c>
      <c r="AZ530" s="32" t="s">
        <v>313</v>
      </c>
    </row>
    <row r="531" spans="1:52" ht="34" customHeight="1">
      <c r="A531" s="28" t="s">
        <v>328</v>
      </c>
      <c r="B531" s="29" t="s">
        <v>229</v>
      </c>
      <c r="C531" s="29" t="s">
        <v>85</v>
      </c>
      <c r="D531" s="29" t="s">
        <v>152</v>
      </c>
      <c r="E531" s="29" t="s">
        <v>152</v>
      </c>
      <c r="F531" s="29" t="s">
        <v>316</v>
      </c>
      <c r="G531" s="30" t="s">
        <v>312</v>
      </c>
      <c r="H531" s="31"/>
      <c r="I531" s="31">
        <v>128</v>
      </c>
      <c r="J531" s="32" t="str">
        <f t="shared" si="176"/>
        <v/>
      </c>
      <c r="K531" s="31"/>
      <c r="L531" s="31">
        <v>0</v>
      </c>
      <c r="M531" s="32" t="str">
        <f t="shared" si="177"/>
        <v/>
      </c>
      <c r="N531" s="31"/>
      <c r="O531" s="31">
        <v>15598.23</v>
      </c>
      <c r="P531" s="32" t="str">
        <f t="shared" si="178"/>
        <v/>
      </c>
      <c r="Q531" s="31"/>
      <c r="R531" s="31">
        <v>-8837</v>
      </c>
      <c r="S531" s="32" t="str">
        <f t="shared" si="179"/>
        <v/>
      </c>
      <c r="T531" s="31"/>
      <c r="U531" s="31">
        <v>-5632</v>
      </c>
      <c r="V531" s="32" t="str">
        <f t="shared" si="180"/>
        <v/>
      </c>
      <c r="W531" s="31"/>
      <c r="X531" s="31">
        <v>0</v>
      </c>
      <c r="Y531" s="32" t="str">
        <f t="shared" si="181"/>
        <v/>
      </c>
      <c r="Z531" s="31" t="str">
        <f t="shared" si="183"/>
        <v/>
      </c>
      <c r="AA531" s="31">
        <f t="shared" si="184"/>
        <v>1257.2299999999996</v>
      </c>
      <c r="AB531" s="32" t="str">
        <f t="shared" si="182"/>
        <v/>
      </c>
      <c r="AC531" s="31"/>
      <c r="AD531" s="31"/>
      <c r="AE531" s="32" t="str">
        <f t="shared" si="185"/>
        <v/>
      </c>
      <c r="AF531" s="32" t="s">
        <v>313</v>
      </c>
      <c r="AG531" s="31"/>
      <c r="AH531" s="31"/>
      <c r="AI531" s="32" t="str">
        <f t="shared" si="186"/>
        <v/>
      </c>
      <c r="AJ531" s="32" t="s">
        <v>313</v>
      </c>
      <c r="AK531" s="31"/>
      <c r="AL531" s="31"/>
      <c r="AM531" s="32" t="str">
        <f t="shared" si="187"/>
        <v/>
      </c>
      <c r="AN531" s="32" t="s">
        <v>313</v>
      </c>
      <c r="AO531" s="31"/>
      <c r="AP531" s="31"/>
      <c r="AQ531" s="32" t="str">
        <f t="shared" si="188"/>
        <v/>
      </c>
      <c r="AR531" s="32" t="s">
        <v>313</v>
      </c>
      <c r="AS531" s="31"/>
      <c r="AT531" s="31"/>
      <c r="AU531" s="32" t="str">
        <f t="shared" si="189"/>
        <v/>
      </c>
      <c r="AV531" s="32" t="s">
        <v>313</v>
      </c>
      <c r="AW531" s="31"/>
      <c r="AX531" s="31"/>
      <c r="AY531" s="32" t="str">
        <f t="shared" si="190"/>
        <v/>
      </c>
      <c r="AZ531" s="32" t="s">
        <v>313</v>
      </c>
    </row>
    <row r="532" spans="1:52" ht="34" hidden="1" customHeight="1">
      <c r="A532" s="34" t="s">
        <v>345</v>
      </c>
      <c r="B532" s="35" t="s">
        <v>346</v>
      </c>
      <c r="C532" s="35" t="s">
        <v>121</v>
      </c>
      <c r="D532" s="35"/>
      <c r="E532" s="35" t="s">
        <v>122</v>
      </c>
      <c r="F532" s="35" t="s">
        <v>347</v>
      </c>
      <c r="G532" s="36" t="s">
        <v>348</v>
      </c>
      <c r="H532" s="37">
        <v>766169.20900000003</v>
      </c>
      <c r="I532" s="37"/>
      <c r="J532" s="38"/>
      <c r="K532" s="37">
        <v>186628</v>
      </c>
      <c r="L532" s="37"/>
      <c r="M532" s="38"/>
      <c r="N532" s="37">
        <v>534854.64</v>
      </c>
      <c r="O532" s="37"/>
      <c r="P532" s="38"/>
      <c r="Q532" s="37">
        <v>635253.24</v>
      </c>
      <c r="R532" s="37"/>
      <c r="S532" s="38"/>
      <c r="T532" s="37">
        <v>664783.01500000001</v>
      </c>
      <c r="U532" s="37"/>
      <c r="V532" s="38"/>
      <c r="W532" s="37">
        <v>702334.44400000002</v>
      </c>
      <c r="X532" s="37"/>
      <c r="Y532" s="38"/>
      <c r="Z532" s="37">
        <f t="shared" si="183"/>
        <v>3490022.548</v>
      </c>
      <c r="AA532" s="37" t="str">
        <f t="shared" si="184"/>
        <v/>
      </c>
      <c r="AB532" s="38"/>
      <c r="AC532" s="37"/>
      <c r="AD532" s="37"/>
      <c r="AE532" s="38" t="str">
        <f t="shared" si="185"/>
        <v/>
      </c>
      <c r="AF532" s="38" t="s">
        <v>313</v>
      </c>
      <c r="AG532" s="37"/>
      <c r="AH532" s="37"/>
      <c r="AI532" s="38" t="str">
        <f t="shared" si="186"/>
        <v/>
      </c>
      <c r="AJ532" s="38" t="s">
        <v>313</v>
      </c>
      <c r="AK532" s="37"/>
      <c r="AL532" s="37"/>
      <c r="AM532" s="38" t="str">
        <f t="shared" si="187"/>
        <v/>
      </c>
      <c r="AN532" s="38" t="s">
        <v>313</v>
      </c>
      <c r="AO532" s="37"/>
      <c r="AP532" s="37"/>
      <c r="AQ532" s="38" t="str">
        <f t="shared" si="188"/>
        <v/>
      </c>
      <c r="AR532" s="38" t="s">
        <v>313</v>
      </c>
      <c r="AS532" s="37"/>
      <c r="AT532" s="37"/>
      <c r="AU532" s="38" t="str">
        <f t="shared" si="189"/>
        <v/>
      </c>
      <c r="AV532" s="38" t="s">
        <v>313</v>
      </c>
      <c r="AW532" s="37"/>
      <c r="AX532" s="37"/>
      <c r="AY532" s="38" t="str">
        <f t="shared" si="190"/>
        <v/>
      </c>
      <c r="AZ532" s="38" t="s">
        <v>313</v>
      </c>
    </row>
  </sheetData>
  <autoFilter ref="A5:G532" xr:uid="{00000000-0001-0000-0C00-000000000000}">
    <filterColumn colId="0">
      <filters>
        <filter val="分销"/>
        <filter val="自营"/>
      </filters>
    </filterColumn>
  </autoFilter>
  <mergeCells count="12">
    <mergeCell ref="W4:Y4"/>
    <mergeCell ref="H4:J4"/>
    <mergeCell ref="K4:M4"/>
    <mergeCell ref="N4:P4"/>
    <mergeCell ref="Q4:S4"/>
    <mergeCell ref="T4:V4"/>
    <mergeCell ref="AW4:AY4"/>
    <mergeCell ref="AC4:AE4"/>
    <mergeCell ref="AG4:AI4"/>
    <mergeCell ref="AK4:AM4"/>
    <mergeCell ref="AO4:AQ4"/>
    <mergeCell ref="AS4:AU4"/>
  </mergeCells>
  <phoneticPr fontId="14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L215"/>
  <sheetViews>
    <sheetView showGridLines="0" zoomScale="90" zoomScaleNormal="100" workbookViewId="0">
      <pane xSplit="10" ySplit="3" topLeftCell="N65" activePane="bottomRight" state="frozen"/>
      <selection pane="topRight" activeCell="K1" sqref="K1"/>
      <selection pane="bottomLeft" activeCell="A4" sqref="A4"/>
      <selection pane="bottomRight" activeCell="AF89" sqref="AF89:AK89"/>
    </sheetView>
  </sheetViews>
  <sheetFormatPr baseColWidth="10" defaultColWidth="13.19921875" defaultRowHeight="16"/>
  <cols>
    <col min="1" max="4" width="4.59765625" style="67" customWidth="1"/>
    <col min="5" max="5" width="15.59765625" style="336" customWidth="1"/>
    <col min="6" max="6" width="16.796875" style="336" customWidth="1"/>
    <col min="7" max="7" width="19.19921875" style="336" customWidth="1"/>
    <col min="8" max="8" width="4.59765625" style="67" customWidth="1"/>
    <col min="9" max="9" width="4.59765625" style="155" customWidth="1"/>
    <col min="10" max="10" width="15.59765625" style="97" customWidth="1"/>
    <col min="11" max="11" width="16.3984375" style="97" customWidth="1"/>
    <col min="12" max="12" width="15.59765625" style="97" customWidth="1"/>
    <col min="13" max="23" width="15.59765625" style="339" customWidth="1"/>
    <col min="24" max="24" width="4.59765625" style="336" customWidth="1"/>
    <col min="25" max="25" width="17.3984375" style="338" bestFit="1" customWidth="1"/>
    <col min="26" max="37" width="14" style="338" customWidth="1"/>
    <col min="38" max="38" width="80.59765625" style="338" bestFit="1" customWidth="1"/>
    <col min="39" max="16384" width="13.19921875" style="336"/>
  </cols>
  <sheetData>
    <row r="1" spans="1:38">
      <c r="A1" s="335" t="s">
        <v>28</v>
      </c>
      <c r="Y1" s="384" t="s">
        <v>349</v>
      </c>
      <c r="Z1" s="384"/>
      <c r="AA1" s="384"/>
      <c r="AB1" s="384"/>
      <c r="AC1" s="384"/>
      <c r="AD1" s="384"/>
      <c r="AE1" s="384"/>
      <c r="AF1" s="384"/>
      <c r="AG1" s="384"/>
      <c r="AH1" s="384"/>
      <c r="AI1" s="384"/>
      <c r="AJ1" s="384"/>
      <c r="AK1" s="384"/>
      <c r="AL1" s="384"/>
    </row>
    <row r="2" spans="1:38">
      <c r="B2" s="192" t="s">
        <v>6</v>
      </c>
      <c r="C2" s="192"/>
      <c r="D2" s="129"/>
      <c r="E2" s="192"/>
      <c r="F2" s="129"/>
      <c r="G2" s="129"/>
      <c r="H2" s="193"/>
      <c r="I2" s="194"/>
      <c r="J2" s="340"/>
      <c r="K2" s="341" t="s">
        <v>350</v>
      </c>
      <c r="L2" s="341" t="s">
        <v>350</v>
      </c>
      <c r="M2" s="341" t="s">
        <v>350</v>
      </c>
      <c r="N2" s="341" t="s">
        <v>350</v>
      </c>
      <c r="O2" s="341" t="s">
        <v>350</v>
      </c>
      <c r="P2" s="341" t="s">
        <v>351</v>
      </c>
      <c r="Q2" s="341" t="s">
        <v>351</v>
      </c>
      <c r="R2" s="341" t="s">
        <v>351</v>
      </c>
      <c r="S2" s="341" t="s">
        <v>351</v>
      </c>
      <c r="T2" s="341" t="s">
        <v>351</v>
      </c>
      <c r="U2" s="341" t="s">
        <v>351</v>
      </c>
      <c r="V2" s="341" t="s">
        <v>351</v>
      </c>
      <c r="W2" s="341"/>
      <c r="Y2" s="129" t="s">
        <v>352</v>
      </c>
      <c r="Z2" s="385" t="s">
        <v>353</v>
      </c>
      <c r="AA2" s="385"/>
      <c r="AB2" s="385"/>
      <c r="AC2" s="385"/>
      <c r="AD2" s="385"/>
      <c r="AE2" s="385"/>
      <c r="AF2" s="385"/>
      <c r="AG2" s="385"/>
      <c r="AH2" s="385"/>
      <c r="AI2" s="385"/>
      <c r="AJ2" s="385"/>
      <c r="AK2" s="385"/>
      <c r="AL2" s="129" t="s">
        <v>354</v>
      </c>
    </row>
    <row r="3" spans="1:38">
      <c r="D3" s="151" t="s">
        <v>110</v>
      </c>
      <c r="E3" s="130"/>
      <c r="F3" s="131" t="s">
        <v>111</v>
      </c>
      <c r="G3" s="130" t="s">
        <v>112</v>
      </c>
      <c r="H3" s="195"/>
      <c r="I3" s="196"/>
      <c r="J3" s="342" t="s">
        <v>355</v>
      </c>
      <c r="K3" s="343">
        <v>46023</v>
      </c>
      <c r="L3" s="343">
        <v>46054</v>
      </c>
      <c r="M3" s="343">
        <v>46082</v>
      </c>
      <c r="N3" s="343">
        <v>46113</v>
      </c>
      <c r="O3" s="343">
        <v>46143</v>
      </c>
      <c r="P3" s="343">
        <v>46174</v>
      </c>
      <c r="Q3" s="343">
        <v>46204</v>
      </c>
      <c r="R3" s="343">
        <v>46235</v>
      </c>
      <c r="S3" s="343">
        <v>46266</v>
      </c>
      <c r="T3" s="343">
        <v>46296</v>
      </c>
      <c r="U3" s="343">
        <v>46327</v>
      </c>
      <c r="V3" s="343">
        <v>46357</v>
      </c>
      <c r="W3" s="344" t="s">
        <v>356</v>
      </c>
      <c r="Y3" s="129" t="s">
        <v>357</v>
      </c>
      <c r="Z3" s="129" t="s">
        <v>780</v>
      </c>
      <c r="AA3" s="129" t="s">
        <v>781</v>
      </c>
      <c r="AB3" s="129" t="s">
        <v>782</v>
      </c>
      <c r="AC3" s="129" t="s">
        <v>783</v>
      </c>
      <c r="AD3" s="129" t="s">
        <v>784</v>
      </c>
      <c r="AE3" s="129" t="s">
        <v>785</v>
      </c>
      <c r="AF3" s="129" t="s">
        <v>786</v>
      </c>
      <c r="AG3" s="129" t="s">
        <v>787</v>
      </c>
      <c r="AH3" s="129" t="s">
        <v>788</v>
      </c>
      <c r="AI3" s="129" t="s">
        <v>789</v>
      </c>
      <c r="AJ3" s="129" t="s">
        <v>790</v>
      </c>
      <c r="AK3" s="129" t="s">
        <v>791</v>
      </c>
      <c r="AL3" s="129" t="s">
        <v>792</v>
      </c>
    </row>
    <row r="4" spans="1:38">
      <c r="D4" s="337" t="s">
        <v>793</v>
      </c>
      <c r="Q4" s="344"/>
      <c r="R4" s="344"/>
      <c r="S4" s="344"/>
      <c r="T4" s="344"/>
      <c r="U4" s="344"/>
      <c r="V4" s="344"/>
      <c r="W4" s="344"/>
      <c r="Y4" s="67"/>
      <c r="Z4" s="155"/>
      <c r="AA4" s="155"/>
      <c r="AB4" s="155"/>
      <c r="AC4" s="155"/>
      <c r="AD4" s="155"/>
      <c r="AE4" s="155"/>
      <c r="AF4" s="155"/>
      <c r="AG4" s="155"/>
      <c r="AH4" s="155"/>
      <c r="AI4" s="155"/>
      <c r="AJ4" s="155"/>
      <c r="AK4" s="155"/>
    </row>
    <row r="5" spans="1:38">
      <c r="D5" s="197" t="s">
        <v>358</v>
      </c>
      <c r="E5" s="197"/>
      <c r="F5" s="197"/>
      <c r="G5" s="197"/>
      <c r="H5" s="197"/>
      <c r="I5" s="198"/>
      <c r="J5" s="345"/>
      <c r="K5" s="345"/>
      <c r="L5" s="345"/>
      <c r="M5" s="345"/>
      <c r="N5" s="345"/>
      <c r="O5" s="345"/>
      <c r="P5" s="345"/>
      <c r="Q5" s="345"/>
      <c r="R5" s="345"/>
      <c r="S5" s="345"/>
      <c r="T5" s="345"/>
      <c r="U5" s="345"/>
      <c r="V5" s="345"/>
      <c r="W5" s="345"/>
      <c r="Y5" s="155"/>
      <c r="Z5" s="155"/>
      <c r="AA5" s="155"/>
      <c r="AB5" s="155"/>
      <c r="AC5" s="155"/>
      <c r="AD5" s="155"/>
      <c r="AE5" s="155"/>
      <c r="AF5" s="155"/>
      <c r="AG5" s="155"/>
      <c r="AH5" s="155"/>
      <c r="AI5" s="155"/>
      <c r="AJ5" s="155"/>
      <c r="AK5" s="155"/>
    </row>
    <row r="6" spans="1:38">
      <c r="D6" s="197"/>
      <c r="E6" s="197" t="s">
        <v>52</v>
      </c>
      <c r="F6" s="197" t="s">
        <v>54</v>
      </c>
      <c r="G6" s="197" t="s">
        <v>58</v>
      </c>
      <c r="H6" s="197"/>
      <c r="I6" s="198"/>
      <c r="J6" s="345">
        <f>IFERROR(AVERAGE(K6:P6),0)</f>
        <v>0.04</v>
      </c>
      <c r="K6" s="346">
        <v>0.05</v>
      </c>
      <c r="L6" s="346">
        <v>0.03</v>
      </c>
      <c r="M6" s="346">
        <v>0.02</v>
      </c>
      <c r="N6" s="346">
        <v>0.04</v>
      </c>
      <c r="O6" s="346">
        <v>0.05</v>
      </c>
      <c r="P6" s="346">
        <v>0.05</v>
      </c>
      <c r="Q6" s="346">
        <v>0.03</v>
      </c>
      <c r="R6" s="346">
        <v>0.05</v>
      </c>
      <c r="S6" s="346">
        <v>0.03</v>
      </c>
      <c r="T6" s="346">
        <v>0.02</v>
      </c>
      <c r="U6" s="346">
        <v>0.03</v>
      </c>
      <c r="V6" s="346">
        <v>0.02</v>
      </c>
      <c r="W6" s="345"/>
      <c r="Y6" s="155">
        <v>0.04</v>
      </c>
      <c r="Z6" s="155"/>
      <c r="AA6" s="155"/>
      <c r="AB6" s="155"/>
      <c r="AC6" s="155"/>
      <c r="AD6" s="155"/>
      <c r="AE6" s="155"/>
      <c r="AF6" s="155"/>
      <c r="AG6" s="155"/>
      <c r="AH6" s="155"/>
      <c r="AI6" s="155"/>
      <c r="AJ6" s="155"/>
      <c r="AK6" s="155"/>
      <c r="AL6" s="338" t="s">
        <v>359</v>
      </c>
    </row>
    <row r="7" spans="1:38">
      <c r="B7" s="102" t="s">
        <v>223</v>
      </c>
      <c r="C7" s="102"/>
      <c r="K7" s="347"/>
      <c r="L7" s="347"/>
      <c r="M7" s="347"/>
      <c r="N7" s="348"/>
      <c r="O7" s="348"/>
      <c r="P7" s="348"/>
      <c r="Q7" s="347"/>
      <c r="R7" s="347"/>
      <c r="S7" s="347"/>
      <c r="T7" s="347"/>
      <c r="U7" s="347"/>
      <c r="V7" s="347"/>
      <c r="W7" s="344"/>
      <c r="Y7" s="155"/>
      <c r="Z7" s="155"/>
      <c r="AA7" s="155"/>
      <c r="AB7" s="155"/>
      <c r="AC7" s="155"/>
      <c r="AD7" s="155"/>
      <c r="AE7" s="155"/>
      <c r="AF7" s="155"/>
      <c r="AG7" s="155"/>
      <c r="AH7" s="155"/>
      <c r="AI7" s="155"/>
      <c r="AJ7" s="155"/>
      <c r="AK7" s="155"/>
    </row>
    <row r="8" spans="1:38">
      <c r="D8" s="67" t="s">
        <v>54</v>
      </c>
      <c r="J8" s="348">
        <f>SUM(J9:J12)+'假设-ROI月度滚动'!I6</f>
        <v>0.4948410582503241</v>
      </c>
      <c r="K8" s="347">
        <f>SUM(K9:K12)+'假设-ROI月度滚动'!J6</f>
        <v>0.4811447548571301</v>
      </c>
      <c r="L8" s="347">
        <f>SUM(L9:L12)+'假设-ROI月度滚动'!K6</f>
        <v>0.50691219335715065</v>
      </c>
      <c r="M8" s="347">
        <f>SUM(M9:M12)+'假设-ROI月度滚动'!L6</f>
        <v>0.51056495476573416</v>
      </c>
      <c r="N8" s="348">
        <f>SUM(N9:N12)+'假设-ROI月度滚动'!M6</f>
        <v>0.48617945351508685</v>
      </c>
      <c r="O8" s="348">
        <f>SUM(O9:O12)+'假设-ROI月度滚动'!N6</f>
        <v>0.49131412321160095</v>
      </c>
      <c r="P8" s="348">
        <f>SUM(P9:P12)+'假设-ROI月度滚动'!O6</f>
        <v>0.39276182819044497</v>
      </c>
      <c r="Q8" s="347">
        <f>SUM(Q9:Q12)+'假设-ROI月度滚动'!P6</f>
        <v>0.38738078579671276</v>
      </c>
      <c r="R8" s="347">
        <f>SUM(R9:R12)+'假设-ROI月度滚动'!Q6</f>
        <v>0.40253230094822789</v>
      </c>
      <c r="S8" s="347">
        <f>SUM(S9:S12)+'假设-ROI月度滚动'!R6</f>
        <v>0.40253230094822789</v>
      </c>
      <c r="T8" s="347">
        <f>SUM(T9:T12)+'假设-ROI月度滚动'!S6</f>
        <v>0.40253230094822789</v>
      </c>
      <c r="U8" s="347">
        <f>SUM(U9:U12)+'假设-ROI月度滚动'!T6</f>
        <v>0.40253230094822789</v>
      </c>
      <c r="V8" s="347">
        <f>SUM(V9:V12)+'假设-ROI月度滚动'!U6</f>
        <v>0.40253230094822789</v>
      </c>
      <c r="W8" s="349">
        <f>IFERROR(AVERAGE(K8:V8),0)</f>
        <v>0.43907663320291662</v>
      </c>
      <c r="Y8" s="155"/>
      <c r="Z8" s="155"/>
      <c r="AA8" s="155"/>
      <c r="AB8" s="155"/>
      <c r="AC8" s="155"/>
      <c r="AD8" s="155"/>
      <c r="AE8" s="155"/>
      <c r="AF8" s="155"/>
      <c r="AG8" s="155"/>
      <c r="AH8" s="155"/>
      <c r="AI8" s="155"/>
      <c r="AJ8" s="155"/>
      <c r="AK8" s="155"/>
    </row>
    <row r="9" spans="1:38">
      <c r="E9" s="67" t="s">
        <v>52</v>
      </c>
      <c r="F9" s="67" t="s">
        <v>54</v>
      </c>
      <c r="G9" s="67" t="s">
        <v>58</v>
      </c>
      <c r="J9" s="348">
        <f>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Z$6:$Z$532,"&lt;&gt;")=0,$Y9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A$6:$AA$532,'参考值-平台费用率分析'!$A$6:$A$532,"自营",'参考值-平台费用率分析'!$B$6:$B$532,"抖音",'参考值-平台费用率分析'!$C$6:$C$532,"销售费用",'参考值-平台费用率分析'!$D$6:$D$532,$F9,'参考值-平台费用率分析'!$E$6:$E$532,$G9),$Y9))</f>
        <v>0</v>
      </c>
      <c r="K9" s="347">
        <f>IF(Z9&lt;&gt;"",Z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H$6:$H$532,"&lt;&gt;")=0,$J9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I$6:$I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L9" s="347">
        <f>IF(AA9&lt;&gt;"",AA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K$6:$K$532,"&lt;&gt;")=0,$J9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L$6:$L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M9" s="347">
        <f>IF(AB9&lt;&gt;"",AB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N$6:$N$532,"&lt;&gt;")=0,$J9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O$6:$O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N9" s="347">
        <f>IF(AC9&lt;&gt;"",AC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Q$6:$Q$532,"&lt;&gt;")=0,$J9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R$6:$R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O9" s="347">
        <f>IF(AD9&lt;&gt;"",AD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T$6:$T$532,"&lt;&gt;")=0,$J9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U$6:$U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P9" s="350">
        <f>IF(AE9&lt;&gt;"",AE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F$6:$AF$532,"已导入实际")=0,$J9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D$6:$AD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Q9" s="350">
        <f>IF(AF9&lt;&gt;"",AF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J$6:$AJ$532,"已导入实际")=0,$J9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H$6:$AH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R9" s="350">
        <f>IF(AG9&lt;&gt;"",AG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N$6:$AN$532,"已导入实际")=0,$J9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L$6:$AL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S9" s="350">
        <f>IF(AH9&lt;&gt;"",AH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R$6:$AR$532,"已导入实际")=0,$J9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P$6:$AP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T9" s="350">
        <f>IF(AI9&lt;&gt;"",AI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V$6:$AV$532,"已导入实际")=0,$J9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T$6:$AT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U9" s="350">
        <f>IF(AJ9&lt;&gt;"",AJ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Z$6:$AZ$532,"已导入实际")=0,$J9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X$6:$AX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V9" s="350">
        <f>IF(AK9&lt;&gt;"",AK9,IF(COUNTIFS('参考值-平台费用率分析'!$A$6:$A$532,"自营",'参考值-平台费用率分析'!$B$6:$B$532,"抖音",'参考值-平台费用率分析'!$C$6:$C$532,"销售费用",'参考值-平台费用率分析'!$D$6:$D$532,$F9,'参考值-平台费用率分析'!$E$6:$E$532,$G9,'参考值-平台费用率分析'!$AZ$6:$AZ$532,"已导入实际")=0,$J9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9,'参考值-平台费用率分析'!$E$6:$E$532,$G9)/SUMIFS('参考值-平台费用率分析'!$AX$6:$AX$532,'参考值-平台费用率分析'!$A$6:$A$532,"自营",'参考值-平台费用率分析'!$B$6:$B$532,"抖音",'参考值-平台费用率分析'!$C$6:$C$532,"销售费用",'参考值-平台费用率分析'!$D$6:$D$532,$F9,'参考值-平台费用率分析'!$E$6:$E$532,$G9),$J9)))</f>
        <v>0</v>
      </c>
      <c r="W9" s="348">
        <f>(K9*'假设-目标渠道分解'!L$5+L9*'假设-目标渠道分解'!M$5+M9*'假设-目标渠道分解'!N$5+N9*'假设-目标渠道分解'!O$5+O9*'假设-目标渠道分解'!P$5+P9*'假设-目标渠道分解'!Q$5+Q9*'假设-目标渠道分解'!R$5+R9*'假设-目标渠道分解'!S$5+S9*'假设-目标渠道分解'!T$5+T9*'假设-目标渠道分解'!U$5+U9*'假设-目标渠道分解'!V$5+V9*'假设-目标渠道分解'!W$5)/'假设-目标渠道分解'!J$5</f>
        <v>0</v>
      </c>
      <c r="Y9" s="155">
        <v>0</v>
      </c>
      <c r="Z9" s="155"/>
      <c r="AA9" s="155"/>
      <c r="AB9" s="155"/>
      <c r="AC9" s="155"/>
      <c r="AD9" s="155"/>
      <c r="AE9" s="155"/>
      <c r="AF9" s="155"/>
      <c r="AG9" s="155"/>
      <c r="AH9" s="155"/>
      <c r="AI9" s="155"/>
      <c r="AJ9" s="155"/>
      <c r="AK9" s="155"/>
      <c r="AL9" s="338" t="s">
        <v>794</v>
      </c>
    </row>
    <row r="10" spans="1:38">
      <c r="E10" s="67" t="s">
        <v>52</v>
      </c>
      <c r="F10" s="67" t="s">
        <v>54</v>
      </c>
      <c r="G10" s="67" t="s">
        <v>59</v>
      </c>
      <c r="J10" s="348">
        <f>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Z$6:$Z$532,"&lt;&gt;")=0,$Y10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A$6:$AA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Y10))</f>
        <v>0</v>
      </c>
      <c r="K10" s="347">
        <f>IF(Z10&lt;&gt;"",Z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H$6:$H$532,"&lt;&gt;")=0,$J10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I$6:$I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L10" s="347">
        <f>IF(AA10&lt;&gt;"",AA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K$6:$K$532,"&lt;&gt;")=0,$J10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L$6:$L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M10" s="347">
        <f>IF(AB10&lt;&gt;"",AB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N$6:$N$532,"&lt;&gt;")=0,$J10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O$6:$O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N10" s="347">
        <f>IF(AC10&lt;&gt;"",AC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Q$6:$Q$532,"&lt;&gt;")=0,$J10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R$6:$R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O10" s="347">
        <f>IF(AD10&lt;&gt;"",AD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T$6:$T$532,"&lt;&gt;")=0,$J10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U$6:$U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P10" s="347">
        <f>IF(AE10&lt;&gt;"",AE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F$6:$AF$532,"已导入实际")=0,$J10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D$6:$AD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Q10" s="347">
        <f>IF(AF10&lt;&gt;"",AF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J$6:$AJ$532,"已导入实际")=0,$J10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H$6:$AH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R10" s="347">
        <f>IF(AG10&lt;&gt;"",AG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N$6:$AN$532,"已导入实际")=0,$J10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L$6:$AL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S10" s="347">
        <f>IF(AH10&lt;&gt;"",AH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R$6:$AR$532,"已导入实际")=0,$J10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P$6:$AP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T10" s="347">
        <f>IF(AI10&lt;&gt;"",AI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V$6:$AV$532,"已导入实际")=0,$J10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T$6:$AT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U10" s="347">
        <f>IF(AJ10&lt;&gt;"",AJ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Z$6:$AZ$532,"已导入实际")=0,$J10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X$6:$AX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V10" s="347">
        <f>IF(AK10&lt;&gt;"",AK10,IF(COUNTIFS('参考值-平台费用率分析'!$A$6:$A$532,"自营",'参考值-平台费用率分析'!$B$6:$B$532,"抖音",'参考值-平台费用率分析'!$C$6:$C$532,"销售费用",'参考值-平台费用率分析'!$D$6:$D$532,$F10,'参考值-平台费用率分析'!$E$6:$E$532,$G10,'参考值-平台费用率分析'!$AZ$6:$AZ$532,"已导入实际")=0,$J10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10,'参考值-平台费用率分析'!$E$6:$E$532,$G10)/SUMIFS('参考值-平台费用率分析'!$AX$6:$AX$532,'参考值-平台费用率分析'!$A$6:$A$532,"自营",'参考值-平台费用率分析'!$B$6:$B$532,"抖音",'参考值-平台费用率分析'!$C$6:$C$532,"销售费用",'参考值-平台费用率分析'!$D$6:$D$532,$F10,'参考值-平台费用率分析'!$E$6:$E$532,$G10),$J10)))</f>
        <v>0</v>
      </c>
      <c r="W10" s="348">
        <f>(K10*'假设-目标渠道分解'!L$5+L10*'假设-目标渠道分解'!M$5+M10*'假设-目标渠道分解'!N$5+N10*'假设-目标渠道分解'!O$5+O10*'假设-目标渠道分解'!P$5+P10*'假设-目标渠道分解'!Q$5+Q10*'假设-目标渠道分解'!R$5+R10*'假设-目标渠道分解'!S$5+S10*'假设-目标渠道分解'!T$5+T10*'假设-目标渠道分解'!U$5+U10*'假设-目标渠道分解'!V$5+V10*'假设-目标渠道分解'!W$5)/'假设-目标渠道分解'!J$5</f>
        <v>0</v>
      </c>
      <c r="Y10" s="155">
        <v>0</v>
      </c>
      <c r="Z10" s="155"/>
      <c r="AA10" s="155"/>
      <c r="AB10" s="155"/>
      <c r="AC10" s="155"/>
      <c r="AD10" s="155"/>
      <c r="AE10" s="155"/>
      <c r="AF10" s="155"/>
      <c r="AG10" s="155"/>
      <c r="AH10" s="155"/>
      <c r="AI10" s="155"/>
      <c r="AJ10" s="155"/>
      <c r="AK10" s="155"/>
      <c r="AL10" s="338" t="s">
        <v>794</v>
      </c>
    </row>
    <row r="11" spans="1:38">
      <c r="E11" s="67" t="s">
        <v>52</v>
      </c>
      <c r="F11" s="67" t="s">
        <v>54</v>
      </c>
      <c r="G11" s="67" t="s">
        <v>60</v>
      </c>
      <c r="J11" s="348">
        <f>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Z$6:$Z$532,"&lt;&gt;")=0,$Y11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A$6:$AA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Y11))</f>
        <v>0</v>
      </c>
      <c r="K11" s="347">
        <f>IF(Z11&lt;&gt;"",Z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H$6:$H$532,"&lt;&gt;")=0,$J11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I$6:$I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L11" s="347">
        <f>IF(AA11&lt;&gt;"",AA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K$6:$K$532,"&lt;&gt;")=0,$J11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L$6:$L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M11" s="347">
        <f>IF(AB11&lt;&gt;"",AB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N$6:$N$532,"&lt;&gt;")=0,$J11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O$6:$O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N11" s="347">
        <f>IF(AC11&lt;&gt;"",AC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Q$6:$Q$532,"&lt;&gt;")=0,$J11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R$6:$R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O11" s="347">
        <f>IF(AD11&lt;&gt;"",AD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T$6:$T$532,"&lt;&gt;")=0,$J11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U$6:$U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P11" s="347">
        <f>IF(AE11&lt;&gt;"",AE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F$6:$AF$532,"已导入实际")=0,$J11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D$6:$AD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Q11" s="347">
        <f>IF(AF11&lt;&gt;"",AF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J$6:$AJ$532,"已导入实际")=0,$J11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H$6:$AH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R11" s="347">
        <f>IF(AG11&lt;&gt;"",AG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N$6:$AN$532,"已导入实际")=0,$J11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L$6:$AL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S11" s="347">
        <f>IF(AH11&lt;&gt;"",AH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R$6:$AR$532,"已导入实际")=0,$J11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P$6:$AP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T11" s="347">
        <f>IF(AI11&lt;&gt;"",AI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V$6:$AV$532,"已导入实际")=0,$J11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T$6:$AT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U11" s="347">
        <f>IF(AJ11&lt;&gt;"",AJ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Z$6:$AZ$532,"已导入实际")=0,$J11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X$6:$AX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V11" s="347">
        <f>IF(AK11&lt;&gt;"",AK11,IF(COUNTIFS('参考值-平台费用率分析'!$A$6:$A$532,"自营",'参考值-平台费用率分析'!$B$6:$B$532,"抖音",'参考值-平台费用率分析'!$C$6:$C$532,"销售费用",'参考值-平台费用率分析'!$D$6:$D$532,$F11,'参考值-平台费用率分析'!$E$6:$E$532,$G11,'参考值-平台费用率分析'!$AZ$6:$AZ$532,"已导入实际")=0,$J11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11,'参考值-平台费用率分析'!$E$6:$E$532,$G11)/SUMIFS('参考值-平台费用率分析'!$AX$6:$AX$532,'参考值-平台费用率分析'!$A$6:$A$532,"自营",'参考值-平台费用率分析'!$B$6:$B$532,"抖音",'参考值-平台费用率分析'!$C$6:$C$532,"销售费用",'参考值-平台费用率分析'!$D$6:$D$532,$F11,'参考值-平台费用率分析'!$E$6:$E$532,$G11),$J11)))</f>
        <v>0</v>
      </c>
      <c r="W11" s="348">
        <f>(K11*'假设-目标渠道分解'!L$5+L11*'假设-目标渠道分解'!M$5+M11*'假设-目标渠道分解'!N$5+N11*'假设-目标渠道分解'!O$5+O11*'假设-目标渠道分解'!P$5+P11*'假设-目标渠道分解'!Q$5+Q11*'假设-目标渠道分解'!R$5+R11*'假设-目标渠道分解'!S$5+S11*'假设-目标渠道分解'!T$5+T11*'假设-目标渠道分解'!U$5+U11*'假设-目标渠道分解'!V$5+V11*'假设-目标渠道分解'!W$5)/'假设-目标渠道分解'!J$5</f>
        <v>0</v>
      </c>
      <c r="Y11" s="155">
        <v>0</v>
      </c>
      <c r="Z11" s="155"/>
      <c r="AA11" s="155"/>
      <c r="AB11" s="155"/>
      <c r="AC11" s="155"/>
      <c r="AD11" s="155"/>
      <c r="AE11" s="155"/>
      <c r="AF11" s="155"/>
      <c r="AG11" s="155"/>
      <c r="AH11" s="155"/>
      <c r="AI11" s="155"/>
      <c r="AJ11" s="155"/>
      <c r="AK11" s="155"/>
      <c r="AL11" s="338" t="s">
        <v>794</v>
      </c>
    </row>
    <row r="12" spans="1:38">
      <c r="E12" s="67" t="s">
        <v>52</v>
      </c>
      <c r="F12" s="67" t="s">
        <v>54</v>
      </c>
      <c r="G12" s="67" t="s">
        <v>61</v>
      </c>
      <c r="J12" s="348">
        <f>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Z$6:$Z$532,"&lt;&gt;")=0,$Y12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A$6:$AA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Y12))</f>
        <v>2.3744422160349086E-2</v>
      </c>
      <c r="K12" s="348">
        <f>IF(Z12&lt;&gt;"",Z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H$6:$H$532,"&lt;&gt;")=0,$J12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I$6:$I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2.4869704821886086E-2</v>
      </c>
      <c r="L12" s="348">
        <f>IF(AA12&lt;&gt;"",AA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K$6:$K$532,"&lt;&gt;")=0,$J12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L$6:$L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1.8966692298236627E-2</v>
      </c>
      <c r="M12" s="348">
        <f>IF(AB12&lt;&gt;"",AB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N$6:$N$532,"&lt;&gt;")=0,$J12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O$6:$O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2.7936858732001094E-2</v>
      </c>
      <c r="N12" s="348">
        <f>IF(AC12&lt;&gt;"",AC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Q$6:$Q$532,"&lt;&gt;")=0,$J12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R$6:$R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2.6842623515121854E-2</v>
      </c>
      <c r="O12" s="348">
        <f>IF(AD12&lt;&gt;"",AD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T$6:$T$532,"&lt;&gt;")=0,$J12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U$6:$U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2.088372129119195E-2</v>
      </c>
      <c r="P12" s="348">
        <f>IF(AE12&lt;&gt;"",AE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F$6:$AF$532,"已导入实际")=0,$J12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D$6:$AD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Q12" s="348">
        <f>IF(AF12&lt;&gt;"",AF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J$6:$AJ$532,"已导入实际")=0,$J12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H$6:$AH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R12" s="348">
        <f>IF(AG12&lt;&gt;"",AG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N$6:$AN$532,"已导入实际")=0,$J12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L$6:$AL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S12" s="348">
        <f>IF(AH12&lt;&gt;"",AH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R$6:$AR$532,"已导入实际")=0,$J12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P$6:$AP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T12" s="348">
        <f>IF(AI12&lt;&gt;"",AI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V$6:$AV$532,"已导入实际")=0,$J12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T$6:$AT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U12" s="348">
        <f>IF(AJ12&lt;&gt;"",AJ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Z$6:$AZ$532,"已导入实际")=0,$J12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X$6:$AX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V12" s="348">
        <f>IF(AK12&lt;&gt;"",AK12,IF(COUNTIFS('参考值-平台费用率分析'!$A$6:$A$532,"自营",'参考值-平台费用率分析'!$B$6:$B$532,"抖音",'参考值-平台费用率分析'!$C$6:$C$532,"销售费用",'参考值-平台费用率分析'!$D$6:$D$532,$F12,'参考值-平台费用率分析'!$E$6:$E$532,$G12,'参考值-平台费用率分析'!$AZ$6:$AZ$532,"已导入实际")=0,$J12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12,'参考值-平台费用率分析'!$E$6:$E$532,$G12)/SUMIFS('参考值-平台费用率分析'!$AX$6:$AX$532,'参考值-平台费用率分析'!$A$6:$A$532,"自营",'参考值-平台费用率分析'!$B$6:$B$532,"抖音",'参考值-平台费用率分析'!$C$6:$C$532,"销售费用",'参考值-平台费用率分析'!$D$6:$D$532,$F12,'参考值-平台费用率分析'!$E$6:$E$532,$G12),$J12)))</f>
        <v>2.3744422160349086E-2</v>
      </c>
      <c r="W12" s="348">
        <f>(K12*'假设-目标渠道分解'!L$5+L12*'假设-目标渠道分解'!M$5+M12*'假设-目标渠道分解'!N$5+N12*'假设-目标渠道分解'!O$5+O12*'假设-目标渠道分解'!P$5+P12*'假设-目标渠道分解'!Q$5+Q12*'假设-目标渠道分解'!R$5+R12*'假设-目标渠道分解'!S$5+S12*'假设-目标渠道分解'!T$5+T12*'假设-目标渠道分解'!U$5+U12*'假设-目标渠道分解'!V$5+V12*'假设-目标渠道分解'!W$5)/'假设-目标渠道分解'!J$5</f>
        <v>2.3884489483176129E-2</v>
      </c>
      <c r="Y12" s="155">
        <v>2.9535906049152599E-2</v>
      </c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338" t="s">
        <v>794</v>
      </c>
    </row>
    <row r="13" spans="1:38">
      <c r="D13" s="67" t="s">
        <v>65</v>
      </c>
      <c r="J13" s="348"/>
      <c r="K13" s="347">
        <f t="shared" ref="K13:W13" si="0">SUM(K14:K17)</f>
        <v>0</v>
      </c>
      <c r="L13" s="347">
        <f t="shared" si="0"/>
        <v>0</v>
      </c>
      <c r="M13" s="347">
        <f t="shared" si="0"/>
        <v>0</v>
      </c>
      <c r="N13" s="347">
        <f t="shared" si="0"/>
        <v>0</v>
      </c>
      <c r="O13" s="347">
        <f t="shared" si="0"/>
        <v>0</v>
      </c>
      <c r="P13" s="347">
        <f t="shared" si="0"/>
        <v>0</v>
      </c>
      <c r="Q13" s="347">
        <f t="shared" si="0"/>
        <v>0.2</v>
      </c>
      <c r="R13" s="347">
        <f t="shared" si="0"/>
        <v>0.2</v>
      </c>
      <c r="S13" s="347">
        <f t="shared" si="0"/>
        <v>0.2</v>
      </c>
      <c r="T13" s="347">
        <f t="shared" si="0"/>
        <v>0.2</v>
      </c>
      <c r="U13" s="347">
        <f t="shared" si="0"/>
        <v>0.2</v>
      </c>
      <c r="V13" s="347">
        <f t="shared" si="0"/>
        <v>0.2</v>
      </c>
      <c r="W13" s="349">
        <f t="shared" si="0"/>
        <v>8.5962772428983314E-2</v>
      </c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</row>
    <row r="14" spans="1:38">
      <c r="E14" s="67" t="s">
        <v>52</v>
      </c>
      <c r="F14" s="67" t="s">
        <v>65</v>
      </c>
      <c r="G14" s="67" t="s">
        <v>66</v>
      </c>
      <c r="J14" s="348">
        <f>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Z$6:$Z$532,"&lt;&gt;")=0,$Y14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A$6:$AA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Y14))</f>
        <v>0</v>
      </c>
      <c r="K14" s="347">
        <f>IF(Z14&lt;&gt;"",Z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H$6:$H$532,"&lt;&gt;")=0,$J14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I$6:$I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L14" s="347">
        <f>IF(AA14&lt;&gt;"",AA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K$6:$K$532,"&lt;&gt;")=0,$J14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L$6:$L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M14" s="347">
        <f>IF(AB14&lt;&gt;"",AB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N$6:$N$532,"&lt;&gt;")=0,$J14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O$6:$O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N14" s="347">
        <f>IF(AC14&lt;&gt;"",AC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Q$6:$Q$532,"&lt;&gt;")=0,$J14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R$6:$R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O14" s="347">
        <f>IF(AD14&lt;&gt;"",AD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T$6:$T$532,"&lt;&gt;")=0,$J14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U$6:$U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P14" s="350">
        <f>IF(AE14&lt;&gt;"",AE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F$6:$AF$532,"已导入实际")=0,$J14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D$6:$AD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</v>
      </c>
      <c r="Q14" s="350">
        <f>IF(AF14&lt;&gt;"",AF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J$6:$AJ$532,"已导入实际")=0,$J14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H$6:$AH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R14" s="350">
        <f>IF(AG14&lt;&gt;"",AG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N$6:$AN$532,"已导入实际")=0,$J14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L$6:$AL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S14" s="350">
        <f>IF(AH14&lt;&gt;"",AH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R$6:$AR$532,"已导入实际")=0,$J14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P$6:$AP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T14" s="350">
        <f>IF(AI14&lt;&gt;"",AI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V$6:$AV$532,"已导入实际")=0,$J14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T$6:$AT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U14" s="350">
        <f>IF(AJ14&lt;&gt;"",AJ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Z$6:$AZ$532,"已导入实际")=0,$J14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X$6:$AX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V14" s="350">
        <f>IF(AK14&lt;&gt;"",AK14,IF(COUNTIFS('参考值-平台费用率分析'!$A$6:$A$532,"自营",'参考值-平台费用率分析'!$B$6:$B$532,"抖音",'参考值-平台费用率分析'!$C$6:$C$532,"销售费用",'参考值-平台费用率分析'!$D$6:$D$532,$F14,'参考值-平台费用率分析'!$E$6:$E$532,$G14,'参考值-平台费用率分析'!$AZ$6:$AZ$532,"已导入实际")=0,$J14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14,'参考值-平台费用率分析'!$E$6:$E$532,$G14)/SUMIFS('参考值-平台费用率分析'!$AX$6:$AX$532,'参考值-平台费用率分析'!$A$6:$A$532,"自营",'参考值-平台费用率分析'!$B$6:$B$532,"抖音",'参考值-平台费用率分析'!$C$6:$C$532,"销售费用",'参考值-平台费用率分析'!$D$6:$D$532,$F14,'参考值-平台费用率分析'!$E$6:$E$532,$G14),$J14)))</f>
        <v>0.05</v>
      </c>
      <c r="W14" s="348">
        <f>(K14*'假设-目标渠道分解'!L$5+L14*'假设-目标渠道分解'!M$5+M14*'假设-目标渠道分解'!N$5+N14*'假设-目标渠道分解'!O$5+O14*'假设-目标渠道分解'!P$5+P14*'假设-目标渠道分解'!Q$5+Q14*'假设-目标渠道分解'!R$5+R14*'假设-目标渠道分解'!S$5+S14*'假设-目标渠道分解'!T$5+T14*'假设-目标渠道分解'!U$5+U14*'假设-目标渠道分解'!V$5+V14*'假设-目标渠道分解'!W$5)/'假设-目标渠道分解'!J$5</f>
        <v>2.1490693107245832E-2</v>
      </c>
      <c r="Y14" s="155">
        <v>0</v>
      </c>
      <c r="Z14" s="155"/>
      <c r="AA14" s="155"/>
      <c r="AB14" s="155"/>
      <c r="AC14" s="155"/>
      <c r="AD14" s="155"/>
      <c r="AE14" s="155"/>
      <c r="AF14" s="155">
        <v>0.05</v>
      </c>
      <c r="AG14" s="155">
        <v>0.05</v>
      </c>
      <c r="AH14" s="155">
        <v>0.05</v>
      </c>
      <c r="AI14" s="155">
        <v>0.05</v>
      </c>
      <c r="AJ14" s="155">
        <v>0.05</v>
      </c>
      <c r="AK14" s="155">
        <v>0.05</v>
      </c>
      <c r="AL14" s="338" t="s">
        <v>794</v>
      </c>
    </row>
    <row r="15" spans="1:38">
      <c r="E15" s="67" t="s">
        <v>52</v>
      </c>
      <c r="F15" s="67" t="s">
        <v>65</v>
      </c>
      <c r="G15" s="67" t="s">
        <v>67</v>
      </c>
      <c r="J15" s="348">
        <f>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Z$6:$Z$532,"&lt;&gt;")=0,$Y15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A$6:$AA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Y15))</f>
        <v>0</v>
      </c>
      <c r="K15" s="347">
        <f>IF(Z15&lt;&gt;"",Z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H$6:$H$532,"&lt;&gt;")=0,$J15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I$6:$I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L15" s="347">
        <f>IF(AA15&lt;&gt;"",AA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K$6:$K$532,"&lt;&gt;")=0,$J15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L$6:$L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M15" s="347">
        <f>IF(AB15&lt;&gt;"",AB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N$6:$N$532,"&lt;&gt;")=0,$J15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O$6:$O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N15" s="347">
        <f>IF(AC15&lt;&gt;"",AC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Q$6:$Q$532,"&lt;&gt;")=0,$J15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R$6:$R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O15" s="347">
        <f>IF(AD15&lt;&gt;"",AD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T$6:$T$532,"&lt;&gt;")=0,$J15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U$6:$U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P15" s="347">
        <f>IF(AE15&lt;&gt;"",AE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F$6:$AF$532,"已导入实际")=0,$J15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D$6:$AD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</v>
      </c>
      <c r="Q15" s="347">
        <f>IF(AF15&lt;&gt;"",AF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J$6:$AJ$532,"已导入实际")=0,$J15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H$6:$AH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R15" s="347">
        <f>IF(AG15&lt;&gt;"",AG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N$6:$AN$532,"已导入实际")=0,$J15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L$6:$AL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S15" s="347">
        <f>IF(AH15&lt;&gt;"",AH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R$6:$AR$532,"已导入实际")=0,$J15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P$6:$AP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T15" s="347">
        <f>IF(AI15&lt;&gt;"",AI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V$6:$AV$532,"已导入实际")=0,$J15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T$6:$AT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U15" s="347">
        <f>IF(AJ15&lt;&gt;"",AJ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Z$6:$AZ$532,"已导入实际")=0,$J15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X$6:$AX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V15" s="347">
        <f>IF(AK15&lt;&gt;"",AK15,IF(COUNTIFS('参考值-平台费用率分析'!$A$6:$A$532,"自营",'参考值-平台费用率分析'!$B$6:$B$532,"抖音",'参考值-平台费用率分析'!$C$6:$C$532,"销售费用",'参考值-平台费用率分析'!$D$6:$D$532,$F15,'参考值-平台费用率分析'!$E$6:$E$532,$G15,'参考值-平台费用率分析'!$AZ$6:$AZ$532,"已导入实际")=0,$J15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15,'参考值-平台费用率分析'!$E$6:$E$532,$G15)/SUMIFS('参考值-平台费用率分析'!$AX$6:$AX$532,'参考值-平台费用率分析'!$A$6:$A$532,"自营",'参考值-平台费用率分析'!$B$6:$B$532,"抖音",'参考值-平台费用率分析'!$C$6:$C$532,"销售费用",'参考值-平台费用率分析'!$D$6:$D$532,$F15,'参考值-平台费用率分析'!$E$6:$E$532,$G15),$J15)))</f>
        <v>0.15</v>
      </c>
      <c r="W15" s="348">
        <f>(K15*'假设-目标渠道分解'!L$5+L15*'假设-目标渠道分解'!M$5+M15*'假设-目标渠道分解'!N$5+N15*'假设-目标渠道分解'!O$5+O15*'假设-目标渠道分解'!P$5+P15*'假设-目标渠道分解'!Q$5+Q15*'假设-目标渠道分解'!R$5+R15*'假设-目标渠道分解'!S$5+S15*'假设-目标渠道分解'!T$5+T15*'假设-目标渠道分解'!U$5+U15*'假设-目标渠道分解'!V$5+V15*'假设-目标渠道分解'!W$5)/'假设-目标渠道分解'!J$5</f>
        <v>6.4472079321737485E-2</v>
      </c>
      <c r="Y15" s="155">
        <v>0</v>
      </c>
      <c r="Z15" s="155"/>
      <c r="AA15" s="155"/>
      <c r="AB15" s="155"/>
      <c r="AC15" s="155"/>
      <c r="AD15" s="155"/>
      <c r="AE15" s="155"/>
      <c r="AF15" s="155">
        <v>0.15</v>
      </c>
      <c r="AG15" s="155">
        <v>0.15</v>
      </c>
      <c r="AH15" s="155">
        <v>0.15</v>
      </c>
      <c r="AI15" s="155">
        <v>0.15</v>
      </c>
      <c r="AJ15" s="155">
        <v>0.15</v>
      </c>
      <c r="AK15" s="155">
        <v>0.15</v>
      </c>
      <c r="AL15" s="338" t="s">
        <v>794</v>
      </c>
    </row>
    <row r="16" spans="1:38">
      <c r="E16" s="67" t="s">
        <v>52</v>
      </c>
      <c r="F16" s="67" t="s">
        <v>65</v>
      </c>
      <c r="G16" s="67" t="s">
        <v>68</v>
      </c>
      <c r="J16" s="348">
        <f>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Z$6:$Z$532,"&lt;&gt;")=0,$Y16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A$6:$AA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Y16))</f>
        <v>0</v>
      </c>
      <c r="K16" s="347">
        <f>IF(Z16&lt;&gt;"",Z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H$6:$H$532,"&lt;&gt;")=0,$J16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I$6:$I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L16" s="347">
        <f>IF(AA16&lt;&gt;"",AA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K$6:$K$532,"&lt;&gt;")=0,$J16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L$6:$L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M16" s="347">
        <f>IF(AB16&lt;&gt;"",AB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N$6:$N$532,"&lt;&gt;")=0,$J16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O$6:$O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N16" s="347">
        <f>IF(AC16&lt;&gt;"",AC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Q$6:$Q$532,"&lt;&gt;")=0,$J16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R$6:$R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O16" s="347">
        <f>IF(AD16&lt;&gt;"",AD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T$6:$T$532,"&lt;&gt;")=0,$J16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U$6:$U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P16" s="347">
        <f>IF(AE16&lt;&gt;"",AE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F$6:$AF$532,"已导入实际")=0,$J16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D$6:$AD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Q16" s="347">
        <f>IF(AF16&lt;&gt;"",AF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J$6:$AJ$532,"已导入实际")=0,$J16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H$6:$AH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R16" s="347">
        <f>IF(AG16&lt;&gt;"",AG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N$6:$AN$532,"已导入实际")=0,$J16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L$6:$AL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S16" s="347">
        <f>IF(AH16&lt;&gt;"",AH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R$6:$AR$532,"已导入实际")=0,$J16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P$6:$AP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T16" s="347">
        <f>IF(AI16&lt;&gt;"",AI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V$6:$AV$532,"已导入实际")=0,$J16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T$6:$AT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U16" s="347">
        <f>IF(AJ16&lt;&gt;"",AJ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Z$6:$AZ$532,"已导入实际")=0,$J16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X$6:$AX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V16" s="347">
        <f>IF(AK16&lt;&gt;"",AK16,IF(COUNTIFS('参考值-平台费用率分析'!$A$6:$A$532,"自营",'参考值-平台费用率分析'!$B$6:$B$532,"抖音",'参考值-平台费用率分析'!$C$6:$C$532,"销售费用",'参考值-平台费用率分析'!$D$6:$D$532,$F16,'参考值-平台费用率分析'!$E$6:$E$532,$G16,'参考值-平台费用率分析'!$AZ$6:$AZ$532,"已导入实际")=0,$J16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16,'参考值-平台费用率分析'!$E$6:$E$532,$G16)/SUMIFS('参考值-平台费用率分析'!$AX$6:$AX$532,'参考值-平台费用率分析'!$A$6:$A$532,"自营",'参考值-平台费用率分析'!$B$6:$B$532,"抖音",'参考值-平台费用率分析'!$C$6:$C$532,"销售费用",'参考值-平台费用率分析'!$D$6:$D$532,$F16,'参考值-平台费用率分析'!$E$6:$E$532,$G16),$J16)))</f>
        <v>0</v>
      </c>
      <c r="W16" s="348">
        <f>(K16*'假设-目标渠道分解'!L$5+L16*'假设-目标渠道分解'!M$5+M16*'假设-目标渠道分解'!N$5+N16*'假设-目标渠道分解'!O$5+O16*'假设-目标渠道分解'!P$5+P16*'假设-目标渠道分解'!Q$5+Q16*'假设-目标渠道分解'!R$5+R16*'假设-目标渠道分解'!S$5+S16*'假设-目标渠道分解'!T$5+T16*'假设-目标渠道分解'!U$5+U16*'假设-目标渠道分解'!V$5+V16*'假设-目标渠道分解'!W$5)/'假设-目标渠道分解'!J$5</f>
        <v>0</v>
      </c>
      <c r="Y16" s="155">
        <v>0</v>
      </c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338" t="s">
        <v>794</v>
      </c>
    </row>
    <row r="17" spans="1:38">
      <c r="E17" s="67" t="s">
        <v>52</v>
      </c>
      <c r="F17" s="67" t="s">
        <v>65</v>
      </c>
      <c r="G17" s="67" t="s">
        <v>69</v>
      </c>
      <c r="J17" s="348">
        <f>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Z$6:$Z$532,"&lt;&gt;")=0,$Y17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A$6:$AA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Y17))</f>
        <v>0</v>
      </c>
      <c r="K17" s="347">
        <f>IF(Z17&lt;&gt;"",Z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H$6:$H$532,"&lt;&gt;")=0,$J17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I$6:$I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L17" s="347">
        <f>IF(AA17&lt;&gt;"",AA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K$6:$K$532,"&lt;&gt;")=0,$J17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L$6:$L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M17" s="347">
        <f>IF(AB17&lt;&gt;"",AB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N$6:$N$532,"&lt;&gt;")=0,$J17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O$6:$O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N17" s="347">
        <f>IF(AC17&lt;&gt;"",AC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Q$6:$Q$532,"&lt;&gt;")=0,$J17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R$6:$R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O17" s="347">
        <f>IF(AD17&lt;&gt;"",AD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T$6:$T$532,"&lt;&gt;")=0,$J17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U$6:$U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P17" s="347">
        <f>IF(AE17&lt;&gt;"",AE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F$6:$AF$532,"已导入实际")=0,$J17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D$6:$AD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Q17" s="347">
        <f>IF(AF17&lt;&gt;"",AF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J$6:$AJ$532,"已导入实际")=0,$J17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H$6:$AH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R17" s="347">
        <f>IF(AG17&lt;&gt;"",AG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N$6:$AN$532,"已导入实际")=0,$J17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L$6:$AL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S17" s="347">
        <f>IF(AH17&lt;&gt;"",AH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R$6:$AR$532,"已导入实际")=0,$J17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P$6:$AP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T17" s="347">
        <f>IF(AI17&lt;&gt;"",AI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V$6:$AV$532,"已导入实际")=0,$J17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T$6:$AT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U17" s="347">
        <f>IF(AJ17&lt;&gt;"",AJ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Z$6:$AZ$532,"已导入实际")=0,$J17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X$6:$AX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V17" s="347">
        <f>IF(AK17&lt;&gt;"",AK17,IF(COUNTIFS('参考值-平台费用率分析'!$A$6:$A$532,"自营",'参考值-平台费用率分析'!$B$6:$B$532,"抖音",'参考值-平台费用率分析'!$C$6:$C$532,"销售费用",'参考值-平台费用率分析'!$D$6:$D$532,$F17,'参考值-平台费用率分析'!$E$6:$E$532,$G17,'参考值-平台费用率分析'!$AZ$6:$AZ$532,"已导入实际")=0,$J17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17,'参考值-平台费用率分析'!$E$6:$E$532,$G17)/SUMIFS('参考值-平台费用率分析'!$AX$6:$AX$532,'参考值-平台费用率分析'!$A$6:$A$532,"自营",'参考值-平台费用率分析'!$B$6:$B$532,"抖音",'参考值-平台费用率分析'!$C$6:$C$532,"销售费用",'参考值-平台费用率分析'!$D$6:$D$532,$F17,'参考值-平台费用率分析'!$E$6:$E$532,$G17),$J17)))</f>
        <v>0</v>
      </c>
      <c r="W17" s="348">
        <f>(K17*'假设-目标渠道分解'!L$5+L17*'假设-目标渠道分解'!M$5+M17*'假设-目标渠道分解'!N$5+N17*'假设-目标渠道分解'!O$5+O17*'假设-目标渠道分解'!P$5+P17*'假设-目标渠道分解'!Q$5+Q17*'假设-目标渠道分解'!R$5+R17*'假设-目标渠道分解'!S$5+S17*'假设-目标渠道分解'!T$5+T17*'假设-目标渠道分解'!U$5+U17*'假设-目标渠道分解'!V$5+V17*'假设-目标渠道分解'!W$5)/'假设-目标渠道分解'!J$5</f>
        <v>0</v>
      </c>
      <c r="Y17" s="155">
        <v>0</v>
      </c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338" t="s">
        <v>794</v>
      </c>
    </row>
    <row r="18" spans="1:38">
      <c r="D18" s="67" t="s">
        <v>70</v>
      </c>
      <c r="J18" s="348"/>
      <c r="K18" s="347">
        <f t="shared" ref="K18:W18" si="1">SUM(K19:K21)</f>
        <v>3.5270821775100027E-2</v>
      </c>
      <c r="L18" s="347">
        <f t="shared" si="1"/>
        <v>3.0578038797396852E-2</v>
      </c>
      <c r="M18" s="347">
        <f t="shared" si="1"/>
        <v>3.573816665436335E-2</v>
      </c>
      <c r="N18" s="347">
        <f t="shared" si="1"/>
        <v>3.6823743640802382E-2</v>
      </c>
      <c r="O18" s="347">
        <f t="shared" si="1"/>
        <v>3.8164075960061557E-2</v>
      </c>
      <c r="P18" s="347">
        <f t="shared" si="1"/>
        <v>3.5913031245320838E-2</v>
      </c>
      <c r="Q18" s="347">
        <f t="shared" si="1"/>
        <v>3.5913031245320838E-2</v>
      </c>
      <c r="R18" s="347">
        <f t="shared" si="1"/>
        <v>3.5913031245320838E-2</v>
      </c>
      <c r="S18" s="347">
        <f t="shared" si="1"/>
        <v>3.5913031245320838E-2</v>
      </c>
      <c r="T18" s="347">
        <f t="shared" si="1"/>
        <v>3.5913031245320838E-2</v>
      </c>
      <c r="U18" s="347">
        <f t="shared" si="1"/>
        <v>3.5913031245320838E-2</v>
      </c>
      <c r="V18" s="347">
        <f t="shared" si="1"/>
        <v>3.5913031245320838E-2</v>
      </c>
      <c r="W18" s="349">
        <f t="shared" si="1"/>
        <v>3.5865518344079798E-2</v>
      </c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</row>
    <row r="19" spans="1:38">
      <c r="E19" s="67" t="s">
        <v>52</v>
      </c>
      <c r="F19" s="67" t="s">
        <v>70</v>
      </c>
      <c r="G19" s="67" t="s">
        <v>71</v>
      </c>
      <c r="J19" s="348">
        <f>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Z$6:$Z$532,"&lt;&gt;")=0,$Y19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A$6:$AA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Y19))</f>
        <v>0</v>
      </c>
      <c r="K19" s="347">
        <f>IF(Z19&lt;&gt;"",Z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H$6:$H$532,"&lt;&gt;")=0,$J19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I$6:$I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L19" s="347">
        <f>IF(AA19&lt;&gt;"",AA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K$6:$K$532,"&lt;&gt;")=0,$J19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L$6:$L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M19" s="347">
        <f>IF(AB19&lt;&gt;"",AB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N$6:$N$532,"&lt;&gt;")=0,$J19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O$6:$O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N19" s="347">
        <f>IF(AC19&lt;&gt;"",AC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Q$6:$Q$532,"&lt;&gt;")=0,$J19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R$6:$R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O19" s="347">
        <f>IF(AD19&lt;&gt;"",AD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T$6:$T$532,"&lt;&gt;")=0,$J19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U$6:$U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P19" s="350">
        <f>IF(AE19&lt;&gt;"",AE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F$6:$AF$532,"已导入实际")=0,$J19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D$6:$AD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Q19" s="350">
        <f>IF(AF19&lt;&gt;"",AF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J$6:$AJ$532,"已导入实际")=0,$J19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H$6:$AH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R19" s="350">
        <f>IF(AG19&lt;&gt;"",AG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N$6:$AN$532,"已导入实际")=0,$J19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L$6:$AL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S19" s="350">
        <f>IF(AH19&lt;&gt;"",AH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R$6:$AR$532,"已导入实际")=0,$J19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P$6:$AP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T19" s="350">
        <f>IF(AI19&lt;&gt;"",AI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V$6:$AV$532,"已导入实际")=0,$J19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T$6:$AT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U19" s="350">
        <f>IF(AJ19&lt;&gt;"",AJ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Z$6:$AZ$532,"已导入实际")=0,$J19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X$6:$AX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V19" s="350">
        <f>IF(AK19&lt;&gt;"",AK19,IF(COUNTIFS('参考值-平台费用率分析'!$A$6:$A$532,"自营",'参考值-平台费用率分析'!$B$6:$B$532,"抖音",'参考值-平台费用率分析'!$C$6:$C$532,"销售费用",'参考值-平台费用率分析'!$D$6:$D$532,$F19,'参考值-平台费用率分析'!$E$6:$E$532,$G19,'参考值-平台费用率分析'!$AZ$6:$AZ$532,"已导入实际")=0,$J19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19,'参考值-平台费用率分析'!$E$6:$E$532,$G19)/SUMIFS('参考值-平台费用率分析'!$AX$6:$AX$532,'参考值-平台费用率分析'!$A$6:$A$532,"自营",'参考值-平台费用率分析'!$B$6:$B$532,"抖音",'参考值-平台费用率分析'!$C$6:$C$532,"销售费用",'参考值-平台费用率分析'!$D$6:$D$532,$F19,'参考值-平台费用率分析'!$E$6:$E$532,$G19),$J19)))</f>
        <v>0</v>
      </c>
      <c r="W19" s="348">
        <f>(K19*'假设-目标渠道分解'!L$5+L19*'假设-目标渠道分解'!M$5+M19*'假设-目标渠道分解'!N$5+N19*'假设-目标渠道分解'!O$5+O19*'假设-目标渠道分解'!P$5+P19*'假设-目标渠道分解'!Q$5+Q19*'假设-目标渠道分解'!R$5+R19*'假设-目标渠道分解'!S$5+S19*'假设-目标渠道分解'!T$5+T19*'假设-目标渠道分解'!U$5+U19*'假设-目标渠道分解'!V$5+V19*'假设-目标渠道分解'!W$5)/'假设-目标渠道分解'!J$5</f>
        <v>0</v>
      </c>
      <c r="Y19" s="155">
        <v>2.75073609246855E-2</v>
      </c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338" t="s">
        <v>794</v>
      </c>
    </row>
    <row r="20" spans="1:38">
      <c r="E20" s="67" t="s">
        <v>52</v>
      </c>
      <c r="F20" s="67" t="s">
        <v>70</v>
      </c>
      <c r="G20" s="67" t="s">
        <v>72</v>
      </c>
      <c r="J20" s="348">
        <f>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Z$6:$Z$532,"&lt;&gt;")=0,$Y20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A$6:$AA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Y20))</f>
        <v>0</v>
      </c>
      <c r="K20" s="347">
        <f>IF(Z20&lt;&gt;"",Z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H$6:$H$532,"&lt;&gt;")=0,$J20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I$6:$I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L20" s="347">
        <f>IF(AA20&lt;&gt;"",AA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K$6:$K$532,"&lt;&gt;")=0,$J20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L$6:$L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M20" s="347">
        <f>IF(AB20&lt;&gt;"",AB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N$6:$N$532,"&lt;&gt;")=0,$J20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O$6:$O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N20" s="347">
        <f>IF(AC20&lt;&gt;"",AC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Q$6:$Q$532,"&lt;&gt;")=0,$J20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R$6:$R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O20" s="347">
        <f>IF(AD20&lt;&gt;"",AD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T$6:$T$532,"&lt;&gt;")=0,$J20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U$6:$U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P20" s="350">
        <f>IF(AE20&lt;&gt;"",AE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F$6:$AF$532,"已导入实际")=0,$J20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D$6:$AD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Q20" s="350">
        <f>IF(AF20&lt;&gt;"",AF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J$6:$AJ$532,"已导入实际")=0,$J20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H$6:$AH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R20" s="350">
        <f>IF(AG20&lt;&gt;"",AG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N$6:$AN$532,"已导入实际")=0,$J20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L$6:$AL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S20" s="350">
        <f>IF(AH20&lt;&gt;"",AH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R$6:$AR$532,"已导入实际")=0,$J20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P$6:$AP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T20" s="350">
        <f>IF(AI20&lt;&gt;"",AI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V$6:$AV$532,"已导入实际")=0,$J20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T$6:$AT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U20" s="350">
        <f>IF(AJ20&lt;&gt;"",AJ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Z$6:$AZ$532,"已导入实际")=0,$J20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X$6:$AX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V20" s="350">
        <f>IF(AK20&lt;&gt;"",AK20,IF(COUNTIFS('参考值-平台费用率分析'!$A$6:$A$532,"自营",'参考值-平台费用率分析'!$B$6:$B$532,"抖音",'参考值-平台费用率分析'!$C$6:$C$532,"销售费用",'参考值-平台费用率分析'!$D$6:$D$532,$F20,'参考值-平台费用率分析'!$E$6:$E$532,$G20,'参考值-平台费用率分析'!$AZ$6:$AZ$532,"已导入实际")=0,$J20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20,'参考值-平台费用率分析'!$E$6:$E$532,$G20)/SUMIFS('参考值-平台费用率分析'!$AX$6:$AX$532,'参考值-平台费用率分析'!$A$6:$A$532,"自营",'参考值-平台费用率分析'!$B$6:$B$532,"抖音",'参考值-平台费用率分析'!$C$6:$C$532,"销售费用",'参考值-平台费用率分析'!$D$6:$D$532,$F20,'参考值-平台费用率分析'!$E$6:$E$532,$G20),$J20)))</f>
        <v>0</v>
      </c>
      <c r="W20" s="348">
        <f>(K20*'假设-目标渠道分解'!L$5+L20*'假设-目标渠道分解'!M$5+M20*'假设-目标渠道分解'!N$5+N20*'假设-目标渠道分解'!O$5+O20*'假设-目标渠道分解'!P$5+P20*'假设-目标渠道分解'!Q$5+Q20*'假设-目标渠道分解'!R$5+R20*'假设-目标渠道分解'!S$5+S20*'假设-目标渠道分解'!T$5+T20*'假设-目标渠道分解'!U$5+U20*'假设-目标渠道分解'!V$5+V20*'假设-目标渠道分解'!W$5)/'假设-目标渠道分解'!J$5</f>
        <v>0</v>
      </c>
      <c r="Y20" s="155">
        <v>0</v>
      </c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338" t="s">
        <v>794</v>
      </c>
    </row>
    <row r="21" spans="1:38">
      <c r="E21" s="67" t="s">
        <v>52</v>
      </c>
      <c r="F21" s="67" t="s">
        <v>70</v>
      </c>
      <c r="G21" s="67" t="s">
        <v>73</v>
      </c>
      <c r="J21" s="348">
        <f>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Z$6:$Z$532,"&lt;&gt;")=0,$Y21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A$6:$AA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Y21))</f>
        <v>3.5913031245320838E-2</v>
      </c>
      <c r="K21" s="347">
        <f>IF(Z21&lt;&gt;"",Z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H$6:$H$532,"&lt;&gt;")=0,$J21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I$6:$I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3.5270821775100027E-2</v>
      </c>
      <c r="L21" s="347">
        <f>IF(AA21&lt;&gt;"",AA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K$6:$K$532,"&lt;&gt;")=0,$J21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L$6:$L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3.0578038797396852E-2</v>
      </c>
      <c r="M21" s="347">
        <f>IF(AB21&lt;&gt;"",AB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N$6:$N$532,"&lt;&gt;")=0,$J21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O$6:$O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3.573816665436335E-2</v>
      </c>
      <c r="N21" s="347">
        <f>IF(AC21&lt;&gt;"",AC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Q$6:$Q$532,"&lt;&gt;")=0,$J21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R$6:$R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3.6823743640802382E-2</v>
      </c>
      <c r="O21" s="347">
        <f>IF(AD21&lt;&gt;"",AD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T$6:$T$532,"&lt;&gt;")=0,$J21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U$6:$U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3.8164075960061557E-2</v>
      </c>
      <c r="P21" s="347">
        <f>IF(AE21&lt;&gt;"",AE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F$6:$AF$532,"已导入实际")=0,$J21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D$6:$AD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Q21" s="347">
        <f>IF(AF21&lt;&gt;"",AF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J$6:$AJ$532,"已导入实际")=0,$J21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H$6:$AH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R21" s="347">
        <f>IF(AG21&lt;&gt;"",AG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N$6:$AN$532,"已导入实际")=0,$J21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L$6:$AL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S21" s="347">
        <f>IF(AH21&lt;&gt;"",AH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R$6:$AR$532,"已导入实际")=0,$J21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P$6:$AP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T21" s="347">
        <f>IF(AI21&lt;&gt;"",AI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V$6:$AV$532,"已导入实际")=0,$J21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T$6:$AT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U21" s="347">
        <f>IF(AJ21&lt;&gt;"",AJ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Z$6:$AZ$532,"已导入实际")=0,$J21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X$6:$AX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V21" s="347">
        <f>IF(AK21&lt;&gt;"",AK21,IF(COUNTIFS('参考值-平台费用率分析'!$A$6:$A$532,"自营",'参考值-平台费用率分析'!$B$6:$B$532,"抖音",'参考值-平台费用率分析'!$C$6:$C$532,"销售费用",'参考值-平台费用率分析'!$D$6:$D$532,$F21,'参考值-平台费用率分析'!$E$6:$E$532,$G21,'参考值-平台费用率分析'!$AZ$6:$AZ$532,"已导入实际")=0,$J21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21,'参考值-平台费用率分析'!$E$6:$E$532,$G21)/SUMIFS('参考值-平台费用率分析'!$AX$6:$AX$532,'参考值-平台费用率分析'!$A$6:$A$532,"自营",'参考值-平台费用率分析'!$B$6:$B$532,"抖音",'参考值-平台费用率分析'!$C$6:$C$532,"销售费用",'参考值-平台费用率分析'!$D$6:$D$532,$F21,'参考值-平台费用率分析'!$E$6:$E$532,$G21),$J21)))</f>
        <v>3.5913031245320838E-2</v>
      </c>
      <c r="W21" s="348">
        <f>(K21*'假设-目标渠道分解'!L$5+L21*'假设-目标渠道分解'!M$5+M21*'假设-目标渠道分解'!N$5+N21*'假设-目标渠道分解'!O$5+O21*'假设-目标渠道分解'!P$5+P21*'假设-目标渠道分解'!Q$5+Q21*'假设-目标渠道分解'!R$5+R21*'假设-目标渠道分解'!S$5+S21*'假设-目标渠道分解'!T$5+T21*'假设-目标渠道分解'!U$5+U21*'假设-目标渠道分解'!V$5+V21*'假设-目标渠道分解'!W$5)/'假设-目标渠道分解'!J$5</f>
        <v>3.5865518344079798E-2</v>
      </c>
      <c r="Y21" s="155">
        <v>0</v>
      </c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338" t="s">
        <v>794</v>
      </c>
    </row>
    <row r="22" spans="1:38">
      <c r="D22" s="67" t="s">
        <v>74</v>
      </c>
      <c r="J22" s="348">
        <v>1.47958120218308E-2</v>
      </c>
      <c r="K22" s="347">
        <f t="shared" ref="K22:W22" si="2">SUM(K23:K26)</f>
        <v>3.7171050392178454E-2</v>
      </c>
      <c r="L22" s="347">
        <f t="shared" si="2"/>
        <v>5.8192098413932372E-2</v>
      </c>
      <c r="M22" s="347">
        <f t="shared" si="2"/>
        <v>2.9889178343858701E-2</v>
      </c>
      <c r="N22" s="347">
        <f t="shared" si="2"/>
        <v>3.7973507416432004E-2</v>
      </c>
      <c r="O22" s="347">
        <f t="shared" si="2"/>
        <v>2.7814566750619496E-2</v>
      </c>
      <c r="P22" s="347">
        <f t="shared" si="2"/>
        <v>3.6233971814291707E-2</v>
      </c>
      <c r="Q22" s="347">
        <f t="shared" si="2"/>
        <v>3.6233971814291707E-2</v>
      </c>
      <c r="R22" s="347">
        <f t="shared" si="2"/>
        <v>3.6233971814291707E-2</v>
      </c>
      <c r="S22" s="347">
        <f t="shared" si="2"/>
        <v>3.6233971814291707E-2</v>
      </c>
      <c r="T22" s="347">
        <f t="shared" si="2"/>
        <v>3.6233971814291707E-2</v>
      </c>
      <c r="U22" s="347">
        <f t="shared" si="2"/>
        <v>3.6233971814291707E-2</v>
      </c>
      <c r="V22" s="347">
        <f t="shared" si="2"/>
        <v>3.6233971814291707E-2</v>
      </c>
      <c r="W22" s="349">
        <f t="shared" si="2"/>
        <v>3.6317400901749911E-2</v>
      </c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</row>
    <row r="23" spans="1:38">
      <c r="E23" s="67" t="s">
        <v>52</v>
      </c>
      <c r="F23" s="67" t="s">
        <v>74</v>
      </c>
      <c r="G23" s="67" t="s">
        <v>75</v>
      </c>
      <c r="J23" s="348">
        <f>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Z$6:$Z$532,"&lt;&gt;")=0,$Y23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A$6:$AA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Y23))</f>
        <v>1.7086772134173187E-2</v>
      </c>
      <c r="K23" s="348">
        <f>IF(Z23&lt;&gt;"",Z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H$6:$H$532,"&lt;&gt;")=0,$J23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I$6:$I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1.5790356572842258E-2</v>
      </c>
      <c r="L23" s="348">
        <f>IF(AA23&lt;&gt;"",AA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K$6:$K$532,"&lt;&gt;")=0,$J23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L$6:$L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2.1269876805795725E-2</v>
      </c>
      <c r="M23" s="348">
        <f>IF(AB23&lt;&gt;"",AB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N$6:$N$532,"&lt;&gt;")=0,$J23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O$6:$O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1.8462959826347641E-2</v>
      </c>
      <c r="N23" s="348">
        <f>IF(AC23&lt;&gt;"",AC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Q$6:$Q$532,"&lt;&gt;")=0,$J23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R$6:$R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1.7064936857355936E-2</v>
      </c>
      <c r="O23" s="348">
        <f>IF(AD23&lt;&gt;"",AD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T$6:$T$532,"&lt;&gt;")=0,$J23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U$6:$U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1.4795812021830777E-2</v>
      </c>
      <c r="P23" s="348">
        <f>IF(AE23&lt;&gt;"",AE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F$6:$AF$532,"已导入实际")=0,$J23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D$6:$AD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Q23" s="348">
        <f>IF(AF23&lt;&gt;"",AF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J$6:$AJ$532,"已导入实际")=0,$J23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H$6:$AH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R23" s="348">
        <f>IF(AG23&lt;&gt;"",AG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N$6:$AN$532,"已导入实际")=0,$J23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L$6:$AL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S23" s="348">
        <f>IF(AH23&lt;&gt;"",AH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R$6:$AR$532,"已导入实际")=0,$J23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P$6:$AP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T23" s="348">
        <f>IF(AI23&lt;&gt;"",AI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V$6:$AV$532,"已导入实际")=0,$J23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T$6:$AT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U23" s="348">
        <f>IF(AJ23&lt;&gt;"",AJ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Z$6:$AZ$532,"已导入实际")=0,$J23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X$6:$AX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V23" s="348">
        <f>IF(AK23&lt;&gt;"",AK23,IF(COUNTIFS('参考值-平台费用率分析'!$A$6:$A$532,"自营",'参考值-平台费用率分析'!$B$6:$B$532,"抖音",'参考值-平台费用率分析'!$C$6:$C$532,"销售费用",'参考值-平台费用率分析'!$D$6:$D$532,$F23,'参考值-平台费用率分析'!$E$6:$E$532,$G23,'参考值-平台费用率分析'!$AZ$6:$AZ$532,"已导入实际")=0,$J23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23,'参考值-平台费用率分析'!$E$6:$E$532,$G23)/SUMIFS('参考值-平台费用率分析'!$AX$6:$AX$532,'参考值-平台费用率分析'!$A$6:$A$532,"自营",'参考值-平台费用率分析'!$B$6:$B$532,"抖音",'参考值-平台费用率分析'!$C$6:$C$532,"销售费用",'参考值-平台费用率分析'!$D$6:$D$532,$F23,'参考值-平台费用率分析'!$E$6:$E$532,$G23),$J23)))</f>
        <v>1.7086772134173187E-2</v>
      </c>
      <c r="W23" s="348">
        <f>(K23*'假设-目标渠道分解'!L$5+L23*'假设-目标渠道分解'!M$5+M23*'假设-目标渠道分解'!N$5+N23*'假设-目标渠道分解'!O$5+O23*'假设-目标渠道分解'!P$5+P23*'假设-目标渠道分解'!Q$5+Q23*'假设-目标渠道分解'!R$5+R23*'假设-目标渠道分解'!S$5+S23*'假设-目标渠道分解'!T$5+T23*'假设-目标渠道分解'!U$5+U23*'假设-目标渠道分解'!V$5+V23*'假设-目标渠道分解'!W$5)/'假设-目标渠道分解'!J$5</f>
        <v>1.7124289221137005E-2</v>
      </c>
      <c r="Y23" s="155">
        <v>2.0093211487441399E-2</v>
      </c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338" t="s">
        <v>794</v>
      </c>
    </row>
    <row r="24" spans="1:38">
      <c r="E24" s="67" t="s">
        <v>52</v>
      </c>
      <c r="F24" s="67" t="s">
        <v>74</v>
      </c>
      <c r="G24" s="67" t="s">
        <v>76</v>
      </c>
      <c r="J24" s="348">
        <f>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Z$6:$Z$532,"&lt;&gt;")=0,$Y24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A$6:$AA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Y24))</f>
        <v>7.5107518495040439E-3</v>
      </c>
      <c r="K24" s="348">
        <f>IF(Z24&lt;&gt;"",Z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H$6:$H$532,"&lt;&gt;")=0,$J24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I$6:$I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7.8886905244399189E-3</v>
      </c>
      <c r="L24" s="348">
        <f>IF(AA24&lt;&gt;"",AA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K$6:$K$532,"&lt;&gt;")=0,$J24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L$6:$L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8.3008895442931042E-3</v>
      </c>
      <c r="M24" s="348">
        <f>IF(AB24&lt;&gt;"",AB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N$6:$N$532,"&lt;&gt;")=0,$J24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O$6:$O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7.6686041246686659E-3</v>
      </c>
      <c r="N24" s="348">
        <f>IF(AC24&lt;&gt;"",AC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Q$6:$Q$532,"&lt;&gt;")=0,$J24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R$6:$R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7.558769086345514E-3</v>
      </c>
      <c r="O24" s="348">
        <f>IF(AD24&lt;&gt;"",AD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T$6:$T$532,"&lt;&gt;")=0,$J24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U$6:$U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6.7393811363775534E-3</v>
      </c>
      <c r="P24" s="348">
        <f>IF(AE24&lt;&gt;"",AE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F$6:$AF$532,"已导入实际")=0,$J24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D$6:$AD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Q24" s="348">
        <f>IF(AF24&lt;&gt;"",AF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J$6:$AJ$532,"已导入实际")=0,$J24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H$6:$AH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R24" s="348">
        <f>IF(AG24&lt;&gt;"",AG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N$6:$AN$532,"已导入实际")=0,$J24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L$6:$AL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S24" s="348">
        <f>IF(AH24&lt;&gt;"",AH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R$6:$AR$532,"已导入实际")=0,$J24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P$6:$AP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T24" s="348">
        <f>IF(AI24&lt;&gt;"",AI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V$6:$AV$532,"已导入实际")=0,$J24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T$6:$AT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U24" s="348">
        <f>IF(AJ24&lt;&gt;"",AJ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Z$6:$AZ$532,"已导入实际")=0,$J24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X$6:$AX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V24" s="348">
        <f>IF(AK24&lt;&gt;"",AK24,IF(COUNTIFS('参考值-平台费用率分析'!$A$6:$A$532,"自营",'参考值-平台费用率分析'!$B$6:$B$532,"抖音",'参考值-平台费用率分析'!$C$6:$C$532,"销售费用",'参考值-平台费用率分析'!$D$6:$D$532,$F24,'参考值-平台费用率分析'!$E$6:$E$532,$G24,'参考值-平台费用率分析'!$AZ$6:$AZ$532,"已导入实际")=0,$J24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24,'参考值-平台费用率分析'!$E$6:$E$532,$G24)/SUMIFS('参考值-平台费用率分析'!$AX$6:$AX$532,'参考值-平台费用率分析'!$A$6:$A$532,"自营",'参考值-平台费用率分析'!$B$6:$B$532,"抖音",'参考值-平台费用率分析'!$C$6:$C$532,"销售费用",'参考值-平台费用率分析'!$D$6:$D$532,$F24,'参考值-平台费用率分析'!$E$6:$E$532,$G24),$J24)))</f>
        <v>7.5107518495040439E-3</v>
      </c>
      <c r="W24" s="348">
        <f>(K24*'假设-目标渠道分解'!L$5+L24*'假设-目标渠道分解'!M$5+M24*'假设-目标渠道分解'!N$5+N24*'假设-目标渠道分解'!O$5+O24*'假设-目标渠道分解'!P$5+P24*'假设-目标渠道分解'!Q$5+Q24*'假设-目标渠道分解'!R$5+R24*'假设-目标渠道分解'!S$5+S24*'假设-目标渠道分解'!T$5+T24*'假设-目标渠道分解'!U$5+U24*'假设-目标渠道分解'!V$5+V24*'假设-目标渠道分解'!W$5)/'假设-目标渠道分解'!J$5</f>
        <v>7.515550383779524E-3</v>
      </c>
      <c r="Y24" s="155">
        <v>8.8551949734360508E-3</v>
      </c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338" t="s">
        <v>794</v>
      </c>
    </row>
    <row r="25" spans="1:38">
      <c r="E25" s="67" t="s">
        <v>52</v>
      </c>
      <c r="F25" s="67" t="s">
        <v>74</v>
      </c>
      <c r="G25" s="67" t="s">
        <v>77</v>
      </c>
      <c r="J25" s="348">
        <f>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Z$6:$Z$532,"&lt;&gt;")=0,$Y25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A$6:$AA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Y25))</f>
        <v>0</v>
      </c>
      <c r="K25" s="347">
        <f>IF(Z25&lt;&gt;"",Z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H$6:$H$532,"&lt;&gt;")=0,$J25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I$6:$I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L25" s="347">
        <f>IF(AA25&lt;&gt;"",AA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K$6:$K$532,"&lt;&gt;")=0,$J25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L$6:$L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M25" s="347">
        <f>IF(AB25&lt;&gt;"",AB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N$6:$N$532,"&lt;&gt;")=0,$J25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O$6:$O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N25" s="347">
        <f>IF(AC25&lt;&gt;"",AC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Q$6:$Q$532,"&lt;&gt;")=0,$J25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R$6:$R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O25" s="347">
        <f>IF(AD25&lt;&gt;"",AD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T$6:$T$532,"&lt;&gt;")=0,$J25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U$6:$U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P25" s="347">
        <f>IF(AE25&lt;&gt;"",AE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F$6:$AF$532,"已导入实际")=0,$J25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D$6:$AD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Q25" s="347">
        <f>IF(AF25&lt;&gt;"",AF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J$6:$AJ$532,"已导入实际")=0,$J25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H$6:$AH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R25" s="347">
        <f>IF(AG25&lt;&gt;"",AG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N$6:$AN$532,"已导入实际")=0,$J25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L$6:$AL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S25" s="347">
        <f>IF(AH25&lt;&gt;"",AH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R$6:$AR$532,"已导入实际")=0,$J25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P$6:$AP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T25" s="347">
        <f>IF(AI25&lt;&gt;"",AI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V$6:$AV$532,"已导入实际")=0,$J25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T$6:$AT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U25" s="347">
        <f>IF(AJ25&lt;&gt;"",AJ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Z$6:$AZ$532,"已导入实际")=0,$J25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X$6:$AX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V25" s="347">
        <f>IF(AK25&lt;&gt;"",AK25,IF(COUNTIFS('参考值-平台费用率分析'!$A$6:$A$532,"自营",'参考值-平台费用率分析'!$B$6:$B$532,"抖音",'参考值-平台费用率分析'!$C$6:$C$532,"销售费用",'参考值-平台费用率分析'!$D$6:$D$532,$F25,'参考值-平台费用率分析'!$E$6:$E$532,$G25,'参考值-平台费用率分析'!$AZ$6:$AZ$532,"已导入实际")=0,$J25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25,'参考值-平台费用率分析'!$E$6:$E$532,$G25)/SUMIFS('参考值-平台费用率分析'!$AX$6:$AX$532,'参考值-平台费用率分析'!$A$6:$A$532,"自营",'参考值-平台费用率分析'!$B$6:$B$532,"抖音",'参考值-平台费用率分析'!$C$6:$C$532,"销售费用",'参考值-平台费用率分析'!$D$6:$D$532,$F25,'参考值-平台费用率分析'!$E$6:$E$532,$G25),$J25)))</f>
        <v>0</v>
      </c>
      <c r="W25" s="348">
        <f>(K25*'假设-目标渠道分解'!L$5+L25*'假设-目标渠道分解'!M$5+M25*'假设-目标渠道分解'!N$5+N25*'假设-目标渠道分解'!O$5+O25*'假设-目标渠道分解'!P$5+P25*'假设-目标渠道分解'!Q$5+Q25*'假设-目标渠道分解'!R$5+R25*'假设-目标渠道分解'!S$5+S25*'假设-目标渠道分解'!T$5+T25*'假设-目标渠道分解'!U$5+U25*'假设-目标渠道分解'!V$5+V25*'假设-目标渠道分解'!W$5)/'假设-目标渠道分解'!J$5</f>
        <v>0</v>
      </c>
      <c r="Y25" s="155">
        <v>0</v>
      </c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338" t="s">
        <v>794</v>
      </c>
    </row>
    <row r="26" spans="1:38">
      <c r="E26" s="67" t="s">
        <v>52</v>
      </c>
      <c r="F26" s="67" t="s">
        <v>74</v>
      </c>
      <c r="G26" s="67" t="s">
        <v>78</v>
      </c>
      <c r="J26" s="348">
        <f>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Z$6:$Z$532,"&lt;&gt;")=0,$Y26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A$6:$AA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Y26))</f>
        <v>1.1636447830614474E-2</v>
      </c>
      <c r="K26" s="348">
        <f>IF(Z26&lt;&gt;"",Z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H$6:$H$532,"&lt;&gt;")=0,$J26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I$6:$I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1.3492003294896278E-2</v>
      </c>
      <c r="L26" s="348">
        <f>IF(AA26&lt;&gt;"",AA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K$6:$K$532,"&lt;&gt;")=0,$J26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L$6:$L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2.8621332063843537E-2</v>
      </c>
      <c r="M26" s="348">
        <f>IF(AB26&lt;&gt;"",AB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N$6:$N$532,"&lt;&gt;")=0,$J26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O$6:$O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3.7576143928423943E-3</v>
      </c>
      <c r="N26" s="348">
        <f>IF(AC26&lt;&gt;"",AC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Q$6:$Q$532,"&lt;&gt;")=0,$J26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R$6:$R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1.3349801472730551E-2</v>
      </c>
      <c r="O26" s="348">
        <f>IF(AD26&lt;&gt;"",AD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T$6:$T$532,"&lt;&gt;")=0,$J26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U$6:$U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6.2793735924111683E-3</v>
      </c>
      <c r="P26" s="348">
        <f>IF(AE26&lt;&gt;"",AE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F$6:$AF$532,"已导入实际")=0,$J26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D$6:$AD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Q26" s="348">
        <f>IF(AF26&lt;&gt;"",AF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J$6:$AJ$532,"已导入实际")=0,$J26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H$6:$AH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R26" s="348">
        <f>IF(AG26&lt;&gt;"",AG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N$6:$AN$532,"已导入实际")=0,$J26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L$6:$AL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S26" s="348">
        <f>IF(AH26&lt;&gt;"",AH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R$6:$AR$532,"已导入实际")=0,$J26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P$6:$AP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T26" s="348">
        <f>IF(AI26&lt;&gt;"",AI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V$6:$AV$532,"已导入实际")=0,$J26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T$6:$AT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U26" s="348">
        <f>IF(AJ26&lt;&gt;"",AJ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Z$6:$AZ$532,"已导入实际")=0,$J26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X$6:$AX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V26" s="348">
        <f>IF(AK26&lt;&gt;"",AK26,IF(COUNTIFS('参考值-平台费用率分析'!$A$6:$A$532,"自营",'参考值-平台费用率分析'!$B$6:$B$532,"抖音",'参考值-平台费用率分析'!$C$6:$C$532,"销售费用",'参考值-平台费用率分析'!$D$6:$D$532,$F26,'参考值-平台费用率分析'!$E$6:$E$532,$G26,'参考值-平台费用率分析'!$AZ$6:$AZ$532,"已导入实际")=0,$J26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26,'参考值-平台费用率分析'!$E$6:$E$532,$G26)/SUMIFS('参考值-平台费用率分析'!$AX$6:$AX$532,'参考值-平台费用率分析'!$A$6:$A$532,"自营",'参考值-平台费用率分析'!$B$6:$B$532,"抖音",'参考值-平台费用率分析'!$C$6:$C$532,"销售费用",'参考值-平台费用率分析'!$D$6:$D$532,$F26,'参考值-平台费用率分析'!$E$6:$E$532,$G26),$J26)))</f>
        <v>1.1636447830614474E-2</v>
      </c>
      <c r="W26" s="348">
        <f>(K26*'假设-目标渠道分解'!L$5+L26*'假设-目标渠道分解'!M$5+M26*'假设-目标渠道分解'!N$5+N26*'假设-目标渠道分解'!O$5+O26*'假设-目标渠道分解'!P$5+P26*'假设-目标渠道分解'!Q$5+Q26*'假设-目标渠道分解'!R$5+R26*'假设-目标渠道分解'!S$5+S26*'假设-目标渠道分解'!T$5+T26*'假设-目标渠道分解'!U$5+U26*'假设-目标渠道分解'!V$5+V26*'假设-目标渠道分解'!W$5)/'假设-目标渠道分解'!J$5</f>
        <v>1.1677561296833384E-2</v>
      </c>
      <c r="Y26" s="155">
        <v>0</v>
      </c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338" t="s">
        <v>794</v>
      </c>
    </row>
    <row r="27" spans="1:38">
      <c r="D27" s="67" t="s">
        <v>79</v>
      </c>
      <c r="J27" s="348">
        <f t="shared" ref="J27:W27" si="3">SUM(J28:J31)</f>
        <v>7.3003408472516865E-2</v>
      </c>
      <c r="K27" s="347">
        <f t="shared" si="3"/>
        <v>5.9503447029979666E-2</v>
      </c>
      <c r="L27" s="347">
        <f t="shared" si="3"/>
        <v>7.8738848037969308E-2</v>
      </c>
      <c r="M27" s="347">
        <f t="shared" si="3"/>
        <v>5.7521703750637553E-2</v>
      </c>
      <c r="N27" s="347">
        <f t="shared" si="3"/>
        <v>9.053893171760706E-2</v>
      </c>
      <c r="O27" s="347">
        <f t="shared" si="3"/>
        <v>7.0729192435199373E-2</v>
      </c>
      <c r="P27" s="347">
        <f t="shared" si="3"/>
        <v>0.10061143211446376</v>
      </c>
      <c r="Q27" s="347">
        <f t="shared" si="3"/>
        <v>0.14140733649027487</v>
      </c>
      <c r="R27" s="347">
        <f t="shared" si="3"/>
        <v>0.10831891984097228</v>
      </c>
      <c r="S27" s="347">
        <f t="shared" si="3"/>
        <v>8.7801391767352771E-2</v>
      </c>
      <c r="T27" s="347">
        <f t="shared" si="3"/>
        <v>8.1957758029378727E-2</v>
      </c>
      <c r="U27" s="347">
        <f t="shared" si="3"/>
        <v>6.9278623367557343E-2</v>
      </c>
      <c r="V27" s="347">
        <f t="shared" si="3"/>
        <v>7.954199756683733E-2</v>
      </c>
      <c r="W27" s="347">
        <f t="shared" si="3"/>
        <v>8.0669602850762773E-2</v>
      </c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</row>
    <row r="28" spans="1:38">
      <c r="E28" s="67" t="s">
        <v>52</v>
      </c>
      <c r="F28" s="67" t="s">
        <v>79</v>
      </c>
      <c r="G28" s="67" t="s">
        <v>80</v>
      </c>
      <c r="J28" s="348">
        <f>IFERROR(SUM('测算-高个子抖音'!I$42:N$42)/SUM('测算-高个子抖音'!I$9:N$9),0)</f>
        <v>6.2739186750819284E-2</v>
      </c>
      <c r="K28" s="348">
        <f>IFERROR('测算-高个子抖音'!I$42/'测算-高个子抖音'!I$9,0)</f>
        <v>4.7193817080139359E-2</v>
      </c>
      <c r="L28" s="347">
        <f>IFERROR('测算-高个子抖音'!J$42/'测算-高个子抖音'!J$9,0)</f>
        <v>7.0430578315453574E-2</v>
      </c>
      <c r="M28" s="347">
        <f>IFERROR('测算-高个子抖音'!K$42/'测算-高个子抖音'!K$9,0)</f>
        <v>4.8469085025942223E-2</v>
      </c>
      <c r="N28" s="347">
        <f>IFERROR('测算-高个子抖音'!L$42/'测算-高个子抖音'!L$9,0)</f>
        <v>7.7904635362731497E-2</v>
      </c>
      <c r="O28" s="347">
        <f>IFERROR('测算-高个子抖音'!M$42/'测算-高个子抖音'!M$9,0)</f>
        <v>6.1338188234758069E-2</v>
      </c>
      <c r="P28" s="347">
        <f>IFERROR('测算-高个子抖音'!N$42/'测算-高个子抖音'!N$9,0)</f>
        <v>9.0721920736646491E-2</v>
      </c>
      <c r="Q28" s="347">
        <f>IFERROR('测算-高个子抖音'!O$42/'测算-高个子抖音'!O$9,0)</f>
        <v>0.13114311476857729</v>
      </c>
      <c r="R28" s="347">
        <f>IFERROR('测算-高个子抖音'!P$42/'测算-高个子抖音'!P$9,0)</f>
        <v>9.8054698119274697E-2</v>
      </c>
      <c r="S28" s="347">
        <f>IFERROR('测算-高个子抖音'!Q$42/'测算-高个子抖音'!Q$9,0)</f>
        <v>7.753717004565519E-2</v>
      </c>
      <c r="T28" s="347">
        <f>IFERROR('测算-高个子抖音'!R$42/'测算-高个子抖音'!R$9,0)</f>
        <v>7.1693536307681147E-2</v>
      </c>
      <c r="U28" s="347">
        <f>IFERROR('测算-高个子抖音'!S$42/'测算-高个子抖音'!S$9,0)</f>
        <v>5.9014401645859763E-2</v>
      </c>
      <c r="V28" s="347">
        <f>IFERROR('测算-高个子抖音'!T$42/'测算-高个子抖音'!T$9,0)</f>
        <v>6.927777584513975E-2</v>
      </c>
      <c r="W28" s="347">
        <f>IFERROR(SUM('测算-高个子抖音'!I$42:T$42)/SUM('测算-高个子抖音'!I$9:T$9),0)</f>
        <v>7.0405381129065192E-2</v>
      </c>
      <c r="Y28" s="155">
        <v>4.1237425105678502E-2</v>
      </c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338" t="s">
        <v>360</v>
      </c>
    </row>
    <row r="29" spans="1:38">
      <c r="E29" s="67" t="s">
        <v>52</v>
      </c>
      <c r="F29" s="67" t="s">
        <v>79</v>
      </c>
      <c r="G29" s="67" t="s">
        <v>147</v>
      </c>
      <c r="J29" s="348">
        <f>AVERAGE(K29:P29)</f>
        <v>7.9734206294490208E-3</v>
      </c>
      <c r="K29" s="348">
        <f>IFERROR(INDEX('假设-人工成本固定额'!$B$6:$CS$16,MATCH("抖音",'假设-人工成本固定额'!$A$6:$A$16,0),4),0)</f>
        <v>9.5390137734268094E-3</v>
      </c>
      <c r="L29" s="348">
        <f>IFERROR(INDEX('假设-人工成本固定额'!$B$6:$CS$16,MATCH("抖音",'假设-人工成本固定额'!$A$6:$A$16,0),12),0)</f>
        <v>6.1628121630944999E-3</v>
      </c>
      <c r="M29" s="348">
        <f>IFERROR(INDEX('假设-人工成本固定额'!$B$6:$CS$16,MATCH("抖音",'假设-人工成本固定额'!$A$6:$A$16,0),20),0)</f>
        <v>7.2508502737688996E-3</v>
      </c>
      <c r="N29" s="348">
        <f>IFERROR(INDEX('假设-人工成本固定额'!$B$6:$CS$16,MATCH("抖音",'假设-人工成本固定额'!$A$6:$A$16,0),28),0)</f>
        <v>9.8723915489222994E-3</v>
      </c>
      <c r="O29" s="348">
        <f>IFERROR(INDEX('假设-人工成本固定额'!$B$6:$CS$16,MATCH("抖音",'假设-人工成本固定额'!$A$6:$A$16,0),36),0)</f>
        <v>7.5193887712089501E-3</v>
      </c>
      <c r="P29" s="348">
        <f>IFERROR(INDEX('假设-人工成本固定额'!$B$6:$CS$16,MATCH("抖音",'假设-人工成本固定额'!$A$6:$A$16,0),44),0)</f>
        <v>7.4960672462726701E-3</v>
      </c>
      <c r="Q29" s="348">
        <f>IFERROR(IF(INDEX('假设-人工成本固定额'!$B$6:$CS$16,MATCH("抖音",'假设-人工成本固定额'!$A$6:$A$16,0),52)="",AVERAGE($K29:$P29),INDEX('假设-人工成本固定额'!$B$6:$CS$16,MATCH("抖音",'假设-人工成本固定额'!$A$6:$A$16,0),52)),AVERAGE($K29:$P29))</f>
        <v>7.9734206294490208E-3</v>
      </c>
      <c r="R29" s="348">
        <f>IFERROR(IF(INDEX('假设-人工成本固定额'!$B$6:$CS$16,MATCH("抖音",'假设-人工成本固定额'!$A$6:$A$16,0),60)="",AVERAGE($K29:$P29),INDEX('假设-人工成本固定额'!$B$6:$CS$16,MATCH("抖音",'假设-人工成本固定额'!$A$6:$A$16,0),60)),AVERAGE($K29:$P29))</f>
        <v>7.9734206294490208E-3</v>
      </c>
      <c r="S29" s="348">
        <f>IFERROR(IF(INDEX('假设-人工成本固定额'!$B$6:$CS$16,MATCH("抖音",'假设-人工成本固定额'!$A$6:$A$16,0),68)="",AVERAGE($K29:$P29),INDEX('假设-人工成本固定额'!$B$6:$CS$16,MATCH("抖音",'假设-人工成本固定额'!$A$6:$A$16,0),68)),AVERAGE($K29:$P29))</f>
        <v>7.9734206294490208E-3</v>
      </c>
      <c r="T29" s="348">
        <f>IFERROR(IF(INDEX('假设-人工成本固定额'!$B$6:$CS$16,MATCH("抖音",'假设-人工成本固定额'!$A$6:$A$16,0),76)="",AVERAGE($K29:$P29),INDEX('假设-人工成本固定额'!$B$6:$CS$16,MATCH("抖音",'假设-人工成本固定额'!$A$6:$A$16,0),76)),AVERAGE($K29:$P29))</f>
        <v>7.9734206294490208E-3</v>
      </c>
      <c r="U29" s="348">
        <f>IFERROR(IF(INDEX('假设-人工成本固定额'!$B$6:$CS$16,MATCH("抖音",'假设-人工成本固定额'!$A$6:$A$16,0),84)="",AVERAGE($K29:$P29),INDEX('假设-人工成本固定额'!$B$6:$CS$16,MATCH("抖音",'假设-人工成本固定额'!$A$6:$A$16,0),84)),AVERAGE($K29:$P29))</f>
        <v>7.9734206294490208E-3</v>
      </c>
      <c r="V29" s="348">
        <f>IFERROR(IF(INDEX('假设-人工成本固定额'!$B$6:$CS$16,MATCH("抖音",'假设-人工成本固定额'!$A$6:$A$16,0),92)="",AVERAGE($K29:$P29),INDEX('假设-人工成本固定额'!$B$6:$CS$16,MATCH("抖音",'假设-人工成本固定额'!$A$6:$A$16,0),92)),AVERAGE($K29:$P29))</f>
        <v>7.9734206294490208E-3</v>
      </c>
      <c r="W29" s="347">
        <f>AVERAGE(K29:V29)</f>
        <v>7.9734206294490191E-3</v>
      </c>
      <c r="Y29" s="155">
        <v>9.0722389195313207E-3</v>
      </c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338" t="s">
        <v>360</v>
      </c>
    </row>
    <row r="30" spans="1:38">
      <c r="A30" s="338"/>
      <c r="B30" s="338"/>
      <c r="C30" s="338"/>
      <c r="E30" s="67" t="s">
        <v>52</v>
      </c>
      <c r="F30" s="67" t="s">
        <v>79</v>
      </c>
      <c r="G30" s="67" t="s">
        <v>148</v>
      </c>
      <c r="I30" s="338"/>
      <c r="J30" s="348">
        <f>AVERAGE(K30:P30)</f>
        <v>2.2908010922485615E-3</v>
      </c>
      <c r="K30" s="348">
        <f>IFERROR(INDEX('假设-人工成本固定额'!$B$6:$CS$16,MATCH("抖音",'假设-人工成本固定额'!$A$6:$A$16,0),7),0)</f>
        <v>2.7706161764135002E-3</v>
      </c>
      <c r="L30" s="348">
        <f>IFERROR(INDEX('假设-人工成本固定额'!$B$6:$CS$16,MATCH("抖音",'假设-人工成本固定额'!$A$6:$A$16,0),15),0)</f>
        <v>2.1454575594212302E-3</v>
      </c>
      <c r="M30" s="348">
        <f>IFERROR(INDEX('假设-人工成本固定额'!$B$6:$CS$16,MATCH("抖音",'假设-人工成本固定额'!$A$6:$A$16,0),23),0)</f>
        <v>1.8017684509264299E-3</v>
      </c>
      <c r="N30" s="348">
        <f>IFERROR(INDEX('假设-人工成本固定额'!$B$6:$CS$16,MATCH("抖音",'假设-人工成本固定额'!$A$6:$A$16,0),31),0)</f>
        <v>2.7619048059532602E-3</v>
      </c>
      <c r="O30" s="348">
        <f>IFERROR(INDEX('假设-人工成本固定额'!$B$6:$CS$16,MATCH("抖音",'假设-人工成本固定额'!$A$6:$A$16,0),39),0)</f>
        <v>1.8716154292323501E-3</v>
      </c>
      <c r="P30" s="348">
        <f>IFERROR(INDEX('假设-人工成本固定额'!$B$6:$CS$16,MATCH("抖音",'假设-人工成本固定额'!$A$6:$A$16,0),47),0)</f>
        <v>2.3934441315446001E-3</v>
      </c>
      <c r="Q30" s="348">
        <f>IFERROR(IF(INDEX('假设-人工成本固定额'!$B$6:$CS$16,MATCH("抖音",'假设-人工成本固定额'!$A$6:$A$16,0),55)="",AVERAGE($K30:$P30),INDEX('假设-人工成本固定额'!$B$6:$CS$16,MATCH("抖音",'假设-人工成本固定额'!$A$6:$A$16,0),55)),AVERAGE($K30:$P30))</f>
        <v>2.2908010922485615E-3</v>
      </c>
      <c r="R30" s="348">
        <f>IFERROR(IF(INDEX('假设-人工成本固定额'!$B$6:$CS$16,MATCH("抖音",'假设-人工成本固定额'!$A$6:$A$16,0),63)="",AVERAGE($K30:$P30),INDEX('假设-人工成本固定额'!$B$6:$CS$16,MATCH("抖音",'假设-人工成本固定额'!$A$6:$A$16,0),63)),AVERAGE($K30:$P30))</f>
        <v>2.2908010922485615E-3</v>
      </c>
      <c r="S30" s="348">
        <f>IFERROR(IF(INDEX('假设-人工成本固定额'!$B$6:$CS$16,MATCH("抖音",'假设-人工成本固定额'!$A$6:$A$16,0),71)="",AVERAGE($K30:$P30),INDEX('假设-人工成本固定额'!$B$6:$CS$16,MATCH("抖音",'假设-人工成本固定额'!$A$6:$A$16,0),71)),AVERAGE($K30:$P30))</f>
        <v>2.2908010922485615E-3</v>
      </c>
      <c r="T30" s="348">
        <f>IFERROR(IF(INDEX('假设-人工成本固定额'!$B$6:$CS$16,MATCH("抖音",'假设-人工成本固定额'!$A$6:$A$16,0),79)="",AVERAGE($K30:$P30),INDEX('假设-人工成本固定额'!$B$6:$CS$16,MATCH("抖音",'假设-人工成本固定额'!$A$6:$A$16,0),79)),AVERAGE($K30:$P30))</f>
        <v>2.2908010922485615E-3</v>
      </c>
      <c r="U30" s="348">
        <f>IFERROR(IF(INDEX('假设-人工成本固定额'!$B$6:$CS$16,MATCH("抖音",'假设-人工成本固定额'!$A$6:$A$16,0),87)="",AVERAGE($K30:$P30),INDEX('假设-人工成本固定额'!$B$6:$CS$16,MATCH("抖音",'假设-人工成本固定额'!$A$6:$A$16,0),87)),AVERAGE($K30:$P30))</f>
        <v>2.2908010922485615E-3</v>
      </c>
      <c r="V30" s="348">
        <f>IFERROR(IF(INDEX('假设-人工成本固定额'!$B$6:$CS$16,MATCH("抖音",'假设-人工成本固定额'!$A$6:$A$16,0),95)="",AVERAGE($K30:$P30),INDEX('假设-人工成本固定额'!$B$6:$CS$16,MATCH("抖音",'假设-人工成本固定额'!$A$6:$A$16,0),95)),AVERAGE($K30:$P30))</f>
        <v>2.2908010922485615E-3</v>
      </c>
      <c r="W30" s="347">
        <f>AVERAGE(K30:V30)</f>
        <v>2.2908010922485615E-3</v>
      </c>
      <c r="X30" s="338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</row>
    <row r="31" spans="1:38">
      <c r="E31" s="67" t="s">
        <v>52</v>
      </c>
      <c r="F31" s="67" t="s">
        <v>79</v>
      </c>
      <c r="G31" s="67" t="s">
        <v>82</v>
      </c>
      <c r="J31" s="348">
        <f>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Z$6:$Z$532,"&lt;&gt;")=0,$Y31,IFERROR(SUMIFS('参考值-平台费用率分析'!$Z$6:$Z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A$6:$AA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Y31))</f>
        <v>0</v>
      </c>
      <c r="K31" s="348">
        <f>IF(Z31&lt;&gt;"",Z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H$6:$H$532,"&lt;&gt;")=0,$J31,IFERROR(SUMIFS('参考值-平台费用率分析'!$H$6:$H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I$6:$I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L31" s="347">
        <f>IF(AA31&lt;&gt;"",AA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K$6:$K$532,"&lt;&gt;")=0,$J31,IFERROR(SUMIFS('参考值-平台费用率分析'!$K$6:$K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L$6:$L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M31" s="347">
        <f>IF(AB31&lt;&gt;"",AB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N$6:$N$532,"&lt;&gt;")=0,$J31,IFERROR(SUMIFS('参考值-平台费用率分析'!$N$6:$N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O$6:$O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N31" s="347">
        <f>IF(AC31&lt;&gt;"",AC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Q$6:$Q$532,"&lt;&gt;")=0,$J31,IFERROR(SUMIFS('参考值-平台费用率分析'!$Q$6:$Q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R$6:$R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O31" s="347">
        <f>IF(AD31&lt;&gt;"",AD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T$6:$T$532,"&lt;&gt;")=0,$J31,IFERROR(SUMIFS('参考值-平台费用率分析'!$T$6:$T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U$6:$U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P31" s="347">
        <f>IF(AE31&lt;&gt;"",AE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F$6:$AF$532,"已导入实际")=0,$J31,IFERROR(SUMIFS('参考值-平台费用率分析'!$AC$6:$AC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D$6:$AD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Q31" s="347">
        <f>IF(AF31&lt;&gt;"",AF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J$6:$AJ$532,"已导入实际")=0,$J31,IFERROR(SUMIFS('参考值-平台费用率分析'!$AG$6:$AG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H$6:$AH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R31" s="347">
        <f>IF(AG31&lt;&gt;"",AG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N$6:$AN$532,"已导入实际")=0,$J31,IFERROR(SUMIFS('参考值-平台费用率分析'!$AK$6:$AK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L$6:$AL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S31" s="347">
        <f>IF(AH31&lt;&gt;"",AH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R$6:$AR$532,"已导入实际")=0,$J31,IFERROR(SUMIFS('参考值-平台费用率分析'!$AO$6:$AO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P$6:$AP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T31" s="347">
        <f>IF(AI31&lt;&gt;"",AI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V$6:$AV$532,"已导入实际")=0,$J31,IFERROR(SUMIFS('参考值-平台费用率分析'!$AS$6:$AS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T$6:$AT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U31" s="347">
        <f>IF(AJ31&lt;&gt;"",AJ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Z$6:$AZ$532,"已导入实际")=0,$J31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X$6:$AX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V31" s="347">
        <f>IF(AK31&lt;&gt;"",AK31,IF(COUNTIFS('参考值-平台费用率分析'!$A$6:$A$532,"自营",'参考值-平台费用率分析'!$B$6:$B$532,"抖音",'参考值-平台费用率分析'!$C$6:$C$532,"销售费用",'参考值-平台费用率分析'!$D$6:$D$532,$F31,'参考值-平台费用率分析'!$E$6:$E$532,$G31,'参考值-平台费用率分析'!$AZ$6:$AZ$532,"已导入实际")=0,$J31,IFERROR(SUMIFS('参考值-平台费用率分析'!$AW$6:$AW$532,'参考值-平台费用率分析'!$A$6:$A$532,"自营",'参考值-平台费用率分析'!$B$6:$B$532,"抖音",'参考值-平台费用率分析'!$C$6:$C$532,"销售费用",'参考值-平台费用率分析'!$D$6:$D$532,$F31,'参考值-平台费用率分析'!$E$6:$E$532,$G31)/SUMIFS('参考值-平台费用率分析'!$AX$6:$AX$532,'参考值-平台费用率分析'!$A$6:$A$532,"自营",'参考值-平台费用率分析'!$B$6:$B$532,"抖音",'参考值-平台费用率分析'!$C$6:$C$532,"销售费用",'参考值-平台费用率分析'!$D$6:$D$532,$F31,'参考值-平台费用率分析'!$E$6:$E$532,$G31),$J31)))</f>
        <v>0</v>
      </c>
      <c r="W31" s="347">
        <f>AVERAGE(K31:V31)</f>
        <v>0</v>
      </c>
      <c r="Y31" s="155">
        <v>1.2513870994236599E-2</v>
      </c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338" t="s">
        <v>794</v>
      </c>
    </row>
    <row r="32" spans="1:38">
      <c r="B32" s="102" t="s">
        <v>224</v>
      </c>
      <c r="C32" s="102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  <c r="V32" s="347"/>
      <c r="W32" s="344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</row>
    <row r="33" spans="1:38">
      <c r="D33" s="67" t="s">
        <v>54</v>
      </c>
      <c r="J33" s="348"/>
      <c r="K33" s="347">
        <f>SUM(K34:K37)+'假设-ROI月度滚动'!J8</f>
        <v>0.58646135212240602</v>
      </c>
      <c r="L33" s="347">
        <f>SUM(L34:L37)+'假设-ROI月度滚动'!K8</f>
        <v>0.45794657811416861</v>
      </c>
      <c r="M33" s="347">
        <f>SUM(M34:M37)+'假设-ROI月度滚动'!L8</f>
        <v>0.50620149625935118</v>
      </c>
      <c r="N33" s="347">
        <f>SUM(N34:N37)+'假设-ROI月度滚动'!M8</f>
        <v>0.85383007867191107</v>
      </c>
      <c r="O33" s="347">
        <f>SUM(O34:O37)+'假设-ROI月度滚动'!N8</f>
        <v>0.88415148815534172</v>
      </c>
      <c r="P33" s="347">
        <f>SUM(P34:P37)+'假设-ROI月度滚动'!O8</f>
        <v>0.64873258728880367</v>
      </c>
      <c r="Q33" s="347">
        <f>SUM(Q34:Q37)+'假设-ROI月度滚动'!P8</f>
        <v>0.62406733006540693</v>
      </c>
      <c r="R33" s="347">
        <f>SUM(R34:R37)+'假设-ROI月度滚动'!Q8</f>
        <v>0.60764373264062699</v>
      </c>
      <c r="S33" s="347">
        <f>SUM(S34:S37)+'假设-ROI月度滚动'!R8</f>
        <v>0.59822753678375318</v>
      </c>
      <c r="T33" s="347">
        <f>SUM(T34:T37)+'假设-ROI月度滚动'!S8</f>
        <v>0.59822753678375318</v>
      </c>
      <c r="U33" s="347">
        <f>SUM(U34:U37)+'假设-ROI月度滚动'!T8</f>
        <v>0.59822753678375318</v>
      </c>
      <c r="V33" s="347">
        <f>SUM(V34:V37)+'假设-ROI月度滚动'!U8</f>
        <v>0.59822753678375318</v>
      </c>
      <c r="W33" s="349">
        <f>IFERROR(AVERAGE(K33:V33),0)</f>
        <v>0.6301620658710857</v>
      </c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</row>
    <row r="34" spans="1:38">
      <c r="E34" s="67" t="s">
        <v>52</v>
      </c>
      <c r="F34" s="67" t="s">
        <v>54</v>
      </c>
      <c r="G34" s="67" t="s">
        <v>58</v>
      </c>
      <c r="J34" s="348">
        <f>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Z$6:$Z$532,"&lt;&gt;")=0,$Y34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A$6:$AA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Y34))</f>
        <v>0</v>
      </c>
      <c r="K34" s="348">
        <f>IF(Z34&lt;&gt;"",Z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H$6:$H$532,"&lt;&gt;")=0,$J34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I$6:$I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L34" s="348">
        <f>IF(AA34&lt;&gt;"",AA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K$6:$K$532,"&lt;&gt;")=0,$J34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L$6:$L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M34" s="348">
        <f>IF(AB34&lt;&gt;"",AB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N$6:$N$532,"&lt;&gt;")=0,$J34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O$6:$O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N34" s="348">
        <f>IF(AC34&lt;&gt;"",AC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Q$6:$Q$532,"&lt;&gt;")=0,$J34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R$6:$R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O34" s="348">
        <f>IF(AD34&lt;&gt;"",AD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T$6:$T$532,"&lt;&gt;")=0,$J34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U$6:$U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P34" s="350">
        <f>IF(AE34&lt;&gt;"",AE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F$6:$AF$532,"已导入实际")=0,$J34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D$6:$AD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Q34" s="350">
        <f>IF(AF34&lt;&gt;"",AF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J$6:$AJ$532,"已导入实际")=0,$J34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H$6:$AH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R34" s="350">
        <f>IF(AG34&lt;&gt;"",AG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N$6:$AN$532,"已导入实际")=0,$J34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L$6:$AL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S34" s="350">
        <f>IF(AH34&lt;&gt;"",AH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R$6:$AR$532,"已导入实际")=0,$J34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P$6:$AP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T34" s="350">
        <f>IF(AI34&lt;&gt;"",AI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V$6:$AV$532,"已导入实际")=0,$J34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T$6:$AT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U34" s="350">
        <f>IF(AJ34&lt;&gt;"",AJ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Z$6:$AZ$532,"已导入实际")=0,$J34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V34" s="350">
        <f>IF(AK34&lt;&gt;"",AK34,IF(COUNTIFS('参考值-平台费用率分析'!$A$6:$A$532,"自营",'参考值-平台费用率分析'!$B$6:$B$532,"视频号",'参考值-平台费用率分析'!$C$6:$C$532,"销售费用",'参考值-平台费用率分析'!$D$6:$D$532,$F34,'参考值-平台费用率分析'!$E$6:$E$532,$G34,'参考值-平台费用率分析'!$AZ$6:$AZ$532,"已导入实际")=0,$J34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34,'参考值-平台费用率分析'!$E$6:$E$532,$G34),$J34)))</f>
        <v>0</v>
      </c>
      <c r="W34" s="348">
        <f>(K34*'假设-目标渠道分解'!L$6+L34*'假设-目标渠道分解'!M$6+M34*'假设-目标渠道分解'!N$6+N34*'假设-目标渠道分解'!O$6+O34*'假设-目标渠道分解'!P$6+P34*'假设-目标渠道分解'!Q$6+Q34*'假设-目标渠道分解'!R$6+R34*'假设-目标渠道分解'!S$6+S34*'假设-目标渠道分解'!T$6+T34*'假设-目标渠道分解'!U$6+U34*'假设-目标渠道分解'!V$6+V34*'假设-目标渠道分解'!W$6)/'假设-目标渠道分解'!J$6</f>
        <v>0</v>
      </c>
      <c r="Y34" s="155">
        <v>0</v>
      </c>
      <c r="Z34" s="155"/>
      <c r="AA34" s="155"/>
      <c r="AB34" s="155"/>
      <c r="AC34" s="155"/>
      <c r="AD34" s="155"/>
      <c r="AE34" s="155"/>
      <c r="AF34" s="155"/>
      <c r="AG34" s="155"/>
      <c r="AH34" s="155"/>
      <c r="AI34" s="155"/>
      <c r="AJ34" s="155"/>
      <c r="AK34" s="155"/>
      <c r="AL34" s="338" t="s">
        <v>794</v>
      </c>
    </row>
    <row r="35" spans="1:38">
      <c r="E35" s="67" t="s">
        <v>52</v>
      </c>
      <c r="F35" s="67" t="s">
        <v>54</v>
      </c>
      <c r="G35" s="67" t="s">
        <v>59</v>
      </c>
      <c r="J35" s="348">
        <f>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Z$6:$Z$532,"&lt;&gt;")=0,$Y35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A$6:$AA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Y35))</f>
        <v>0</v>
      </c>
      <c r="K35" s="348">
        <f>IF(Z35&lt;&gt;"",Z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H$6:$H$532,"&lt;&gt;")=0,$J35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I$6:$I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L35" s="348">
        <f>IF(AA35&lt;&gt;"",AA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K$6:$K$532,"&lt;&gt;")=0,$J35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L$6:$L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M35" s="348">
        <f>IF(AB35&lt;&gt;"",AB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N$6:$N$532,"&lt;&gt;")=0,$J35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O$6:$O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N35" s="348">
        <f>IF(AC35&lt;&gt;"",AC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Q$6:$Q$532,"&lt;&gt;")=0,$J35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R$6:$R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O35" s="348">
        <f>IF(AD35&lt;&gt;"",AD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T$6:$T$532,"&lt;&gt;")=0,$J35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U$6:$U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P35" s="348">
        <f>IF(AE35&lt;&gt;"",AE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F$6:$AF$532,"已导入实际")=0,$J35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D$6:$AD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Q35" s="348">
        <f>IF(AF35&lt;&gt;"",AF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J$6:$AJ$532,"已导入实际")=0,$J35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H$6:$AH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R35" s="348">
        <f>IF(AG35&lt;&gt;"",AG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N$6:$AN$532,"已导入实际")=0,$J35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L$6:$AL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S35" s="348">
        <f>IF(AH35&lt;&gt;"",AH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R$6:$AR$532,"已导入实际")=0,$J35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P$6:$AP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T35" s="348">
        <f>IF(AI35&lt;&gt;"",AI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V$6:$AV$532,"已导入实际")=0,$J35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T$6:$AT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U35" s="348">
        <f>IF(AJ35&lt;&gt;"",AJ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Z$6:$AZ$532,"已导入实际")=0,$J35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V35" s="348">
        <f>IF(AK35&lt;&gt;"",AK35,IF(COUNTIFS('参考值-平台费用率分析'!$A$6:$A$532,"自营",'参考值-平台费用率分析'!$B$6:$B$532,"视频号",'参考值-平台费用率分析'!$C$6:$C$532,"销售费用",'参考值-平台费用率分析'!$D$6:$D$532,$F35,'参考值-平台费用率分析'!$E$6:$E$532,$G35,'参考值-平台费用率分析'!$AZ$6:$AZ$532,"已导入实际")=0,$J35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35,'参考值-平台费用率分析'!$E$6:$E$532,$G35),$J35)))</f>
        <v>0</v>
      </c>
      <c r="W35" s="348">
        <f>(K35*'假设-目标渠道分解'!L$6+L35*'假设-目标渠道分解'!M$6+M35*'假设-目标渠道分解'!N$6+N35*'假设-目标渠道分解'!O$6+O35*'假设-目标渠道分解'!P$6+P35*'假设-目标渠道分解'!Q$6+Q35*'假设-目标渠道分解'!R$6+R35*'假设-目标渠道分解'!S$6+S35*'假设-目标渠道分解'!T$6+T35*'假设-目标渠道分解'!U$6+U35*'假设-目标渠道分解'!V$6+V35*'假设-目标渠道分解'!W$6)/'假设-目标渠道分解'!J$6</f>
        <v>0</v>
      </c>
      <c r="Y35" s="155">
        <v>9.1162380757874098E-3</v>
      </c>
      <c r="Z35" s="155"/>
      <c r="AA35" s="155"/>
      <c r="AB35" s="155"/>
      <c r="AC35" s="155"/>
      <c r="AD35" s="155"/>
      <c r="AE35" s="155"/>
      <c r="AF35" s="155"/>
      <c r="AG35" s="155"/>
      <c r="AH35" s="155"/>
      <c r="AI35" s="155"/>
      <c r="AJ35" s="155"/>
      <c r="AK35" s="155"/>
      <c r="AL35" s="338" t="s">
        <v>794</v>
      </c>
    </row>
    <row r="36" spans="1:38">
      <c r="E36" s="67" t="s">
        <v>52</v>
      </c>
      <c r="F36" s="67" t="s">
        <v>54</v>
      </c>
      <c r="G36" s="67" t="s">
        <v>60</v>
      </c>
      <c r="J36" s="348">
        <f>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Z$6:$Z$532,"&lt;&gt;")=0,$Y36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A$6:$AA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Y36))</f>
        <v>0</v>
      </c>
      <c r="K36" s="348">
        <f>IF(Z36&lt;&gt;"",Z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H$6:$H$532,"&lt;&gt;")=0,$J36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I$6:$I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L36" s="348">
        <f>IF(AA36&lt;&gt;"",AA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K$6:$K$532,"&lt;&gt;")=0,$J36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L$6:$L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M36" s="348">
        <f>IF(AB36&lt;&gt;"",AB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N$6:$N$532,"&lt;&gt;")=0,$J36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O$6:$O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N36" s="348">
        <f>IF(AC36&lt;&gt;"",AC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Q$6:$Q$532,"&lt;&gt;")=0,$J36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R$6:$R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O36" s="348">
        <f>IF(AD36&lt;&gt;"",AD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T$6:$T$532,"&lt;&gt;")=0,$J36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U$6:$U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P36" s="348">
        <f>IF(AE36&lt;&gt;"",AE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F$6:$AF$532,"已导入实际")=0,$J36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D$6:$AD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Q36" s="348">
        <f>IF(AF36&lt;&gt;"",AF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J$6:$AJ$532,"已导入实际")=0,$J36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H$6:$AH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R36" s="348">
        <f>IF(AG36&lt;&gt;"",AG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N$6:$AN$532,"已导入实际")=0,$J36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L$6:$AL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S36" s="348">
        <f>IF(AH36&lt;&gt;"",AH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R$6:$AR$532,"已导入实际")=0,$J36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P$6:$AP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T36" s="348">
        <f>IF(AI36&lt;&gt;"",AI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V$6:$AV$532,"已导入实际")=0,$J36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T$6:$AT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U36" s="348">
        <f>IF(AJ36&lt;&gt;"",AJ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Z$6:$AZ$532,"已导入实际")=0,$J36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V36" s="348">
        <f>IF(AK36&lt;&gt;"",AK36,IF(COUNTIFS('参考值-平台费用率分析'!$A$6:$A$532,"自营",'参考值-平台费用率分析'!$B$6:$B$532,"视频号",'参考值-平台费用率分析'!$C$6:$C$532,"销售费用",'参考值-平台费用率分析'!$D$6:$D$532,$F36,'参考值-平台费用率分析'!$E$6:$E$532,$G36,'参考值-平台费用率分析'!$AZ$6:$AZ$532,"已导入实际")=0,$J36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36,'参考值-平台费用率分析'!$E$6:$E$532,$G36),$J36)))</f>
        <v>0</v>
      </c>
      <c r="W36" s="348">
        <f>(K36*'假设-目标渠道分解'!L$6+L36*'假设-目标渠道分解'!M$6+M36*'假设-目标渠道分解'!N$6+N36*'假设-目标渠道分解'!O$6+O36*'假设-目标渠道分解'!P$6+P36*'假设-目标渠道分解'!Q$6+Q36*'假设-目标渠道分解'!R$6+R36*'假设-目标渠道分解'!S$6+S36*'假设-目标渠道分解'!T$6+T36*'假设-目标渠道分解'!U$6+U36*'假设-目标渠道分解'!V$6+V36*'假设-目标渠道分解'!W$6)/'假设-目标渠道分解'!J$6</f>
        <v>0</v>
      </c>
      <c r="Y36" s="155">
        <v>0</v>
      </c>
      <c r="Z36" s="155"/>
      <c r="AA36" s="155"/>
      <c r="AB36" s="155"/>
      <c r="AC36" s="155"/>
      <c r="AD36" s="155"/>
      <c r="AE36" s="155"/>
      <c r="AF36" s="155"/>
      <c r="AG36" s="155"/>
      <c r="AH36" s="155"/>
      <c r="AI36" s="155"/>
      <c r="AJ36" s="155"/>
      <c r="AK36" s="155"/>
      <c r="AL36" s="338" t="s">
        <v>794</v>
      </c>
    </row>
    <row r="37" spans="1:38">
      <c r="E37" s="67" t="s">
        <v>52</v>
      </c>
      <c r="F37" s="67" t="s">
        <v>54</v>
      </c>
      <c r="G37" s="67" t="s">
        <v>61</v>
      </c>
      <c r="J37" s="348">
        <f>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Z$6:$Z$532,"&lt;&gt;")=0,$Y37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A$6:$AA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Y37))</f>
        <v>4.2671981228197604E-2</v>
      </c>
      <c r="K37" s="348">
        <f>IF(Z37&lt;&gt;"",Z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H$6:$H$532,"&lt;&gt;")=0,$J37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I$6:$I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0.28976329926054806</v>
      </c>
      <c r="L37" s="348">
        <f>IF(AA37&lt;&gt;"",AA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K$6:$K$532,"&lt;&gt;")=0,$J37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L$6:$L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0.20079649474492761</v>
      </c>
      <c r="M37" s="348">
        <f>IF(AB37&lt;&gt;"",AB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N$6:$N$532,"&lt;&gt;")=0,$J37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O$6:$O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0.1083146205283252</v>
      </c>
      <c r="N37" s="348">
        <f>IF(AC37&lt;&gt;"",AC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Q$6:$Q$532,"&lt;&gt;")=0,$J37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R$6:$R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-6.6687545836389226E-3</v>
      </c>
      <c r="O37" s="348">
        <f>IF(AD37&lt;&gt;"",AD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T$6:$T$532,"&lt;&gt;")=0,$J37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U$6:$U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2.6244446497278202E-3</v>
      </c>
      <c r="P37" s="348">
        <f>IF(AE37&lt;&gt;"",AE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F$6:$AF$532,"已导入实际")=0,$J37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D$6:$AD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Q37" s="348">
        <f>IF(AF37&lt;&gt;"",AF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J$6:$AJ$532,"已导入实际")=0,$J37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H$6:$AH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R37" s="348">
        <f>IF(AG37&lt;&gt;"",AG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N$6:$AN$532,"已导入实际")=0,$J37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L$6:$AL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S37" s="348">
        <f>IF(AH37&lt;&gt;"",AH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R$6:$AR$532,"已导入实际")=0,$J37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P$6:$AP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T37" s="348">
        <f>IF(AI37&lt;&gt;"",AI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V$6:$AV$532,"已导入实际")=0,$J37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T$6:$AT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U37" s="348">
        <f>IF(AJ37&lt;&gt;"",AJ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Z$6:$AZ$532,"已导入实际")=0,$J37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V37" s="348">
        <f>IF(AK37&lt;&gt;"",AK37,IF(COUNTIFS('参考值-平台费用率分析'!$A$6:$A$532,"自营",'参考值-平台费用率分析'!$B$6:$B$532,"视频号",'参考值-平台费用率分析'!$C$6:$C$532,"销售费用",'参考值-平台费用率分析'!$D$6:$D$532,$F37,'参考值-平台费用率分析'!$E$6:$E$532,$G37,'参考值-平台费用率分析'!$AZ$6:$AZ$532,"已导入实际")=0,$J37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37,'参考值-平台费用率分析'!$E$6:$E$532,$G37),$J37)))</f>
        <v>4.2671981228197604E-2</v>
      </c>
      <c r="W37" s="348">
        <f>(K37*'假设-目标渠道分解'!L$6+L37*'假设-目标渠道分解'!M$6+M37*'假设-目标渠道分解'!N$6+N37*'假设-目标渠道分解'!O$6+O37*'假设-目标渠道分解'!P$6+P37*'假设-目标渠道分解'!Q$6+Q37*'假设-目标渠道分解'!R$6+R37*'假设-目标渠道分解'!S$6+S37*'假设-目标渠道分解'!T$6+T37*'假设-目标渠道分解'!U$6+U37*'假设-目标渠道分解'!V$6+V37*'假设-目标渠道分解'!W$6)/'假设-目标渠道分解'!J$6</f>
        <v>6.7769216590888873E-2</v>
      </c>
      <c r="Y37" s="155">
        <v>0</v>
      </c>
      <c r="Z37" s="155"/>
      <c r="AA37" s="155"/>
      <c r="AB37" s="155"/>
      <c r="AC37" s="155"/>
      <c r="AD37" s="155"/>
      <c r="AE37" s="155"/>
      <c r="AF37" s="155"/>
      <c r="AG37" s="155"/>
      <c r="AH37" s="155"/>
      <c r="AI37" s="155"/>
      <c r="AJ37" s="155"/>
      <c r="AK37" s="155"/>
      <c r="AL37" s="338" t="s">
        <v>794</v>
      </c>
    </row>
    <row r="38" spans="1:38">
      <c r="D38" s="67" t="s">
        <v>65</v>
      </c>
      <c r="J38" s="348"/>
      <c r="K38" s="348">
        <f t="shared" ref="K38:W38" si="4">SUM(K39:K42)</f>
        <v>0</v>
      </c>
      <c r="L38" s="348">
        <f t="shared" si="4"/>
        <v>0</v>
      </c>
      <c r="M38" s="348">
        <f t="shared" si="4"/>
        <v>0</v>
      </c>
      <c r="N38" s="348">
        <f t="shared" si="4"/>
        <v>0</v>
      </c>
      <c r="O38" s="348">
        <f t="shared" si="4"/>
        <v>0</v>
      </c>
      <c r="P38" s="348">
        <f t="shared" si="4"/>
        <v>0</v>
      </c>
      <c r="Q38" s="348">
        <f t="shared" si="4"/>
        <v>0.35</v>
      </c>
      <c r="R38" s="348">
        <f t="shared" si="4"/>
        <v>0.35</v>
      </c>
      <c r="S38" s="348">
        <f t="shared" si="4"/>
        <v>0.35</v>
      </c>
      <c r="T38" s="348">
        <f t="shared" si="4"/>
        <v>0.35</v>
      </c>
      <c r="U38" s="348">
        <f t="shared" si="4"/>
        <v>0.35</v>
      </c>
      <c r="V38" s="348">
        <f t="shared" si="4"/>
        <v>0.35</v>
      </c>
      <c r="W38" s="349">
        <f t="shared" si="4"/>
        <v>0.1504348517507208</v>
      </c>
      <c r="Z38" s="155"/>
      <c r="AA38" s="155"/>
      <c r="AB38" s="155"/>
      <c r="AC38" s="155"/>
      <c r="AD38" s="155"/>
      <c r="AE38" s="155"/>
      <c r="AF38" s="155"/>
      <c r="AG38" s="155"/>
      <c r="AH38" s="155"/>
      <c r="AI38" s="155"/>
      <c r="AJ38" s="155"/>
      <c r="AK38" s="155"/>
    </row>
    <row r="39" spans="1:38">
      <c r="E39" s="67" t="s">
        <v>52</v>
      </c>
      <c r="F39" s="67" t="s">
        <v>65</v>
      </c>
      <c r="G39" s="67" t="s">
        <v>66</v>
      </c>
      <c r="J39" s="348">
        <f>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Z$6:$Z$532,"&lt;&gt;")=0,$Y39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A$6:$AA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Y39))</f>
        <v>0</v>
      </c>
      <c r="K39" s="348">
        <f>IF(Z39&lt;&gt;"",Z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H$6:$H$532,"&lt;&gt;")=0,$J39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I$6:$I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L39" s="348">
        <f>IF(AA39&lt;&gt;"",AA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K$6:$K$532,"&lt;&gt;")=0,$J39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L$6:$L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M39" s="348">
        <f>IF(AB39&lt;&gt;"",AB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N$6:$N$532,"&lt;&gt;")=0,$J39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O$6:$O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N39" s="348">
        <f>IF(AC39&lt;&gt;"",AC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Q$6:$Q$532,"&lt;&gt;")=0,$J39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R$6:$R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O39" s="348">
        <f>IF(AD39&lt;&gt;"",AD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T$6:$T$532,"&lt;&gt;")=0,$J39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U$6:$U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P39" s="350">
        <f>IF(AE39&lt;&gt;"",AE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F$6:$AF$532,"已导入实际")=0,$J39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D$6:$AD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</v>
      </c>
      <c r="Q39" s="350">
        <f>IF(AF39&lt;&gt;"",AF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J$6:$AJ$532,"已导入实际")=0,$J39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H$6:$AH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R39" s="350">
        <f>IF(AG39&lt;&gt;"",AG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N$6:$AN$532,"已导入实际")=0,$J39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L$6:$AL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S39" s="350">
        <f>IF(AH39&lt;&gt;"",AH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R$6:$AR$532,"已导入实际")=0,$J39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P$6:$AP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T39" s="350">
        <f>IF(AI39&lt;&gt;"",AI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V$6:$AV$532,"已导入实际")=0,$J39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T$6:$AT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U39" s="350">
        <f>IF(AJ39&lt;&gt;"",AJ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Z$6:$AZ$532,"已导入实际")=0,$J39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V39" s="350">
        <f>IF(AK39&lt;&gt;"",AK39,IF(COUNTIFS('参考值-平台费用率分析'!$A$6:$A$532,"自营",'参考值-平台费用率分析'!$B$6:$B$532,"视频号",'参考值-平台费用率分析'!$C$6:$C$532,"销售费用",'参考值-平台费用率分析'!$D$6:$D$532,$F39,'参考值-平台费用率分析'!$E$6:$E$532,$G39,'参考值-平台费用率分析'!$AZ$6:$AZ$532,"已导入实际")=0,$J39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/SUMIFS('参考值-平台费用率分析'!$AX$6:$AX$532,'参考值-平台费用率分析'!$A$6:$A$532,"自营",'参考值-平台费用率分析'!$B$6:$B$532,"视频号",'参考值-平台费用率分析'!$C$6:$C$532,"销售费用",'参考值-平台费用率分析'!$D$6:$D$532,$F39,'参考值-平台费用率分析'!$E$6:$E$532,$G39),$J39)))</f>
        <v>0.05</v>
      </c>
      <c r="W39" s="348">
        <f>(K39*'假设-目标渠道分解'!L$6+L39*'假设-目标渠道分解'!M$6+M39*'假设-目标渠道分解'!N$6+N39*'假设-目标渠道分解'!O$6+O39*'假设-目标渠道分解'!P$6+P39*'假设-目标渠道分解'!Q$6+Q39*'假设-目标渠道分解'!R$6+R39*'假设-目标渠道分解'!S$6+S39*'假设-目标渠道分解'!T$6+T39*'假设-目标渠道分解'!U$6+U39*'假设-目标渠道分解'!V$6+V39*'假设-目标渠道分解'!W$6)/'假设-目标渠道分解'!J$6</f>
        <v>2.1490693107245828E-2</v>
      </c>
      <c r="Y39" s="155">
        <v>0</v>
      </c>
      <c r="Z39" s="155"/>
      <c r="AA39" s="155"/>
      <c r="AB39" s="155"/>
      <c r="AC39" s="155"/>
      <c r="AD39" s="155"/>
      <c r="AE39" s="155"/>
      <c r="AF39" s="155">
        <v>0.05</v>
      </c>
      <c r="AG39" s="155">
        <v>0.05</v>
      </c>
      <c r="AH39" s="155">
        <v>0.05</v>
      </c>
      <c r="AI39" s="155">
        <v>0.05</v>
      </c>
      <c r="AJ39" s="155">
        <v>0.05</v>
      </c>
      <c r="AK39" s="155">
        <v>0.05</v>
      </c>
      <c r="AL39" s="338" t="s">
        <v>794</v>
      </c>
    </row>
    <row r="40" spans="1:38">
      <c r="E40" s="67" t="s">
        <v>52</v>
      </c>
      <c r="F40" s="67" t="s">
        <v>65</v>
      </c>
      <c r="G40" s="67" t="s">
        <v>67</v>
      </c>
      <c r="J40" s="348">
        <f>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Z$6:$Z$532,"&lt;&gt;")=0,$Y40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Y40))</f>
        <v>0</v>
      </c>
      <c r="K40" s="348">
        <f>IF(Z40&lt;&gt;"",Z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H$6:$H$532,"&lt;&gt;")=0,$J40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I$6:$I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L40" s="348">
        <f>IF(AA40&lt;&gt;"",AA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K$6:$K$532,"&lt;&gt;")=0,$J40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L$6:$L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M40" s="348">
        <f>IF(AB40&lt;&gt;"",AB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N$6:$N$532,"&lt;&gt;")=0,$J40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O$6:$O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N40" s="348">
        <f>IF(AC40&lt;&gt;"",AC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Q$6:$Q$532,"&lt;&gt;")=0,$J40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R$6:$R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O40" s="348">
        <f>IF(AD40&lt;&gt;"",AD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T$6:$T$532,"&lt;&gt;")=0,$J40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U$6:$U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P40" s="347">
        <f>IF(AE40&lt;&gt;"",AE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F$6:$AF$532,"已导入实际")=0,$J40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</v>
      </c>
      <c r="Q40" s="347">
        <f>IF(AF40&lt;&gt;"",AF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J$6:$AJ$532,"已导入实际")=0,$J40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R40" s="347">
        <f>IF(AG40&lt;&gt;"",AG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N$6:$AN$532,"已导入实际")=0,$J40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S40" s="347">
        <f>IF(AH40&lt;&gt;"",AH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R$6:$AR$532,"已导入实际")=0,$J40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T40" s="347">
        <f>IF(AI40&lt;&gt;"",AI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V$6:$AV$532,"已导入实际")=0,$J40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U40" s="347">
        <f>IF(AJ40&lt;&gt;"",AJ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Z$6:$AZ$532,"已导入实际")=0,$J40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V40" s="347">
        <f>IF(AK40&lt;&gt;"",AK40,IF(COUNTIFS('参考值-平台费用率分析'!$A$6:$A$532,"自营",'参考值-平台费用率分析'!$B$6:$B$532,"视频号",'参考值-平台费用率分析'!$C$6:$C$532,"销售费用",'参考值-平台费用率分析'!$D$6:$D$532,$F40,'参考值-平台费用率分析'!$E$6:$E$532,$G40,'参考值-平台费用率分析'!$AZ$6:$AZ$532,"已导入实际")=0,$J40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40,'参考值-平台费用率分析'!$E$6:$E$532,$G40),$J40)))</f>
        <v>0.05</v>
      </c>
      <c r="W40" s="348">
        <f>(K40*'假设-目标渠道分解'!L$6+L40*'假设-目标渠道分解'!M$6+M40*'假设-目标渠道分解'!N$6+N40*'假设-目标渠道分解'!O$6+O40*'假设-目标渠道分解'!P$6+P40*'假设-目标渠道分解'!Q$6+Q40*'假设-目标渠道分解'!R$6+R40*'假设-目标渠道分解'!S$6+S40*'假设-目标渠道分解'!T$6+T40*'假设-目标渠道分解'!U$6+U40*'假设-目标渠道分解'!V$6+V40*'假设-目标渠道分解'!W$6)/'假设-目标渠道分解'!J$6</f>
        <v>2.1490693107245828E-2</v>
      </c>
      <c r="Y40" s="155">
        <v>0</v>
      </c>
      <c r="Z40" s="155"/>
      <c r="AA40" s="155"/>
      <c r="AB40" s="155"/>
      <c r="AC40" s="155"/>
      <c r="AD40" s="155"/>
      <c r="AE40" s="155"/>
      <c r="AF40" s="155">
        <v>0.05</v>
      </c>
      <c r="AG40" s="155">
        <v>0.05</v>
      </c>
      <c r="AH40" s="155">
        <v>0.05</v>
      </c>
      <c r="AI40" s="155">
        <v>0.05</v>
      </c>
      <c r="AJ40" s="155">
        <v>0.05</v>
      </c>
      <c r="AK40" s="155">
        <v>0.05</v>
      </c>
      <c r="AL40" s="338" t="s">
        <v>794</v>
      </c>
    </row>
    <row r="41" spans="1:38">
      <c r="E41" s="67" t="s">
        <v>52</v>
      </c>
      <c r="F41" s="67" t="s">
        <v>65</v>
      </c>
      <c r="G41" s="67" t="s">
        <v>68</v>
      </c>
      <c r="J41" s="348">
        <f>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Z$6:$Z$532,"&lt;&gt;")=0,$Y41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Y41))</f>
        <v>0</v>
      </c>
      <c r="K41" s="348">
        <f>IF(Z41&lt;&gt;"",Z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H$6:$H$532,"&lt;&gt;")=0,$J41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I$6:$I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L41" s="348">
        <f>IF(AA41&lt;&gt;"",AA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K$6:$K$532,"&lt;&gt;")=0,$J41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L$6:$L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M41" s="348">
        <f>IF(AB41&lt;&gt;"",AB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N$6:$N$532,"&lt;&gt;")=0,$J41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O$6:$O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N41" s="348">
        <f>IF(AC41&lt;&gt;"",AC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Q$6:$Q$532,"&lt;&gt;")=0,$J41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R$6:$R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O41" s="348">
        <f>IF(AD41&lt;&gt;"",AD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T$6:$T$532,"&lt;&gt;")=0,$J41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U$6:$U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P41" s="348">
        <f>IF(AE41&lt;&gt;"",AE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F$6:$AF$532,"已导入实际")=0,$J41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</v>
      </c>
      <c r="Q41" s="348">
        <f>IF(AF41&lt;&gt;"",AF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J$6:$AJ$532,"已导入实际")=0,$J41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R41" s="348">
        <f>IF(AG41&lt;&gt;"",AG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N$6:$AN$532,"已导入实际")=0,$J41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S41" s="348">
        <f>IF(AH41&lt;&gt;"",AH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R$6:$AR$532,"已导入实际")=0,$J41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T41" s="348">
        <f>IF(AI41&lt;&gt;"",AI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V$6:$AV$532,"已导入实际")=0,$J41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U41" s="348">
        <f>IF(AJ41&lt;&gt;"",AJ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Z$6:$AZ$532,"已导入实际")=0,$J41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V41" s="348">
        <f>IF(AK41&lt;&gt;"",AK41,IF(COUNTIFS('参考值-平台费用率分析'!$A$6:$A$532,"自营",'参考值-平台费用率分析'!$B$6:$B$532,"视频号",'参考值-平台费用率分析'!$C$6:$C$532,"销售费用",'参考值-平台费用率分析'!$D$6:$D$532,$F41,'参考值-平台费用率分析'!$E$6:$E$532,$G41,'参考值-平台费用率分析'!$AZ$6:$AZ$532,"已导入实际")=0,$J41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41,'参考值-平台费用率分析'!$E$6:$E$532,$G41),$J41)))</f>
        <v>0.25</v>
      </c>
      <c r="W41" s="348">
        <f>(K41*'假设-目标渠道分解'!L$6+L41*'假设-目标渠道分解'!M$6+M41*'假设-目标渠道分解'!N$6+N41*'假设-目标渠道分解'!O$6+O41*'假设-目标渠道分解'!P$6+P41*'假设-目标渠道分解'!Q$6+Q41*'假设-目标渠道分解'!R$6+R41*'假设-目标渠道分解'!S$6+S41*'假设-目标渠道分解'!T$6+T41*'假设-目标渠道分解'!U$6+U41*'假设-目标渠道分解'!V$6+V41*'假设-目标渠道分解'!W$6)/'假设-目标渠道分解'!J$6</f>
        <v>0.10745346553622913</v>
      </c>
      <c r="Y41" s="155">
        <v>0</v>
      </c>
      <c r="Z41" s="155"/>
      <c r="AA41" s="155"/>
      <c r="AB41" s="155"/>
      <c r="AC41" s="155"/>
      <c r="AD41" s="155"/>
      <c r="AE41" s="155"/>
      <c r="AF41" s="155">
        <v>0.25</v>
      </c>
      <c r="AG41" s="155">
        <v>0.25</v>
      </c>
      <c r="AH41" s="155">
        <v>0.25</v>
      </c>
      <c r="AI41" s="155">
        <v>0.25</v>
      </c>
      <c r="AJ41" s="155">
        <v>0.25</v>
      </c>
      <c r="AK41" s="155">
        <v>0.25</v>
      </c>
      <c r="AL41" s="338" t="s">
        <v>794</v>
      </c>
    </row>
    <row r="42" spans="1:38" s="102" customFormat="1">
      <c r="D42" s="67"/>
      <c r="E42" s="67" t="s">
        <v>52</v>
      </c>
      <c r="F42" s="67" t="s">
        <v>65</v>
      </c>
      <c r="G42" s="67" t="s">
        <v>69</v>
      </c>
      <c r="H42" s="67"/>
      <c r="J42" s="348">
        <f>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Z$6:$Z$532,"&lt;&gt;")=0,$Y42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Y42))</f>
        <v>0</v>
      </c>
      <c r="K42" s="348">
        <f>IF(Z42&lt;&gt;"",Z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H$6:$H$532,"&lt;&gt;")=0,$J42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I$6:$I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L42" s="348">
        <f>IF(AA42&lt;&gt;"",AA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K$6:$K$532,"&lt;&gt;")=0,$J42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L$6:$L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M42" s="348">
        <f>IF(AB42&lt;&gt;"",AB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N$6:$N$532,"&lt;&gt;")=0,$J42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O$6:$O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N42" s="348">
        <f>IF(AC42&lt;&gt;"",AC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Q$6:$Q$532,"&lt;&gt;")=0,$J42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R$6:$R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O42" s="348">
        <f>IF(AD42&lt;&gt;"",AD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T$6:$T$532,"&lt;&gt;")=0,$J42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U$6:$U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P42" s="348">
        <f>IF(AE42&lt;&gt;"",AE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F$6:$AF$532,"已导入实际")=0,$J42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Q42" s="348">
        <f>IF(AF42&lt;&gt;"",AF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J$6:$AJ$532,"已导入实际")=0,$J42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R42" s="348">
        <f>IF(AG42&lt;&gt;"",AG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N$6:$AN$532,"已导入实际")=0,$J42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S42" s="348">
        <f>IF(AH42&lt;&gt;"",AH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R$6:$AR$532,"已导入实际")=0,$J42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T42" s="348">
        <f>IF(AI42&lt;&gt;"",AI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V$6:$AV$532,"已导入实际")=0,$J42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U42" s="348">
        <f>IF(AJ42&lt;&gt;"",AJ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Z$6:$AZ$532,"已导入实际")=0,$J42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V42" s="348">
        <f>IF(AK42&lt;&gt;"",AK42,IF(COUNTIFS('参考值-平台费用率分析'!$A$6:$A$532,"自营",'参考值-平台费用率分析'!$B$6:$B$532,"视频号",'参考值-平台费用率分析'!$C$6:$C$532,"销售费用",'参考值-平台费用率分析'!$D$6:$D$532,$F42,'参考值-平台费用率分析'!$E$6:$E$532,$G42,'参考值-平台费用率分析'!$AZ$6:$AZ$532,"已导入实际")=0,$J42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42,'参考值-平台费用率分析'!$E$6:$E$532,$G42),$J42)))</f>
        <v>0</v>
      </c>
      <c r="W42" s="348">
        <f>(K42*'假设-目标渠道分解'!L$6+L42*'假设-目标渠道分解'!M$6+M42*'假设-目标渠道分解'!N$6+N42*'假设-目标渠道分解'!O$6+O42*'假设-目标渠道分解'!P$6+P42*'假设-目标渠道分解'!Q$6+Q42*'假设-目标渠道分解'!R$6+R42*'假设-目标渠道分解'!S$6+S42*'假设-目标渠道分解'!T$6+T42*'假设-目标渠道分解'!U$6+U42*'假设-目标渠道分解'!V$6+V42*'假设-目标渠道分解'!W$6)/'假设-目标渠道分解'!J$6</f>
        <v>0</v>
      </c>
      <c r="Y42" s="155">
        <v>5.2470816680337803E-2</v>
      </c>
      <c r="Z42" s="155"/>
      <c r="AA42" s="155"/>
      <c r="AB42" s="155"/>
      <c r="AC42" s="155"/>
      <c r="AD42" s="155"/>
      <c r="AE42" s="155"/>
      <c r="AF42" s="155"/>
      <c r="AG42" s="155"/>
      <c r="AH42" s="155"/>
      <c r="AI42" s="155"/>
      <c r="AJ42" s="155"/>
      <c r="AK42" s="155"/>
      <c r="AL42" s="338" t="s">
        <v>794</v>
      </c>
    </row>
    <row r="43" spans="1:38">
      <c r="A43" s="102"/>
      <c r="B43" s="102"/>
      <c r="C43" s="102"/>
      <c r="D43" s="102" t="s">
        <v>70</v>
      </c>
      <c r="E43" s="102"/>
      <c r="F43" s="102"/>
      <c r="G43" s="102"/>
      <c r="H43" s="102"/>
      <c r="I43" s="199"/>
      <c r="J43" s="351"/>
      <c r="K43" s="351">
        <f t="shared" ref="K43:W43" si="5">SUM(K44:K46)</f>
        <v>0.24866777115369856</v>
      </c>
      <c r="L43" s="351">
        <f t="shared" si="5"/>
        <v>0.16304831669070949</v>
      </c>
      <c r="M43" s="351">
        <f t="shared" si="5"/>
        <v>0.19816432370401429</v>
      </c>
      <c r="N43" s="351">
        <f t="shared" si="5"/>
        <v>5.128448563237549E-2</v>
      </c>
      <c r="O43" s="351">
        <f t="shared" si="5"/>
        <v>5.2470816680337803E-2</v>
      </c>
      <c r="P43" s="351">
        <f t="shared" si="5"/>
        <v>9.0003238615090825E-2</v>
      </c>
      <c r="Q43" s="351">
        <f t="shared" si="5"/>
        <v>9.0003238615090825E-2</v>
      </c>
      <c r="R43" s="351">
        <f t="shared" si="5"/>
        <v>9.0003238615090825E-2</v>
      </c>
      <c r="S43" s="351">
        <f t="shared" si="5"/>
        <v>9.0003238615090825E-2</v>
      </c>
      <c r="T43" s="351">
        <f t="shared" si="5"/>
        <v>9.0003238615090825E-2</v>
      </c>
      <c r="U43" s="351">
        <f t="shared" si="5"/>
        <v>9.0003238615090825E-2</v>
      </c>
      <c r="V43" s="351">
        <f t="shared" si="5"/>
        <v>9.0003238615090825E-2</v>
      </c>
      <c r="W43" s="352">
        <f t="shared" si="5"/>
        <v>0.1083945942553413</v>
      </c>
      <c r="Y43" s="102"/>
      <c r="Z43" s="155"/>
      <c r="AA43" s="155"/>
      <c r="AB43" s="155"/>
      <c r="AC43" s="155"/>
      <c r="AD43" s="155"/>
      <c r="AE43" s="155"/>
      <c r="AF43" s="155"/>
      <c r="AG43" s="155"/>
      <c r="AH43" s="155"/>
      <c r="AI43" s="155"/>
      <c r="AJ43" s="155"/>
      <c r="AK43" s="155"/>
      <c r="AL43" s="102"/>
    </row>
    <row r="44" spans="1:38">
      <c r="E44" s="67" t="s">
        <v>52</v>
      </c>
      <c r="F44" s="67" t="s">
        <v>70</v>
      </c>
      <c r="G44" s="67" t="s">
        <v>71</v>
      </c>
      <c r="J44" s="348">
        <f>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Z$6:$Z$532,"&lt;&gt;")=0,$Y44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Y44))</f>
        <v>0</v>
      </c>
      <c r="K44" s="348">
        <f>IF(Z44&lt;&gt;"",Z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H$6:$H$532,"&lt;&gt;")=0,$J44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I$6:$I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L44" s="348">
        <f>IF(AA44&lt;&gt;"",AA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K$6:$K$532,"&lt;&gt;")=0,$J44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L$6:$L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M44" s="348">
        <f>IF(AB44&lt;&gt;"",AB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N$6:$N$532,"&lt;&gt;")=0,$J44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O$6:$O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N44" s="348">
        <f>IF(AC44&lt;&gt;"",AC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Q$6:$Q$532,"&lt;&gt;")=0,$J44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R$6:$R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O44" s="348">
        <f>IF(AD44&lt;&gt;"",AD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T$6:$T$532,"&lt;&gt;")=0,$J44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U$6:$U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P44" s="348">
        <f>IF(AE44&lt;&gt;"",AE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F$6:$AF$532,"已导入实际")=0,$J44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Q44" s="348">
        <f>IF(AF44&lt;&gt;"",AF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J$6:$AJ$532,"已导入实际")=0,$J44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R44" s="348">
        <f>IF(AG44&lt;&gt;"",AG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N$6:$AN$532,"已导入实际")=0,$J44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S44" s="348">
        <f>IF(AH44&lt;&gt;"",AH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R$6:$AR$532,"已导入实际")=0,$J44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T44" s="348">
        <f>IF(AI44&lt;&gt;"",AI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V$6:$AV$532,"已导入实际")=0,$J44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U44" s="348">
        <f>IF(AJ44&lt;&gt;"",AJ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Z$6:$AZ$532,"已导入实际")=0,$J44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V44" s="348">
        <f>IF(AK44&lt;&gt;"",AK44,IF(COUNTIFS('参考值-平台费用率分析'!$A$6:$A$532,"自营",'参考值-平台费用率分析'!$B$6:$B$532,"视频号",'参考值-平台费用率分析'!$C$6:$C$532,"销售费用",'参考值-平台费用率分析'!$D$6:$D$532,$F44,'参考值-平台费用率分析'!$E$6:$E$532,$G44,'参考值-平台费用率分析'!$AZ$6:$AZ$532,"已导入实际")=0,$J44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44,'参考值-平台费用率分析'!$E$6:$E$532,$G44),$J44)))</f>
        <v>0</v>
      </c>
      <c r="W44" s="348">
        <f>(K44*'假设-目标渠道分解'!L$6+L44*'假设-目标渠道分解'!M$6+M44*'假设-目标渠道分解'!N$6+N44*'假设-目标渠道分解'!O$6+O44*'假设-目标渠道分解'!P$6+P44*'假设-目标渠道分解'!Q$6+Q44*'假设-目标渠道分解'!R$6+R44*'假设-目标渠道分解'!S$6+S44*'假设-目标渠道分解'!T$6+T44*'假设-目标渠道分解'!U$6+U44*'假设-目标渠道分解'!V$6+V44*'假设-目标渠道分解'!W$6)/'假设-目标渠道分解'!J$6</f>
        <v>0</v>
      </c>
      <c r="Y44" s="155">
        <v>0</v>
      </c>
      <c r="Z44" s="155"/>
      <c r="AA44" s="155"/>
      <c r="AB44" s="155"/>
      <c r="AC44" s="155"/>
      <c r="AD44" s="155"/>
      <c r="AE44" s="155"/>
      <c r="AF44" s="155"/>
      <c r="AG44" s="155"/>
      <c r="AH44" s="155"/>
      <c r="AI44" s="155"/>
      <c r="AJ44" s="155"/>
      <c r="AK44" s="155"/>
      <c r="AL44" s="338" t="s">
        <v>794</v>
      </c>
    </row>
    <row r="45" spans="1:38">
      <c r="E45" s="67" t="s">
        <v>52</v>
      </c>
      <c r="F45" s="67" t="s">
        <v>70</v>
      </c>
      <c r="G45" s="67" t="s">
        <v>72</v>
      </c>
      <c r="J45" s="348">
        <f>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Z$6:$Z$532,"&lt;&gt;")=0,$Y45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Y45))</f>
        <v>0</v>
      </c>
      <c r="K45" s="348">
        <f>IF(Z45&lt;&gt;"",Z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H$6:$H$532,"&lt;&gt;")=0,$J45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I$6:$I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L45" s="348">
        <f>IF(AA45&lt;&gt;"",AA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K$6:$K$532,"&lt;&gt;")=0,$J45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L$6:$L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M45" s="348">
        <f>IF(AB45&lt;&gt;"",AB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N$6:$N$532,"&lt;&gt;")=0,$J45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O$6:$O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N45" s="348">
        <f>IF(AC45&lt;&gt;"",AC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Q$6:$Q$532,"&lt;&gt;")=0,$J45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R$6:$R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O45" s="348">
        <f>IF(AD45&lt;&gt;"",AD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T$6:$T$532,"&lt;&gt;")=0,$J45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U$6:$U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P45" s="350">
        <f>IF(AE45&lt;&gt;"",AE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F$6:$AF$532,"已导入实际")=0,$J45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Q45" s="350">
        <f>IF(AF45&lt;&gt;"",AF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J$6:$AJ$532,"已导入实际")=0,$J45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R45" s="350">
        <f>IF(AG45&lt;&gt;"",AG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N$6:$AN$532,"已导入实际")=0,$J45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S45" s="350">
        <f>IF(AH45&lt;&gt;"",AH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R$6:$AR$532,"已导入实际")=0,$J45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T45" s="350">
        <f>IF(AI45&lt;&gt;"",AI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V$6:$AV$532,"已导入实际")=0,$J45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U45" s="350">
        <f>IF(AJ45&lt;&gt;"",AJ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Z$6:$AZ$532,"已导入实际")=0,$J45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V45" s="350">
        <f>IF(AK45&lt;&gt;"",AK45,IF(COUNTIFS('参考值-平台费用率分析'!$A$6:$A$532,"自营",'参考值-平台费用率分析'!$B$6:$B$532,"视频号",'参考值-平台费用率分析'!$C$6:$C$532,"销售费用",'参考值-平台费用率分析'!$D$6:$D$532,$F45,'参考值-平台费用率分析'!$E$6:$E$532,$G45,'参考值-平台费用率分析'!$AZ$6:$AZ$532,"已导入实际")=0,$J45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45,'参考值-平台费用率分析'!$E$6:$E$532,$G45),$J45)))</f>
        <v>0</v>
      </c>
      <c r="W45" s="348">
        <f>(K45*'假设-目标渠道分解'!L$6+L45*'假设-目标渠道分解'!M$6+M45*'假设-目标渠道分解'!N$6+N45*'假设-目标渠道分解'!O$6+O45*'假设-目标渠道分解'!P$6+P45*'假设-目标渠道分解'!Q$6+Q45*'假设-目标渠道分解'!R$6+R45*'假设-目标渠道分解'!S$6+S45*'假设-目标渠道分解'!T$6+T45*'假设-目标渠道分解'!U$6+U45*'假设-目标渠道分解'!V$6+V45*'假设-目标渠道分解'!W$6)/'假设-目标渠道分解'!J$6</f>
        <v>0</v>
      </c>
      <c r="Y45" s="155">
        <v>1.8768143927884701E-2</v>
      </c>
      <c r="Z45" s="155"/>
      <c r="AA45" s="155"/>
      <c r="AB45" s="155"/>
      <c r="AC45" s="155"/>
      <c r="AD45" s="155"/>
      <c r="AE45" s="155"/>
      <c r="AF45" s="155"/>
      <c r="AG45" s="155"/>
      <c r="AH45" s="155"/>
      <c r="AI45" s="155"/>
      <c r="AJ45" s="155"/>
      <c r="AK45" s="155"/>
      <c r="AL45" s="338" t="s">
        <v>794</v>
      </c>
    </row>
    <row r="46" spans="1:38">
      <c r="E46" s="67" t="s">
        <v>52</v>
      </c>
      <c r="F46" s="67" t="s">
        <v>70</v>
      </c>
      <c r="G46" s="67" t="s">
        <v>73</v>
      </c>
      <c r="J46" s="348">
        <f>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Z$6:$Z$532,"&lt;&gt;")=0,$Y46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Y46))</f>
        <v>9.0003238615090825E-2</v>
      </c>
      <c r="K46" s="348">
        <f>IF(Z46&lt;&gt;"",Z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H$6:$H$532,"&lt;&gt;")=0,$J46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I$6:$I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0.24866777115369856</v>
      </c>
      <c r="L46" s="348">
        <f>IF(AA46&lt;&gt;"",AA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K$6:$K$532,"&lt;&gt;")=0,$J46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L$6:$L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0.16304831669070949</v>
      </c>
      <c r="M46" s="348">
        <f>IF(AB46&lt;&gt;"",AB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N$6:$N$532,"&lt;&gt;")=0,$J46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O$6:$O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0.19816432370401429</v>
      </c>
      <c r="N46" s="348">
        <f>IF(AC46&lt;&gt;"",AC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Q$6:$Q$532,"&lt;&gt;")=0,$J46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R$6:$R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5.128448563237549E-2</v>
      </c>
      <c r="O46" s="348">
        <f>IF(AD46&lt;&gt;"",AD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T$6:$T$532,"&lt;&gt;")=0,$J46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U$6:$U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5.2470816680337803E-2</v>
      </c>
      <c r="P46" s="350">
        <f>IF(AE46&lt;&gt;"",AE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F$6:$AF$532,"已导入实际")=0,$J46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Q46" s="350">
        <f>IF(AF46&lt;&gt;"",AF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J$6:$AJ$532,"已导入实际")=0,$J46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R46" s="350">
        <f>IF(AG46&lt;&gt;"",AG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N$6:$AN$532,"已导入实际")=0,$J46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S46" s="350">
        <f>IF(AH46&lt;&gt;"",AH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R$6:$AR$532,"已导入实际")=0,$J46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T46" s="350">
        <f>IF(AI46&lt;&gt;"",AI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V$6:$AV$532,"已导入实际")=0,$J46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U46" s="350">
        <f>IF(AJ46&lt;&gt;"",AJ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Z$6:$AZ$532,"已导入实际")=0,$J46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V46" s="350">
        <f>IF(AK46&lt;&gt;"",AK46,IF(COUNTIFS('参考值-平台费用率分析'!$A$6:$A$532,"自营",'参考值-平台费用率分析'!$B$6:$B$532,"视频号",'参考值-平台费用率分析'!$C$6:$C$532,"销售费用",'参考值-平台费用率分析'!$D$6:$D$532,$F46,'参考值-平台费用率分析'!$E$6:$E$532,$G46,'参考值-平台费用率分析'!$AZ$6:$AZ$532,"已导入实际")=0,$J46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46,'参考值-平台费用率分析'!$E$6:$E$532,$G46),$J46)))</f>
        <v>9.0003238615090825E-2</v>
      </c>
      <c r="W46" s="348">
        <f>(K46*'假设-目标渠道分解'!L$6+L46*'假设-目标渠道分解'!M$6+M46*'假设-目标渠道分解'!N$6+N46*'假设-目标渠道分解'!O$6+O46*'假设-目标渠道分解'!P$6+P46*'假设-目标渠道分解'!Q$6+Q46*'假设-目标渠道分解'!R$6+R46*'假设-目标渠道分解'!S$6+S46*'假设-目标渠道分解'!T$6+T46*'假设-目标渠道分解'!U$6+U46*'假设-目标渠道分解'!V$6+V46*'假设-目标渠道分解'!W$6)/'假设-目标渠道分解'!J$6</f>
        <v>0.1083945942553413</v>
      </c>
      <c r="Y46" s="155">
        <v>8.5735241578342308E-3</v>
      </c>
      <c r="Z46" s="155"/>
      <c r="AA46" s="155"/>
      <c r="AB46" s="155"/>
      <c r="AC46" s="155"/>
      <c r="AD46" s="155"/>
      <c r="AE46" s="155"/>
      <c r="AF46" s="155"/>
      <c r="AG46" s="155"/>
      <c r="AH46" s="155"/>
      <c r="AI46" s="155"/>
      <c r="AJ46" s="155"/>
      <c r="AK46" s="155"/>
      <c r="AL46" s="338" t="s">
        <v>794</v>
      </c>
    </row>
    <row r="47" spans="1:38">
      <c r="D47" s="67" t="s">
        <v>74</v>
      </c>
      <c r="J47" s="348"/>
      <c r="K47" s="348">
        <f t="shared" ref="K47:W47" si="6">SUM(K48:K51)</f>
        <v>0.14535231616226302</v>
      </c>
      <c r="L47" s="348">
        <f t="shared" si="6"/>
        <v>0.11731589627698165</v>
      </c>
      <c r="M47" s="348">
        <f t="shared" si="6"/>
        <v>8.2220664547800873E-2</v>
      </c>
      <c r="N47" s="348">
        <f t="shared" si="6"/>
        <v>3.2990759312733361E-2</v>
      </c>
      <c r="O47" s="348">
        <f t="shared" si="6"/>
        <v>2.7651947728524751E-2</v>
      </c>
      <c r="P47" s="348">
        <f t="shared" si="6"/>
        <v>4.912874832279146E-2</v>
      </c>
      <c r="Q47" s="348">
        <f t="shared" si="6"/>
        <v>4.912874832279146E-2</v>
      </c>
      <c r="R47" s="348">
        <f t="shared" si="6"/>
        <v>4.912874832279146E-2</v>
      </c>
      <c r="S47" s="348">
        <f t="shared" si="6"/>
        <v>4.912874832279146E-2</v>
      </c>
      <c r="T47" s="348">
        <f t="shared" si="6"/>
        <v>4.912874832279146E-2</v>
      </c>
      <c r="U47" s="348">
        <f t="shared" si="6"/>
        <v>4.912874832279146E-2</v>
      </c>
      <c r="V47" s="348">
        <f t="shared" si="6"/>
        <v>4.912874832279146E-2</v>
      </c>
      <c r="W47" s="349">
        <f t="shared" si="6"/>
        <v>5.9697621554049125E-2</v>
      </c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  <c r="AJ47" s="155"/>
      <c r="AK47" s="155"/>
    </row>
    <row r="48" spans="1:38">
      <c r="E48" s="67" t="s">
        <v>52</v>
      </c>
      <c r="F48" s="67" t="s">
        <v>74</v>
      </c>
      <c r="G48" s="67" t="s">
        <v>75</v>
      </c>
      <c r="J48" s="348">
        <f>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Z$6:$Z$532,"&lt;&gt;")=0,$Y48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Y48))</f>
        <v>2.6065233125172071E-2</v>
      </c>
      <c r="K48" s="348">
        <f>IF(Z48&lt;&gt;"",Z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H$6:$H$532,"&lt;&gt;")=0,$J48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I$6:$I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5.7475117058567671E-2</v>
      </c>
      <c r="L48" s="348">
        <f>IF(AA48&lt;&gt;"",AA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K$6:$K$532,"&lt;&gt;")=0,$J48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L$6:$L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4.8133091031717777E-2</v>
      </c>
      <c r="M48" s="348">
        <f>IF(AB48&lt;&gt;"",AB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N$6:$N$532,"&lt;&gt;")=0,$J48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O$6:$O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4.4699755037185797E-2</v>
      </c>
      <c r="N48" s="348">
        <f>IF(AC48&lt;&gt;"",AC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Q$6:$Q$532,"&lt;&gt;")=0,$J48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R$6:$R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2.0056003733582236E-2</v>
      </c>
      <c r="O48" s="348">
        <f>IF(AD48&lt;&gt;"",AD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T$6:$T$532,"&lt;&gt;")=0,$J48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U$6:$U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1.8768143927884694E-2</v>
      </c>
      <c r="P48" s="348">
        <f>IF(AE48&lt;&gt;"",AE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F$6:$AF$532,"已导入实际")=0,$J48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Q48" s="348">
        <f>IF(AF48&lt;&gt;"",AF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J$6:$AJ$532,"已导入实际")=0,$J48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R48" s="348">
        <f>IF(AG48&lt;&gt;"",AG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N$6:$AN$532,"已导入实际")=0,$J48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S48" s="348">
        <f>IF(AH48&lt;&gt;"",AH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R$6:$AR$532,"已导入实际")=0,$J48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T48" s="348">
        <f>IF(AI48&lt;&gt;"",AI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V$6:$AV$532,"已导入实际")=0,$J48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U48" s="348">
        <f>IF(AJ48&lt;&gt;"",AJ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Z$6:$AZ$532,"已导入实际")=0,$J48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V48" s="348">
        <f>IF(AK48&lt;&gt;"",AK48,IF(COUNTIFS('参考值-平台费用率分析'!$A$6:$A$532,"自营",'参考值-平台费用率分析'!$B$6:$B$532,"视频号",'参考值-平台费用率分析'!$C$6:$C$532,"销售费用",'参考值-平台费用率分析'!$D$6:$D$532,$F48,'参考值-平台费用率分析'!$E$6:$E$532,$G48,'参考值-平台费用率分析'!$AZ$6:$AZ$532,"已导入实际")=0,$J48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48,'参考值-平台费用率分析'!$E$6:$E$532,$G48),$J48)))</f>
        <v>2.6065233125172071E-2</v>
      </c>
      <c r="W48" s="348">
        <f>(K48*'假设-目标渠道分解'!L$6+L48*'假设-目标渠道分解'!M$6+M48*'假设-目标渠道分解'!N$6+N48*'假设-目标渠道分解'!O$6+O48*'假设-目标渠道分解'!P$6+P48*'假设-目标渠道分解'!Q$6+Q48*'假设-目标渠道分解'!R$6+R48*'假设-目标渠道分解'!S$6+S48*'假设-目标渠道分解'!T$6+T48*'假设-目标渠道分解'!U$6+U48*'假设-目标渠道分解'!V$6+V48*'假设-目标渠道分解'!W$6)/'假设-目标渠道分解'!J$6</f>
        <v>3.0162238995380921E-2</v>
      </c>
      <c r="Y48" s="155">
        <v>0</v>
      </c>
      <c r="Z48" s="155"/>
      <c r="AA48" s="155"/>
      <c r="AB48" s="155"/>
      <c r="AC48" s="155"/>
      <c r="AD48" s="155"/>
      <c r="AE48" s="155"/>
      <c r="AF48" s="155"/>
      <c r="AG48" s="155"/>
      <c r="AH48" s="155"/>
      <c r="AI48" s="155"/>
      <c r="AJ48" s="155"/>
      <c r="AK48" s="155"/>
      <c r="AL48" s="338" t="s">
        <v>794</v>
      </c>
    </row>
    <row r="49" spans="1:38">
      <c r="E49" s="67" t="s">
        <v>52</v>
      </c>
      <c r="F49" s="67" t="s">
        <v>74</v>
      </c>
      <c r="G49" s="67" t="s">
        <v>76</v>
      </c>
      <c r="J49" s="348">
        <f>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Z$6:$Z$532,"&lt;&gt;")=0,$Y49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A$6:$AA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Y49))</f>
        <v>1.5910566149430174E-2</v>
      </c>
      <c r="K49" s="348">
        <f>IF(Z49&lt;&gt;"",Z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H$6:$H$532,"&lt;&gt;")=0,$J49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I$6:$I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5.2905559738249362E-2</v>
      </c>
      <c r="L49" s="348">
        <f>IF(AA49&lt;&gt;"",AA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K$6:$K$532,"&lt;&gt;")=0,$J49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L$6:$L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3.4628203107736663E-2</v>
      </c>
      <c r="M49" s="348">
        <f>IF(AB49&lt;&gt;"",AB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N$6:$N$532,"&lt;&gt;")=0,$J49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O$6:$O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3.5269878401341777E-2</v>
      </c>
      <c r="N49" s="348">
        <f>IF(AC49&lt;&gt;"",AC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Q$6:$Q$532,"&lt;&gt;")=0,$J49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R$6:$R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8.8537902526835115E-3</v>
      </c>
      <c r="O49" s="348">
        <f>IF(AD49&lt;&gt;"",AD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T$6:$T$532,"&lt;&gt;")=0,$J49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U$6:$U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8.5735241578342256E-3</v>
      </c>
      <c r="P49" s="348">
        <f>IF(AE49&lt;&gt;"",AE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F$6:$AF$532,"已导入实际")=0,$J49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D$6:$AD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Q49" s="348">
        <f>IF(AF49&lt;&gt;"",AF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J$6:$AJ$532,"已导入实际")=0,$J49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H$6:$AH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R49" s="348">
        <f>IF(AG49&lt;&gt;"",AG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N$6:$AN$532,"已导入实际")=0,$J49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L$6:$AL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S49" s="348">
        <f>IF(AH49&lt;&gt;"",AH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R$6:$AR$532,"已导入实际")=0,$J49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P$6:$AP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T49" s="348">
        <f>IF(AI49&lt;&gt;"",AI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V$6:$AV$532,"已导入实际")=0,$J49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T$6:$AT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U49" s="348">
        <f>IF(AJ49&lt;&gt;"",AJ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Z$6:$AZ$532,"已导入实际")=0,$J49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V49" s="348">
        <f>IF(AK49&lt;&gt;"",AK49,IF(COUNTIFS('参考值-平台费用率分析'!$A$6:$A$532,"自营",'参考值-平台费用率分析'!$B$6:$B$532,"视频号",'参考值-平台费用率分析'!$C$6:$C$532,"销售费用",'参考值-平台费用率分析'!$D$6:$D$532,$F49,'参考值-平台费用率分析'!$E$6:$E$532,$G49,'参考值-平台费用率分析'!$AZ$6:$AZ$532,"已导入实际")=0,$J49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/SUMIFS('参考值-平台费用率分析'!$AX$6:$AX$532,'参考值-平台费用率分析'!$A$6:$A$532,"自营",'参考值-平台费用率分析'!$B$6:$B$532,"视频号",'参考值-平台费用率分析'!$C$6:$C$532,"销售费用",'参考值-平台费用率分析'!$D$6:$D$532,$F49,'参考值-平台费用率分析'!$E$6:$E$532,$G49),$J49)))</f>
        <v>1.5910566149430174E-2</v>
      </c>
      <c r="W49" s="348">
        <f>(K49*'假设-目标渠道分解'!L$6+L49*'假设-目标渠道分解'!M$6+M49*'假设-目标渠道分解'!N$6+N49*'假设-目标渠道分解'!O$6+O49*'假设-目标渠道分解'!P$6+P49*'假设-目标渠道分解'!Q$6+Q49*'假设-目标渠道分解'!R$6+R49*'假设-目标渠道分解'!S$6+S49*'假设-目标渠道分解'!T$6+T49*'假设-目标渠道分解'!U$6+U49*'假设-目标渠道分解'!V$6+V49*'假设-目标渠道分解'!W$6)/'假设-目标渠道分解'!J$6</f>
        <v>2.0133651986472812E-2</v>
      </c>
      <c r="Y49" s="155">
        <v>0</v>
      </c>
      <c r="Z49" s="155"/>
      <c r="AA49" s="155"/>
      <c r="AB49" s="155"/>
      <c r="AC49" s="155"/>
      <c r="AD49" s="155"/>
      <c r="AE49" s="155"/>
      <c r="AF49" s="155"/>
      <c r="AG49" s="155"/>
      <c r="AH49" s="155"/>
      <c r="AI49" s="155"/>
      <c r="AJ49" s="155"/>
      <c r="AK49" s="155"/>
      <c r="AL49" s="338" t="s">
        <v>794</v>
      </c>
    </row>
    <row r="50" spans="1:38">
      <c r="E50" s="67" t="s">
        <v>52</v>
      </c>
      <c r="F50" s="67" t="s">
        <v>74</v>
      </c>
      <c r="G50" s="67" t="s">
        <v>77</v>
      </c>
      <c r="J50" s="348">
        <f>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Z$6:$Z$532,"&lt;&gt;")=0,$Y50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A$6:$AA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Y50))</f>
        <v>0</v>
      </c>
      <c r="K50" s="348">
        <f>IF(Z50&lt;&gt;"",Z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H$6:$H$532,"&lt;&gt;")=0,$J50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I$6:$I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L50" s="348">
        <f>IF(AA50&lt;&gt;"",AA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K$6:$K$532,"&lt;&gt;")=0,$J50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L$6:$L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M50" s="348">
        <f>IF(AB50&lt;&gt;"",AB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N$6:$N$532,"&lt;&gt;")=0,$J50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O$6:$O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N50" s="348">
        <f>IF(AC50&lt;&gt;"",AC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Q$6:$Q$532,"&lt;&gt;")=0,$J50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R$6:$R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O50" s="348">
        <f>IF(AD50&lt;&gt;"",AD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T$6:$T$532,"&lt;&gt;")=0,$J50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U$6:$U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P50" s="348">
        <f>IF(AE50&lt;&gt;"",AE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F$6:$AF$532,"已导入实际")=0,$J50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D$6:$AD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Q50" s="348">
        <f>IF(AF50&lt;&gt;"",AF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J$6:$AJ$532,"已导入实际")=0,$J50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H$6:$AH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R50" s="348">
        <f>IF(AG50&lt;&gt;"",AG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N$6:$AN$532,"已导入实际")=0,$J50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L$6:$AL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S50" s="348">
        <f>IF(AH50&lt;&gt;"",AH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R$6:$AR$532,"已导入实际")=0,$J50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P$6:$AP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T50" s="348">
        <f>IF(AI50&lt;&gt;"",AI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V$6:$AV$532,"已导入实际")=0,$J50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T$6:$AT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U50" s="348">
        <f>IF(AJ50&lt;&gt;"",AJ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Z$6:$AZ$532,"已导入实际")=0,$J50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V50" s="348">
        <f>IF(AK50&lt;&gt;"",AK50,IF(COUNTIFS('参考值-平台费用率分析'!$A$6:$A$532,"自营",'参考值-平台费用率分析'!$B$6:$B$532,"视频号",'参考值-平台费用率分析'!$C$6:$C$532,"销售费用",'参考值-平台费用率分析'!$D$6:$D$532,$F50,'参考值-平台费用率分析'!$E$6:$E$532,$G50,'参考值-平台费用率分析'!$AZ$6:$AZ$532,"已导入实际")=0,$J50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50,'参考值-平台费用率分析'!$E$6:$E$532,$G50),$J50)))</f>
        <v>0</v>
      </c>
      <c r="W50" s="348">
        <f>(K50*'假设-目标渠道分解'!L$6+L50*'假设-目标渠道分解'!M$6+M50*'假设-目标渠道分解'!N$6+N50*'假设-目标渠道分解'!O$6+O50*'假设-目标渠道分解'!P$6+P50*'假设-目标渠道分解'!Q$6+Q50*'假设-目标渠道分解'!R$6+R50*'假设-目标渠道分解'!S$6+S50*'假设-目标渠道分解'!T$6+T50*'假设-目标渠道分解'!U$6+U50*'假设-目标渠道分解'!V$6+V50*'假设-目标渠道分解'!W$6)/'假设-目标渠道分解'!J$6</f>
        <v>0</v>
      </c>
      <c r="Y50" s="155">
        <v>4.1384183713893199E-2</v>
      </c>
      <c r="Z50" s="155"/>
      <c r="AA50" s="155"/>
      <c r="AB50" s="155"/>
      <c r="AC50" s="155"/>
      <c r="AD50" s="155"/>
      <c r="AE50" s="155"/>
      <c r="AF50" s="155"/>
      <c r="AG50" s="155"/>
      <c r="AH50" s="155"/>
      <c r="AI50" s="155"/>
      <c r="AJ50" s="155"/>
      <c r="AK50" s="155"/>
      <c r="AL50" s="338" t="s">
        <v>794</v>
      </c>
    </row>
    <row r="51" spans="1:38">
      <c r="E51" s="67" t="s">
        <v>52</v>
      </c>
      <c r="F51" s="67" t="s">
        <v>74</v>
      </c>
      <c r="G51" s="67" t="s">
        <v>78</v>
      </c>
      <c r="J51" s="348">
        <f>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Z$6:$Z$532,"&lt;&gt;")=0,$Y51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A$6:$AA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Y51))</f>
        <v>7.1529490481892126E-3</v>
      </c>
      <c r="K51" s="348">
        <f>IF(Z51&lt;&gt;"",Z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H$6:$H$532,"&lt;&gt;")=0,$J51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I$6:$I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3.4971639365445971E-2</v>
      </c>
      <c r="L51" s="348">
        <f>IF(AA51&lt;&gt;"",AA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K$6:$K$532,"&lt;&gt;")=0,$J51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L$6:$L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3.4554602137527216E-2</v>
      </c>
      <c r="M51" s="348">
        <f>IF(AB51&lt;&gt;"",AB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N$6:$N$532,"&lt;&gt;")=0,$J51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O$6:$O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2.2510311092732945E-3</v>
      </c>
      <c r="N51" s="348">
        <f>IF(AC51&lt;&gt;"",AC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Q$6:$Q$532,"&lt;&gt;")=0,$J51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R$6:$R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4.0809653264676183E-3</v>
      </c>
      <c r="O51" s="348">
        <f>IF(AD51&lt;&gt;"",AD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T$6:$T$532,"&lt;&gt;")=0,$J51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U$6:$U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3.1027964280583249E-4</v>
      </c>
      <c r="P51" s="348">
        <f>IF(AE51&lt;&gt;"",AE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F$6:$AF$532,"已导入实际")=0,$J51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D$6:$AD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Q51" s="348">
        <f>IF(AF51&lt;&gt;"",AF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J$6:$AJ$532,"已导入实际")=0,$J51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H$6:$AH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R51" s="348">
        <f>IF(AG51&lt;&gt;"",AG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N$6:$AN$532,"已导入实际")=0,$J51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L$6:$AL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S51" s="348">
        <f>IF(AH51&lt;&gt;"",AH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R$6:$AR$532,"已导入实际")=0,$J51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P$6:$AP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T51" s="348">
        <f>IF(AI51&lt;&gt;"",AI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V$6:$AV$532,"已导入实际")=0,$J51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T$6:$AT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U51" s="348">
        <f>IF(AJ51&lt;&gt;"",AJ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Z$6:$AZ$532,"已导入实际")=0,$J51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V51" s="348">
        <f>IF(AK51&lt;&gt;"",AK51,IF(COUNTIFS('参考值-平台费用率分析'!$A$6:$A$532,"自营",'参考值-平台费用率分析'!$B$6:$B$532,"视频号",'参考值-平台费用率分析'!$C$6:$C$532,"销售费用",'参考值-平台费用率分析'!$D$6:$D$532,$F51,'参考值-平台费用率分析'!$E$6:$E$532,$G51,'参考值-平台费用率分析'!$AZ$6:$AZ$532,"已导入实际")=0,$J51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51,'参考值-平台费用率分析'!$E$6:$E$532,$G51),$J51)))</f>
        <v>7.1529490481892126E-3</v>
      </c>
      <c r="W51" s="348">
        <f>(K51*'假设-目标渠道分解'!L$6+L51*'假设-目标渠道分解'!M$6+M51*'假设-目标渠道分解'!N$6+N51*'假设-目标渠道分解'!O$6+O51*'假设-目标渠道分解'!P$6+P51*'假设-目标渠道分解'!Q$6+Q51*'假设-目标渠道分解'!R$6+R51*'假设-目标渠道分解'!S$6+S51*'假设-目标渠道分解'!T$6+T51*'假设-目标渠道分解'!U$6+U51*'假设-目标渠道分解'!V$6+V51*'假设-目标渠道分解'!W$6)/'假设-目标渠道分解'!J$6</f>
        <v>9.401730572195394E-3</v>
      </c>
      <c r="Y51" s="155">
        <v>2.4961223628355302E-4</v>
      </c>
      <c r="Z51" s="155"/>
      <c r="AA51" s="155"/>
      <c r="AB51" s="155"/>
      <c r="AC51" s="155"/>
      <c r="AD51" s="155"/>
      <c r="AE51" s="155"/>
      <c r="AF51" s="155"/>
      <c r="AG51" s="155"/>
      <c r="AH51" s="155"/>
      <c r="AI51" s="155"/>
      <c r="AJ51" s="155"/>
      <c r="AK51" s="155"/>
      <c r="AL51" s="338" t="s">
        <v>794</v>
      </c>
    </row>
    <row r="52" spans="1:38">
      <c r="D52" s="67" t="s">
        <v>79</v>
      </c>
      <c r="J52" s="348">
        <f t="shared" ref="J52:W52" si="7">SUM(J53:J56)</f>
        <v>0.14786006838455318</v>
      </c>
      <c r="K52" s="348">
        <f t="shared" si="7"/>
        <v>0.14859888291927748</v>
      </c>
      <c r="L52" s="348">
        <f t="shared" si="7"/>
        <v>0.43264759698063632</v>
      </c>
      <c r="M52" s="348">
        <f t="shared" si="7"/>
        <v>0.21302028100611467</v>
      </c>
      <c r="N52" s="348">
        <f t="shared" si="7"/>
        <v>0.46837976026824468</v>
      </c>
      <c r="O52" s="348">
        <f t="shared" si="7"/>
        <v>0.1094873670711428</v>
      </c>
      <c r="P52" s="348">
        <f t="shared" si="7"/>
        <v>0.11952619017412665</v>
      </c>
      <c r="Q52" s="348">
        <f t="shared" si="7"/>
        <v>0.15629801050411871</v>
      </c>
      <c r="R52" s="348">
        <f t="shared" si="7"/>
        <v>0.11813097932556869</v>
      </c>
      <c r="S52" s="348">
        <f t="shared" si="7"/>
        <v>9.4464294334489884E-2</v>
      </c>
      <c r="T52" s="348">
        <f t="shared" si="7"/>
        <v>8.7723743602275181E-2</v>
      </c>
      <c r="U52" s="348">
        <f t="shared" si="7"/>
        <v>7.3098537050877044E-2</v>
      </c>
      <c r="V52" s="348">
        <f t="shared" si="7"/>
        <v>8.4937197305093276E-2</v>
      </c>
      <c r="W52" s="348">
        <f t="shared" si="7"/>
        <v>0.10909653942989606</v>
      </c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</row>
    <row r="53" spans="1:38">
      <c r="E53" s="67" t="s">
        <v>52</v>
      </c>
      <c r="F53" s="67" t="s">
        <v>79</v>
      </c>
      <c r="G53" s="67" t="s">
        <v>80</v>
      </c>
      <c r="J53" s="348">
        <f>IFERROR(SUM('测算-高个子视频号'!I$42:N$42)/SUM('测算-高个子视频号'!I$9:N$9),0)</f>
        <v>0.14283382779541928</v>
      </c>
      <c r="K53" s="348">
        <f>IFERROR('测算-高个子视频号'!I$42/'测算-高个子视频号'!I$9,0)</f>
        <v>0.14478301495701904</v>
      </c>
      <c r="L53" s="348">
        <f>IFERROR('测算-高个子视频号'!J$42/'测算-高个子视频号'!J$9,0)</f>
        <v>0.42889580781022157</v>
      </c>
      <c r="M53" s="348">
        <f>IFERROR('测算-高个子视频号'!K$42/'测算-高个子视频号'!K$9,0)</f>
        <v>0.20820553097497319</v>
      </c>
      <c r="N53" s="348">
        <f>IFERROR('测算-高个子视频号'!L$42/'测算-高个子视频号'!L$9,0)</f>
        <v>0.46222047259056337</v>
      </c>
      <c r="O53" s="348">
        <f>IFERROR('测算-高个子视频号'!M$42/'测算-高个子视频号'!M$9,0)</f>
        <v>0.1040002534628288</v>
      </c>
      <c r="P53" s="348">
        <f>IFERROR('测算-高个子视频号'!N$42/'测算-高个子视频号'!N$9,0)</f>
        <v>0.11339755508913323</v>
      </c>
      <c r="Q53" s="348">
        <f>IFERROR('测算-高个子视频号'!O$42/'测算-高个子视频号'!O$9,0)</f>
        <v>0.15127176991498481</v>
      </c>
      <c r="R53" s="348">
        <f>IFERROR('测算-高个子视频号'!P$42/'测算-高个子视频号'!P$9,0)</f>
        <v>0.1131047387364348</v>
      </c>
      <c r="S53" s="348">
        <f>IFERROR('测算-高个子视频号'!Q$42/'测算-高个子视频号'!Q$9,0)</f>
        <v>8.9438053745355989E-2</v>
      </c>
      <c r="T53" s="348">
        <f>IFERROR('测算-高个子视频号'!R$42/'测算-高个子视频号'!R$9,0)</f>
        <v>8.2697503013141285E-2</v>
      </c>
      <c r="U53" s="348">
        <f>IFERROR('测算-高个子视频号'!S$42/'测算-高个子视频号'!S$9,0)</f>
        <v>6.8072296461743148E-2</v>
      </c>
      <c r="V53" s="348">
        <f>IFERROR('测算-高个子视频号'!T$42/'测算-高个子视频号'!T$9,0)</f>
        <v>7.991095671595938E-2</v>
      </c>
      <c r="W53" s="348">
        <f>IFERROR(SUM('测算-高个子视频号'!I$42:T$42)/SUM('测算-高个子视频号'!I$9:T$9),0)</f>
        <v>0.10407029884076216</v>
      </c>
      <c r="Y53" s="155">
        <v>0.21948424859426799</v>
      </c>
      <c r="Z53" s="155"/>
      <c r="AA53" s="155"/>
      <c r="AB53" s="155"/>
      <c r="AC53" s="155"/>
      <c r="AD53" s="155"/>
      <c r="AE53" s="155"/>
      <c r="AF53" s="155"/>
      <c r="AG53" s="155"/>
      <c r="AH53" s="155"/>
      <c r="AI53" s="155"/>
      <c r="AJ53" s="155"/>
      <c r="AK53" s="155"/>
      <c r="AL53" s="338" t="s">
        <v>360</v>
      </c>
    </row>
    <row r="54" spans="1:38">
      <c r="E54" s="67" t="s">
        <v>52</v>
      </c>
      <c r="F54" s="67" t="s">
        <v>79</v>
      </c>
      <c r="G54" s="67" t="s">
        <v>147</v>
      </c>
      <c r="J54" s="348">
        <f>AVERAGE(K54:P54)</f>
        <v>2.7354394968853364E-3</v>
      </c>
      <c r="K54" s="348">
        <f>IFERROR(INDEX('假设-人工成本固定额'!$B$6:$CS$16,MATCH("视频号",'假设-人工成本固定额'!$A$6:$A$16,0),4),0)</f>
        <v>1.04525178584494E-3</v>
      </c>
      <c r="L54" s="348">
        <f>IFERROR(INDEX('假设-人工成本固定额'!$B$6:$CS$16,MATCH("视频号",'假设-人工成本固定额'!$A$6:$A$16,0),12),0)</f>
        <v>1.6063316109935001E-3</v>
      </c>
      <c r="M54" s="348">
        <f>IFERROR(INDEX('假设-人工成本固定额'!$B$6:$CS$16,MATCH("视频号",'假设-人工成本固定额'!$A$6:$A$16,0),20),0)</f>
        <v>3.0129815802150601E-3</v>
      </c>
      <c r="N54" s="348">
        <f>IFERROR(INDEX('假设-人工成本固定额'!$B$6:$CS$16,MATCH("视频号",'假设-人工成本固定额'!$A$6:$A$16,0),28),0)</f>
        <v>3.39738287172805E-3</v>
      </c>
      <c r="O54" s="348">
        <f>IFERROR(INDEX('假设-人工成本固定额'!$B$6:$CS$16,MATCH("视频号",'假设-人工成本固定额'!$A$6:$A$16,0),36),0)</f>
        <v>3.6154981790816401E-3</v>
      </c>
      <c r="P54" s="348">
        <f>IFERROR(INDEX('假设-人工成本固定额'!$B$6:$CS$16,MATCH("视频号",'假设-人工成本固定额'!$A$6:$A$16,0),44),0)</f>
        <v>3.7351909534488301E-3</v>
      </c>
      <c r="Q54" s="348">
        <f>IFERROR(IF(INDEX('假设-人工成本固定额'!$B$6:$CS$16,MATCH("视频号",'假设-人工成本固定额'!$A$6:$A$16,0),52)="",AVERAGE($K54:$P54),INDEX('假设-人工成本固定额'!$B$6:$CS$16,MATCH("视频号",'假设-人工成本固定额'!$A$6:$A$16,0),52)),AVERAGE($K54:$P54))</f>
        <v>2.7354394968853364E-3</v>
      </c>
      <c r="R54" s="348">
        <f>IFERROR(IF(INDEX('假设-人工成本固定额'!$B$6:$CS$16,MATCH("视频号",'假设-人工成本固定额'!$A$6:$A$16,0),60)="",AVERAGE($K54:$P54),INDEX('假设-人工成本固定额'!$B$6:$CS$16,MATCH("视频号",'假设-人工成本固定额'!$A$6:$A$16,0),60)),AVERAGE($K54:$P54))</f>
        <v>2.7354394968853364E-3</v>
      </c>
      <c r="S54" s="348">
        <f>IFERROR(IF(INDEX('假设-人工成本固定额'!$B$6:$CS$16,MATCH("视频号",'假设-人工成本固定额'!$A$6:$A$16,0),68)="",AVERAGE($K54:$P54),INDEX('假设-人工成本固定额'!$B$6:$CS$16,MATCH("视频号",'假设-人工成本固定额'!$A$6:$A$16,0),68)),AVERAGE($K54:$P54))</f>
        <v>2.7354394968853364E-3</v>
      </c>
      <c r="T54" s="348">
        <f>IFERROR(IF(INDEX('假设-人工成本固定额'!$B$6:$CS$16,MATCH("视频号",'假设-人工成本固定额'!$A$6:$A$16,0),76)="",AVERAGE($K54:$P54),INDEX('假设-人工成本固定额'!$B$6:$CS$16,MATCH("视频号",'假设-人工成本固定额'!$A$6:$A$16,0),76)),AVERAGE($K54:$P54))</f>
        <v>2.7354394968853364E-3</v>
      </c>
      <c r="U54" s="348">
        <f>IFERROR(IF(INDEX('假设-人工成本固定额'!$B$6:$CS$16,MATCH("视频号",'假设-人工成本固定额'!$A$6:$A$16,0),84)="",AVERAGE($K54:$P54),INDEX('假设-人工成本固定额'!$B$6:$CS$16,MATCH("视频号",'假设-人工成本固定额'!$A$6:$A$16,0),84)),AVERAGE($K54:$P54))</f>
        <v>2.7354394968853364E-3</v>
      </c>
      <c r="V54" s="348">
        <f>IFERROR(IF(INDEX('假设-人工成本固定额'!$B$6:$CS$16,MATCH("视频号",'假设-人工成本固定额'!$A$6:$A$16,0),92)="",AVERAGE($K54:$P54),INDEX('假设-人工成本固定额'!$B$6:$CS$16,MATCH("视频号",'假设-人工成本固定额'!$A$6:$A$16,0),92)),AVERAGE($K54:$P54))</f>
        <v>2.7354394968853364E-3</v>
      </c>
      <c r="W54" s="348">
        <f>AVERAGE(K54:V54)</f>
        <v>2.7354394968853372E-3</v>
      </c>
      <c r="Y54" s="155">
        <v>3.4580894414782998E-3</v>
      </c>
      <c r="Z54" s="155"/>
      <c r="AA54" s="155"/>
      <c r="AB54" s="155"/>
      <c r="AC54" s="155"/>
      <c r="AD54" s="155"/>
      <c r="AE54" s="155"/>
      <c r="AF54" s="155"/>
      <c r="AG54" s="155"/>
      <c r="AH54" s="155"/>
      <c r="AI54" s="155"/>
      <c r="AJ54" s="155"/>
      <c r="AK54" s="155"/>
      <c r="AL54" s="338" t="s">
        <v>360</v>
      </c>
    </row>
    <row r="55" spans="1:38">
      <c r="A55" s="338"/>
      <c r="B55" s="338"/>
      <c r="C55" s="338"/>
      <c r="E55" s="67" t="s">
        <v>52</v>
      </c>
      <c r="F55" s="67" t="s">
        <v>79</v>
      </c>
      <c r="G55" s="67" t="s">
        <v>148</v>
      </c>
      <c r="I55" s="338"/>
      <c r="J55" s="348">
        <f>AVERAGE(K55:P55)</f>
        <v>2.2908010922485598E-3</v>
      </c>
      <c r="K55" s="348">
        <f>IFERROR(INDEX('假设-人工成本固定额'!$B$6:$CS$16,MATCH("视频号",'假设-人工成本固定额'!$A$6:$A$16,0),7),0)</f>
        <v>2.7706161764135002E-3</v>
      </c>
      <c r="L55" s="348">
        <f>IFERROR(INDEX('假设-人工成本固定额'!$B$6:$CS$16,MATCH("视频号",'假设-人工成本固定额'!$A$6:$A$16,0),15),0)</f>
        <v>2.1454575594212302E-3</v>
      </c>
      <c r="M55" s="348">
        <f>IFERROR(INDEX('假设-人工成本固定额'!$B$6:$CS$16,MATCH("视频号",'假设-人工成本固定额'!$A$6:$A$16,0),23),0)</f>
        <v>1.8017684509264299E-3</v>
      </c>
      <c r="N55" s="348">
        <f>IFERROR(INDEX('假设-人工成本固定额'!$B$6:$CS$16,MATCH("视频号",'假设-人工成本固定额'!$A$6:$A$16,0),31),0)</f>
        <v>2.7619048059532602E-3</v>
      </c>
      <c r="O55" s="348">
        <f>IFERROR(INDEX('假设-人工成本固定额'!$B$6:$CS$16,MATCH("视频号",'假设-人工成本固定额'!$A$6:$A$16,0),39),0)</f>
        <v>1.8716154292323501E-3</v>
      </c>
      <c r="P55" s="348">
        <f>IFERROR(INDEX('假设-人工成本固定额'!$B$6:$CS$16,MATCH("视频号",'假设-人工成本固定额'!$A$6:$A$16,0),47),0)</f>
        <v>2.3934441315445901E-3</v>
      </c>
      <c r="Q55" s="348">
        <f>IFERROR(IF(INDEX('假设-人工成本固定额'!$B$6:$CS$16,MATCH("视频号",'假设-人工成本固定额'!$A$6:$A$16,0),55)="",AVERAGE($K55:$P55),INDEX('假设-人工成本固定额'!$B$6:$CS$16,MATCH("视频号",'假设-人工成本固定额'!$A$6:$A$16,0),55)),AVERAGE($K55:$P55))</f>
        <v>2.2908010922485598E-3</v>
      </c>
      <c r="R55" s="348">
        <f>IFERROR(IF(INDEX('假设-人工成本固定额'!$B$6:$CS$16,MATCH("视频号",'假设-人工成本固定额'!$A$6:$A$16,0),63)="",AVERAGE($K55:$P55),INDEX('假设-人工成本固定额'!$B$6:$CS$16,MATCH("视频号",'假设-人工成本固定额'!$A$6:$A$16,0),63)),AVERAGE($K55:$P55))</f>
        <v>2.2908010922485598E-3</v>
      </c>
      <c r="S55" s="348">
        <f>IFERROR(IF(INDEX('假设-人工成本固定额'!$B$6:$CS$16,MATCH("视频号",'假设-人工成本固定额'!$A$6:$A$16,0),71)="",AVERAGE($K55:$P55),INDEX('假设-人工成本固定额'!$B$6:$CS$16,MATCH("视频号",'假设-人工成本固定额'!$A$6:$A$16,0),71)),AVERAGE($K55:$P55))</f>
        <v>2.2908010922485598E-3</v>
      </c>
      <c r="T55" s="348">
        <f>IFERROR(IF(INDEX('假设-人工成本固定额'!$B$6:$CS$16,MATCH("视频号",'假设-人工成本固定额'!$A$6:$A$16,0),79)="",AVERAGE($K55:$P55),INDEX('假设-人工成本固定额'!$B$6:$CS$16,MATCH("视频号",'假设-人工成本固定额'!$A$6:$A$16,0),79)),AVERAGE($K55:$P55))</f>
        <v>2.2908010922485598E-3</v>
      </c>
      <c r="U55" s="348">
        <f>IFERROR(IF(INDEX('假设-人工成本固定额'!$B$6:$CS$16,MATCH("视频号",'假设-人工成本固定额'!$A$6:$A$16,0),87)="",AVERAGE($K55:$P55),INDEX('假设-人工成本固定额'!$B$6:$CS$16,MATCH("视频号",'假设-人工成本固定额'!$A$6:$A$16,0),87)),AVERAGE($K55:$P55))</f>
        <v>2.2908010922485598E-3</v>
      </c>
      <c r="V55" s="348">
        <f>IFERROR(IF(INDEX('假设-人工成本固定额'!$B$6:$CS$16,MATCH("视频号",'假设-人工成本固定额'!$A$6:$A$16,0),95)="",AVERAGE($K55:$P55),INDEX('假设-人工成本固定额'!$B$6:$CS$16,MATCH("视频号",'假设-人工成本固定额'!$A$6:$A$16,0),95)),AVERAGE($K55:$P55))</f>
        <v>2.2908010922485598E-3</v>
      </c>
      <c r="W55" s="348">
        <f>AVERAGE(K55:V55)</f>
        <v>2.2908010922485593E-3</v>
      </c>
      <c r="X55" s="338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</row>
    <row r="56" spans="1:38">
      <c r="E56" s="67" t="s">
        <v>52</v>
      </c>
      <c r="F56" s="67" t="s">
        <v>79</v>
      </c>
      <c r="G56" s="67" t="s">
        <v>82</v>
      </c>
      <c r="J56" s="348">
        <f>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Z$6:$Z$532,"&lt;&gt;")=0,$Y56,IFERROR(SUMIFS('参考值-平台费用率分析'!$Z$6:$Z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A$6:$AA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Y56))</f>
        <v>0</v>
      </c>
      <c r="K56" s="348">
        <f>IF(Z56&lt;&gt;"",Z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H$6:$H$532,"&lt;&gt;")=0,$J56,IFERROR(SUMIFS('参考值-平台费用率分析'!$H$6:$H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I$6:$I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L56" s="348">
        <f>IF(AA56&lt;&gt;"",AA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K$6:$K$532,"&lt;&gt;")=0,$J56,IFERROR(SUMIFS('参考值-平台费用率分析'!$K$6:$K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L$6:$L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M56" s="348">
        <f>IF(AB56&lt;&gt;"",AB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N$6:$N$532,"&lt;&gt;")=0,$J56,IFERROR(SUMIFS('参考值-平台费用率分析'!$N$6:$N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O$6:$O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N56" s="348">
        <f>IF(AC56&lt;&gt;"",AC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Q$6:$Q$532,"&lt;&gt;")=0,$J56,IFERROR(SUMIFS('参考值-平台费用率分析'!$Q$6:$Q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R$6:$R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O56" s="348">
        <f>IF(AD56&lt;&gt;"",AD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T$6:$T$532,"&lt;&gt;")=0,$J56,IFERROR(SUMIFS('参考值-平台费用率分析'!$T$6:$T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U$6:$U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P56" s="348">
        <f>IF(AE56&lt;&gt;"",AE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F$6:$AF$532,"已导入实际")=0,$J56,IFERROR(SUMIFS('参考值-平台费用率分析'!$AC$6:$AC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D$6:$AD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Q56" s="348">
        <f>IF(AF56&lt;&gt;"",AF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J$6:$AJ$532,"已导入实际")=0,$J56,IFERROR(SUMIFS('参考值-平台费用率分析'!$AG$6:$AG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H$6:$AH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R56" s="348">
        <f>IF(AG56&lt;&gt;"",AG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N$6:$AN$532,"已导入实际")=0,$J56,IFERROR(SUMIFS('参考值-平台费用率分析'!$AK$6:$AK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L$6:$AL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S56" s="348">
        <f>IF(AH56&lt;&gt;"",AH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R$6:$AR$532,"已导入实际")=0,$J56,IFERROR(SUMIFS('参考值-平台费用率分析'!$AO$6:$AO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P$6:$AP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T56" s="348">
        <f>IF(AI56&lt;&gt;"",AI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V$6:$AV$532,"已导入实际")=0,$J56,IFERROR(SUMIFS('参考值-平台费用率分析'!$AS$6:$AS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T$6:$AT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U56" s="348">
        <f>IF(AJ56&lt;&gt;"",AJ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Z$6:$AZ$532,"已导入实际")=0,$J56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V56" s="348">
        <f>IF(AK56&lt;&gt;"",AK56,IF(COUNTIFS('参考值-平台费用率分析'!$A$6:$A$532,"自营",'参考值-平台费用率分析'!$B$6:$B$532,"视频号",'参考值-平台费用率分析'!$C$6:$C$532,"销售费用",'参考值-平台费用率分析'!$D$6:$D$532,$F56,'参考值-平台费用率分析'!$E$6:$E$532,$G56,'参考值-平台费用率分析'!$AZ$6:$AZ$532,"已导入实际")=0,$J56,IFERROR(SUMIFS('参考值-平台费用率分析'!$AW$6:$AW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/SUMIFS('参考值-平台费用率分析'!$AX$6:$AX$532,'参考值-平台费用率分析'!$A$6:$A$532,"自营",'参考值-平台费用率分析'!$B$6:$B$532,"视频号",'参考值-平台费用率分析'!$C$6:$C$532,"销售费用",'参考值-平台费用率分析'!$D$6:$D$532,$F56,'参考值-平台费用率分析'!$E$6:$E$532,$G56),$J56)))</f>
        <v>0</v>
      </c>
      <c r="W56" s="348">
        <f>AVERAGE(K56:V56)</f>
        <v>0</v>
      </c>
      <c r="Y56" s="155">
        <v>8.0729758077583407E-3</v>
      </c>
      <c r="Z56" s="155"/>
      <c r="AA56" s="155"/>
      <c r="AB56" s="155"/>
      <c r="AC56" s="155"/>
      <c r="AD56" s="155"/>
      <c r="AE56" s="155"/>
      <c r="AF56" s="155"/>
      <c r="AG56" s="155"/>
      <c r="AH56" s="155"/>
      <c r="AI56" s="155"/>
      <c r="AJ56" s="155"/>
      <c r="AK56" s="155"/>
      <c r="AL56" s="338" t="s">
        <v>794</v>
      </c>
    </row>
    <row r="57" spans="1:38">
      <c r="K57" s="348"/>
      <c r="L57" s="348"/>
      <c r="M57" s="348"/>
      <c r="N57" s="348"/>
      <c r="O57" s="348"/>
      <c r="P57" s="348"/>
      <c r="Q57" s="348"/>
      <c r="R57" s="348"/>
      <c r="S57" s="348"/>
      <c r="T57" s="348"/>
      <c r="U57" s="348"/>
      <c r="V57" s="348"/>
      <c r="Z57" s="155"/>
      <c r="AA57" s="155"/>
      <c r="AB57" s="155"/>
      <c r="AC57" s="155"/>
      <c r="AD57" s="155"/>
      <c r="AE57" s="155"/>
      <c r="AF57" s="155"/>
      <c r="AG57" s="155"/>
      <c r="AH57" s="155"/>
      <c r="AI57" s="155"/>
      <c r="AJ57" s="155"/>
      <c r="AK57" s="155"/>
    </row>
    <row r="58" spans="1:38">
      <c r="B58" s="102" t="s">
        <v>728</v>
      </c>
      <c r="C58" s="102"/>
      <c r="K58" s="347"/>
      <c r="L58" s="347"/>
      <c r="M58" s="347"/>
      <c r="N58" s="347"/>
      <c r="O58" s="347"/>
      <c r="P58" s="347"/>
      <c r="Q58" s="347"/>
      <c r="R58" s="347"/>
      <c r="S58" s="347"/>
      <c r="T58" s="347"/>
      <c r="U58" s="347"/>
      <c r="V58" s="347"/>
      <c r="W58" s="344"/>
      <c r="Z58" s="155"/>
      <c r="AA58" s="155"/>
      <c r="AB58" s="155"/>
      <c r="AC58" s="155"/>
      <c r="AD58" s="155"/>
      <c r="AE58" s="155"/>
      <c r="AF58" s="155"/>
      <c r="AG58" s="155"/>
      <c r="AH58" s="155"/>
      <c r="AI58" s="155"/>
      <c r="AJ58" s="155"/>
      <c r="AK58" s="155"/>
    </row>
    <row r="59" spans="1:38">
      <c r="D59" s="67" t="s">
        <v>54</v>
      </c>
      <c r="J59" s="348">
        <f>SUM(J60:J63)+'假设-ROI月度滚动'!I10</f>
        <v>0.34458191549879524</v>
      </c>
      <c r="K59" s="347">
        <f>SUM(K60:K63)+'假设-ROI月度滚动'!J10</f>
        <v>0.28506769692166067</v>
      </c>
      <c r="L59" s="347">
        <f>SUM(L60:L63)+'假设-ROI月度滚动'!K10</f>
        <v>0.34561432635394207</v>
      </c>
      <c r="M59" s="347">
        <f>SUM(M60:M63)+'假设-ROI月度滚动'!L10</f>
        <v>0.31457731872285855</v>
      </c>
      <c r="N59" s="347">
        <f>SUM(N60:N63)+'假设-ROI月度滚动'!M10</f>
        <v>0.41422901642210297</v>
      </c>
      <c r="O59" s="347">
        <f>SUM(O60:O63)+'假设-ROI月度滚动'!N10</f>
        <v>0.34359919910465864</v>
      </c>
      <c r="P59" s="347">
        <f>SUM(P60:P63)+'假设-ROI月度滚动'!O10</f>
        <v>0.39479526452180136</v>
      </c>
      <c r="Q59" s="347">
        <f>SUM(Q60:Q63)+'假设-ROI月度滚动'!P10</f>
        <v>0.35244289087848268</v>
      </c>
      <c r="R59" s="347">
        <f>SUM(R60:R63)+'假设-ROI月度滚动'!Q10</f>
        <v>0.35244289087848268</v>
      </c>
      <c r="S59" s="347">
        <f>SUM(S60:S63)+'假设-ROI月度滚动'!R10</f>
        <v>0.35244289087848268</v>
      </c>
      <c r="T59" s="347">
        <f>SUM(T60:T63)+'假设-ROI月度滚动'!S10</f>
        <v>0.35244289087848268</v>
      </c>
      <c r="U59" s="347">
        <f>SUM(U60:U63)+'假设-ROI月度滚动'!T10</f>
        <v>0.35244289087848268</v>
      </c>
      <c r="V59" s="347">
        <f>SUM(V60:V63)+'假设-ROI月度滚动'!U10</f>
        <v>0.35244289087848268</v>
      </c>
      <c r="W59" s="349">
        <f>IFERROR(AVERAGE(K59:V59),0)</f>
        <v>0.35104501394316018</v>
      </c>
      <c r="Z59" s="155"/>
      <c r="AA59" s="155"/>
      <c r="AB59" s="155"/>
      <c r="AC59" s="155"/>
      <c r="AD59" s="155"/>
      <c r="AE59" s="155"/>
      <c r="AF59" s="155"/>
      <c r="AG59" s="155"/>
      <c r="AH59" s="155"/>
      <c r="AI59" s="155"/>
      <c r="AJ59" s="155"/>
      <c r="AK59" s="155"/>
    </row>
    <row r="60" spans="1:38">
      <c r="E60" s="67" t="s">
        <v>52</v>
      </c>
      <c r="F60" s="67" t="s">
        <v>54</v>
      </c>
      <c r="G60" s="67" t="s">
        <v>58</v>
      </c>
      <c r="J60" s="348">
        <f>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Z$6:$Z$532,"&lt;&gt;")=0,$Y60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Y60))</f>
        <v>0</v>
      </c>
      <c r="K60" s="348">
        <f>IF(Z60&lt;&gt;"",Z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H$6:$H$532,"&lt;&gt;")=0,$J60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L60" s="348">
        <f>IF(AA60&lt;&gt;"",AA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K$6:$K$532,"&lt;&gt;")=0,$J60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M60" s="348">
        <f>IF(AB60&lt;&gt;"",AB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N$6:$N$532,"&lt;&gt;")=0,$J60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N60" s="348">
        <f>IF(AC60&lt;&gt;"",AC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Q$6:$Q$532,"&lt;&gt;")=0,$J60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O60" s="348">
        <f>IF(AD60&lt;&gt;"",AD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T$6:$T$532,"&lt;&gt;")=0,$J60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P60" s="348">
        <f>IF(AE60&lt;&gt;"",AE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F$6:$AF$532,"已导入实际")=0,$J60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Q60" s="348">
        <f>IF(AF60&lt;&gt;"",AF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J$6:$AJ$532,"已导入实际")=0,$J60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R60" s="348">
        <f>IF(AG60&lt;&gt;"",AG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N$6:$AN$532,"已导入实际")=0,$J60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S60" s="348">
        <f>IF(AH60&lt;&gt;"",AH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R$6:$AR$532,"已导入实际")=0,$J60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T60" s="348">
        <f>IF(AI60&lt;&gt;"",AI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V$6:$AV$532,"已导入实际")=0,$J60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U60" s="348">
        <f>IF(AJ60&lt;&gt;"",AJ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Z$6:$AZ$532,"已导入实际")=0,$J60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V60" s="348">
        <f>IF(AK60&lt;&gt;"",AK60,IF(COUNTIFS('参考值-平台费用率分析'!$A$6:$A$532,"自营",'参考值-平台费用率分析'!$B$6:$B$532,"天猫淘宝",'参考值-平台费用率分析'!$C$6:$C$532,"销售费用",'参考值-平台费用率分析'!$D$6:$D$532,$F60,'参考值-平台费用率分析'!$E$6:$E$532,$G60,'参考值-平台费用率分析'!$AZ$6:$AZ$532,"已导入实际")=0,$J60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60,'参考值-平台费用率分析'!$E$6:$E$532,$G60),$J60)))</f>
        <v>0</v>
      </c>
      <c r="W60" s="348">
        <f>(K60*'假设-目标渠道分解'!L$12+L60*'假设-目标渠道分解'!M$12+M60*'假设-目标渠道分解'!N$12+N60*'假设-目标渠道分解'!O$12+O60*'假设-目标渠道分解'!P$12+P60*'假设-目标渠道分解'!Q$12+Q60*'假设-目标渠道分解'!R$12+R60*'假设-目标渠道分解'!S$12+S60*'假设-目标渠道分解'!T$12+T60*'假设-目标渠道分解'!U$12+U60*'假设-目标渠道分解'!V$12+V60*'假设-目标渠道分解'!W$12)/'假设-目标渠道分解'!J$12</f>
        <v>0</v>
      </c>
      <c r="Y60" s="155">
        <v>0</v>
      </c>
      <c r="Z60" s="155"/>
      <c r="AA60" s="155"/>
      <c r="AB60" s="155"/>
      <c r="AC60" s="155"/>
      <c r="AD60" s="155"/>
      <c r="AE60" s="155"/>
      <c r="AF60" s="155"/>
      <c r="AG60" s="155"/>
      <c r="AH60" s="155"/>
      <c r="AI60" s="155"/>
      <c r="AJ60" s="155"/>
      <c r="AK60" s="155"/>
      <c r="AL60" s="338" t="s">
        <v>794</v>
      </c>
    </row>
    <row r="61" spans="1:38">
      <c r="E61" s="67" t="s">
        <v>52</v>
      </c>
      <c r="F61" s="67" t="s">
        <v>54</v>
      </c>
      <c r="G61" s="67" t="s">
        <v>59</v>
      </c>
      <c r="J61" s="348">
        <f>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Z$6:$Z$532,"&lt;&gt;")=0,$Y61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Y61))</f>
        <v>0</v>
      </c>
      <c r="K61" s="348">
        <f>IF(Z61&lt;&gt;"",Z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H$6:$H$532,"&lt;&gt;")=0,$J61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L61" s="348">
        <f>IF(AA61&lt;&gt;"",AA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K$6:$K$532,"&lt;&gt;")=0,$J61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M61" s="348">
        <f>IF(AB61&lt;&gt;"",AB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N$6:$N$532,"&lt;&gt;")=0,$J61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N61" s="348">
        <f>IF(AC61&lt;&gt;"",AC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Q$6:$Q$532,"&lt;&gt;")=0,$J61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O61" s="348">
        <f>IF(AD61&lt;&gt;"",AD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T$6:$T$532,"&lt;&gt;")=0,$J61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P61" s="348">
        <f>IF(AE61&lt;&gt;"",AE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F$6:$AF$532,"已导入实际")=0,$J61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Q61" s="348">
        <f>IF(AF61&lt;&gt;"",AF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J$6:$AJ$532,"已导入实际")=0,$J61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R61" s="348">
        <f>IF(AG61&lt;&gt;"",AG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N$6:$AN$532,"已导入实际")=0,$J61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S61" s="348">
        <f>IF(AH61&lt;&gt;"",AH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R$6:$AR$532,"已导入实际")=0,$J61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T61" s="348">
        <f>IF(AI61&lt;&gt;"",AI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V$6:$AV$532,"已导入实际")=0,$J61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U61" s="348">
        <f>IF(AJ61&lt;&gt;"",AJ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Z$6:$AZ$532,"已导入实际")=0,$J61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V61" s="348">
        <f>IF(AK61&lt;&gt;"",AK61,IF(COUNTIFS('参考值-平台费用率分析'!$A$6:$A$532,"自营",'参考值-平台费用率分析'!$B$6:$B$532,"天猫淘宝",'参考值-平台费用率分析'!$C$6:$C$532,"销售费用",'参考值-平台费用率分析'!$D$6:$D$532,$F61,'参考值-平台费用率分析'!$E$6:$E$532,$G61,'参考值-平台费用率分析'!$AZ$6:$AZ$532,"已导入实际")=0,$J61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61,'参考值-平台费用率分析'!$E$6:$E$532,$G61),$J61)))</f>
        <v>0</v>
      </c>
      <c r="W61" s="348">
        <f>(K61*'假设-目标渠道分解'!L$12+L61*'假设-目标渠道分解'!M$12+M61*'假设-目标渠道分解'!N$12+N61*'假设-目标渠道分解'!O$12+O61*'假设-目标渠道分解'!P$12+P61*'假设-目标渠道分解'!Q$12+Q61*'假设-目标渠道分解'!R$12+R61*'假设-目标渠道分解'!S$12+S61*'假设-目标渠道分解'!T$12+T61*'假设-目标渠道分解'!U$12+U61*'假设-目标渠道分解'!V$12+V61*'假设-目标渠道分解'!W$12)/'假设-目标渠道分解'!J$12</f>
        <v>0</v>
      </c>
      <c r="Y61" s="155">
        <v>0</v>
      </c>
      <c r="Z61" s="155"/>
      <c r="AA61" s="155"/>
      <c r="AB61" s="155"/>
      <c r="AC61" s="155"/>
      <c r="AD61" s="155"/>
      <c r="AE61" s="155"/>
      <c r="AF61" s="155"/>
      <c r="AG61" s="155"/>
      <c r="AH61" s="155"/>
      <c r="AI61" s="155"/>
      <c r="AJ61" s="155"/>
      <c r="AK61" s="155"/>
      <c r="AL61" s="338" t="s">
        <v>794</v>
      </c>
    </row>
    <row r="62" spans="1:38">
      <c r="E62" s="67" t="s">
        <v>52</v>
      </c>
      <c r="F62" s="67" t="s">
        <v>54</v>
      </c>
      <c r="G62" s="67" t="s">
        <v>60</v>
      </c>
      <c r="J62" s="348">
        <f>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Z$6:$Z$532,"&lt;&gt;")=0,$Y62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Y62))</f>
        <v>0</v>
      </c>
      <c r="K62" s="348">
        <f>IF(Z62&lt;&gt;"",Z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H$6:$H$532,"&lt;&gt;")=0,$J62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L62" s="348">
        <f>IF(AA62&lt;&gt;"",AA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K$6:$K$532,"&lt;&gt;")=0,$J62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M62" s="348">
        <f>IF(AB62&lt;&gt;"",AB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N$6:$N$532,"&lt;&gt;")=0,$J62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N62" s="348">
        <f>IF(AC62&lt;&gt;"",AC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Q$6:$Q$532,"&lt;&gt;")=0,$J62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O62" s="348">
        <f>IF(AD62&lt;&gt;"",AD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T$6:$T$532,"&lt;&gt;")=0,$J62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P62" s="348">
        <f>IF(AE62&lt;&gt;"",AE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F$6:$AF$532,"已导入实际")=0,$J62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Q62" s="348">
        <f>IF(AF62&lt;&gt;"",AF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J$6:$AJ$532,"已导入实际")=0,$J62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R62" s="348">
        <f>IF(AG62&lt;&gt;"",AG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N$6:$AN$532,"已导入实际")=0,$J62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S62" s="348">
        <f>IF(AH62&lt;&gt;"",AH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R$6:$AR$532,"已导入实际")=0,$J62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T62" s="348">
        <f>IF(AI62&lt;&gt;"",AI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V$6:$AV$532,"已导入实际")=0,$J62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U62" s="348">
        <f>IF(AJ62&lt;&gt;"",AJ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Z$6:$AZ$532,"已导入实际")=0,$J62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V62" s="348">
        <f>IF(AK62&lt;&gt;"",AK62,IF(COUNTIFS('参考值-平台费用率分析'!$A$6:$A$532,"自营",'参考值-平台费用率分析'!$B$6:$B$532,"天猫淘宝",'参考值-平台费用率分析'!$C$6:$C$532,"销售费用",'参考值-平台费用率分析'!$D$6:$D$532,$F62,'参考值-平台费用率分析'!$E$6:$E$532,$G62,'参考值-平台费用率分析'!$AZ$6:$AZ$532,"已导入实际")=0,$J62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62,'参考值-平台费用率分析'!$E$6:$E$532,$G62),$J62)))</f>
        <v>0</v>
      </c>
      <c r="W62" s="348">
        <f>(K62*'假设-目标渠道分解'!L$12+L62*'假设-目标渠道分解'!M$12+M62*'假设-目标渠道分解'!N$12+N62*'假设-目标渠道分解'!O$12+O62*'假设-目标渠道分解'!P$12+P62*'假设-目标渠道分解'!Q$12+Q62*'假设-目标渠道分解'!R$12+R62*'假设-目标渠道分解'!S$12+S62*'假设-目标渠道分解'!T$12+T62*'假设-目标渠道分解'!U$12+U62*'假设-目标渠道分解'!V$12+V62*'假设-目标渠道分解'!W$12)/'假设-目标渠道分解'!J$12</f>
        <v>0</v>
      </c>
      <c r="Y62" s="155">
        <v>0</v>
      </c>
      <c r="Z62" s="155"/>
      <c r="AA62" s="155"/>
      <c r="AB62" s="155"/>
      <c r="AC62" s="155"/>
      <c r="AD62" s="155"/>
      <c r="AE62" s="155"/>
      <c r="AF62" s="155"/>
      <c r="AG62" s="155"/>
      <c r="AH62" s="155"/>
      <c r="AI62" s="155"/>
      <c r="AJ62" s="155"/>
      <c r="AK62" s="155"/>
      <c r="AL62" s="338" t="s">
        <v>794</v>
      </c>
    </row>
    <row r="63" spans="1:38">
      <c r="E63" s="67" t="s">
        <v>52</v>
      </c>
      <c r="F63" s="67" t="s">
        <v>54</v>
      </c>
      <c r="G63" s="67" t="s">
        <v>61</v>
      </c>
      <c r="J63" s="348">
        <f>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Z$6:$Z$532,"&lt;&gt;")=0,$Y63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Y63))</f>
        <v>6.6412288934155267E-2</v>
      </c>
      <c r="K63" s="348">
        <f>IF(Z63&lt;&gt;"",Z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H$6:$H$532,"&lt;&gt;")=0,$J63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6.4222604758037649E-2</v>
      </c>
      <c r="L63" s="348">
        <f>IF(AA63&lt;&gt;"",AA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K$6:$K$532,"&lt;&gt;")=0,$J63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6.3025741636638016E-2</v>
      </c>
      <c r="M63" s="348">
        <f>IF(AB63&lt;&gt;"",AB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N$6:$N$532,"&lt;&gt;")=0,$J63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6.1970401304067543E-2</v>
      </c>
      <c r="N63" s="348">
        <f>IF(AC63&lt;&gt;"",AC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Q$6:$Q$532,"&lt;&gt;")=0,$J63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6.2774192331138928E-2</v>
      </c>
      <c r="O63" s="348">
        <f>IF(AD63&lt;&gt;"",AD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T$6:$T$532,"&lt;&gt;")=0,$J63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7.0105744987567664E-2</v>
      </c>
      <c r="P63" s="353">
        <f>IF(AE63&lt;&gt;"",AE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F$6:$AF$532,"已导入实际")=0,$J63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Q63" s="353">
        <f>IF(AF63&lt;&gt;"",AF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J$6:$AJ$532,"已导入实际")=0,$J63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R63" s="353">
        <f>IF(AG63&lt;&gt;"",AG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N$6:$AN$532,"已导入实际")=0,$J63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S63" s="353">
        <f>IF(AH63&lt;&gt;"",AH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R$6:$AR$532,"已导入实际")=0,$J63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T63" s="353">
        <f>IF(AI63&lt;&gt;"",AI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V$6:$AV$532,"已导入实际")=0,$J63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U63" s="353">
        <f>IF(AJ63&lt;&gt;"",AJ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Z$6:$AZ$532,"已导入实际")=0,$J63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V63" s="353">
        <f>IF(AK63&lt;&gt;"",AK63,IF(COUNTIFS('参考值-平台费用率分析'!$A$6:$A$532,"自营",'参考值-平台费用率分析'!$B$6:$B$532,"天猫淘宝",'参考值-平台费用率分析'!$C$6:$C$532,"销售费用",'参考值-平台费用率分析'!$D$6:$D$532,$F63,'参考值-平台费用率分析'!$E$6:$E$532,$G63,'参考值-平台费用率分析'!$AZ$6:$AZ$532,"已导入实际")=0,$J63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63,'参考值-平台费用率分析'!$E$6:$E$532,$G63),$J63)))</f>
        <v>6.6412288934155267E-2</v>
      </c>
      <c r="W63" s="348">
        <f>(K63*'假设-目标渠道分解'!L$12+L63*'假设-目标渠道分解'!M$12+M63*'假设-目标渠道分解'!N$12+N63*'假设-目标渠道分解'!O$12+O63*'假设-目标渠道分解'!P$12+P63*'假设-目标渠道分解'!Q$12+Q63*'假设-目标渠道分解'!R$12+R63*'假设-目标渠道分解'!S$12+S63*'假设-目标渠道分解'!T$12+T63*'假设-目标渠道分解'!U$12+U63*'假设-目标渠道分解'!V$12+V63*'假设-目标渠道分解'!W$12)/'假设-目标渠道分解'!J$12</f>
        <v>6.5645552545980396E-2</v>
      </c>
      <c r="Y63" s="155">
        <v>6.3316959448949203E-2</v>
      </c>
      <c r="Z63" s="155"/>
      <c r="AA63" s="155"/>
      <c r="AB63" s="155"/>
      <c r="AC63" s="155"/>
      <c r="AD63" s="155"/>
      <c r="AE63" s="155"/>
      <c r="AF63" s="155"/>
      <c r="AG63" s="155"/>
      <c r="AH63" s="155"/>
      <c r="AI63" s="155"/>
      <c r="AJ63" s="155"/>
      <c r="AK63" s="155"/>
      <c r="AL63" s="338" t="s">
        <v>794</v>
      </c>
    </row>
    <row r="64" spans="1:38">
      <c r="D64" s="67" t="s">
        <v>65</v>
      </c>
      <c r="K64" s="348">
        <f t="shared" ref="K64:W64" si="8">SUM(K65:K68)</f>
        <v>0</v>
      </c>
      <c r="L64" s="348">
        <f t="shared" si="8"/>
        <v>0</v>
      </c>
      <c r="M64" s="348">
        <f t="shared" si="8"/>
        <v>0</v>
      </c>
      <c r="N64" s="348">
        <f t="shared" si="8"/>
        <v>0</v>
      </c>
      <c r="O64" s="348">
        <f t="shared" si="8"/>
        <v>0</v>
      </c>
      <c r="P64" s="348">
        <f t="shared" si="8"/>
        <v>0</v>
      </c>
      <c r="Q64" s="348">
        <f t="shared" si="8"/>
        <v>0</v>
      </c>
      <c r="R64" s="348">
        <f t="shared" si="8"/>
        <v>0</v>
      </c>
      <c r="S64" s="348">
        <f t="shared" si="8"/>
        <v>0</v>
      </c>
      <c r="T64" s="348">
        <f t="shared" si="8"/>
        <v>0</v>
      </c>
      <c r="U64" s="348">
        <f t="shared" si="8"/>
        <v>0</v>
      </c>
      <c r="V64" s="348">
        <f t="shared" si="8"/>
        <v>0</v>
      </c>
      <c r="W64" s="349">
        <f t="shared" si="8"/>
        <v>0</v>
      </c>
      <c r="Z64" s="155"/>
      <c r="AA64" s="155"/>
      <c r="AB64" s="155"/>
      <c r="AC64" s="155"/>
      <c r="AD64" s="155"/>
      <c r="AE64" s="155"/>
      <c r="AF64" s="155"/>
      <c r="AG64" s="155"/>
      <c r="AH64" s="155"/>
      <c r="AI64" s="155"/>
      <c r="AJ64" s="155"/>
      <c r="AK64" s="155"/>
    </row>
    <row r="65" spans="4:38">
      <c r="E65" s="67" t="s">
        <v>52</v>
      </c>
      <c r="F65" s="67" t="s">
        <v>65</v>
      </c>
      <c r="G65" s="67" t="s">
        <v>66</v>
      </c>
      <c r="J65" s="348">
        <f>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Z$6:$Z$532,"&lt;&gt;")=0,$Y65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Y65))</f>
        <v>0</v>
      </c>
      <c r="K65" s="348">
        <f>IF(Z65&lt;&gt;"",Z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H$6:$H$532,"&lt;&gt;")=0,$J65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L65" s="348">
        <f>IF(AA65&lt;&gt;"",AA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K$6:$K$532,"&lt;&gt;")=0,$J65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M65" s="348">
        <f>IF(AB65&lt;&gt;"",AB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N$6:$N$532,"&lt;&gt;")=0,$J65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N65" s="348">
        <f>IF(AC65&lt;&gt;"",AC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Q$6:$Q$532,"&lt;&gt;")=0,$J65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O65" s="348">
        <f>IF(AD65&lt;&gt;"",AD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T$6:$T$532,"&lt;&gt;")=0,$J65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P65" s="347">
        <f>IF(AE65&lt;&gt;"",AE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F$6:$AF$532,"已导入实际")=0,$J65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Q65" s="347">
        <f>IF(AF65&lt;&gt;"",AF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J$6:$AJ$532,"已导入实际")=0,$J65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R65" s="347">
        <f>IF(AG65&lt;&gt;"",AG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N$6:$AN$532,"已导入实际")=0,$J65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S65" s="347">
        <f>IF(AH65&lt;&gt;"",AH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R$6:$AR$532,"已导入实际")=0,$J65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T65" s="347">
        <f>IF(AI65&lt;&gt;"",AI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V$6:$AV$532,"已导入实际")=0,$J65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U65" s="347">
        <f>IF(AJ65&lt;&gt;"",AJ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Z$6:$AZ$532,"已导入实际")=0,$J65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V65" s="347">
        <f>IF(AK65&lt;&gt;"",AK65,IF(COUNTIFS('参考值-平台费用率分析'!$A$6:$A$532,"自营",'参考值-平台费用率分析'!$B$6:$B$532,"天猫淘宝",'参考值-平台费用率分析'!$C$6:$C$532,"销售费用",'参考值-平台费用率分析'!$D$6:$D$532,$F65,'参考值-平台费用率分析'!$E$6:$E$532,$G65,'参考值-平台费用率分析'!$AZ$6:$AZ$532,"已导入实际")=0,$J65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65,'参考值-平台费用率分析'!$E$6:$E$532,$G65),$J65)))</f>
        <v>0</v>
      </c>
      <c r="W65" s="348">
        <f>(K65*'假设-目标渠道分解'!L$12+L65*'假设-目标渠道分解'!M$12+M65*'假设-目标渠道分解'!N$12+N65*'假设-目标渠道分解'!O$12+O65*'假设-目标渠道分解'!P$12+P65*'假设-目标渠道分解'!Q$12+Q65*'假设-目标渠道分解'!R$12+R65*'假设-目标渠道分解'!S$12+S65*'假设-目标渠道分解'!T$12+T65*'假设-目标渠道分解'!U$12+U65*'假设-目标渠道分解'!V$12+V65*'假设-目标渠道分解'!W$12)/'假设-目标渠道分解'!J$12</f>
        <v>0</v>
      </c>
      <c r="Y65" s="155">
        <v>0</v>
      </c>
      <c r="Z65" s="155"/>
      <c r="AA65" s="155"/>
      <c r="AB65" s="155"/>
      <c r="AC65" s="155"/>
      <c r="AD65" s="155"/>
      <c r="AE65" s="155"/>
      <c r="AF65" s="155"/>
      <c r="AG65" s="155"/>
      <c r="AH65" s="155"/>
      <c r="AI65" s="155"/>
      <c r="AJ65" s="155"/>
      <c r="AK65" s="155"/>
      <c r="AL65" s="338" t="s">
        <v>794</v>
      </c>
    </row>
    <row r="66" spans="4:38">
      <c r="E66" s="67" t="s">
        <v>52</v>
      </c>
      <c r="F66" s="67" t="s">
        <v>65</v>
      </c>
      <c r="G66" s="67" t="s">
        <v>67</v>
      </c>
      <c r="J66" s="348">
        <f>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Z$6:$Z$532,"&lt;&gt;")=0,$Y66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Y66))</f>
        <v>0</v>
      </c>
      <c r="K66" s="348">
        <f>IF(Z66&lt;&gt;"",Z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H$6:$H$532,"&lt;&gt;")=0,$J66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L66" s="348">
        <f>IF(AA66&lt;&gt;"",AA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K$6:$K$532,"&lt;&gt;")=0,$J66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M66" s="348">
        <f>IF(AB66&lt;&gt;"",AB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N$6:$N$532,"&lt;&gt;")=0,$J66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N66" s="348">
        <f>IF(AC66&lt;&gt;"",AC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Q$6:$Q$532,"&lt;&gt;")=0,$J66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O66" s="348">
        <f>IF(AD66&lt;&gt;"",AD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T$6:$T$532,"&lt;&gt;")=0,$J66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P66" s="347">
        <f>IF(AE66&lt;&gt;"",AE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F$6:$AF$532,"已导入实际")=0,$J66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Q66" s="347">
        <f>IF(AF66&lt;&gt;"",AF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J$6:$AJ$532,"已导入实际")=0,$J66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R66" s="347">
        <f>IF(AG66&lt;&gt;"",AG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N$6:$AN$532,"已导入实际")=0,$J66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S66" s="347">
        <f>IF(AH66&lt;&gt;"",AH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R$6:$AR$532,"已导入实际")=0,$J66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T66" s="347">
        <f>IF(AI66&lt;&gt;"",AI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V$6:$AV$532,"已导入实际")=0,$J66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U66" s="347">
        <f>IF(AJ66&lt;&gt;"",AJ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Z$6:$AZ$532,"已导入实际")=0,$J66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V66" s="347">
        <f>IF(AK66&lt;&gt;"",AK66,IF(COUNTIFS('参考值-平台费用率分析'!$A$6:$A$532,"自营",'参考值-平台费用率分析'!$B$6:$B$532,"天猫淘宝",'参考值-平台费用率分析'!$C$6:$C$532,"销售费用",'参考值-平台费用率分析'!$D$6:$D$532,$F66,'参考值-平台费用率分析'!$E$6:$E$532,$G66,'参考值-平台费用率分析'!$AZ$6:$AZ$532,"已导入实际")=0,$J66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66,'参考值-平台费用率分析'!$E$6:$E$532,$G66),$J66)))</f>
        <v>0</v>
      </c>
      <c r="W66" s="348">
        <f>(K66*'假设-目标渠道分解'!L$12+L66*'假设-目标渠道分解'!M$12+M66*'假设-目标渠道分解'!N$12+N66*'假设-目标渠道分解'!O$12+O66*'假设-目标渠道分解'!P$12+P66*'假设-目标渠道分解'!Q$12+Q66*'假设-目标渠道分解'!R$12+R66*'假设-目标渠道分解'!S$12+S66*'假设-目标渠道分解'!T$12+T66*'假设-目标渠道分解'!U$12+U66*'假设-目标渠道分解'!V$12+V66*'假设-目标渠道分解'!W$12)/'假设-目标渠道分解'!J$12</f>
        <v>0</v>
      </c>
      <c r="Y66" s="155">
        <v>0</v>
      </c>
      <c r="Z66" s="155"/>
      <c r="AA66" s="155"/>
      <c r="AB66" s="155"/>
      <c r="AC66" s="155"/>
      <c r="AD66" s="155"/>
      <c r="AE66" s="155"/>
      <c r="AF66" s="155"/>
      <c r="AG66" s="155"/>
      <c r="AH66" s="155"/>
      <c r="AI66" s="155"/>
      <c r="AJ66" s="155"/>
      <c r="AK66" s="155"/>
      <c r="AL66" s="338" t="s">
        <v>794</v>
      </c>
    </row>
    <row r="67" spans="4:38">
      <c r="E67" s="67" t="s">
        <v>52</v>
      </c>
      <c r="F67" s="67" t="s">
        <v>65</v>
      </c>
      <c r="G67" s="67" t="s">
        <v>68</v>
      </c>
      <c r="J67" s="348">
        <f>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Z$6:$Z$532,"&lt;&gt;")=0,$Y67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Y67))</f>
        <v>0</v>
      </c>
      <c r="K67" s="348">
        <f>IF(Z67&lt;&gt;"",Z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H$6:$H$532,"&lt;&gt;")=0,$J67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L67" s="348">
        <f>IF(AA67&lt;&gt;"",AA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K$6:$K$532,"&lt;&gt;")=0,$J67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M67" s="348">
        <f>IF(AB67&lt;&gt;"",AB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N$6:$N$532,"&lt;&gt;")=0,$J67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N67" s="348">
        <f>IF(AC67&lt;&gt;"",AC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Q$6:$Q$532,"&lt;&gt;")=0,$J67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O67" s="348">
        <f>IF(AD67&lt;&gt;"",AD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T$6:$T$532,"&lt;&gt;")=0,$J67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P67" s="348">
        <f>IF(AE67&lt;&gt;"",AE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F$6:$AF$532,"已导入实际")=0,$J67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Q67" s="348">
        <f>IF(AF67&lt;&gt;"",AF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J$6:$AJ$532,"已导入实际")=0,$J67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R67" s="348">
        <f>IF(AG67&lt;&gt;"",AG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N$6:$AN$532,"已导入实际")=0,$J67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S67" s="348">
        <f>IF(AH67&lt;&gt;"",AH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R$6:$AR$532,"已导入实际")=0,$J67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T67" s="348">
        <f>IF(AI67&lt;&gt;"",AI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V$6:$AV$532,"已导入实际")=0,$J67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U67" s="348">
        <f>IF(AJ67&lt;&gt;"",AJ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Z$6:$AZ$532,"已导入实际")=0,$J67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V67" s="348">
        <f>IF(AK67&lt;&gt;"",AK67,IF(COUNTIFS('参考值-平台费用率分析'!$A$6:$A$532,"自营",'参考值-平台费用率分析'!$B$6:$B$532,"天猫淘宝",'参考值-平台费用率分析'!$C$6:$C$532,"销售费用",'参考值-平台费用率分析'!$D$6:$D$532,$F67,'参考值-平台费用率分析'!$E$6:$E$532,$G67,'参考值-平台费用率分析'!$AZ$6:$AZ$532,"已导入实际")=0,$J67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67,'参考值-平台费用率分析'!$E$6:$E$532,$G67),$J67)))</f>
        <v>0</v>
      </c>
      <c r="W67" s="348">
        <f>(K67*'假设-目标渠道分解'!L$12+L67*'假设-目标渠道分解'!M$12+M67*'假设-目标渠道分解'!N$12+N67*'假设-目标渠道分解'!O$12+O67*'假设-目标渠道分解'!P$12+P67*'假设-目标渠道分解'!Q$12+Q67*'假设-目标渠道分解'!R$12+R67*'假设-目标渠道分解'!S$12+S67*'假设-目标渠道分解'!T$12+T67*'假设-目标渠道分解'!U$12+U67*'假设-目标渠道分解'!V$12+V67*'假设-目标渠道分解'!W$12)/'假设-目标渠道分解'!J$12</f>
        <v>0</v>
      </c>
      <c r="Y67" s="155">
        <v>0</v>
      </c>
      <c r="Z67" s="155"/>
      <c r="AA67" s="155"/>
      <c r="AB67" s="155"/>
      <c r="AC67" s="155"/>
      <c r="AD67" s="155"/>
      <c r="AE67" s="155"/>
      <c r="AF67" s="155"/>
      <c r="AG67" s="155"/>
      <c r="AH67" s="155"/>
      <c r="AI67" s="155"/>
      <c r="AJ67" s="155"/>
      <c r="AK67" s="155"/>
      <c r="AL67" s="338" t="s">
        <v>794</v>
      </c>
    </row>
    <row r="68" spans="4:38">
      <c r="E68" s="67" t="s">
        <v>52</v>
      </c>
      <c r="F68" s="67" t="s">
        <v>65</v>
      </c>
      <c r="G68" s="67" t="s">
        <v>69</v>
      </c>
      <c r="J68" s="348">
        <f>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Z$6:$Z$532,"&lt;&gt;")=0,$Y68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Y68))</f>
        <v>0</v>
      </c>
      <c r="K68" s="348">
        <f>IF(Z68&lt;&gt;"",Z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H$6:$H$532,"&lt;&gt;")=0,$J68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L68" s="348">
        <f>IF(AA68&lt;&gt;"",AA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K$6:$K$532,"&lt;&gt;")=0,$J68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M68" s="348">
        <f>IF(AB68&lt;&gt;"",AB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N$6:$N$532,"&lt;&gt;")=0,$J68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N68" s="348">
        <f>IF(AC68&lt;&gt;"",AC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Q$6:$Q$532,"&lt;&gt;")=0,$J68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O68" s="348">
        <f>IF(AD68&lt;&gt;"",AD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T$6:$T$532,"&lt;&gt;")=0,$J68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P68" s="348">
        <f>IF(AE68&lt;&gt;"",AE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F$6:$AF$532,"已导入实际")=0,$J68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Q68" s="348">
        <f>IF(AF68&lt;&gt;"",AF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J$6:$AJ$532,"已导入实际")=0,$J68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R68" s="348">
        <f>IF(AG68&lt;&gt;"",AG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N$6:$AN$532,"已导入实际")=0,$J68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S68" s="348">
        <f>IF(AH68&lt;&gt;"",AH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R$6:$AR$532,"已导入实际")=0,$J68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T68" s="348">
        <f>IF(AI68&lt;&gt;"",AI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V$6:$AV$532,"已导入实际")=0,$J68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U68" s="348">
        <f>IF(AJ68&lt;&gt;"",AJ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Z$6:$AZ$532,"已导入实际")=0,$J68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V68" s="348">
        <f>IF(AK68&lt;&gt;"",AK68,IF(COUNTIFS('参考值-平台费用率分析'!$A$6:$A$532,"自营",'参考值-平台费用率分析'!$B$6:$B$532,"天猫淘宝",'参考值-平台费用率分析'!$C$6:$C$532,"销售费用",'参考值-平台费用率分析'!$D$6:$D$532,$F68,'参考值-平台费用率分析'!$E$6:$E$532,$G68,'参考值-平台费用率分析'!$AZ$6:$AZ$532,"已导入实际")=0,$J68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68,'参考值-平台费用率分析'!$E$6:$E$532,$G68),$J68)))</f>
        <v>0</v>
      </c>
      <c r="W68" s="348">
        <f>(K68*'假设-目标渠道分解'!L$12+L68*'假设-目标渠道分解'!M$12+M68*'假设-目标渠道分解'!N$12+N68*'假设-目标渠道分解'!O$12+O68*'假设-目标渠道分解'!P$12+P68*'假设-目标渠道分解'!Q$12+Q68*'假设-目标渠道分解'!R$12+R68*'假设-目标渠道分解'!S$12+S68*'假设-目标渠道分解'!T$12+T68*'假设-目标渠道分解'!U$12+U68*'假设-目标渠道分解'!V$12+V68*'假设-目标渠道分解'!W$12)/'假设-目标渠道分解'!J$12</f>
        <v>0</v>
      </c>
      <c r="Y68" s="155">
        <v>0</v>
      </c>
      <c r="Z68" s="155"/>
      <c r="AA68" s="155"/>
      <c r="AB68" s="155"/>
      <c r="AC68" s="155"/>
      <c r="AD68" s="155"/>
      <c r="AE68" s="155"/>
      <c r="AF68" s="155"/>
      <c r="AG68" s="155"/>
      <c r="AH68" s="155"/>
      <c r="AI68" s="155"/>
      <c r="AJ68" s="155"/>
      <c r="AK68" s="155"/>
      <c r="AL68" s="338" t="s">
        <v>794</v>
      </c>
    </row>
    <row r="69" spans="4:38">
      <c r="D69" s="67" t="s">
        <v>70</v>
      </c>
      <c r="K69" s="348">
        <f t="shared" ref="K69:W69" si="9">SUM(K70:K72)</f>
        <v>4.8827110827962206E-2</v>
      </c>
      <c r="L69" s="348">
        <f t="shared" si="9"/>
        <v>4.6827375246169048E-2</v>
      </c>
      <c r="M69" s="348">
        <f t="shared" si="9"/>
        <v>4.6955208716927099E-2</v>
      </c>
      <c r="N69" s="348">
        <f t="shared" si="9"/>
        <v>4.3765324427120403E-2</v>
      </c>
      <c r="O69" s="348">
        <f t="shared" si="9"/>
        <v>5.2524615410573849E-2</v>
      </c>
      <c r="P69" s="348">
        <f t="shared" si="9"/>
        <v>4.8833039781134104E-2</v>
      </c>
      <c r="Q69" s="348">
        <f t="shared" si="9"/>
        <v>4.8833039781134104E-2</v>
      </c>
      <c r="R69" s="348">
        <f t="shared" si="9"/>
        <v>4.8833039781134104E-2</v>
      </c>
      <c r="S69" s="348">
        <f t="shared" si="9"/>
        <v>4.8833039781134104E-2</v>
      </c>
      <c r="T69" s="348">
        <f t="shared" si="9"/>
        <v>4.8833039781134104E-2</v>
      </c>
      <c r="U69" s="348">
        <f t="shared" si="9"/>
        <v>4.8833039781134104E-2</v>
      </c>
      <c r="V69" s="348">
        <f t="shared" si="9"/>
        <v>4.8833039781134104E-2</v>
      </c>
      <c r="W69" s="349">
        <f t="shared" si="9"/>
        <v>4.8419698343099365E-2</v>
      </c>
      <c r="Z69" s="155"/>
      <c r="AA69" s="155"/>
      <c r="AB69" s="155"/>
      <c r="AC69" s="155"/>
      <c r="AD69" s="155"/>
      <c r="AE69" s="155"/>
      <c r="AF69" s="155"/>
      <c r="AG69" s="155"/>
      <c r="AH69" s="155"/>
      <c r="AI69" s="155"/>
      <c r="AJ69" s="155"/>
      <c r="AK69" s="155"/>
    </row>
    <row r="70" spans="4:38">
      <c r="E70" s="67" t="s">
        <v>52</v>
      </c>
      <c r="F70" s="67" t="s">
        <v>70</v>
      </c>
      <c r="G70" s="67" t="s">
        <v>71</v>
      </c>
      <c r="J70" s="348">
        <f>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Z$6:$Z$532,"&lt;&gt;")=0,$Y70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Y70))</f>
        <v>0</v>
      </c>
      <c r="K70" s="348">
        <f>IF(Z70&lt;&gt;"",Z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H$6:$H$532,"&lt;&gt;")=0,$J70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L70" s="348">
        <f>IF(AA70&lt;&gt;"",AA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K$6:$K$532,"&lt;&gt;")=0,$J70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M70" s="348">
        <f>IF(AB70&lt;&gt;"",AB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N$6:$N$532,"&lt;&gt;")=0,$J70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N70" s="348">
        <f>IF(AC70&lt;&gt;"",AC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Q$6:$Q$532,"&lt;&gt;")=0,$J70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O70" s="348">
        <f>IF(AD70&lt;&gt;"",AD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T$6:$T$532,"&lt;&gt;")=0,$J70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P70" s="350">
        <f>IF(AE70&lt;&gt;"",AE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F$6:$AF$532,"已导入实际")=0,$J70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Q70" s="350">
        <f>IF(AF70&lt;&gt;"",AF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J$6:$AJ$532,"已导入实际")=0,$J70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R70" s="350">
        <f>IF(AG70&lt;&gt;"",AG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N$6:$AN$532,"已导入实际")=0,$J70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S70" s="350">
        <f>IF(AH70&lt;&gt;"",AH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R$6:$AR$532,"已导入实际")=0,$J70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T70" s="350">
        <f>IF(AI70&lt;&gt;"",AI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V$6:$AV$532,"已导入实际")=0,$J70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U70" s="350">
        <f>IF(AJ70&lt;&gt;"",AJ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Z$6:$AZ$532,"已导入实际")=0,$J70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V70" s="350">
        <f>IF(AK70&lt;&gt;"",AK70,IF(COUNTIFS('参考值-平台费用率分析'!$A$6:$A$532,"自营",'参考值-平台费用率分析'!$B$6:$B$532,"天猫淘宝",'参考值-平台费用率分析'!$C$6:$C$532,"销售费用",'参考值-平台费用率分析'!$D$6:$D$532,$F70,'参考值-平台费用率分析'!$E$6:$E$532,$G70,'参考值-平台费用率分析'!$AZ$6:$AZ$532,"已导入实际")=0,$J70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70,'参考值-平台费用率分析'!$E$6:$E$532,$G70),$J70)))</f>
        <v>0</v>
      </c>
      <c r="W70" s="348">
        <f>(K70*'假设-目标渠道分解'!L$12+L70*'假设-目标渠道分解'!M$12+M70*'假设-目标渠道分解'!N$12+N70*'假设-目标渠道分解'!O$12+O70*'假设-目标渠道分解'!P$12+P70*'假设-目标渠道分解'!Q$12+Q70*'假设-目标渠道分解'!R$12+R70*'假设-目标渠道分解'!S$12+S70*'假设-目标渠道分解'!T$12+T70*'假设-目标渠道分解'!U$12+U70*'假设-目标渠道分解'!V$12+V70*'假设-目标渠道分解'!W$12)/'假设-目标渠道分解'!J$12</f>
        <v>0</v>
      </c>
      <c r="Y70" s="155">
        <v>3.3532635026111597E-2</v>
      </c>
      <c r="Z70" s="155"/>
      <c r="AA70" s="155"/>
      <c r="AB70" s="155"/>
      <c r="AC70" s="155"/>
      <c r="AD70" s="155"/>
      <c r="AE70" s="155"/>
      <c r="AF70" s="155"/>
      <c r="AG70" s="155"/>
      <c r="AH70" s="155"/>
      <c r="AI70" s="155"/>
      <c r="AJ70" s="155"/>
      <c r="AK70" s="155"/>
      <c r="AL70" s="338" t="s">
        <v>794</v>
      </c>
    </row>
    <row r="71" spans="4:38">
      <c r="E71" s="67" t="s">
        <v>52</v>
      </c>
      <c r="F71" s="67" t="s">
        <v>70</v>
      </c>
      <c r="G71" s="67" t="s">
        <v>72</v>
      </c>
      <c r="J71" s="348">
        <f>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Z$6:$Z$532,"&lt;&gt;")=0,$Y71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Y71))</f>
        <v>0</v>
      </c>
      <c r="K71" s="348">
        <f>IF(Z71&lt;&gt;"",Z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H$6:$H$532,"&lt;&gt;")=0,$J71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L71" s="348">
        <f>IF(AA71&lt;&gt;"",AA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K$6:$K$532,"&lt;&gt;")=0,$J71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M71" s="348">
        <f>IF(AB71&lt;&gt;"",AB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N$6:$N$532,"&lt;&gt;")=0,$J71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N71" s="348">
        <f>IF(AC71&lt;&gt;"",AC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Q$6:$Q$532,"&lt;&gt;")=0,$J71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O71" s="348">
        <f>IF(AD71&lt;&gt;"",AD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T$6:$T$532,"&lt;&gt;")=0,$J71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P71" s="350">
        <f>IF(AE71&lt;&gt;"",AE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F$6:$AF$532,"已导入实际")=0,$J71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Q71" s="350">
        <f>IF(AF71&lt;&gt;"",AF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J$6:$AJ$532,"已导入实际")=0,$J71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R71" s="350">
        <f>IF(AG71&lt;&gt;"",AG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N$6:$AN$532,"已导入实际")=0,$J71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S71" s="350">
        <f>IF(AH71&lt;&gt;"",AH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R$6:$AR$532,"已导入实际")=0,$J71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T71" s="350">
        <f>IF(AI71&lt;&gt;"",AI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V$6:$AV$532,"已导入实际")=0,$J71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U71" s="350">
        <f>IF(AJ71&lt;&gt;"",AJ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Z$6:$AZ$532,"已导入实际")=0,$J71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V71" s="350">
        <f>IF(AK71&lt;&gt;"",AK71,IF(COUNTIFS('参考值-平台费用率分析'!$A$6:$A$532,"自营",'参考值-平台费用率分析'!$B$6:$B$532,"天猫淘宝",'参考值-平台费用率分析'!$C$6:$C$532,"销售费用",'参考值-平台费用率分析'!$D$6:$D$532,$F71,'参考值-平台费用率分析'!$E$6:$E$532,$G71,'参考值-平台费用率分析'!$AZ$6:$AZ$532,"已导入实际")=0,$J71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71,'参考值-平台费用率分析'!$E$6:$E$532,$G71),$J71)))</f>
        <v>0</v>
      </c>
      <c r="W71" s="348">
        <f>(K71*'假设-目标渠道分解'!L$12+L71*'假设-目标渠道分解'!M$12+M71*'假设-目标渠道分解'!N$12+N71*'假设-目标渠道分解'!O$12+O71*'假设-目标渠道分解'!P$12+P71*'假设-目标渠道分解'!Q$12+Q71*'假设-目标渠道分解'!R$12+R71*'假设-目标渠道分解'!S$12+S71*'假设-目标渠道分解'!T$12+T71*'假设-目标渠道分解'!U$12+U71*'假设-目标渠道分解'!V$12+V71*'假设-目标渠道分解'!W$12)/'假设-目标渠道分解'!J$12</f>
        <v>0</v>
      </c>
      <c r="Y71" s="155">
        <v>0</v>
      </c>
      <c r="Z71" s="155"/>
      <c r="AA71" s="155"/>
      <c r="AB71" s="155"/>
      <c r="AC71" s="155"/>
      <c r="AD71" s="155"/>
      <c r="AE71" s="155"/>
      <c r="AF71" s="155"/>
      <c r="AG71" s="155"/>
      <c r="AH71" s="155"/>
      <c r="AI71" s="155"/>
      <c r="AJ71" s="155"/>
      <c r="AK71" s="155"/>
      <c r="AL71" s="338" t="s">
        <v>794</v>
      </c>
    </row>
    <row r="72" spans="4:38">
      <c r="E72" s="67" t="s">
        <v>52</v>
      </c>
      <c r="F72" s="67" t="s">
        <v>70</v>
      </c>
      <c r="G72" s="67" t="s">
        <v>73</v>
      </c>
      <c r="J72" s="348">
        <f>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Z$6:$Z$532,"&lt;&gt;")=0,$Y72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Y72))</f>
        <v>4.8833039781134104E-2</v>
      </c>
      <c r="K72" s="348">
        <f>IF(Z72&lt;&gt;"",Z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H$6:$H$532,"&lt;&gt;")=0,$J72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4.8827110827962206E-2</v>
      </c>
      <c r="L72" s="348">
        <f>IF(AA72&lt;&gt;"",AA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K$6:$K$532,"&lt;&gt;")=0,$J72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4.6827375246169048E-2</v>
      </c>
      <c r="M72" s="348">
        <f>IF(AB72&lt;&gt;"",AB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N$6:$N$532,"&lt;&gt;")=0,$J72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4.6955208716927099E-2</v>
      </c>
      <c r="N72" s="348">
        <f>IF(AC72&lt;&gt;"",AC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Q$6:$Q$532,"&lt;&gt;")=0,$J72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4.3765324427120403E-2</v>
      </c>
      <c r="O72" s="348">
        <f>IF(AD72&lt;&gt;"",AD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T$6:$T$532,"&lt;&gt;")=0,$J72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5.2524615410573849E-2</v>
      </c>
      <c r="P72" s="350">
        <f>IF(AE72&lt;&gt;"",AE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F$6:$AF$532,"已导入实际")=0,$J72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Q72" s="350">
        <f>IF(AF72&lt;&gt;"",AF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J$6:$AJ$532,"已导入实际")=0,$J72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R72" s="350">
        <f>IF(AG72&lt;&gt;"",AG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N$6:$AN$532,"已导入实际")=0,$J72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S72" s="350">
        <f>IF(AH72&lt;&gt;"",AH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R$6:$AR$532,"已导入实际")=0,$J72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T72" s="350">
        <f>IF(AI72&lt;&gt;"",AI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V$6:$AV$532,"已导入实际")=0,$J72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U72" s="350">
        <f>IF(AJ72&lt;&gt;"",AJ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Z$6:$AZ$532,"已导入实际")=0,$J72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V72" s="350">
        <f>IF(AK72&lt;&gt;"",AK72,IF(COUNTIFS('参考值-平台费用率分析'!$A$6:$A$532,"自营",'参考值-平台费用率分析'!$B$6:$B$532,"天猫淘宝",'参考值-平台费用率分析'!$C$6:$C$532,"销售费用",'参考值-平台费用率分析'!$D$6:$D$532,$F72,'参考值-平台费用率分析'!$E$6:$E$532,$G72,'参考值-平台费用率分析'!$AZ$6:$AZ$532,"已导入实际")=0,$J72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72,'参考值-平台费用率分析'!$E$6:$E$532,$G72),$J72)))</f>
        <v>4.8833039781134104E-2</v>
      </c>
      <c r="W72" s="348">
        <f>(K72*'假设-目标渠道分解'!L$12+L72*'假设-目标渠道分解'!M$12+M72*'假设-目标渠道分解'!N$12+N72*'假设-目标渠道分解'!O$12+O72*'假设-目标渠道分解'!P$12+P72*'假设-目标渠道分解'!Q$12+Q72*'假设-目标渠道分解'!R$12+R72*'假设-目标渠道分解'!S$12+S72*'假设-目标渠道分解'!T$12+T72*'假设-目标渠道分解'!U$12+U72*'假设-目标渠道分解'!V$12+V72*'假设-目标渠道分解'!W$12)/'假设-目标渠道分解'!J$12</f>
        <v>4.8419698343099365E-2</v>
      </c>
      <c r="Y72" s="155">
        <v>0</v>
      </c>
      <c r="Z72" s="155"/>
      <c r="AA72" s="155"/>
      <c r="AB72" s="155"/>
      <c r="AC72" s="155"/>
      <c r="AD72" s="155"/>
      <c r="AE72" s="155"/>
      <c r="AF72" s="155"/>
      <c r="AG72" s="155"/>
      <c r="AH72" s="155"/>
      <c r="AI72" s="155"/>
      <c r="AJ72" s="155"/>
      <c r="AK72" s="155"/>
      <c r="AL72" s="338" t="s">
        <v>794</v>
      </c>
    </row>
    <row r="73" spans="4:38">
      <c r="D73" s="67" t="s">
        <v>74</v>
      </c>
      <c r="K73" s="348">
        <f t="shared" ref="K73:W73" si="10">SUM(K74:K77)</f>
        <v>3.4262502357937617E-2</v>
      </c>
      <c r="L73" s="348">
        <f t="shared" si="10"/>
        <v>4.9308047789733786E-2</v>
      </c>
      <c r="M73" s="348">
        <f t="shared" si="10"/>
        <v>2.9048899955532628E-2</v>
      </c>
      <c r="N73" s="348">
        <f t="shared" si="10"/>
        <v>3.0529748565712632E-2</v>
      </c>
      <c r="O73" s="348">
        <f t="shared" si="10"/>
        <v>2.9169389365766026E-2</v>
      </c>
      <c r="P73" s="348">
        <f t="shared" si="10"/>
        <v>3.2838462680039669E-2</v>
      </c>
      <c r="Q73" s="348">
        <f t="shared" si="10"/>
        <v>3.2838462680039669E-2</v>
      </c>
      <c r="R73" s="348">
        <f t="shared" si="10"/>
        <v>3.2838462680039669E-2</v>
      </c>
      <c r="S73" s="348">
        <f t="shared" si="10"/>
        <v>3.2838462680039669E-2</v>
      </c>
      <c r="T73" s="348">
        <f t="shared" si="10"/>
        <v>3.2838462680039669E-2</v>
      </c>
      <c r="U73" s="348">
        <f t="shared" si="10"/>
        <v>3.2838462680039669E-2</v>
      </c>
      <c r="V73" s="348">
        <f t="shared" si="10"/>
        <v>3.2838462680039669E-2</v>
      </c>
      <c r="W73" s="349">
        <f t="shared" si="10"/>
        <v>3.2990931453886381E-2</v>
      </c>
      <c r="Z73" s="155"/>
      <c r="AA73" s="155"/>
      <c r="AB73" s="155"/>
      <c r="AC73" s="155"/>
      <c r="AD73" s="155"/>
      <c r="AE73" s="155"/>
      <c r="AF73" s="155"/>
      <c r="AG73" s="155"/>
      <c r="AH73" s="155"/>
      <c r="AI73" s="155"/>
      <c r="AJ73" s="155"/>
      <c r="AK73" s="155"/>
    </row>
    <row r="74" spans="4:38">
      <c r="E74" s="67" t="s">
        <v>52</v>
      </c>
      <c r="F74" s="67" t="s">
        <v>74</v>
      </c>
      <c r="G74" s="67" t="s">
        <v>75</v>
      </c>
      <c r="J74" s="348">
        <f>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Z$6:$Z$532,"&lt;&gt;")=0,$Y74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Y74))</f>
        <v>1.8448588587735158E-2</v>
      </c>
      <c r="K74" s="348">
        <f>IF(Z74&lt;&gt;"",Z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H$6:$H$532,"&lt;&gt;")=0,$J74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1.7029245842630176E-2</v>
      </c>
      <c r="L74" s="348">
        <f>IF(AA74&lt;&gt;"",AA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K$6:$K$532,"&lt;&gt;")=0,$J74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2.2333266392475796E-2</v>
      </c>
      <c r="M74" s="348">
        <f>IF(AB74&lt;&gt;"",AB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N$6:$N$532,"&lt;&gt;")=0,$J74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1.8742945982289792E-2</v>
      </c>
      <c r="N74" s="348">
        <f>IF(AC74&lt;&gt;"",AC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Q$6:$Q$532,"&lt;&gt;")=0,$J74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1.8006899866331479E-2</v>
      </c>
      <c r="O74" s="348">
        <f>IF(AD74&lt;&gt;"",AD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T$6:$T$532,"&lt;&gt;")=0,$J74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1.7571238585796921E-2</v>
      </c>
      <c r="P74" s="348">
        <f>IF(AE74&lt;&gt;"",AE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F$6:$AF$532,"已导入实际")=0,$J74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Q74" s="348">
        <f>IF(AF74&lt;&gt;"",AF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J$6:$AJ$532,"已导入实际")=0,$J74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R74" s="348">
        <f>IF(AG74&lt;&gt;"",AG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N$6:$AN$532,"已导入实际")=0,$J74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S74" s="348">
        <f>IF(AH74&lt;&gt;"",AH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R$6:$AR$532,"已导入实际")=0,$J74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T74" s="348">
        <f>IF(AI74&lt;&gt;"",AI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V$6:$AV$532,"已导入实际")=0,$J74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U74" s="348">
        <f>IF(AJ74&lt;&gt;"",AJ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Z$6:$AZ$532,"已导入实际")=0,$J74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V74" s="348">
        <f>IF(AK74&lt;&gt;"",AK74,IF(COUNTIFS('参考值-平台费用率分析'!$A$6:$A$532,"自营",'参考值-平台费用率分析'!$B$6:$B$532,"天猫淘宝",'参考值-平台费用率分析'!$C$6:$C$532,"销售费用",'参考值-平台费用率分析'!$D$6:$D$532,$F74,'参考值-平台费用率分析'!$E$6:$E$532,$G74,'参考值-平台费用率分析'!$AZ$6:$AZ$532,"已导入实际")=0,$J74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74,'参考值-平台费用率分析'!$E$6:$E$532,$G74),$J74)))</f>
        <v>1.8448588587735158E-2</v>
      </c>
      <c r="W74" s="348">
        <f>(K74*'假设-目标渠道分解'!L$12+L74*'假设-目标渠道分解'!M$12+M74*'假设-目标渠道分解'!N$12+N74*'假设-目标渠道分解'!O$12+O74*'假设-目标渠道分解'!P$12+P74*'假设-目标渠道分解'!Q$12+Q74*'假设-目标渠道分解'!R$12+R74*'假设-目标渠道分解'!S$12+S74*'假设-目标渠道分解'!T$12+T74*'假设-目标渠道分解'!U$12+U74*'假设-目标渠道分解'!V$12+V74*'假设-目标渠道分解'!W$12)/'假设-目标渠道分解'!J$12</f>
        <v>1.8483947519677843E-2</v>
      </c>
      <c r="Y74" s="155">
        <v>1.8321247638614101E-2</v>
      </c>
      <c r="Z74" s="155"/>
      <c r="AA74" s="155"/>
      <c r="AB74" s="155"/>
      <c r="AC74" s="155"/>
      <c r="AD74" s="155"/>
      <c r="AE74" s="155"/>
      <c r="AF74" s="155"/>
      <c r="AG74" s="155"/>
      <c r="AH74" s="155"/>
      <c r="AI74" s="155"/>
      <c r="AJ74" s="155"/>
      <c r="AK74" s="155"/>
      <c r="AL74" s="338" t="s">
        <v>794</v>
      </c>
    </row>
    <row r="75" spans="4:38">
      <c r="E75" s="67" t="s">
        <v>52</v>
      </c>
      <c r="F75" s="67" t="s">
        <v>74</v>
      </c>
      <c r="G75" s="67" t="s">
        <v>76</v>
      </c>
      <c r="J75" s="348">
        <f>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Z$6:$Z$532,"&lt;&gt;")=0,$Y75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Y75))</f>
        <v>8.6004831235145119E-3</v>
      </c>
      <c r="K75" s="348">
        <f>IF(Z75&lt;&gt;"",Z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H$6:$H$532,"&lt;&gt;")=0,$J75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9.0501343120261216E-3</v>
      </c>
      <c r="L75" s="348">
        <f>IF(AA75&lt;&gt;"",AA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K$6:$K$532,"&lt;&gt;")=0,$J75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9.7291903527956525E-3</v>
      </c>
      <c r="M75" s="348">
        <f>IF(AB75&lt;&gt;"",AB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N$6:$N$532,"&lt;&gt;")=0,$J75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8.1958123300152758E-3</v>
      </c>
      <c r="N75" s="348">
        <f>IF(AC75&lt;&gt;"",AC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Q$6:$Q$532,"&lt;&gt;")=0,$J75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8.0620680229452867E-3</v>
      </c>
      <c r="O75" s="348">
        <f>IF(AD75&lt;&gt;"",AD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T$6:$T$532,"&lt;&gt;")=0,$J75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8.4965694116997392E-3</v>
      </c>
      <c r="P75" s="348">
        <f>IF(AE75&lt;&gt;"",AE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F$6:$AF$532,"已导入实际")=0,$J75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Q75" s="348">
        <f>IF(AF75&lt;&gt;"",AF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J$6:$AJ$532,"已导入实际")=0,$J75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R75" s="348">
        <f>IF(AG75&lt;&gt;"",AG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N$6:$AN$532,"已导入实际")=0,$J75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S75" s="348">
        <f>IF(AH75&lt;&gt;"",AH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R$6:$AR$532,"已导入实际")=0,$J75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T75" s="348">
        <f>IF(AI75&lt;&gt;"",AI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V$6:$AV$532,"已导入实际")=0,$J75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U75" s="348">
        <f>IF(AJ75&lt;&gt;"",AJ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Z$6:$AZ$532,"已导入实际")=0,$J75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V75" s="348">
        <f>IF(AK75&lt;&gt;"",AK75,IF(COUNTIFS('参考值-平台费用率分析'!$A$6:$A$532,"自营",'参考值-平台费用率分析'!$B$6:$B$532,"天猫淘宝",'参考值-平台费用率分析'!$C$6:$C$532,"销售费用",'参考值-平台费用率分析'!$D$6:$D$532,$F75,'参考值-平台费用率分析'!$E$6:$E$532,$G75,'参考值-平台费用率分析'!$AZ$6:$AZ$532,"已导入实际")=0,$J75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75,'参考值-平台费用率分析'!$E$6:$E$532,$G75),$J75)))</f>
        <v>8.6004831235145119E-3</v>
      </c>
      <c r="W75" s="348">
        <f>(K75*'假设-目标渠道分解'!L$12+L75*'假设-目标渠道分解'!M$12+M75*'假设-目标渠道分解'!N$12+N75*'假设-目标渠道分解'!O$12+O75*'假设-目标渠道分解'!P$12+P75*'假设-目标渠道分解'!Q$12+Q75*'假设-目标渠道分解'!R$12+R75*'假设-目标渠道分解'!S$12+S75*'假设-目标渠道分解'!T$12+T75*'假设-目标渠道分解'!U$12+U75*'假设-目标渠道分解'!V$12+V75*'假设-目标渠道分解'!W$12)/'假设-目标渠道分解'!J$12</f>
        <v>8.5992386993340043E-3</v>
      </c>
      <c r="Y75" s="155">
        <v>8.5550779951358309E-3</v>
      </c>
      <c r="Z75" s="155"/>
      <c r="AA75" s="155"/>
      <c r="AB75" s="155"/>
      <c r="AC75" s="155"/>
      <c r="AD75" s="155"/>
      <c r="AE75" s="155"/>
      <c r="AF75" s="155"/>
      <c r="AG75" s="155"/>
      <c r="AH75" s="155"/>
      <c r="AI75" s="155"/>
      <c r="AJ75" s="155"/>
      <c r="AK75" s="155"/>
      <c r="AL75" s="338" t="s">
        <v>794</v>
      </c>
    </row>
    <row r="76" spans="4:38">
      <c r="E76" s="67" t="s">
        <v>52</v>
      </c>
      <c r="F76" s="67" t="s">
        <v>74</v>
      </c>
      <c r="G76" s="67" t="s">
        <v>77</v>
      </c>
      <c r="J76" s="348">
        <f>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Z$6:$Z$532,"&lt;&gt;")=0,$Y76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Y76))</f>
        <v>0</v>
      </c>
      <c r="K76" s="348">
        <f>IF(Z76&lt;&gt;"",Z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H$6:$H$532,"&lt;&gt;")=0,$J76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L76" s="348">
        <f>IF(AA76&lt;&gt;"",AA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K$6:$K$532,"&lt;&gt;")=0,$J76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M76" s="348">
        <f>IF(AB76&lt;&gt;"",AB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N$6:$N$532,"&lt;&gt;")=0,$J76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N76" s="348">
        <f>IF(AC76&lt;&gt;"",AC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Q$6:$Q$532,"&lt;&gt;")=0,$J76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O76" s="348">
        <f>IF(AD76&lt;&gt;"",AD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T$6:$T$532,"&lt;&gt;")=0,$J76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P76" s="348">
        <f>IF(AE76&lt;&gt;"",AE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F$6:$AF$532,"已导入实际")=0,$J76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Q76" s="348">
        <f>IF(AF76&lt;&gt;"",AF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J$6:$AJ$532,"已导入实际")=0,$J76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R76" s="348">
        <f>IF(AG76&lt;&gt;"",AG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N$6:$AN$532,"已导入实际")=0,$J76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S76" s="348">
        <f>IF(AH76&lt;&gt;"",AH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R$6:$AR$532,"已导入实际")=0,$J76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T76" s="348">
        <f>IF(AI76&lt;&gt;"",AI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V$6:$AV$532,"已导入实际")=0,$J76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U76" s="348">
        <f>IF(AJ76&lt;&gt;"",AJ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Z$6:$AZ$532,"已导入实际")=0,$J76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V76" s="348">
        <f>IF(AK76&lt;&gt;"",AK76,IF(COUNTIFS('参考值-平台费用率分析'!$A$6:$A$532,"自营",'参考值-平台费用率分析'!$B$6:$B$532,"天猫淘宝",'参考值-平台费用率分析'!$C$6:$C$532,"销售费用",'参考值-平台费用率分析'!$D$6:$D$532,$F76,'参考值-平台费用率分析'!$E$6:$E$532,$G76,'参考值-平台费用率分析'!$AZ$6:$AZ$532,"已导入实际")=0,$J76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76,'参考值-平台费用率分析'!$E$6:$E$532,$G76),$J76)))</f>
        <v>0</v>
      </c>
      <c r="W76" s="348">
        <f>(K76*'假设-目标渠道分解'!L$12+L76*'假设-目标渠道分解'!M$12+M76*'假设-目标渠道分解'!N$12+N76*'假设-目标渠道分解'!O$12+O76*'假设-目标渠道分解'!P$12+P76*'假设-目标渠道分解'!Q$12+Q76*'假设-目标渠道分解'!R$12+R76*'假设-目标渠道分解'!S$12+S76*'假设-目标渠道分解'!T$12+T76*'假设-目标渠道分解'!U$12+U76*'假设-目标渠道分解'!V$12+V76*'假设-目标渠道分解'!W$12)/'假设-目标渠道分解'!J$12</f>
        <v>0</v>
      </c>
      <c r="Y76" s="155">
        <v>0</v>
      </c>
      <c r="Z76" s="155"/>
      <c r="AA76" s="155"/>
      <c r="AB76" s="155"/>
      <c r="AC76" s="155"/>
      <c r="AD76" s="155"/>
      <c r="AE76" s="155"/>
      <c r="AF76" s="155"/>
      <c r="AG76" s="155"/>
      <c r="AH76" s="155"/>
      <c r="AI76" s="155"/>
      <c r="AJ76" s="155"/>
      <c r="AK76" s="155"/>
      <c r="AL76" s="338" t="s">
        <v>794</v>
      </c>
    </row>
    <row r="77" spans="4:38">
      <c r="E77" s="67" t="s">
        <v>52</v>
      </c>
      <c r="F77" s="67" t="s">
        <v>74</v>
      </c>
      <c r="G77" s="67" t="s">
        <v>78</v>
      </c>
      <c r="J77" s="348">
        <f>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Z$6:$Z$532,"&lt;&gt;")=0,$Y77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Y77))</f>
        <v>5.7893909687900006E-3</v>
      </c>
      <c r="K77" s="348">
        <f>IF(Z77&lt;&gt;"",Z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H$6:$H$532,"&lt;&gt;")=0,$J77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8.1831222032813199E-3</v>
      </c>
      <c r="L77" s="348">
        <f>IF(AA77&lt;&gt;"",AA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K$6:$K$532,"&lt;&gt;")=0,$J77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1.7245591044462345E-2</v>
      </c>
      <c r="M77" s="348">
        <f>IF(AB77&lt;&gt;"",AB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N$6:$N$532,"&lt;&gt;")=0,$J77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2.1101416432275613E-3</v>
      </c>
      <c r="N77" s="348">
        <f>IF(AC77&lt;&gt;"",AC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Q$6:$Q$532,"&lt;&gt;")=0,$J77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4.4607806764358666E-3</v>
      </c>
      <c r="O77" s="348">
        <f>IF(AD77&lt;&gt;"",AD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T$6:$T$532,"&lt;&gt;")=0,$J77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3.1015813682693668E-3</v>
      </c>
      <c r="P77" s="348">
        <f>IF(AE77&lt;&gt;"",AE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F$6:$AF$532,"已导入实际")=0,$J77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Q77" s="348">
        <f>IF(AF77&lt;&gt;"",AF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J$6:$AJ$532,"已导入实际")=0,$J77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R77" s="348">
        <f>IF(AG77&lt;&gt;"",AG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N$6:$AN$532,"已导入实际")=0,$J77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S77" s="348">
        <f>IF(AH77&lt;&gt;"",AH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R$6:$AR$532,"已导入实际")=0,$J77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T77" s="348">
        <f>IF(AI77&lt;&gt;"",AI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V$6:$AV$532,"已导入实际")=0,$J77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U77" s="348">
        <f>IF(AJ77&lt;&gt;"",AJ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Z$6:$AZ$532,"已导入实际")=0,$J77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V77" s="348">
        <f>IF(AK77&lt;&gt;"",AK77,IF(COUNTIFS('参考值-平台费用率分析'!$A$6:$A$532,"自营",'参考值-平台费用率分析'!$B$6:$B$532,"天猫淘宝",'参考值-平台费用率分析'!$C$6:$C$532,"销售费用",'参考值-平台费用率分析'!$D$6:$D$532,$F77,'参考值-平台费用率分析'!$E$6:$E$532,$G77,'参考值-平台费用率分析'!$AZ$6:$AZ$532,"已导入实际")=0,$J77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77,'参考值-平台费用率分析'!$E$6:$E$532,$G77),$J77)))</f>
        <v>5.7893909687900006E-3</v>
      </c>
      <c r="W77" s="348">
        <f>(K77*'假设-目标渠道分解'!L$12+L77*'假设-目标渠道分解'!M$12+M77*'假设-目标渠道分解'!N$12+N77*'假设-目标渠道分解'!O$12+O77*'假设-目标渠道分解'!P$12+P77*'假设-目标渠道分解'!Q$12+Q77*'假设-目标渠道分解'!R$12+R77*'假设-目标渠道分解'!S$12+S77*'假设-目标渠道分解'!T$12+T77*'假设-目标渠道分解'!U$12+U77*'假设-目标渠道分解'!V$12+V77*'假设-目标渠道分解'!W$12)/'假设-目标渠道分解'!J$12</f>
        <v>5.9077452348745346E-3</v>
      </c>
      <c r="Y77" s="155">
        <v>0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338" t="s">
        <v>794</v>
      </c>
    </row>
    <row r="78" spans="4:38">
      <c r="D78" s="67" t="s">
        <v>79</v>
      </c>
      <c r="J78" s="348">
        <f t="shared" ref="J78:W78" si="11">SUM(J79:J82)</f>
        <v>4.718196271282997E-2</v>
      </c>
      <c r="K78" s="348">
        <f t="shared" si="11"/>
        <v>4.8353498118335989E-2</v>
      </c>
      <c r="L78" s="348">
        <f t="shared" si="11"/>
        <v>7.8436308076382188E-2</v>
      </c>
      <c r="M78" s="348">
        <f t="shared" si="11"/>
        <v>4.6329423067141398E-2</v>
      </c>
      <c r="N78" s="348">
        <f t="shared" si="11"/>
        <v>4.2547488016222136E-2</v>
      </c>
      <c r="O78" s="348">
        <f t="shared" si="11"/>
        <v>3.6793486131673214E-2</v>
      </c>
      <c r="P78" s="348">
        <f t="shared" si="11"/>
        <v>5.1648142049241022E-2</v>
      </c>
      <c r="Q78" s="348">
        <f t="shared" si="11"/>
        <v>5.8946437041737285E-2</v>
      </c>
      <c r="R78" s="348">
        <f t="shared" si="11"/>
        <v>4.4854250976673567E-2</v>
      </c>
      <c r="S78" s="348">
        <f t="shared" si="11"/>
        <v>3.6115941547331054E-2</v>
      </c>
      <c r="T78" s="348">
        <f t="shared" si="11"/>
        <v>3.362716806492419E-2</v>
      </c>
      <c r="U78" s="348">
        <f t="shared" si="11"/>
        <v>2.8227189979174609E-2</v>
      </c>
      <c r="V78" s="348">
        <f t="shared" si="11"/>
        <v>3.2598308138274433E-2</v>
      </c>
      <c r="W78" s="348">
        <f t="shared" si="11"/>
        <v>4.0994435442744205E-2</v>
      </c>
      <c r="Z78" s="155"/>
      <c r="AA78" s="155"/>
      <c r="AB78" s="155"/>
      <c r="AC78" s="155"/>
      <c r="AD78" s="155"/>
      <c r="AE78" s="155"/>
      <c r="AF78" s="155"/>
      <c r="AG78" s="155"/>
      <c r="AH78" s="155"/>
      <c r="AI78" s="155"/>
      <c r="AJ78" s="155"/>
      <c r="AK78" s="155"/>
    </row>
    <row r="79" spans="4:38">
      <c r="E79" s="67" t="s">
        <v>52</v>
      </c>
      <c r="F79" s="67" t="s">
        <v>79</v>
      </c>
      <c r="G79" s="67" t="s">
        <v>80</v>
      </c>
      <c r="J79" s="348">
        <f>IFERROR(SUM('测算-天猫淘宝'!I$41:N$41)/SUM('测算-天猫淘宝'!I$8:N$8),0)</f>
        <v>4.4088702148479368E-2</v>
      </c>
      <c r="K79" s="348">
        <f>IFERROR('测算-天猫淘宝'!I$41/'测算-天猫淘宝'!I$8,0)</f>
        <v>4.3313236970119448E-2</v>
      </c>
      <c r="L79" s="348">
        <f>IFERROR('测算-天猫淘宝'!J$41/'测算-天猫淘宝'!J$8,0)</f>
        <v>7.8436308076382188E-2</v>
      </c>
      <c r="M79" s="348">
        <f>IFERROR('测算-天猫淘宝'!K$41/'测算-天猫淘宝'!K$8,0)</f>
        <v>3.9169922417934926E-2</v>
      </c>
      <c r="N79" s="348">
        <f>IFERROR('测算-天猫淘宝'!L$41/'测算-天猫淘宝'!L$8,0)</f>
        <v>3.6518197191153998E-2</v>
      </c>
      <c r="O79" s="348">
        <f>IFERROR('测算-天猫淘宝'!M$41/'测算-天猫淘宝'!M$8,0)</f>
        <v>3.6684740695282769E-2</v>
      </c>
      <c r="P79" s="348">
        <f>IFERROR('测算-天猫淘宝'!N$41/'测算-天猫淘宝'!N$8,0)</f>
        <v>5.1426376722019024E-2</v>
      </c>
      <c r="Q79" s="348">
        <f>IFERROR('测算-天猫淘宝'!O$41/'测算-天猫淘宝'!O$8,0)</f>
        <v>5.5853176477386683E-2</v>
      </c>
      <c r="R79" s="348">
        <f>IFERROR('测算-天猫淘宝'!P$41/'测算-天猫淘宝'!P$8,0)</f>
        <v>4.1760990412322965E-2</v>
      </c>
      <c r="S79" s="348">
        <f>IFERROR('测算-天猫淘宝'!Q$41/'测算-天猫淘宝'!Q$8,0)</f>
        <v>3.3022680982980453E-2</v>
      </c>
      <c r="T79" s="348">
        <f>IFERROR('测算-天猫淘宝'!R$41/'测算-天猫淘宝'!R$8,0)</f>
        <v>3.0533907500573592E-2</v>
      </c>
      <c r="U79" s="348">
        <f>IFERROR('测算-天猫淘宝'!S$41/'测算-天猫淘宝'!S$8,0)</f>
        <v>2.5133929414824008E-2</v>
      </c>
      <c r="V79" s="348">
        <f>IFERROR('测算-天猫淘宝'!T$41/'测算-天猫淘宝'!T$8,0)</f>
        <v>2.9505047573923835E-2</v>
      </c>
      <c r="W79" s="348">
        <f>IFERROR(SUM('测算-天猫淘宝'!I$41:T$41)/SUM('测算-天猫淘宝'!I$8:T$8),0)</f>
        <v>3.7901174878393604E-2</v>
      </c>
      <c r="Y79" s="155">
        <v>4.9629975269559902E-2</v>
      </c>
      <c r="Z79" s="155"/>
      <c r="AA79" s="155"/>
      <c r="AB79" s="155"/>
      <c r="AC79" s="155"/>
      <c r="AD79" s="155"/>
      <c r="AE79" s="155"/>
      <c r="AF79" s="155"/>
      <c r="AG79" s="155"/>
      <c r="AH79" s="155"/>
      <c r="AI79" s="155"/>
      <c r="AJ79" s="155"/>
      <c r="AK79" s="155"/>
      <c r="AL79" s="338" t="s">
        <v>360</v>
      </c>
    </row>
    <row r="80" spans="4:38">
      <c r="E80" s="67" t="s">
        <v>52</v>
      </c>
      <c r="F80" s="67" t="s">
        <v>79</v>
      </c>
      <c r="G80" s="67" t="s">
        <v>147</v>
      </c>
      <c r="J80" s="348">
        <f>AVERAGE(K80:P80)</f>
        <v>3.0932605643505997E-3</v>
      </c>
      <c r="K80" s="348">
        <f>IFERROR(INDEX('假设-人工成本固定额'!$B$6:$CS$16,MATCH("天猫淘宝",'假设-人工成本固定额'!$A$6:$A$16,0),4),0)</f>
        <v>5.0402611482165396E-3</v>
      </c>
      <c r="L80" s="348">
        <f>IFERROR(INDEX('假设-人工成本固定额'!$B$6:$CS$16,MATCH("天猫淘宝",'假设-人工成本固定额'!$A$6:$A$16,0),12),0)</f>
        <v>0</v>
      </c>
      <c r="M80" s="348">
        <f>IFERROR(INDEX('假设-人工成本固定额'!$B$6:$CS$16,MATCH("天猫淘宝",'假设-人工成本固定额'!$A$6:$A$16,0),20),0)</f>
        <v>7.1595006492064699E-3</v>
      </c>
      <c r="N80" s="348">
        <f>IFERROR(INDEX('假设-人工成本固定额'!$B$6:$CS$16,MATCH("天猫淘宝",'假设-人工成本固定额'!$A$6:$A$16,0),28),0)</f>
        <v>6.0292908250681402E-3</v>
      </c>
      <c r="O80" s="348">
        <f>IFERROR(INDEX('假设-人工成本固定额'!$B$6:$CS$16,MATCH("天猫淘宝",'假设-人工成本固定额'!$A$6:$A$16,0),36),0)</f>
        <v>1.08745436390447E-4</v>
      </c>
      <c r="P80" s="348">
        <f>IFERROR(INDEX('假设-人工成本固定额'!$B$6:$CS$16,MATCH("天猫淘宝",'假设-人工成本固定额'!$A$6:$A$16,0),44),0)</f>
        <v>2.21765327221999E-4</v>
      </c>
      <c r="Q80" s="348">
        <f>IFERROR(IF(INDEX('假设-人工成本固定额'!$B$6:$CS$16,MATCH("天猫淘宝",'假设-人工成本固定额'!$A$6:$A$16,0),52)="",AVERAGE($K80:$P80),INDEX('假设-人工成本固定额'!$B$6:$CS$16,MATCH("天猫淘宝",'假设-人工成本固定额'!$A$6:$A$16,0),52)),AVERAGE($K80:$P80))</f>
        <v>3.0932605643505997E-3</v>
      </c>
      <c r="R80" s="348">
        <f>IFERROR(IF(INDEX('假设-人工成本固定额'!$B$6:$CS$16,MATCH("天猫淘宝",'假设-人工成本固定额'!$A$6:$A$16,0),60)="",AVERAGE($K80:$P80),INDEX('假设-人工成本固定额'!$B$6:$CS$16,MATCH("天猫淘宝",'假设-人工成本固定额'!$A$6:$A$16,0),60)),AVERAGE($K80:$P80))</f>
        <v>3.0932605643505997E-3</v>
      </c>
      <c r="S80" s="348">
        <f>IFERROR(IF(INDEX('假设-人工成本固定额'!$B$6:$CS$16,MATCH("天猫淘宝",'假设-人工成本固定额'!$A$6:$A$16,0),68)="",AVERAGE($K80:$P80),INDEX('假设-人工成本固定额'!$B$6:$CS$16,MATCH("天猫淘宝",'假设-人工成本固定额'!$A$6:$A$16,0),68)),AVERAGE($K80:$P80))</f>
        <v>3.0932605643505997E-3</v>
      </c>
      <c r="T80" s="348">
        <f>IFERROR(IF(INDEX('假设-人工成本固定额'!$B$6:$CS$16,MATCH("天猫淘宝",'假设-人工成本固定额'!$A$6:$A$16,0),76)="",AVERAGE($K80:$P80),INDEX('假设-人工成本固定额'!$B$6:$CS$16,MATCH("天猫淘宝",'假设-人工成本固定额'!$A$6:$A$16,0),76)),AVERAGE($K80:$P80))</f>
        <v>3.0932605643505997E-3</v>
      </c>
      <c r="U80" s="348">
        <f>IFERROR(IF(INDEX('假设-人工成本固定额'!$B$6:$CS$16,MATCH("天猫淘宝",'假设-人工成本固定额'!$A$6:$A$16,0),84)="",AVERAGE($K80:$P80),INDEX('假设-人工成本固定额'!$B$6:$CS$16,MATCH("天猫淘宝",'假设-人工成本固定额'!$A$6:$A$16,0),84)),AVERAGE($K80:$P80))</f>
        <v>3.0932605643505997E-3</v>
      </c>
      <c r="V80" s="348">
        <f>IFERROR(IF(INDEX('假设-人工成本固定额'!$B$6:$CS$16,MATCH("天猫淘宝",'假设-人工成本固定额'!$A$6:$A$16,0),92)="",AVERAGE($K80:$P80),INDEX('假设-人工成本固定额'!$B$6:$CS$16,MATCH("天猫淘宝",'假设-人工成本固定额'!$A$6:$A$16,0),92)),AVERAGE($K80:$P80))</f>
        <v>3.0932605643505997E-3</v>
      </c>
      <c r="W80" s="348">
        <f>AVERAGE(K80:V80)</f>
        <v>3.0932605643506001E-3</v>
      </c>
      <c r="Y80" s="155">
        <v>4.1217576112214096E-3</v>
      </c>
      <c r="Z80" s="155"/>
      <c r="AA80" s="155"/>
      <c r="AB80" s="155"/>
      <c r="AC80" s="155"/>
      <c r="AD80" s="155"/>
      <c r="AE80" s="155"/>
      <c r="AF80" s="155"/>
      <c r="AG80" s="155"/>
      <c r="AH80" s="155"/>
      <c r="AI80" s="155"/>
      <c r="AJ80" s="155"/>
      <c r="AK80" s="155"/>
      <c r="AL80" s="338" t="s">
        <v>360</v>
      </c>
    </row>
    <row r="81" spans="1:38">
      <c r="A81" s="338"/>
      <c r="B81" s="338"/>
      <c r="C81" s="338"/>
      <c r="E81" s="67" t="s">
        <v>52</v>
      </c>
      <c r="F81" s="67" t="s">
        <v>79</v>
      </c>
      <c r="G81" s="67" t="s">
        <v>148</v>
      </c>
      <c r="I81" s="338"/>
      <c r="J81" s="348">
        <f>AVERAGE(K81:P81)</f>
        <v>0</v>
      </c>
      <c r="K81" s="348">
        <f>IFERROR(INDEX('假设-人工成本固定额'!$B$6:$CS$16,MATCH("天猫淘宝",'假设-人工成本固定额'!$A$6:$A$16,0),7),0)</f>
        <v>0</v>
      </c>
      <c r="L81" s="348">
        <f>IFERROR(INDEX('假设-人工成本固定额'!$B$6:$CS$16,MATCH("天猫淘宝",'假设-人工成本固定额'!$A$6:$A$16,0),15),0)</f>
        <v>0</v>
      </c>
      <c r="M81" s="348">
        <f>IFERROR(INDEX('假设-人工成本固定额'!$B$6:$CS$16,MATCH("天猫淘宝",'假设-人工成本固定额'!$A$6:$A$16,0),23),0)</f>
        <v>0</v>
      </c>
      <c r="N81" s="348">
        <f>IFERROR(INDEX('假设-人工成本固定额'!$B$6:$CS$16,MATCH("天猫淘宝",'假设-人工成本固定额'!$A$6:$A$16,0),31),0)</f>
        <v>0</v>
      </c>
      <c r="O81" s="348">
        <f>IFERROR(INDEX('假设-人工成本固定额'!$B$6:$CS$16,MATCH("天猫淘宝",'假设-人工成本固定额'!$A$6:$A$16,0),39),0)</f>
        <v>0</v>
      </c>
      <c r="P81" s="348">
        <f>IFERROR(INDEX('假设-人工成本固定额'!$B$6:$CS$16,MATCH("天猫淘宝",'假设-人工成本固定额'!$A$6:$A$16,0),47),0)</f>
        <v>0</v>
      </c>
      <c r="Q81" s="348">
        <f>IFERROR(IF(INDEX('假设-人工成本固定额'!$B$6:$CS$16,MATCH("天猫淘宝",'假设-人工成本固定额'!$A$6:$A$16,0),55)="",AVERAGE($K81:$P81),INDEX('假设-人工成本固定额'!$B$6:$CS$16,MATCH("天猫淘宝",'假设-人工成本固定额'!$A$6:$A$16,0),55)),AVERAGE($K81:$P81))</f>
        <v>0</v>
      </c>
      <c r="R81" s="348">
        <f>IFERROR(IF(INDEX('假设-人工成本固定额'!$B$6:$CS$16,MATCH("天猫淘宝",'假设-人工成本固定额'!$A$6:$A$16,0),63)="",AVERAGE($K81:$P81),INDEX('假设-人工成本固定额'!$B$6:$CS$16,MATCH("天猫淘宝",'假设-人工成本固定额'!$A$6:$A$16,0),63)),AVERAGE($K81:$P81))</f>
        <v>0</v>
      </c>
      <c r="S81" s="348">
        <f>IFERROR(IF(INDEX('假设-人工成本固定额'!$B$6:$CS$16,MATCH("天猫淘宝",'假设-人工成本固定额'!$A$6:$A$16,0),71)="",AVERAGE($K81:$P81),INDEX('假设-人工成本固定额'!$B$6:$CS$16,MATCH("天猫淘宝",'假设-人工成本固定额'!$A$6:$A$16,0),71)),AVERAGE($K81:$P81))</f>
        <v>0</v>
      </c>
      <c r="T81" s="348">
        <f>IFERROR(IF(INDEX('假设-人工成本固定额'!$B$6:$CS$16,MATCH("天猫淘宝",'假设-人工成本固定额'!$A$6:$A$16,0),79)="",AVERAGE($K81:$P81),INDEX('假设-人工成本固定额'!$B$6:$CS$16,MATCH("天猫淘宝",'假设-人工成本固定额'!$A$6:$A$16,0),79)),AVERAGE($K81:$P81))</f>
        <v>0</v>
      </c>
      <c r="U81" s="348">
        <f>IFERROR(IF(INDEX('假设-人工成本固定额'!$B$6:$CS$16,MATCH("天猫淘宝",'假设-人工成本固定额'!$A$6:$A$16,0),87)="",AVERAGE($K81:$P81),INDEX('假设-人工成本固定额'!$B$6:$CS$16,MATCH("天猫淘宝",'假设-人工成本固定额'!$A$6:$A$16,0),87)),AVERAGE($K81:$P81))</f>
        <v>0</v>
      </c>
      <c r="V81" s="348">
        <f>IFERROR(IF(INDEX('假设-人工成本固定额'!$B$6:$CS$16,MATCH("天猫淘宝",'假设-人工成本固定额'!$A$6:$A$16,0),95)="",AVERAGE($K81:$P81),INDEX('假设-人工成本固定额'!$B$6:$CS$16,MATCH("天猫淘宝",'假设-人工成本固定额'!$A$6:$A$16,0),95)),AVERAGE($K81:$P81))</f>
        <v>0</v>
      </c>
      <c r="W81" s="348">
        <f>AVERAGE(K81:V81)</f>
        <v>0</v>
      </c>
      <c r="X81" s="338"/>
      <c r="Y81" s="155"/>
      <c r="Z81" s="155"/>
      <c r="AA81" s="155"/>
      <c r="AB81" s="155"/>
      <c r="AC81" s="155"/>
      <c r="AD81" s="155"/>
      <c r="AE81" s="155"/>
      <c r="AF81" s="155"/>
      <c r="AG81" s="155"/>
      <c r="AH81" s="155"/>
      <c r="AI81" s="155"/>
      <c r="AJ81" s="155"/>
      <c r="AK81" s="155"/>
    </row>
    <row r="82" spans="1:38">
      <c r="E82" s="67" t="s">
        <v>52</v>
      </c>
      <c r="F82" s="67" t="s">
        <v>79</v>
      </c>
      <c r="G82" s="67" t="s">
        <v>82</v>
      </c>
      <c r="J82" s="348">
        <f>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Z$6:$Z$532,"&lt;&gt;")=0,$Y82,IFERROR(SUMIFS('参考值-平台费用率分析'!$Z$6:$Z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A$6:$AA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Y82))</f>
        <v>0</v>
      </c>
      <c r="K82" s="348">
        <f>IF(Z82&lt;&gt;"",Z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H$6:$H$532,"&lt;&gt;")=0,$J82,IFERROR(SUMIFS('参考值-平台费用率分析'!$H$6:$H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I$6:$I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L82" s="348">
        <f>IF(AA82&lt;&gt;"",AA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K$6:$K$532,"&lt;&gt;")=0,$J82,IFERROR(SUMIFS('参考值-平台费用率分析'!$K$6:$K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L$6:$L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M82" s="348">
        <f>IF(AB82&lt;&gt;"",AB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N$6:$N$532,"&lt;&gt;")=0,$J82,IFERROR(SUMIFS('参考值-平台费用率分析'!$N$6:$N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O$6:$O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N82" s="348">
        <f>IF(AC82&lt;&gt;"",AC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Q$6:$Q$532,"&lt;&gt;")=0,$J82,IFERROR(SUMIFS('参考值-平台费用率分析'!$Q$6:$Q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R$6:$R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O82" s="348">
        <f>IF(AD82&lt;&gt;"",AD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T$6:$T$532,"&lt;&gt;")=0,$J82,IFERROR(SUMIFS('参考值-平台费用率分析'!$T$6:$T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U$6:$U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P82" s="348">
        <f>IF(AE82&lt;&gt;"",AE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F$6:$AF$532,"已导入实际")=0,$J82,IFERROR(SUMIFS('参考值-平台费用率分析'!$AC$6:$AC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D$6:$AD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Q82" s="348">
        <f>IF(AF82&lt;&gt;"",AF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J$6:$AJ$532,"已导入实际")=0,$J82,IFERROR(SUMIFS('参考值-平台费用率分析'!$AG$6:$AG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H$6:$AH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R82" s="348">
        <f>IF(AG82&lt;&gt;"",AG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N$6:$AN$532,"已导入实际")=0,$J82,IFERROR(SUMIFS('参考值-平台费用率分析'!$AK$6:$AK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L$6:$AL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S82" s="348">
        <f>IF(AH82&lt;&gt;"",AH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R$6:$AR$532,"已导入实际")=0,$J82,IFERROR(SUMIFS('参考值-平台费用率分析'!$AO$6:$AO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P$6:$AP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T82" s="348">
        <f>IF(AI82&lt;&gt;"",AI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V$6:$AV$532,"已导入实际")=0,$J82,IFERROR(SUMIFS('参考值-平台费用率分析'!$AS$6:$AS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T$6:$AT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U82" s="348">
        <f>IF(AJ82&lt;&gt;"",AJ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Z$6:$AZ$532,"已导入实际")=0,$J82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V82" s="348">
        <f>IF(AK82&lt;&gt;"",AK82,IF(COUNTIFS('参考值-平台费用率分析'!$A$6:$A$532,"自营",'参考值-平台费用率分析'!$B$6:$B$532,"天猫淘宝",'参考值-平台费用率分析'!$C$6:$C$532,"销售费用",'参考值-平台费用率分析'!$D$6:$D$532,$F82,'参考值-平台费用率分析'!$E$6:$E$532,$G82,'参考值-平台费用率分析'!$AZ$6:$AZ$532,"已导入实际")=0,$J82,IFERROR(SUMIFS('参考值-平台费用率分析'!$AW$6:$AW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/SUMIFS('参考值-平台费用率分析'!$AX$6:$AX$532,'参考值-平台费用率分析'!$A$6:$A$532,"自营",'参考值-平台费用率分析'!$B$6:$B$532,"天猫淘宝",'参考值-平台费用率分析'!$C$6:$C$532,"销售费用",'参考值-平台费用率分析'!$D$6:$D$532,$F82,'参考值-平台费用率分析'!$E$6:$E$532,$G82),$J82)))</f>
        <v>0</v>
      </c>
      <c r="W82" s="348">
        <f>AVERAGE(K82:V82)</f>
        <v>0</v>
      </c>
      <c r="Y82" s="155">
        <v>3.2903224915208401E-3</v>
      </c>
      <c r="Z82" s="155"/>
      <c r="AA82" s="155"/>
      <c r="AB82" s="155"/>
      <c r="AC82" s="155"/>
      <c r="AD82" s="155"/>
      <c r="AE82" s="155"/>
      <c r="AF82" s="155"/>
      <c r="AG82" s="155"/>
      <c r="AH82" s="155"/>
      <c r="AI82" s="155"/>
      <c r="AJ82" s="155"/>
      <c r="AK82" s="155"/>
      <c r="AL82" s="338" t="s">
        <v>794</v>
      </c>
    </row>
    <row r="83" spans="1:38">
      <c r="K83" s="348"/>
      <c r="L83" s="348"/>
      <c r="M83" s="348"/>
      <c r="N83" s="348"/>
      <c r="O83" s="348"/>
      <c r="P83" s="348"/>
      <c r="Q83" s="348"/>
      <c r="R83" s="348"/>
      <c r="S83" s="348"/>
      <c r="T83" s="348"/>
      <c r="U83" s="348"/>
      <c r="V83" s="348"/>
      <c r="Z83" s="155"/>
      <c r="AA83" s="155"/>
      <c r="AB83" s="155"/>
      <c r="AC83" s="155"/>
      <c r="AD83" s="155"/>
      <c r="AE83" s="155"/>
      <c r="AF83" s="155"/>
      <c r="AG83" s="155"/>
      <c r="AH83" s="155"/>
      <c r="AI83" s="155"/>
      <c r="AJ83" s="155"/>
      <c r="AK83" s="155"/>
    </row>
    <row r="84" spans="1:38">
      <c r="B84" s="102" t="s">
        <v>226</v>
      </c>
      <c r="C84" s="102"/>
      <c r="K84" s="347"/>
      <c r="L84" s="347"/>
      <c r="M84" s="347"/>
      <c r="N84" s="347"/>
      <c r="O84" s="347"/>
      <c r="P84" s="347"/>
      <c r="Q84" s="347"/>
      <c r="R84" s="347"/>
      <c r="S84" s="347"/>
      <c r="T84" s="347"/>
      <c r="U84" s="347"/>
      <c r="V84" s="347"/>
      <c r="W84" s="344"/>
      <c r="Z84" s="155"/>
      <c r="AA84" s="155"/>
      <c r="AB84" s="155"/>
      <c r="AC84" s="155"/>
      <c r="AD84" s="155"/>
      <c r="AE84" s="155"/>
      <c r="AF84" s="155"/>
      <c r="AG84" s="155"/>
      <c r="AH84" s="155"/>
      <c r="AI84" s="155"/>
      <c r="AJ84" s="155"/>
      <c r="AK84" s="155"/>
    </row>
    <row r="85" spans="1:38">
      <c r="D85" s="67" t="s">
        <v>54</v>
      </c>
      <c r="J85" s="348">
        <f>SUM(J86:J89)+'假设-ROI月度滚动'!I12</f>
        <v>0.26137523976765642</v>
      </c>
      <c r="K85" s="347">
        <f>SUM(K86:K89)+'假设-ROI月度滚动'!J12</f>
        <v>0.25219109721365451</v>
      </c>
      <c r="L85" s="347">
        <f>SUM(L86:L89)+'假设-ROI月度滚动'!K12</f>
        <v>0.41558995072682653</v>
      </c>
      <c r="M85" s="347">
        <f>SUM(M86:M89)+'假设-ROI月度滚动'!L12</f>
        <v>0.26122495771902499</v>
      </c>
      <c r="N85" s="347">
        <f>SUM(N86:N89)+'假设-ROI月度滚动'!M12</f>
        <v>0.34023241955005246</v>
      </c>
      <c r="O85" s="347">
        <f>SUM(O86:O89)+'假设-ROI月度滚动'!N12</f>
        <v>0.23183988532488395</v>
      </c>
      <c r="P85" s="347">
        <f>SUM(P86:P89)+'假设-ROI月度滚动'!O12</f>
        <v>0.25316501257979235</v>
      </c>
      <c r="Q85" s="347">
        <f>SUM(Q86:Q89)+'假设-ROI月度滚动'!P12</f>
        <v>0.1129</v>
      </c>
      <c r="R85" s="347">
        <f>SUM(R86:R89)+'假设-ROI月度滚动'!Q12</f>
        <v>0.1129</v>
      </c>
      <c r="S85" s="347">
        <f>SUM(S86:S89)+'假设-ROI月度滚动'!R12</f>
        <v>0.1129</v>
      </c>
      <c r="T85" s="347">
        <f>SUM(T86:T89)+'假设-ROI月度滚动'!S12</f>
        <v>0.1129</v>
      </c>
      <c r="U85" s="347">
        <f>SUM(U86:U89)+'假设-ROI月度滚动'!T12</f>
        <v>0.1129</v>
      </c>
      <c r="V85" s="347">
        <f>SUM(V86:V89)+'假设-ROI月度滚动'!U12</f>
        <v>0.1129</v>
      </c>
      <c r="W85" s="349">
        <f>IFERROR(AVERAGE(K85:V85),0)</f>
        <v>0.20263694359285286</v>
      </c>
      <c r="Z85" s="155"/>
      <c r="AA85" s="155"/>
      <c r="AB85" s="155"/>
      <c r="AC85" s="155"/>
      <c r="AD85" s="155"/>
      <c r="AE85" s="155"/>
      <c r="AF85" s="155"/>
      <c r="AG85" s="155"/>
      <c r="AH85" s="155"/>
      <c r="AI85" s="155"/>
      <c r="AJ85" s="155"/>
      <c r="AK85" s="155"/>
    </row>
    <row r="86" spans="1:38">
      <c r="E86" s="67" t="s">
        <v>52</v>
      </c>
      <c r="F86" s="67" t="s">
        <v>54</v>
      </c>
      <c r="G86" s="67" t="s">
        <v>58</v>
      </c>
      <c r="J86" s="348">
        <f>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Z$6:$Z$532,"&lt;&gt;")=0,$Y86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A$6:$AA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Y86))</f>
        <v>0</v>
      </c>
      <c r="K86" s="348">
        <f>IF(Z86&lt;&gt;"",Z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H$6:$H$532,"&lt;&gt;")=0,$J86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I$6:$I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L86" s="348">
        <f>IF(AA86&lt;&gt;"",AA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K$6:$K$532,"&lt;&gt;")=0,$J86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L$6:$L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M86" s="348">
        <f>IF(AB86&lt;&gt;"",AB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N$6:$N$532,"&lt;&gt;")=0,$J86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O$6:$O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N86" s="348">
        <f>IF(AC86&lt;&gt;"",AC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Q$6:$Q$532,"&lt;&gt;")=0,$J86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R$6:$R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O86" s="348">
        <f>IF(AD86&lt;&gt;"",AD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T$6:$T$532,"&lt;&gt;")=0,$J86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U$6:$U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P86" s="347">
        <f>IF(AE86&lt;&gt;"",AE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F$6:$AF$532,"已导入实际")=0,$J86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D$6:$AD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Q86" s="347">
        <f>IF(AF86&lt;&gt;"",AF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J$6:$AJ$532,"已导入实际")=0,$J86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H$6:$AH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R86" s="347">
        <f>IF(AG86&lt;&gt;"",AG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N$6:$AN$532,"已导入实际")=0,$J86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L$6:$AL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S86" s="347">
        <f>IF(AH86&lt;&gt;"",AH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R$6:$AR$532,"已导入实际")=0,$J86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P$6:$AP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T86" s="347">
        <f>IF(AI86&lt;&gt;"",AI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V$6:$AV$532,"已导入实际")=0,$J86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T$6:$AT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U86" s="347">
        <f>IF(AJ86&lt;&gt;"",AJ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Z$6:$AZ$532,"已导入实际")=0,$J86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X$6:$AX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V86" s="347">
        <f>IF(AK86&lt;&gt;"",AK86,IF(COUNTIFS('参考值-平台费用率分析'!$A$6:$A$532,"自营",'参考值-平台费用率分析'!$B$6:$B$532,"达播",'参考值-平台费用率分析'!$C$6:$C$532,"销售费用",'参考值-平台费用率分析'!$D$6:$D$532,$F86,'参考值-平台费用率分析'!$E$6:$E$532,$G86,'参考值-平台费用率分析'!$AZ$6:$AZ$532,"已导入实际")=0,$J86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86,'参考值-平台费用率分析'!$E$6:$E$532,$G86)/SUMIFS('参考值-平台费用率分析'!$AX$6:$AX$532,'参考值-平台费用率分析'!$A$6:$A$532,"自营",'参考值-平台费用率分析'!$B$6:$B$532,"达播",'参考值-平台费用率分析'!$C$6:$C$532,"销售费用",'参考值-平台费用率分析'!$D$6:$D$532,$F86,'参考值-平台费用率分析'!$E$6:$E$532,$G86),$J86)))</f>
        <v>0</v>
      </c>
      <c r="W86" s="348">
        <f>(K86*'假设-目标渠道分解'!L$7+L86*'假设-目标渠道分解'!M$7+M86*'假设-目标渠道分解'!N$7+N86*'假设-目标渠道分解'!O$7+O86*'假设-目标渠道分解'!P$7+P86*'假设-目标渠道分解'!Q$7+Q86*'假设-目标渠道分解'!R$7+R86*'假设-目标渠道分解'!S$7+S86*'假设-目标渠道分解'!T$7+T86*'假设-目标渠道分解'!U$7+U86*'假设-目标渠道分解'!V$7+V86*'假设-目标渠道分解'!W$7)/'假设-目标渠道分解'!J$7</f>
        <v>0</v>
      </c>
      <c r="Y86" s="155">
        <v>0</v>
      </c>
      <c r="Z86" s="155"/>
      <c r="AA86" s="155"/>
      <c r="AB86" s="155"/>
      <c r="AC86" s="155"/>
      <c r="AD86" s="155"/>
      <c r="AE86" s="155"/>
      <c r="AF86" s="155"/>
      <c r="AG86" s="155"/>
      <c r="AH86" s="155"/>
      <c r="AI86" s="155"/>
      <c r="AJ86" s="155"/>
      <c r="AK86" s="155"/>
      <c r="AL86" s="338" t="s">
        <v>794</v>
      </c>
    </row>
    <row r="87" spans="1:38">
      <c r="E87" s="67" t="s">
        <v>52</v>
      </c>
      <c r="F87" s="67" t="s">
        <v>54</v>
      </c>
      <c r="G87" s="67" t="s">
        <v>59</v>
      </c>
      <c r="J87" s="348">
        <f>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Z$6:$Z$532,"&lt;&gt;")=0,$Y87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A$6:$AA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Y87))</f>
        <v>0</v>
      </c>
      <c r="K87" s="348">
        <f>IF(Z87&lt;&gt;"",Z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H$6:$H$532,"&lt;&gt;")=0,$J87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I$6:$I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L87" s="348">
        <f>IF(AA87&lt;&gt;"",AA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K$6:$K$532,"&lt;&gt;")=0,$J87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L$6:$L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M87" s="348">
        <f>IF(AB87&lt;&gt;"",AB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N$6:$N$532,"&lt;&gt;")=0,$J87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O$6:$O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N87" s="348">
        <f>IF(AC87&lt;&gt;"",AC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Q$6:$Q$532,"&lt;&gt;")=0,$J87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R$6:$R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O87" s="348">
        <f>IF(AD87&lt;&gt;"",AD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T$6:$T$532,"&lt;&gt;")=0,$J87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U$6:$U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P87" s="347">
        <f>IF(AE87&lt;&gt;"",AE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F$6:$AF$532,"已导入实际")=0,$J87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D$6:$AD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Q87" s="347">
        <f>IF(AF87&lt;&gt;"",AF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J$6:$AJ$532,"已导入实际")=0,$J87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H$6:$AH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R87" s="347">
        <f>IF(AG87&lt;&gt;"",AG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N$6:$AN$532,"已导入实际")=0,$J87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L$6:$AL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S87" s="347">
        <f>IF(AH87&lt;&gt;"",AH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R$6:$AR$532,"已导入实际")=0,$J87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P$6:$AP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T87" s="347">
        <f>IF(AI87&lt;&gt;"",AI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V$6:$AV$532,"已导入实际")=0,$J87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T$6:$AT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U87" s="347">
        <f>IF(AJ87&lt;&gt;"",AJ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Z$6:$AZ$532,"已导入实际")=0,$J87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X$6:$AX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V87" s="347">
        <f>IF(AK87&lt;&gt;"",AK87,IF(COUNTIFS('参考值-平台费用率分析'!$A$6:$A$532,"自营",'参考值-平台费用率分析'!$B$6:$B$532,"达播",'参考值-平台费用率分析'!$C$6:$C$532,"销售费用",'参考值-平台费用率分析'!$D$6:$D$532,$F87,'参考值-平台费用率分析'!$E$6:$E$532,$G87,'参考值-平台费用率分析'!$AZ$6:$AZ$532,"已导入实际")=0,$J87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87,'参考值-平台费用率分析'!$E$6:$E$532,$G87)/SUMIFS('参考值-平台费用率分析'!$AX$6:$AX$532,'参考值-平台费用率分析'!$A$6:$A$532,"自营",'参考值-平台费用率分析'!$B$6:$B$532,"达播",'参考值-平台费用率分析'!$C$6:$C$532,"销售费用",'参考值-平台费用率分析'!$D$6:$D$532,$F87,'参考值-平台费用率分析'!$E$6:$E$532,$G87),$J87)))</f>
        <v>0</v>
      </c>
      <c r="W87" s="348">
        <f>(K87*'假设-目标渠道分解'!L$7+L87*'假设-目标渠道分解'!M$7+M87*'假设-目标渠道分解'!N$7+N87*'假设-目标渠道分解'!O$7+O87*'假设-目标渠道分解'!P$7+P87*'假设-目标渠道分解'!Q$7+Q87*'假设-目标渠道分解'!R$7+R87*'假设-目标渠道分解'!S$7+S87*'假设-目标渠道分解'!T$7+T87*'假设-目标渠道分解'!U$7+U87*'假设-目标渠道分解'!V$7+V87*'假设-目标渠道分解'!W$7)/'假设-目标渠道分解'!J$7</f>
        <v>0</v>
      </c>
      <c r="Y87" s="155">
        <v>0</v>
      </c>
      <c r="Z87" s="155"/>
      <c r="AA87" s="155"/>
      <c r="AB87" s="155"/>
      <c r="AC87" s="155"/>
      <c r="AD87" s="155"/>
      <c r="AE87" s="155"/>
      <c r="AF87" s="155"/>
      <c r="AG87" s="155"/>
      <c r="AH87" s="155"/>
      <c r="AI87" s="155"/>
      <c r="AJ87" s="155"/>
      <c r="AK87" s="155"/>
      <c r="AL87" s="338" t="s">
        <v>794</v>
      </c>
    </row>
    <row r="88" spans="1:38">
      <c r="E88" s="67" t="s">
        <v>52</v>
      </c>
      <c r="F88" s="67" t="s">
        <v>54</v>
      </c>
      <c r="G88" s="67" t="s">
        <v>60</v>
      </c>
      <c r="J88" s="348">
        <f>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Z$6:$Z$532,"&lt;&gt;")=0,$Y88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A$6:$AA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Y88))</f>
        <v>0</v>
      </c>
      <c r="K88" s="348">
        <f>IF(Z88&lt;&gt;"",Z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H$6:$H$532,"&lt;&gt;")=0,$J88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I$6:$I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L88" s="348">
        <f>IF(AA88&lt;&gt;"",AA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K$6:$K$532,"&lt;&gt;")=0,$J88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L$6:$L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M88" s="348">
        <f>IF(AB88&lt;&gt;"",AB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N$6:$N$532,"&lt;&gt;")=0,$J88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O$6:$O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N88" s="348">
        <f>IF(AC88&lt;&gt;"",AC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Q$6:$Q$532,"&lt;&gt;")=0,$J88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R$6:$R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O88" s="348">
        <f>IF(AD88&lt;&gt;"",AD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T$6:$T$532,"&lt;&gt;")=0,$J88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U$6:$U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P88" s="347">
        <f>IF(AE88&lt;&gt;"",AE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F$6:$AF$532,"已导入实际")=0,$J88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D$6:$AD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Q88" s="347">
        <f>IF(AF88&lt;&gt;"",AF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J$6:$AJ$532,"已导入实际")=0,$J88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H$6:$AH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R88" s="347">
        <f>IF(AG88&lt;&gt;"",AG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N$6:$AN$532,"已导入实际")=0,$J88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L$6:$AL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S88" s="347">
        <f>IF(AH88&lt;&gt;"",AH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R$6:$AR$532,"已导入实际")=0,$J88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P$6:$AP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T88" s="347">
        <f>IF(AI88&lt;&gt;"",AI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V$6:$AV$532,"已导入实际")=0,$J88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T$6:$AT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U88" s="347">
        <f>IF(AJ88&lt;&gt;"",AJ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Z$6:$AZ$532,"已导入实际")=0,$J88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X$6:$AX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V88" s="347">
        <f>IF(AK88&lt;&gt;"",AK88,IF(COUNTIFS('参考值-平台费用率分析'!$A$6:$A$532,"自营",'参考值-平台费用率分析'!$B$6:$B$532,"达播",'参考值-平台费用率分析'!$C$6:$C$532,"销售费用",'参考值-平台费用率分析'!$D$6:$D$532,$F88,'参考值-平台费用率分析'!$E$6:$E$532,$G88,'参考值-平台费用率分析'!$AZ$6:$AZ$532,"已导入实际")=0,$J88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88,'参考值-平台费用率分析'!$E$6:$E$532,$G88)/SUMIFS('参考值-平台费用率分析'!$AX$6:$AX$532,'参考值-平台费用率分析'!$A$6:$A$532,"自营",'参考值-平台费用率分析'!$B$6:$B$532,"达播",'参考值-平台费用率分析'!$C$6:$C$532,"销售费用",'参考值-平台费用率分析'!$D$6:$D$532,$F88,'参考值-平台费用率分析'!$E$6:$E$532,$G88),$J88)))</f>
        <v>0</v>
      </c>
      <c r="W88" s="348">
        <f>(K88*'假设-目标渠道分解'!L$7+L88*'假设-目标渠道分解'!M$7+M88*'假设-目标渠道分解'!N$7+N88*'假设-目标渠道分解'!O$7+O88*'假设-目标渠道分解'!P$7+P88*'假设-目标渠道分解'!Q$7+Q88*'假设-目标渠道分解'!R$7+R88*'假设-目标渠道分解'!S$7+S88*'假设-目标渠道分解'!T$7+T88*'假设-目标渠道分解'!U$7+U88*'假设-目标渠道分解'!V$7+V88*'假设-目标渠道分解'!W$7)/'假设-目标渠道分解'!J$7</f>
        <v>0</v>
      </c>
      <c r="Y88" s="155">
        <v>0</v>
      </c>
      <c r="Z88" s="155"/>
      <c r="AA88" s="155"/>
      <c r="AB88" s="155"/>
      <c r="AC88" s="155"/>
      <c r="AD88" s="155"/>
      <c r="AE88" s="155"/>
      <c r="AF88" s="155"/>
      <c r="AG88" s="155"/>
      <c r="AH88" s="155"/>
      <c r="AI88" s="155"/>
      <c r="AJ88" s="155"/>
      <c r="AK88" s="155"/>
      <c r="AL88" s="338" t="s">
        <v>794</v>
      </c>
    </row>
    <row r="89" spans="1:38">
      <c r="E89" s="67" t="s">
        <v>52</v>
      </c>
      <c r="F89" s="67" t="s">
        <v>54</v>
      </c>
      <c r="G89" s="67" t="s">
        <v>61</v>
      </c>
      <c r="J89" s="348">
        <f>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Z$6:$Z$532,"&lt;&gt;")=0,$Y89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A$6:$AA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Y89))</f>
        <v>0.25286623895404237</v>
      </c>
      <c r="K89" s="348">
        <f>IF(Z89&lt;&gt;"",Z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H$6:$H$532,"&lt;&gt;")=0,$J89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I$6:$I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0.25219109721365451</v>
      </c>
      <c r="L89" s="348">
        <f>IF(AA89&lt;&gt;"",AA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K$6:$K$532,"&lt;&gt;")=0,$J89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L$6:$L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0.41558995072682653</v>
      </c>
      <c r="M89" s="348">
        <f>IF(AB89&lt;&gt;"",AB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N$6:$N$532,"&lt;&gt;")=0,$J89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O$6:$O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0.2608636243670141</v>
      </c>
      <c r="N89" s="348">
        <f>IF(AC89&lt;&gt;"",AC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Q$6:$Q$532,"&lt;&gt;")=0,$J89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R$6:$R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0.26006362409623973</v>
      </c>
      <c r="O89" s="348">
        <f>IF(AD89&lt;&gt;"",AD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T$6:$T$532,"&lt;&gt;")=0,$J89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U$6:$U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0.23177842286818481</v>
      </c>
      <c r="P89" s="348">
        <f>IF(AE89&lt;&gt;"",AE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F$6:$AF$532,"已导入实际")=0,$J89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D$6:$AD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0.25286623895404237</v>
      </c>
      <c r="Q89" s="348">
        <f>IF(AF89&lt;&gt;"",AF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J$6:$AJ$532,"已导入实际")=0,$J89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H$6:$AH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R89" s="348">
        <f>IF(AG89&lt;&gt;"",AG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N$6:$AN$532,"已导入实际")=0,$J89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L$6:$AL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S89" s="348">
        <f>IF(AH89&lt;&gt;"",AH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R$6:$AR$532,"已导入实际")=0,$J89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P$6:$AP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T89" s="348">
        <f>IF(AI89&lt;&gt;"",AI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V$6:$AV$532,"已导入实际")=0,$J89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T$6:$AT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U89" s="348">
        <f>IF(AJ89&lt;&gt;"",AJ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Z$6:$AZ$532,"已导入实际")=0,$J89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X$6:$AX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V89" s="348">
        <f>IF(AK89&lt;&gt;"",AK89,IF(COUNTIFS('参考值-平台费用率分析'!$A$6:$A$532,"自营",'参考值-平台费用率分析'!$B$6:$B$532,"达播",'参考值-平台费用率分析'!$C$6:$C$532,"销售费用",'参考值-平台费用率分析'!$D$6:$D$532,$F89,'参考值-平台费用率分析'!$E$6:$E$532,$G89,'参考值-平台费用率分析'!$AZ$6:$AZ$532,"已导入实际")=0,$J89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89,'参考值-平台费用率分析'!$E$6:$E$532,$G89)/SUMIFS('参考值-平台费用率分析'!$AX$6:$AX$532,'参考值-平台费用率分析'!$A$6:$A$532,"自营",'参考值-平台费用率分析'!$B$6:$B$532,"达播",'参考值-平台费用率分析'!$C$6:$C$532,"销售费用",'参考值-平台费用率分析'!$D$6:$D$532,$F89,'参考值-平台费用率分析'!$E$6:$E$532,$G89),$J89)))</f>
        <v>1.29E-2</v>
      </c>
      <c r="W89" s="348">
        <f>(K89*'假设-目标渠道分解'!L$7+L89*'假设-目标渠道分解'!M$7+M89*'假设-目标渠道分解'!N$7+N89*'假设-目标渠道分解'!O$7+O89*'假设-目标渠道分解'!P$7+P89*'假设-目标渠道分解'!Q$7+Q89*'假设-目标渠道分解'!R$7+R89*'假设-目标渠道分解'!S$7+S89*'假设-目标渠道分解'!T$7+T89*'假设-目标渠道分解'!U$7+U89*'假设-目标渠道分解'!V$7+V89*'假设-目标渠道分解'!W$7)/'假设-目标渠道分解'!J$7</f>
        <v>0.15994063963195829</v>
      </c>
      <c r="Y89" s="155">
        <v>0.25647958765638001</v>
      </c>
      <c r="Z89" s="155"/>
      <c r="AA89" s="155"/>
      <c r="AB89" s="155"/>
      <c r="AC89" s="155"/>
      <c r="AD89" s="155"/>
      <c r="AE89" s="155"/>
      <c r="AF89" s="155">
        <v>1.29E-2</v>
      </c>
      <c r="AG89" s="155">
        <v>1.29E-2</v>
      </c>
      <c r="AH89" s="155">
        <v>1.29E-2</v>
      </c>
      <c r="AI89" s="155">
        <v>1.29E-2</v>
      </c>
      <c r="AJ89" s="155">
        <v>1.29E-2</v>
      </c>
      <c r="AK89" s="155">
        <v>1.29E-2</v>
      </c>
      <c r="AL89" s="338" t="s">
        <v>794</v>
      </c>
    </row>
    <row r="90" spans="1:38">
      <c r="D90" s="67" t="s">
        <v>65</v>
      </c>
      <c r="K90" s="348">
        <f t="shared" ref="K90:W90" si="12">SUM(K91:K94)</f>
        <v>0</v>
      </c>
      <c r="L90" s="348">
        <f t="shared" si="12"/>
        <v>0</v>
      </c>
      <c r="M90" s="348">
        <f t="shared" si="12"/>
        <v>0</v>
      </c>
      <c r="N90" s="348">
        <f t="shared" si="12"/>
        <v>0</v>
      </c>
      <c r="O90" s="348">
        <f t="shared" si="12"/>
        <v>0</v>
      </c>
      <c r="P90" s="348">
        <f t="shared" si="12"/>
        <v>0</v>
      </c>
      <c r="Q90" s="348">
        <f t="shared" si="12"/>
        <v>0.35</v>
      </c>
      <c r="R90" s="348">
        <f t="shared" si="12"/>
        <v>0.35</v>
      </c>
      <c r="S90" s="348">
        <f t="shared" si="12"/>
        <v>0.35</v>
      </c>
      <c r="T90" s="348">
        <f t="shared" si="12"/>
        <v>0.35</v>
      </c>
      <c r="U90" s="348">
        <f t="shared" si="12"/>
        <v>0.35</v>
      </c>
      <c r="V90" s="348">
        <f t="shared" si="12"/>
        <v>0.35</v>
      </c>
      <c r="W90" s="349">
        <f t="shared" si="12"/>
        <v>0.1504348517507208</v>
      </c>
      <c r="Z90" s="155"/>
      <c r="AA90" s="155"/>
      <c r="AB90" s="155"/>
      <c r="AC90" s="155"/>
      <c r="AD90" s="155"/>
      <c r="AE90" s="155"/>
      <c r="AF90" s="155"/>
      <c r="AG90" s="155"/>
      <c r="AH90" s="155"/>
      <c r="AI90" s="155"/>
      <c r="AJ90" s="155"/>
      <c r="AK90" s="155"/>
    </row>
    <row r="91" spans="1:38">
      <c r="E91" s="67" t="s">
        <v>52</v>
      </c>
      <c r="F91" s="67" t="s">
        <v>65</v>
      </c>
      <c r="G91" s="67" t="s">
        <v>66</v>
      </c>
      <c r="J91" s="348">
        <f>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Z$6:$Z$532,"&lt;&gt;")=0,$Y91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A$6:$AA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Y91))</f>
        <v>0</v>
      </c>
      <c r="K91" s="348">
        <f>IF(Z91&lt;&gt;"",Z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H$6:$H$532,"&lt;&gt;")=0,$J91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I$6:$I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L91" s="348">
        <f>IF(AA91&lt;&gt;"",AA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K$6:$K$532,"&lt;&gt;")=0,$J91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L$6:$L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M91" s="348">
        <f>IF(AB91&lt;&gt;"",AB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N$6:$N$532,"&lt;&gt;")=0,$J91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O$6:$O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N91" s="348">
        <f>IF(AC91&lt;&gt;"",AC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Q$6:$Q$532,"&lt;&gt;")=0,$J91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R$6:$R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O91" s="348">
        <f>IF(AD91&lt;&gt;"",AD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T$6:$T$532,"&lt;&gt;")=0,$J91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U$6:$U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P91" s="348">
        <f>IF(AE91&lt;&gt;"",AE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F$6:$AF$532,"已导入实际")=0,$J91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D$6:$AD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</v>
      </c>
      <c r="Q91" s="348">
        <f>IF(AF91&lt;&gt;"",AF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J$6:$AJ$532,"已导入实际")=0,$J91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H$6:$AH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R91" s="348">
        <f>IF(AG91&lt;&gt;"",AG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N$6:$AN$532,"已导入实际")=0,$J91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L$6:$AL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S91" s="348">
        <f>IF(AH91&lt;&gt;"",AH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R$6:$AR$532,"已导入实际")=0,$J91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P$6:$AP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T91" s="348">
        <f>IF(AI91&lt;&gt;"",AI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V$6:$AV$532,"已导入实际")=0,$J91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T$6:$AT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U91" s="348">
        <f>IF(AJ91&lt;&gt;"",AJ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Z$6:$AZ$532,"已导入实际")=0,$J91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X$6:$AX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V91" s="348">
        <f>IF(AK91&lt;&gt;"",AK91,IF(COUNTIFS('参考值-平台费用率分析'!$A$6:$A$532,"自营",'参考值-平台费用率分析'!$B$6:$B$532,"达播",'参考值-平台费用率分析'!$C$6:$C$532,"销售费用",'参考值-平台费用率分析'!$D$6:$D$532,$F91,'参考值-平台费用率分析'!$E$6:$E$532,$G91,'参考值-平台费用率分析'!$AZ$6:$AZ$532,"已导入实际")=0,$J91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91,'参考值-平台费用率分析'!$E$6:$E$532,$G91)/SUMIFS('参考值-平台费用率分析'!$AX$6:$AX$532,'参考值-平台费用率分析'!$A$6:$A$532,"自营",'参考值-平台费用率分析'!$B$6:$B$532,"达播",'参考值-平台费用率分析'!$C$6:$C$532,"销售费用",'参考值-平台费用率分析'!$D$6:$D$532,$F91,'参考值-平台费用率分析'!$E$6:$E$532,$G91),$J91)))</f>
        <v>0.05</v>
      </c>
      <c r="W91" s="348">
        <f>(K91*'假设-目标渠道分解'!L$7+L91*'假设-目标渠道分解'!M$7+M91*'假设-目标渠道分解'!N$7+N91*'假设-目标渠道分解'!O$7+O91*'假设-目标渠道分解'!P$7+P91*'假设-目标渠道分解'!Q$7+Q91*'假设-目标渠道分解'!R$7+R91*'假设-目标渠道分解'!S$7+S91*'假设-目标渠道分解'!T$7+T91*'假设-目标渠道分解'!U$7+U91*'假设-目标渠道分解'!V$7+V91*'假设-目标渠道分解'!W$7)/'假设-目标渠道分解'!J$7</f>
        <v>2.1490693107245828E-2</v>
      </c>
      <c r="Y91" s="155">
        <v>0</v>
      </c>
      <c r="Z91" s="155"/>
      <c r="AA91" s="155"/>
      <c r="AB91" s="155"/>
      <c r="AC91" s="155"/>
      <c r="AD91" s="155"/>
      <c r="AE91" s="155"/>
      <c r="AF91" s="155">
        <v>0.05</v>
      </c>
      <c r="AG91" s="155">
        <v>0.05</v>
      </c>
      <c r="AH91" s="155">
        <v>0.05</v>
      </c>
      <c r="AI91" s="155">
        <v>0.05</v>
      </c>
      <c r="AJ91" s="155">
        <v>0.05</v>
      </c>
      <c r="AK91" s="155">
        <v>0.05</v>
      </c>
      <c r="AL91" s="338" t="s">
        <v>794</v>
      </c>
    </row>
    <row r="92" spans="1:38">
      <c r="E92" s="67" t="s">
        <v>52</v>
      </c>
      <c r="F92" s="67" t="s">
        <v>65</v>
      </c>
      <c r="G92" s="67" t="s">
        <v>67</v>
      </c>
      <c r="J92" s="348">
        <f>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Z$6:$Z$532,"&lt;&gt;")=0,$Y92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A$6:$AA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Y92))</f>
        <v>0</v>
      </c>
      <c r="K92" s="348">
        <f>IF(Z92&lt;&gt;"",Z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H$6:$H$532,"&lt;&gt;")=0,$J92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I$6:$I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L92" s="348">
        <f>IF(AA92&lt;&gt;"",AA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K$6:$K$532,"&lt;&gt;")=0,$J92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L$6:$L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M92" s="348">
        <f>IF(AB92&lt;&gt;"",AB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N$6:$N$532,"&lt;&gt;")=0,$J92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O$6:$O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N92" s="348">
        <f>IF(AC92&lt;&gt;"",AC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Q$6:$Q$532,"&lt;&gt;")=0,$J92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R$6:$R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O92" s="348">
        <f>IF(AD92&lt;&gt;"",AD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T$6:$T$532,"&lt;&gt;")=0,$J92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U$6:$U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P92" s="348">
        <f>IF(AE92&lt;&gt;"",AE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F$6:$AF$532,"已导入实际")=0,$J92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D$6:$AD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</v>
      </c>
      <c r="Q92" s="348">
        <f>IF(AF92&lt;&gt;"",AF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J$6:$AJ$532,"已导入实际")=0,$J92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H$6:$AH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R92" s="348">
        <f>IF(AG92&lt;&gt;"",AG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N$6:$AN$532,"已导入实际")=0,$J92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L$6:$AL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S92" s="348">
        <f>IF(AH92&lt;&gt;"",AH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R$6:$AR$532,"已导入实际")=0,$J92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P$6:$AP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T92" s="348">
        <f>IF(AI92&lt;&gt;"",AI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V$6:$AV$532,"已导入实际")=0,$J92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T$6:$AT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U92" s="348">
        <f>IF(AJ92&lt;&gt;"",AJ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Z$6:$AZ$532,"已导入实际")=0,$J92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X$6:$AX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V92" s="348">
        <f>IF(AK92&lt;&gt;"",AK92,IF(COUNTIFS('参考值-平台费用率分析'!$A$6:$A$532,"自营",'参考值-平台费用率分析'!$B$6:$B$532,"达播",'参考值-平台费用率分析'!$C$6:$C$532,"销售费用",'参考值-平台费用率分析'!$D$6:$D$532,$F92,'参考值-平台费用率分析'!$E$6:$E$532,$G92,'参考值-平台费用率分析'!$AZ$6:$AZ$532,"已导入实际")=0,$J92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92,'参考值-平台费用率分析'!$E$6:$E$532,$G92)/SUMIFS('参考值-平台费用率分析'!$AX$6:$AX$532,'参考值-平台费用率分析'!$A$6:$A$532,"自营",'参考值-平台费用率分析'!$B$6:$B$532,"达播",'参考值-平台费用率分析'!$C$6:$C$532,"销售费用",'参考值-平台费用率分析'!$D$6:$D$532,$F92,'参考值-平台费用率分析'!$E$6:$E$532,$G92),$J92)))</f>
        <v>0.05</v>
      </c>
      <c r="W92" s="348">
        <f>(K92*'假设-目标渠道分解'!L$7+L92*'假设-目标渠道分解'!M$7+M92*'假设-目标渠道分解'!N$7+N92*'假设-目标渠道分解'!O$7+O92*'假设-目标渠道分解'!P$7+P92*'假设-目标渠道分解'!Q$7+Q92*'假设-目标渠道分解'!R$7+R92*'假设-目标渠道分解'!S$7+S92*'假设-目标渠道分解'!T$7+T92*'假设-目标渠道分解'!U$7+U92*'假设-目标渠道分解'!V$7+V92*'假设-目标渠道分解'!W$7)/'假设-目标渠道分解'!J$7</f>
        <v>2.1490693107245828E-2</v>
      </c>
      <c r="Y92" s="155">
        <v>0</v>
      </c>
      <c r="Z92" s="155"/>
      <c r="AA92" s="155"/>
      <c r="AB92" s="155"/>
      <c r="AC92" s="155"/>
      <c r="AD92" s="155"/>
      <c r="AE92" s="155"/>
      <c r="AF92" s="155">
        <v>0.05</v>
      </c>
      <c r="AG92" s="155">
        <v>0.05</v>
      </c>
      <c r="AH92" s="155">
        <v>0.05</v>
      </c>
      <c r="AI92" s="155">
        <v>0.05</v>
      </c>
      <c r="AJ92" s="155">
        <v>0.05</v>
      </c>
      <c r="AK92" s="155">
        <v>0.05</v>
      </c>
      <c r="AL92" s="338" t="s">
        <v>794</v>
      </c>
    </row>
    <row r="93" spans="1:38">
      <c r="E93" s="67" t="s">
        <v>52</v>
      </c>
      <c r="F93" s="67" t="s">
        <v>65</v>
      </c>
      <c r="G93" s="67" t="s">
        <v>68</v>
      </c>
      <c r="J93" s="348">
        <f>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Z$6:$Z$532,"&lt;&gt;")=0,$Y93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A$6:$AA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Y93))</f>
        <v>0</v>
      </c>
      <c r="K93" s="348">
        <f>IF(Z93&lt;&gt;"",Z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H$6:$H$532,"&lt;&gt;")=0,$J93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I$6:$I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L93" s="348">
        <f>IF(AA93&lt;&gt;"",AA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K$6:$K$532,"&lt;&gt;")=0,$J93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L$6:$L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M93" s="348">
        <f>IF(AB93&lt;&gt;"",AB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N$6:$N$532,"&lt;&gt;")=0,$J93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O$6:$O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N93" s="348">
        <f>IF(AC93&lt;&gt;"",AC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Q$6:$Q$532,"&lt;&gt;")=0,$J93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R$6:$R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O93" s="348">
        <f>IF(AD93&lt;&gt;"",AD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T$6:$T$532,"&lt;&gt;")=0,$J93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U$6:$U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P93" s="350">
        <f>IF(AE93&lt;&gt;"",AE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F$6:$AF$532,"已导入实际")=0,$J93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D$6:$AD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</v>
      </c>
      <c r="Q93" s="350">
        <f>IF(AF93&lt;&gt;"",AF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J$6:$AJ$532,"已导入实际")=0,$J93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H$6:$AH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R93" s="350">
        <f>IF(AG93&lt;&gt;"",AG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N$6:$AN$532,"已导入实际")=0,$J93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L$6:$AL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S93" s="350">
        <f>IF(AH93&lt;&gt;"",AH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R$6:$AR$532,"已导入实际")=0,$J93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P$6:$AP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T93" s="350">
        <f>IF(AI93&lt;&gt;"",AI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V$6:$AV$532,"已导入实际")=0,$J93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T$6:$AT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U93" s="350">
        <f>IF(AJ93&lt;&gt;"",AJ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Z$6:$AZ$532,"已导入实际")=0,$J93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X$6:$AX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V93" s="350">
        <f>IF(AK93&lt;&gt;"",AK93,IF(COUNTIFS('参考值-平台费用率分析'!$A$6:$A$532,"自营",'参考值-平台费用率分析'!$B$6:$B$532,"达播",'参考值-平台费用率分析'!$C$6:$C$532,"销售费用",'参考值-平台费用率分析'!$D$6:$D$532,$F93,'参考值-平台费用率分析'!$E$6:$E$532,$G93,'参考值-平台费用率分析'!$AZ$6:$AZ$532,"已导入实际")=0,$J93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93,'参考值-平台费用率分析'!$E$6:$E$532,$G93)/SUMIFS('参考值-平台费用率分析'!$AX$6:$AX$532,'参考值-平台费用率分析'!$A$6:$A$532,"自营",'参考值-平台费用率分析'!$B$6:$B$532,"达播",'参考值-平台费用率分析'!$C$6:$C$532,"销售费用",'参考值-平台费用率分析'!$D$6:$D$532,$F93,'参考值-平台费用率分析'!$E$6:$E$532,$G93),$J93)))</f>
        <v>0.1</v>
      </c>
      <c r="W93" s="348">
        <f>(K93*'假设-目标渠道分解'!L$7+L93*'假设-目标渠道分解'!M$7+M93*'假设-目标渠道分解'!N$7+N93*'假设-目标渠道分解'!O$7+O93*'假设-目标渠道分解'!P$7+P93*'假设-目标渠道分解'!Q$7+Q93*'假设-目标渠道分解'!R$7+R93*'假设-目标渠道分解'!S$7+S93*'假设-目标渠道分解'!T$7+T93*'假设-目标渠道分解'!U$7+U93*'假设-目标渠道分解'!V$7+V93*'假设-目标渠道分解'!W$7)/'假设-目标渠道分解'!J$7</f>
        <v>4.2981386214491657E-2</v>
      </c>
      <c r="Y93" s="155">
        <v>0</v>
      </c>
      <c r="Z93" s="155"/>
      <c r="AA93" s="155"/>
      <c r="AB93" s="155"/>
      <c r="AC93" s="155"/>
      <c r="AD93" s="155"/>
      <c r="AE93" s="155"/>
      <c r="AF93" s="155">
        <v>0.1</v>
      </c>
      <c r="AG93" s="155">
        <v>0.1</v>
      </c>
      <c r="AH93" s="155">
        <v>0.1</v>
      </c>
      <c r="AI93" s="155">
        <v>0.1</v>
      </c>
      <c r="AJ93" s="155">
        <v>0.1</v>
      </c>
      <c r="AK93" s="155">
        <v>0.1</v>
      </c>
      <c r="AL93" s="338" t="s">
        <v>794</v>
      </c>
    </row>
    <row r="94" spans="1:38">
      <c r="E94" s="67" t="s">
        <v>52</v>
      </c>
      <c r="F94" s="67" t="s">
        <v>65</v>
      </c>
      <c r="G94" s="67" t="s">
        <v>69</v>
      </c>
      <c r="J94" s="348">
        <f>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Z$6:$Z$532,"&lt;&gt;")=0,$Y94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A$6:$AA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Y94))</f>
        <v>0</v>
      </c>
      <c r="K94" s="348">
        <f>IF(Z94&lt;&gt;"",Z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H$6:$H$532,"&lt;&gt;")=0,$J94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I$6:$I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L94" s="348">
        <f>IF(AA94&lt;&gt;"",AA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K$6:$K$532,"&lt;&gt;")=0,$J94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L$6:$L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M94" s="348">
        <f>IF(AB94&lt;&gt;"",AB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N$6:$N$532,"&lt;&gt;")=0,$J94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O$6:$O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N94" s="348">
        <f>IF(AC94&lt;&gt;"",AC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Q$6:$Q$532,"&lt;&gt;")=0,$J94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R$6:$R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O94" s="348">
        <f>IF(AD94&lt;&gt;"",AD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T$6:$T$532,"&lt;&gt;")=0,$J94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U$6:$U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P94" s="350">
        <f>IF(AE94&lt;&gt;"",AE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F$6:$AF$532,"已导入实际")=0,$J94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D$6:$AD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</v>
      </c>
      <c r="Q94" s="350">
        <f>IF(AF94&lt;&gt;"",AF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J$6:$AJ$532,"已导入实际")=0,$J94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H$6:$AH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R94" s="350">
        <f>IF(AG94&lt;&gt;"",AG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N$6:$AN$532,"已导入实际")=0,$J94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L$6:$AL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S94" s="350">
        <f>IF(AH94&lt;&gt;"",AH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R$6:$AR$532,"已导入实际")=0,$J94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P$6:$AP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T94" s="350">
        <f>IF(AI94&lt;&gt;"",AI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V$6:$AV$532,"已导入实际")=0,$J94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T$6:$AT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U94" s="350">
        <f>IF(AJ94&lt;&gt;"",AJ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Z$6:$AZ$532,"已导入实际")=0,$J94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X$6:$AX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V94" s="350">
        <f>IF(AK94&lt;&gt;"",AK94,IF(COUNTIFS('参考值-平台费用率分析'!$A$6:$A$532,"自营",'参考值-平台费用率分析'!$B$6:$B$532,"达播",'参考值-平台费用率分析'!$C$6:$C$532,"销售费用",'参考值-平台费用率分析'!$D$6:$D$532,$F94,'参考值-平台费用率分析'!$E$6:$E$532,$G94,'参考值-平台费用率分析'!$AZ$6:$AZ$532,"已导入实际")=0,$J94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94,'参考值-平台费用率分析'!$E$6:$E$532,$G94)/SUMIFS('参考值-平台费用率分析'!$AX$6:$AX$532,'参考值-平台费用率分析'!$A$6:$A$532,"自营",'参考值-平台费用率分析'!$B$6:$B$532,"达播",'参考值-平台费用率分析'!$C$6:$C$532,"销售费用",'参考值-平台费用率分析'!$D$6:$D$532,$F94,'参考值-平台费用率分析'!$E$6:$E$532,$G94),$J94)))</f>
        <v>0.15</v>
      </c>
      <c r="W94" s="348">
        <f>(K94*'假设-目标渠道分解'!L$7+L94*'假设-目标渠道分解'!M$7+M94*'假设-目标渠道分解'!N$7+N94*'假设-目标渠道分解'!O$7+O94*'假设-目标渠道分解'!P$7+P94*'假设-目标渠道分解'!Q$7+Q94*'假设-目标渠道分解'!R$7+R94*'假设-目标渠道分解'!S$7+S94*'假设-目标渠道分解'!T$7+T94*'假设-目标渠道分解'!U$7+U94*'假设-目标渠道分解'!V$7+V94*'假设-目标渠道分解'!W$7)/'假设-目标渠道分解'!J$7</f>
        <v>6.4472079321737472E-2</v>
      </c>
      <c r="Y94" s="155">
        <v>0</v>
      </c>
      <c r="Z94" s="155"/>
      <c r="AA94" s="155"/>
      <c r="AB94" s="155"/>
      <c r="AC94" s="155"/>
      <c r="AD94" s="155"/>
      <c r="AE94" s="155"/>
      <c r="AF94" s="155">
        <v>0.15</v>
      </c>
      <c r="AG94" s="155">
        <v>0.15</v>
      </c>
      <c r="AH94" s="155">
        <v>0.15</v>
      </c>
      <c r="AI94" s="155">
        <v>0.15</v>
      </c>
      <c r="AJ94" s="155">
        <v>0.15</v>
      </c>
      <c r="AK94" s="155">
        <v>0.15</v>
      </c>
      <c r="AL94" s="338" t="s">
        <v>794</v>
      </c>
    </row>
    <row r="95" spans="1:38">
      <c r="D95" s="67" t="s">
        <v>70</v>
      </c>
      <c r="K95" s="348">
        <f t="shared" ref="K95:W95" si="13">SUM(K96:K98)</f>
        <v>1.8326237377394753E-2</v>
      </c>
      <c r="L95" s="348">
        <f t="shared" si="13"/>
        <v>0.20418255616386635</v>
      </c>
      <c r="M95" s="348">
        <f t="shared" si="13"/>
        <v>6.3326431312895171E-2</v>
      </c>
      <c r="N95" s="348">
        <f t="shared" si="13"/>
        <v>6.3290096398362611E-2</v>
      </c>
      <c r="O95" s="348">
        <f t="shared" si="13"/>
        <v>9.3074741416155404E-2</v>
      </c>
      <c r="P95" s="348">
        <f t="shared" si="13"/>
        <v>6.3210659112452841E-2</v>
      </c>
      <c r="Q95" s="348">
        <f t="shared" si="13"/>
        <v>7.0000000000000007E-2</v>
      </c>
      <c r="R95" s="348">
        <f t="shared" si="13"/>
        <v>7.0000000000000007E-2</v>
      </c>
      <c r="S95" s="348">
        <f t="shared" si="13"/>
        <v>7.0000000000000007E-2</v>
      </c>
      <c r="T95" s="348">
        <f t="shared" si="13"/>
        <v>7.0000000000000007E-2</v>
      </c>
      <c r="U95" s="348">
        <f t="shared" si="13"/>
        <v>7.0000000000000007E-2</v>
      </c>
      <c r="V95" s="348">
        <f t="shared" si="13"/>
        <v>7.0000000000000007E-2</v>
      </c>
      <c r="W95" s="349">
        <f t="shared" si="13"/>
        <v>7.6562895762650712E-2</v>
      </c>
      <c r="Z95" s="155"/>
      <c r="AA95" s="155"/>
      <c r="AB95" s="155"/>
      <c r="AC95" s="155"/>
      <c r="AD95" s="155"/>
      <c r="AE95" s="155"/>
      <c r="AF95" s="155"/>
      <c r="AG95" s="155"/>
      <c r="AH95" s="155"/>
      <c r="AI95" s="155"/>
      <c r="AJ95" s="155"/>
      <c r="AK95" s="155"/>
    </row>
    <row r="96" spans="1:38">
      <c r="E96" s="67" t="s">
        <v>52</v>
      </c>
      <c r="F96" s="67" t="s">
        <v>70</v>
      </c>
      <c r="G96" s="67" t="s">
        <v>71</v>
      </c>
      <c r="J96" s="348">
        <f>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Z$6:$Z$532,"&lt;&gt;")=0,$Y96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A$6:$AA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Y96))</f>
        <v>0</v>
      </c>
      <c r="K96" s="348">
        <f>IF(Z96&lt;&gt;"",Z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H$6:$H$532,"&lt;&gt;")=0,$J96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I$6:$I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L96" s="348">
        <f>IF(AA96&lt;&gt;"",AA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K$6:$K$532,"&lt;&gt;")=0,$J96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L$6:$L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M96" s="348">
        <f>IF(AB96&lt;&gt;"",AB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N$6:$N$532,"&lt;&gt;")=0,$J96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O$6:$O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N96" s="348">
        <f>IF(AC96&lt;&gt;"",AC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Q$6:$Q$532,"&lt;&gt;")=0,$J96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R$6:$R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O96" s="348">
        <f>IF(AD96&lt;&gt;"",AD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T$6:$T$532,"&lt;&gt;")=0,$J96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U$6:$U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P96" s="348">
        <f>IF(AE96&lt;&gt;"",AE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F$6:$AF$532,"已导入实际")=0,$J96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D$6:$AD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Q96" s="348">
        <f>IF(AF96&lt;&gt;"",AF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J$6:$AJ$532,"已导入实际")=0,$J96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H$6:$AH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R96" s="348">
        <f>IF(AG96&lt;&gt;"",AG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N$6:$AN$532,"已导入实际")=0,$J96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L$6:$AL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S96" s="348">
        <f>IF(AH96&lt;&gt;"",AH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R$6:$AR$532,"已导入实际")=0,$J96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P$6:$AP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T96" s="348">
        <f>IF(AI96&lt;&gt;"",AI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V$6:$AV$532,"已导入实际")=0,$J96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T$6:$AT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U96" s="348">
        <f>IF(AJ96&lt;&gt;"",AJ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Z$6:$AZ$532,"已导入实际")=0,$J96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X$6:$AX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V96" s="348">
        <f>IF(AK96&lt;&gt;"",AK96,IF(COUNTIFS('参考值-平台费用率分析'!$A$6:$A$532,"自营",'参考值-平台费用率分析'!$B$6:$B$532,"达播",'参考值-平台费用率分析'!$C$6:$C$532,"销售费用",'参考值-平台费用率分析'!$D$6:$D$532,$F96,'参考值-平台费用率分析'!$E$6:$E$532,$G96,'参考值-平台费用率分析'!$AZ$6:$AZ$532,"已导入实际")=0,$J96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96,'参考值-平台费用率分析'!$E$6:$E$532,$G96)/SUMIFS('参考值-平台费用率分析'!$AX$6:$AX$532,'参考值-平台费用率分析'!$A$6:$A$532,"自营",'参考值-平台费用率分析'!$B$6:$B$532,"达播",'参考值-平台费用率分析'!$C$6:$C$532,"销售费用",'参考值-平台费用率分析'!$D$6:$D$532,$F96,'参考值-平台费用率分析'!$E$6:$E$532,$G96),$J96)))</f>
        <v>0</v>
      </c>
      <c r="W96" s="348">
        <f>(K96*'假设-目标渠道分解'!L$7+L96*'假设-目标渠道分解'!M$7+M96*'假设-目标渠道分解'!N$7+N96*'假设-目标渠道分解'!O$7+O96*'假设-目标渠道分解'!P$7+P96*'假设-目标渠道分解'!Q$7+Q96*'假设-目标渠道分解'!R$7+R96*'假设-目标渠道分解'!S$7+S96*'假设-目标渠道分解'!T$7+T96*'假设-目标渠道分解'!U$7+U96*'假设-目标渠道分解'!V$7+V96*'假设-目标渠道分解'!W$7)/'假设-目标渠道分解'!J$7</f>
        <v>0</v>
      </c>
      <c r="Y96" s="155">
        <v>6.0234342404391301E-2</v>
      </c>
      <c r="Z96" s="155"/>
      <c r="AA96" s="155"/>
      <c r="AB96" s="155"/>
      <c r="AC96" s="155"/>
      <c r="AD96" s="155"/>
      <c r="AE96" s="155"/>
      <c r="AF96" s="155"/>
      <c r="AG96" s="155"/>
      <c r="AH96" s="155"/>
      <c r="AI96" s="155"/>
      <c r="AJ96" s="155"/>
      <c r="AK96" s="155"/>
      <c r="AL96" s="338" t="s">
        <v>794</v>
      </c>
    </row>
    <row r="97" spans="1:38">
      <c r="E97" s="67" t="s">
        <v>52</v>
      </c>
      <c r="F97" s="67" t="s">
        <v>70</v>
      </c>
      <c r="G97" s="67" t="s">
        <v>72</v>
      </c>
      <c r="J97" s="348">
        <f>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Z$6:$Z$532,"&lt;&gt;")=0,$Y97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A$6:$AA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Y97))</f>
        <v>0</v>
      </c>
      <c r="K97" s="348">
        <f>IF(Z97&lt;&gt;"",Z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H$6:$H$532,"&lt;&gt;")=0,$J97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I$6:$I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L97" s="348">
        <f>IF(AA97&lt;&gt;"",AA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K$6:$K$532,"&lt;&gt;")=0,$J97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L$6:$L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M97" s="348">
        <f>IF(AB97&lt;&gt;"",AB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N$6:$N$532,"&lt;&gt;")=0,$J97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O$6:$O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N97" s="348">
        <f>IF(AC97&lt;&gt;"",AC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Q$6:$Q$532,"&lt;&gt;")=0,$J97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R$6:$R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O97" s="348">
        <f>IF(AD97&lt;&gt;"",AD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T$6:$T$532,"&lt;&gt;")=0,$J97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U$6:$U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P97" s="348">
        <f>IF(AE97&lt;&gt;"",AE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F$6:$AF$532,"已导入实际")=0,$J97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D$6:$AD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Q97" s="348">
        <f>IF(AF97&lt;&gt;"",AF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J$6:$AJ$532,"已导入实际")=0,$J97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H$6:$AH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R97" s="348">
        <f>IF(AG97&lt;&gt;"",AG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N$6:$AN$532,"已导入实际")=0,$J97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L$6:$AL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S97" s="348">
        <f>IF(AH97&lt;&gt;"",AH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R$6:$AR$532,"已导入实际")=0,$J97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P$6:$AP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T97" s="348">
        <f>IF(AI97&lt;&gt;"",AI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V$6:$AV$532,"已导入实际")=0,$J97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T$6:$AT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U97" s="348">
        <f>IF(AJ97&lt;&gt;"",AJ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Z$6:$AZ$532,"已导入实际")=0,$J97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X$6:$AX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V97" s="348">
        <f>IF(AK97&lt;&gt;"",AK97,IF(COUNTIFS('参考值-平台费用率分析'!$A$6:$A$532,"自营",'参考值-平台费用率分析'!$B$6:$B$532,"达播",'参考值-平台费用率分析'!$C$6:$C$532,"销售费用",'参考值-平台费用率分析'!$D$6:$D$532,$F97,'参考值-平台费用率分析'!$E$6:$E$532,$G97,'参考值-平台费用率分析'!$AZ$6:$AZ$532,"已导入实际")=0,$J97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97,'参考值-平台费用率分析'!$E$6:$E$532,$G97)/SUMIFS('参考值-平台费用率分析'!$AX$6:$AX$532,'参考值-平台费用率分析'!$A$6:$A$532,"自营",'参考值-平台费用率分析'!$B$6:$B$532,"达播",'参考值-平台费用率分析'!$C$6:$C$532,"销售费用",'参考值-平台费用率分析'!$D$6:$D$532,$F97,'参考值-平台费用率分析'!$E$6:$E$532,$G97),$J97)))</f>
        <v>0</v>
      </c>
      <c r="W97" s="348">
        <f>(K97*'假设-目标渠道分解'!L$7+L97*'假设-目标渠道分解'!M$7+M97*'假设-目标渠道分解'!N$7+N97*'假设-目标渠道分解'!O$7+O97*'假设-目标渠道分解'!P$7+P97*'假设-目标渠道分解'!Q$7+Q97*'假设-目标渠道分解'!R$7+R97*'假设-目标渠道分解'!S$7+S97*'假设-目标渠道分解'!T$7+T97*'假设-目标渠道分解'!U$7+U97*'假设-目标渠道分解'!V$7+V97*'假设-目标渠道分解'!W$7)/'假设-目标渠道分解'!J$7</f>
        <v>0</v>
      </c>
      <c r="Y97" s="155">
        <v>0</v>
      </c>
      <c r="Z97" s="155"/>
      <c r="AA97" s="155"/>
      <c r="AB97" s="155"/>
      <c r="AC97" s="155"/>
      <c r="AD97" s="155"/>
      <c r="AE97" s="155"/>
      <c r="AF97" s="155"/>
      <c r="AG97" s="155"/>
      <c r="AH97" s="155"/>
      <c r="AI97" s="155"/>
      <c r="AJ97" s="155"/>
      <c r="AK97" s="155"/>
      <c r="AL97" s="338" t="s">
        <v>794</v>
      </c>
    </row>
    <row r="98" spans="1:38">
      <c r="E98" s="67" t="s">
        <v>52</v>
      </c>
      <c r="F98" s="67" t="s">
        <v>70</v>
      </c>
      <c r="G98" s="67" t="s">
        <v>73</v>
      </c>
      <c r="J98" s="348">
        <f>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Z$6:$Z$532,"&lt;&gt;")=0,$Y98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A$6:$AA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Y98))</f>
        <v>6.3210659112452841E-2</v>
      </c>
      <c r="K98" s="348">
        <f>IF(Z98&lt;&gt;"",Z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H$6:$H$532,"&lt;&gt;")=0,$J98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I$6:$I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1.8326237377394753E-2</v>
      </c>
      <c r="L98" s="348">
        <f>IF(AA98&lt;&gt;"",AA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K$6:$K$532,"&lt;&gt;")=0,$J98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L$6:$L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0.20418255616386635</v>
      </c>
      <c r="M98" s="348">
        <f>IF(AB98&lt;&gt;"",AB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N$6:$N$532,"&lt;&gt;")=0,$J98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O$6:$O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6.3326431312895171E-2</v>
      </c>
      <c r="N98" s="348">
        <f>IF(AC98&lt;&gt;"",AC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Q$6:$Q$532,"&lt;&gt;")=0,$J98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R$6:$R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6.3290096398362611E-2</v>
      </c>
      <c r="O98" s="348">
        <f>IF(AD98&lt;&gt;"",AD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T$6:$T$532,"&lt;&gt;")=0,$J98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U$6:$U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9.3074741416155404E-2</v>
      </c>
      <c r="P98" s="348">
        <f>IF(AE98&lt;&gt;"",AE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F$6:$AF$532,"已导入实际")=0,$J98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D$6:$AD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6.3210659112452841E-2</v>
      </c>
      <c r="Q98" s="348">
        <f>IF(AF98&lt;&gt;"",AF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J$6:$AJ$532,"已导入实际")=0,$J98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H$6:$AH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R98" s="348">
        <f>IF(AG98&lt;&gt;"",AG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N$6:$AN$532,"已导入实际")=0,$J98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L$6:$AL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S98" s="348">
        <f>IF(AH98&lt;&gt;"",AH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R$6:$AR$532,"已导入实际")=0,$J98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P$6:$AP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T98" s="348">
        <f>IF(AI98&lt;&gt;"",AI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V$6:$AV$532,"已导入实际")=0,$J98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T$6:$AT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U98" s="348">
        <f>IF(AJ98&lt;&gt;"",AJ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Z$6:$AZ$532,"已导入实际")=0,$J98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X$6:$AX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V98" s="348">
        <f>IF(AK98&lt;&gt;"",AK98,IF(COUNTIFS('参考值-平台费用率分析'!$A$6:$A$532,"自营",'参考值-平台费用率分析'!$B$6:$B$532,"达播",'参考值-平台费用率分析'!$C$6:$C$532,"销售费用",'参考值-平台费用率分析'!$D$6:$D$532,$F98,'参考值-平台费用率分析'!$E$6:$E$532,$G98,'参考值-平台费用率分析'!$AZ$6:$AZ$532,"已导入实际")=0,$J98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98,'参考值-平台费用率分析'!$E$6:$E$532,$G98)/SUMIFS('参考值-平台费用率分析'!$AX$6:$AX$532,'参考值-平台费用率分析'!$A$6:$A$532,"自营",'参考值-平台费用率分析'!$B$6:$B$532,"达播",'参考值-平台费用率分析'!$C$6:$C$532,"销售费用",'参考值-平台费用率分析'!$D$6:$D$532,$F98,'参考值-平台费用率分析'!$E$6:$E$532,$G98),$J98)))</f>
        <v>7.0000000000000007E-2</v>
      </c>
      <c r="W98" s="348">
        <f>(K98*'假设-目标渠道分解'!L$7+L98*'假设-目标渠道分解'!M$7+M98*'假设-目标渠道分解'!N$7+N98*'假设-目标渠道分解'!O$7+O98*'假设-目标渠道分解'!P$7+P98*'假设-目标渠道分解'!Q$7+Q98*'假设-目标渠道分解'!R$7+R98*'假设-目标渠道分解'!S$7+S98*'假设-目标渠道分解'!T$7+T98*'假设-目标渠道分解'!U$7+U98*'假设-目标渠道分解'!V$7+V98*'假设-目标渠道分解'!W$7)/'假设-目标渠道分解'!J$7</f>
        <v>7.6562895762650712E-2</v>
      </c>
      <c r="Y98" s="155">
        <v>0</v>
      </c>
      <c r="Z98" s="155"/>
      <c r="AA98" s="155"/>
      <c r="AB98" s="155"/>
      <c r="AC98" s="155"/>
      <c r="AD98" s="155"/>
      <c r="AE98" s="155"/>
      <c r="AF98" s="155">
        <v>7.0000000000000007E-2</v>
      </c>
      <c r="AG98" s="155">
        <v>7.0000000000000007E-2</v>
      </c>
      <c r="AH98" s="155">
        <v>7.0000000000000007E-2</v>
      </c>
      <c r="AI98" s="155">
        <v>7.0000000000000007E-2</v>
      </c>
      <c r="AJ98" s="155">
        <v>7.0000000000000007E-2</v>
      </c>
      <c r="AK98" s="155">
        <v>7.0000000000000007E-2</v>
      </c>
      <c r="AL98" s="338" t="s">
        <v>794</v>
      </c>
    </row>
    <row r="99" spans="1:38">
      <c r="D99" s="67" t="s">
        <v>74</v>
      </c>
      <c r="K99" s="348">
        <f t="shared" ref="K99:W99" si="14">SUM(K100:K103)</f>
        <v>3.6966709227872069E-2</v>
      </c>
      <c r="L99" s="348">
        <f t="shared" si="14"/>
        <v>0.12360327289818807</v>
      </c>
      <c r="M99" s="348">
        <f t="shared" si="14"/>
        <v>3.6476165381713083E-2</v>
      </c>
      <c r="N99" s="348">
        <f t="shared" si="14"/>
        <v>2.8967155100306063E-2</v>
      </c>
      <c r="O99" s="348">
        <f t="shared" si="14"/>
        <v>2.9418964272072037E-2</v>
      </c>
      <c r="P99" s="348">
        <f t="shared" si="14"/>
        <v>3.5429859403077496E-2</v>
      </c>
      <c r="Q99" s="348">
        <f t="shared" si="14"/>
        <v>3.5429859403077496E-2</v>
      </c>
      <c r="R99" s="348">
        <f t="shared" si="14"/>
        <v>3.5429859403077496E-2</v>
      </c>
      <c r="S99" s="348">
        <f t="shared" si="14"/>
        <v>3.5429859403077496E-2</v>
      </c>
      <c r="T99" s="348">
        <f t="shared" si="14"/>
        <v>3.5429859403077496E-2</v>
      </c>
      <c r="U99" s="348">
        <f t="shared" si="14"/>
        <v>3.5429859403077496E-2</v>
      </c>
      <c r="V99" s="348">
        <f t="shared" si="14"/>
        <v>3.5429859403077496E-2</v>
      </c>
      <c r="W99" s="349">
        <f t="shared" si="14"/>
        <v>4.0327834997299437E-2</v>
      </c>
      <c r="Z99" s="155"/>
      <c r="AA99" s="155"/>
      <c r="AB99" s="155"/>
      <c r="AC99" s="155"/>
      <c r="AD99" s="155"/>
      <c r="AE99" s="155"/>
      <c r="AF99" s="155"/>
      <c r="AG99" s="155"/>
      <c r="AH99" s="155"/>
      <c r="AI99" s="155"/>
      <c r="AJ99" s="155"/>
      <c r="AK99" s="155"/>
    </row>
    <row r="100" spans="1:38">
      <c r="E100" s="67" t="s">
        <v>52</v>
      </c>
      <c r="F100" s="67" t="s">
        <v>74</v>
      </c>
      <c r="G100" s="67" t="s">
        <v>75</v>
      </c>
      <c r="J100" s="348">
        <f>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Z$6:$Z$532,"&lt;&gt;")=0,$Y100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A$6:$AA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Y100))</f>
        <v>2.2316037569343257E-2</v>
      </c>
      <c r="K100" s="348">
        <f>IF(Z100&lt;&gt;"",Z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H$6:$H$532,"&lt;&gt;")=0,$J100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I$6:$I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2.0093833667056527E-2</v>
      </c>
      <c r="L100" s="348">
        <f>IF(AA100&lt;&gt;"",AA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K$6:$K$532,"&lt;&gt;")=0,$J100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L$6:$L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5.4306683028129132E-2</v>
      </c>
      <c r="M100" s="348">
        <f>IF(AB100&lt;&gt;"",AB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N$6:$N$532,"&lt;&gt;")=0,$J100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O$6:$O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2.3880364155819886E-2</v>
      </c>
      <c r="N100" s="348">
        <f>IF(AC100&lt;&gt;"",AC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Q$6:$Q$532,"&lt;&gt;")=0,$J100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R$6:$R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1.9351239947996455E-2</v>
      </c>
      <c r="O100" s="348">
        <f>IF(AD100&lt;&gt;"",AD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T$6:$T$532,"&lt;&gt;")=0,$J100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U$6:$U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1.9167733262748256E-2</v>
      </c>
      <c r="P100" s="348">
        <f>IF(AE100&lt;&gt;"",AE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F$6:$AF$532,"已导入实际")=0,$J100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D$6:$AD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Q100" s="348">
        <f>IF(AF100&lt;&gt;"",AF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J$6:$AJ$532,"已导入实际")=0,$J100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H$6:$AH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R100" s="348">
        <f>IF(AG100&lt;&gt;"",AG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N$6:$AN$532,"已导入实际")=0,$J100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L$6:$AL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S100" s="348">
        <f>IF(AH100&lt;&gt;"",AH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R$6:$AR$532,"已导入实际")=0,$J100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P$6:$AP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T100" s="348">
        <f>IF(AI100&lt;&gt;"",AI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V$6:$AV$532,"已导入实际")=0,$J100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T$6:$AT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U100" s="348">
        <f>IF(AJ100&lt;&gt;"",AJ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Z$6:$AZ$532,"已导入实际")=0,$J100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X$6:$AX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V100" s="348">
        <f>IF(AK100&lt;&gt;"",AK100,IF(COUNTIFS('参考值-平台费用率分析'!$A$6:$A$532,"自营",'参考值-平台费用率分析'!$B$6:$B$532,"达播",'参考值-平台费用率分析'!$C$6:$C$532,"销售费用",'参考值-平台费用率分析'!$D$6:$D$532,$F100,'参考值-平台费用率分析'!$E$6:$E$532,$G100,'参考值-平台费用率分析'!$AZ$6:$AZ$532,"已导入实际")=0,$J100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/SUMIFS('参考值-平台费用率分析'!$AX$6:$AX$532,'参考值-平台费用率分析'!$A$6:$A$532,"自营",'参考值-平台费用率分析'!$B$6:$B$532,"达播",'参考值-平台费用率分析'!$C$6:$C$532,"销售费用",'参考值-平台费用率分析'!$D$6:$D$532,$F100,'参考值-平台费用率分析'!$E$6:$E$532,$G100),$J100)))</f>
        <v>2.2316037569343257E-2</v>
      </c>
      <c r="W100" s="348">
        <f>(K100*'假设-目标渠道分解'!L$7+L100*'假设-目标渠道分解'!M$7+M100*'假设-目标渠道分解'!N$7+N100*'假设-目标渠道分解'!O$7+O100*'假设-目标渠道分解'!P$7+P100*'假设-目标渠道分解'!Q$7+Q100*'假设-目标渠道分解'!R$7+R100*'假设-目标渠道分解'!S$7+S100*'假设-目标渠道分解'!T$7+T100*'假设-目标渠道分解'!U$7+U100*'假设-目标渠道分解'!V$7+V100*'假设-目标渠道分解'!W$7)/'假设-目标渠道分解'!J$7</f>
        <v>2.381420796690353E-2</v>
      </c>
      <c r="Y100" s="155">
        <v>2.2180261538767902E-2</v>
      </c>
      <c r="Z100" s="155"/>
      <c r="AA100" s="155"/>
      <c r="AB100" s="155"/>
      <c r="AC100" s="155"/>
      <c r="AD100" s="155"/>
      <c r="AE100" s="155"/>
      <c r="AF100" s="155"/>
      <c r="AG100" s="155"/>
      <c r="AH100" s="155"/>
      <c r="AI100" s="155"/>
      <c r="AJ100" s="155"/>
      <c r="AK100" s="155"/>
      <c r="AL100" s="338" t="s">
        <v>794</v>
      </c>
    </row>
    <row r="101" spans="1:38">
      <c r="E101" s="67" t="s">
        <v>52</v>
      </c>
      <c r="F101" s="67" t="s">
        <v>74</v>
      </c>
      <c r="G101" s="67" t="s">
        <v>76</v>
      </c>
      <c r="J101" s="348">
        <f>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Z$6:$Z$532,"&lt;&gt;")=0,$Y101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A$6:$AA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Y101))</f>
        <v>8.138844574764546E-3</v>
      </c>
      <c r="K101" s="348">
        <f>IF(Z101&lt;&gt;"",Z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H$6:$H$532,"&lt;&gt;")=0,$J101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I$6:$I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7.6977867154663458E-3</v>
      </c>
      <c r="L101" s="348">
        <f>IF(AA101&lt;&gt;"",AA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K$6:$K$532,"&lt;&gt;")=0,$J101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L$6:$L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1.8059480468684348E-2</v>
      </c>
      <c r="M101" s="348">
        <f>IF(AB101&lt;&gt;"",AB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N$6:$N$532,"&lt;&gt;")=0,$J101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O$6:$O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9.048599627901107E-3</v>
      </c>
      <c r="N101" s="348">
        <f>IF(AC101&lt;&gt;"",AC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Q$6:$Q$532,"&lt;&gt;")=0,$J101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R$6:$R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6.1083566291128101E-3</v>
      </c>
      <c r="O101" s="348">
        <f>IF(AD101&lt;&gt;"",AD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T$6:$T$532,"&lt;&gt;")=0,$J101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U$6:$U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6.7812180444061137E-3</v>
      </c>
      <c r="P101" s="348">
        <f>IF(AE101&lt;&gt;"",AE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F$6:$AF$532,"已导入实际")=0,$J101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D$6:$AD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Q101" s="348">
        <f>IF(AF101&lt;&gt;"",AF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J$6:$AJ$532,"已导入实际")=0,$J101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H$6:$AH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R101" s="348">
        <f>IF(AG101&lt;&gt;"",AG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N$6:$AN$532,"已导入实际")=0,$J101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L$6:$AL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S101" s="348">
        <f>IF(AH101&lt;&gt;"",AH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R$6:$AR$532,"已导入实际")=0,$J101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P$6:$AP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T101" s="348">
        <f>IF(AI101&lt;&gt;"",AI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V$6:$AV$532,"已导入实际")=0,$J101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T$6:$AT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U101" s="348">
        <f>IF(AJ101&lt;&gt;"",AJ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Z$6:$AZ$532,"已导入实际")=0,$J101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X$6:$AX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V101" s="348">
        <f>IF(AK101&lt;&gt;"",AK101,IF(COUNTIFS('参考值-平台费用率分析'!$A$6:$A$532,"自营",'参考值-平台费用率分析'!$B$6:$B$532,"达播",'参考值-平台费用率分析'!$C$6:$C$532,"销售费用",'参考值-平台费用率分析'!$D$6:$D$532,$F101,'参考值-平台费用率分析'!$E$6:$E$532,$G101,'参考值-平台费用率分析'!$AZ$6:$AZ$532,"已导入实际")=0,$J101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/SUMIFS('参考值-平台费用率分析'!$AX$6:$AX$532,'参考值-平台费用率分析'!$A$6:$A$532,"自营",'参考值-平台费用率分析'!$B$6:$B$532,"达播",'参考值-平台费用率分析'!$C$6:$C$532,"销售费用",'参考值-平台费用率分析'!$D$6:$D$532,$F101,'参考值-平台费用率分析'!$E$6:$E$532,$G101),$J101)))</f>
        <v>8.138844574764546E-3</v>
      </c>
      <c r="W101" s="348">
        <f>(K101*'假设-目标渠道分解'!L$7+L101*'假设-目标渠道分解'!M$7+M101*'假设-目标渠道分解'!N$7+N101*'假设-目标渠道分解'!O$7+O101*'假设-目标渠道分解'!P$7+P101*'假设-目标渠道分解'!Q$7+Q101*'假设-目标渠道分解'!R$7+R101*'假设-目标渠道分解'!S$7+S101*'假设-目标渠道分解'!T$7+T101*'假设-目标渠道分解'!U$7+U101*'假设-目标渠道分解'!V$7+V101*'假设-目标渠道分解'!W$7)/'假设-目标渠道分解'!J$7</f>
        <v>8.4919443991797999E-3</v>
      </c>
      <c r="Y101" s="155">
        <v>8.1530989302008895E-3</v>
      </c>
      <c r="Z101" s="155"/>
      <c r="AA101" s="155"/>
      <c r="AB101" s="155"/>
      <c r="AC101" s="155"/>
      <c r="AD101" s="155"/>
      <c r="AE101" s="155"/>
      <c r="AF101" s="155"/>
      <c r="AG101" s="155"/>
      <c r="AH101" s="155"/>
      <c r="AI101" s="155"/>
      <c r="AJ101" s="155"/>
      <c r="AK101" s="155"/>
      <c r="AL101" s="338" t="s">
        <v>794</v>
      </c>
    </row>
    <row r="102" spans="1:38">
      <c r="E102" s="67" t="s">
        <v>52</v>
      </c>
      <c r="F102" s="67" t="s">
        <v>74</v>
      </c>
      <c r="G102" s="67" t="s">
        <v>77</v>
      </c>
      <c r="J102" s="348">
        <f>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Z$6:$Z$532,"&lt;&gt;")=0,$Y102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A$6:$AA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Y102))</f>
        <v>0</v>
      </c>
      <c r="K102" s="348">
        <f>IF(Z102&lt;&gt;"",Z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H$6:$H$532,"&lt;&gt;")=0,$J102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I$6:$I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L102" s="348">
        <f>IF(AA102&lt;&gt;"",AA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K$6:$K$532,"&lt;&gt;")=0,$J102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L$6:$L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M102" s="348">
        <f>IF(AB102&lt;&gt;"",AB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N$6:$N$532,"&lt;&gt;")=0,$J102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O$6:$O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N102" s="348">
        <f>IF(AC102&lt;&gt;"",AC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Q$6:$Q$532,"&lt;&gt;")=0,$J102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R$6:$R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O102" s="348">
        <f>IF(AD102&lt;&gt;"",AD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T$6:$T$532,"&lt;&gt;")=0,$J102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U$6:$U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P102" s="348">
        <f>IF(AE102&lt;&gt;"",AE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F$6:$AF$532,"已导入实际")=0,$J102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D$6:$AD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Q102" s="348">
        <f>IF(AF102&lt;&gt;"",AF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J$6:$AJ$532,"已导入实际")=0,$J102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H$6:$AH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R102" s="348">
        <f>IF(AG102&lt;&gt;"",AG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N$6:$AN$532,"已导入实际")=0,$J102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L$6:$AL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S102" s="348">
        <f>IF(AH102&lt;&gt;"",AH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R$6:$AR$532,"已导入实际")=0,$J102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P$6:$AP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T102" s="348">
        <f>IF(AI102&lt;&gt;"",AI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V$6:$AV$532,"已导入实际")=0,$J102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T$6:$AT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U102" s="348">
        <f>IF(AJ102&lt;&gt;"",AJ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Z$6:$AZ$532,"已导入实际")=0,$J102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X$6:$AX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V102" s="348">
        <f>IF(AK102&lt;&gt;"",AK102,IF(COUNTIFS('参考值-平台费用率分析'!$A$6:$A$532,"自营",'参考值-平台费用率分析'!$B$6:$B$532,"达播",'参考值-平台费用率分析'!$C$6:$C$532,"销售费用",'参考值-平台费用率分析'!$D$6:$D$532,$F102,'参考值-平台费用率分析'!$E$6:$E$532,$G102,'参考值-平台费用率分析'!$AZ$6:$AZ$532,"已导入实际")=0,$J102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/SUMIFS('参考值-平台费用率分析'!$AX$6:$AX$532,'参考值-平台费用率分析'!$A$6:$A$532,"自营",'参考值-平台费用率分析'!$B$6:$B$532,"达播",'参考值-平台费用率分析'!$C$6:$C$532,"销售费用",'参考值-平台费用率分析'!$D$6:$D$532,$F102,'参考值-平台费用率分析'!$E$6:$E$532,$G102),$J102)))</f>
        <v>0</v>
      </c>
      <c r="W102" s="348">
        <f>(K102*'假设-目标渠道分解'!L$7+L102*'假设-目标渠道分解'!M$7+M102*'假设-目标渠道分解'!N$7+N102*'假设-目标渠道分解'!O$7+O102*'假设-目标渠道分解'!P$7+P102*'假设-目标渠道分解'!Q$7+Q102*'假设-目标渠道分解'!R$7+R102*'假设-目标渠道分解'!S$7+S102*'假设-目标渠道分解'!T$7+T102*'假设-目标渠道分解'!U$7+U102*'假设-目标渠道分解'!V$7+V102*'假设-目标渠道分解'!W$7)/'假设-目标渠道分解'!J$7</f>
        <v>0</v>
      </c>
      <c r="Y102" s="155">
        <v>0</v>
      </c>
      <c r="Z102" s="155"/>
      <c r="AA102" s="155"/>
      <c r="AB102" s="155"/>
      <c r="AC102" s="155"/>
      <c r="AD102" s="155"/>
      <c r="AE102" s="155"/>
      <c r="AF102" s="155"/>
      <c r="AG102" s="155"/>
      <c r="AH102" s="155"/>
      <c r="AI102" s="155"/>
      <c r="AJ102" s="155"/>
      <c r="AK102" s="155"/>
      <c r="AL102" s="338" t="s">
        <v>794</v>
      </c>
    </row>
    <row r="103" spans="1:38">
      <c r="E103" s="67" t="s">
        <v>52</v>
      </c>
      <c r="F103" s="67" t="s">
        <v>74</v>
      </c>
      <c r="G103" s="67" t="s">
        <v>78</v>
      </c>
      <c r="J103" s="348">
        <f>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Z$6:$Z$532,"&lt;&gt;")=0,$Y103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A$6:$AA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Y103))</f>
        <v>4.9749772589696879E-3</v>
      </c>
      <c r="K103" s="348">
        <f>IF(Z103&lt;&gt;"",Z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H$6:$H$532,"&lt;&gt;")=0,$J103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I$6:$I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9.1750888453492E-3</v>
      </c>
      <c r="L103" s="348">
        <f>IF(AA103&lt;&gt;"",AA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K$6:$K$532,"&lt;&gt;")=0,$J103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L$6:$L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5.1237109401374596E-2</v>
      </c>
      <c r="M103" s="348">
        <f>IF(AB103&lt;&gt;"",AB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N$6:$N$532,"&lt;&gt;")=0,$J103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O$6:$O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3.5472015979920893E-3</v>
      </c>
      <c r="N103" s="348">
        <f>IF(AC103&lt;&gt;"",AC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Q$6:$Q$532,"&lt;&gt;")=0,$J103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R$6:$R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3.5075585231967988E-3</v>
      </c>
      <c r="O103" s="348">
        <f>IF(AD103&lt;&gt;"",AD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T$6:$T$532,"&lt;&gt;")=0,$J103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U$6:$U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3.4700129649176685E-3</v>
      </c>
      <c r="P103" s="348">
        <f>IF(AE103&lt;&gt;"",AE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F$6:$AF$532,"已导入实际")=0,$J103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D$6:$AD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Q103" s="348">
        <f>IF(AF103&lt;&gt;"",AF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J$6:$AJ$532,"已导入实际")=0,$J103,IFERROR(SUMIFS('参考值-平台费用率分析'!$AG$6:$AG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H$6:$AH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R103" s="348">
        <f>IF(AG103&lt;&gt;"",AG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N$6:$AN$532,"已导入实际")=0,$J103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L$6:$AL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S103" s="348">
        <f>IF(AH103&lt;&gt;"",AH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R$6:$AR$532,"已导入实际")=0,$J103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P$6:$AP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T103" s="348">
        <f>IF(AI103&lt;&gt;"",AI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V$6:$AV$532,"已导入实际")=0,$J103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T$6:$AT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U103" s="348">
        <f>IF(AJ103&lt;&gt;"",AJ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Z$6:$AZ$532,"已导入实际")=0,$J103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X$6:$AX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V103" s="348">
        <f>IF(AK103&lt;&gt;"",AK103,IF(COUNTIFS('参考值-平台费用率分析'!$A$6:$A$532,"自营",'参考值-平台费用率分析'!$B$6:$B$532,"达播",'参考值-平台费用率分析'!$C$6:$C$532,"销售费用",'参考值-平台费用率分析'!$D$6:$D$532,$F103,'参考值-平台费用率分析'!$E$6:$E$532,$G103,'参考值-平台费用率分析'!$AZ$6:$AZ$532,"已导入实际")=0,$J103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/SUMIFS('参考值-平台费用率分析'!$AX$6:$AX$532,'参考值-平台费用率分析'!$A$6:$A$532,"自营",'参考值-平台费用率分析'!$B$6:$B$532,"达播",'参考值-平台费用率分析'!$C$6:$C$532,"销售费用",'参考值-平台费用率分析'!$D$6:$D$532,$F103,'参考值-平台费用率分析'!$E$6:$E$532,$G103),$J103)))</f>
        <v>4.9749772589696879E-3</v>
      </c>
      <c r="W103" s="348">
        <f>(K103*'假设-目标渠道分解'!L$7+L103*'假设-目标渠道分解'!M$7+M103*'假设-目标渠道分解'!N$7+N103*'假设-目标渠道分解'!O$7+O103*'假设-目标渠道分解'!P$7+P103*'假设-目标渠道分解'!Q$7+Q103*'假设-目标渠道分解'!R$7+R103*'假设-目标渠道分解'!S$7+S103*'假设-目标渠道分解'!T$7+T103*'假设-目标渠道分解'!U$7+U103*'假设-目标渠道分解'!V$7+V103*'假设-目标渠道分解'!W$7)/'假设-目标渠道分解'!J$7</f>
        <v>8.0216826312161094E-3</v>
      </c>
      <c r="Y103" s="155">
        <v>0</v>
      </c>
      <c r="Z103" s="155"/>
      <c r="AA103" s="155"/>
      <c r="AB103" s="155"/>
      <c r="AC103" s="155"/>
      <c r="AD103" s="155"/>
      <c r="AE103" s="155"/>
      <c r="AF103" s="155"/>
      <c r="AG103" s="155"/>
      <c r="AH103" s="155"/>
      <c r="AI103" s="155"/>
      <c r="AJ103" s="155"/>
      <c r="AK103" s="155"/>
      <c r="AL103" s="338" t="s">
        <v>794</v>
      </c>
    </row>
    <row r="104" spans="1:38">
      <c r="D104" s="67" t="s">
        <v>79</v>
      </c>
      <c r="J104" s="348">
        <f t="shared" ref="J104:W104" si="15">SUM(J105:J108)</f>
        <v>6.8903907614191337E-2</v>
      </c>
      <c r="K104" s="348">
        <f t="shared" si="15"/>
        <v>8.3256034447207486E-2</v>
      </c>
      <c r="L104" s="348">
        <f t="shared" si="15"/>
        <v>0.77953514058051743</v>
      </c>
      <c r="M104" s="348">
        <f t="shared" si="15"/>
        <v>3.2700298278261056E-2</v>
      </c>
      <c r="N104" s="348">
        <f t="shared" si="15"/>
        <v>0.1013584890479909</v>
      </c>
      <c r="O104" s="348">
        <f t="shared" si="15"/>
        <v>5.9953768842912668E-2</v>
      </c>
      <c r="P104" s="348">
        <f t="shared" si="15"/>
        <v>0.15673864206262325</v>
      </c>
      <c r="Q104" s="348">
        <f t="shared" si="15"/>
        <v>6.3991489752771247E-2</v>
      </c>
      <c r="R104" s="348">
        <f t="shared" si="15"/>
        <v>5.2151554472580054E-2</v>
      </c>
      <c r="S104" s="348">
        <f t="shared" si="15"/>
        <v>4.480982497624645E-2</v>
      </c>
      <c r="T104" s="348">
        <f t="shared" si="15"/>
        <v>4.2718813913611854E-2</v>
      </c>
      <c r="U104" s="348">
        <f t="shared" si="15"/>
        <v>3.8181874736500823E-2</v>
      </c>
      <c r="V104" s="348">
        <f t="shared" si="15"/>
        <v>4.1854389126167756E-2</v>
      </c>
      <c r="W104" s="348">
        <f t="shared" si="15"/>
        <v>5.1256743591805168E-2</v>
      </c>
      <c r="Z104" s="155"/>
      <c r="AA104" s="155"/>
      <c r="AB104" s="155"/>
      <c r="AC104" s="155"/>
      <c r="AD104" s="155"/>
      <c r="AE104" s="155"/>
      <c r="AF104" s="155"/>
      <c r="AG104" s="155"/>
      <c r="AH104" s="155"/>
      <c r="AI104" s="155"/>
      <c r="AJ104" s="155"/>
      <c r="AK104" s="155"/>
    </row>
    <row r="105" spans="1:38">
      <c r="E105" s="67" t="s">
        <v>52</v>
      </c>
      <c r="F105" s="67" t="s">
        <v>79</v>
      </c>
      <c r="G105" s="67" t="s">
        <v>80</v>
      </c>
      <c r="J105" s="348">
        <f>IFERROR(SUM('测算-达播'!I$43:N$43)/SUM('测算-达播'!I$9:N$9),0)</f>
        <v>5.9338990618275397E-2</v>
      </c>
      <c r="K105" s="348">
        <f>IFERROR('测算-达播'!I$43/'测算-达播'!I$9,0)</f>
        <v>6.8206405282450991E-2</v>
      </c>
      <c r="L105" s="348">
        <f>IFERROR('测算-达播'!J$43/'测算-达播'!J$9,0)</f>
        <v>0.76953514058051742</v>
      </c>
      <c r="M105" s="348">
        <f>IFERROR('测算-达播'!K$43/'测算-达播'!K$9,0)</f>
        <v>2.4666825460721679E-2</v>
      </c>
      <c r="N105" s="348">
        <f>IFERROR('测算-达播'!L$43/'测算-达播'!L$9,0)</f>
        <v>9.3358275026503623E-2</v>
      </c>
      <c r="O105" s="348">
        <f>IFERROR('测算-达播'!M$43/'测算-达播'!M$9,0)</f>
        <v>5.1851161025017536E-2</v>
      </c>
      <c r="P105" s="348">
        <f>IFERROR('测算-达播'!N$43/'测算-达播'!N$9,0)</f>
        <v>0.14853506390880591</v>
      </c>
      <c r="Q105" s="348">
        <f>IFERROR('测算-达播'!O$43/'测算-达播'!O$9,0)</f>
        <v>4.69265727568553E-2</v>
      </c>
      <c r="R105" s="348">
        <f>IFERROR('测算-达播'!P$43/'测算-达播'!P$9,0)</f>
        <v>3.5086637476664115E-2</v>
      </c>
      <c r="S105" s="348">
        <f>IFERROR('测算-达播'!Q$43/'测算-达播'!Q$9,0)</f>
        <v>2.7744907980330507E-2</v>
      </c>
      <c r="T105" s="348">
        <f>IFERROR('测算-达播'!R$43/'测算-达播'!R$9,0)</f>
        <v>2.5653896917695915E-2</v>
      </c>
      <c r="U105" s="348">
        <f>IFERROR('测算-达播'!S$43/'测算-达播'!S$9,0)</f>
        <v>2.111695774058488E-2</v>
      </c>
      <c r="V105" s="348">
        <f>IFERROR('测算-达播'!T$43/'测算-达播'!T$9,0)</f>
        <v>2.478947213025182E-2</v>
      </c>
      <c r="W105" s="348">
        <f>IFERROR(SUM('测算-达播'!I$43:T$43)/SUM('测算-达播'!I$9:T$9),0)</f>
        <v>3.7941826595889225E-2</v>
      </c>
      <c r="Y105" s="155">
        <v>4.4629441095568399E-2</v>
      </c>
      <c r="Z105" s="155"/>
      <c r="AA105" s="155"/>
      <c r="AB105" s="155"/>
      <c r="AC105" s="155"/>
      <c r="AD105" s="155"/>
      <c r="AE105" s="155"/>
      <c r="AF105" s="155"/>
      <c r="AG105" s="155"/>
      <c r="AH105" s="155"/>
      <c r="AI105" s="155"/>
      <c r="AJ105" s="155"/>
      <c r="AK105" s="155"/>
      <c r="AL105" s="338" t="s">
        <v>360</v>
      </c>
    </row>
    <row r="106" spans="1:38">
      <c r="E106" s="67" t="s">
        <v>52</v>
      </c>
      <c r="F106" s="67" t="s">
        <v>79</v>
      </c>
      <c r="G106" s="67" t="s">
        <v>147</v>
      </c>
      <c r="J106" s="348">
        <f>AVERAGE(K106:P106)</f>
        <v>9.5649169959159397E-3</v>
      </c>
      <c r="K106" s="348">
        <f>IFERROR(INDEX('假设-人工成本固定额'!$B$6:$CS$16,MATCH("达播",'假设-人工成本固定额'!$A$6:$A$16,0),4),0)</f>
        <v>1.50496291647565E-2</v>
      </c>
      <c r="L106" s="348">
        <f>IFERROR(INDEX('假设-人工成本固定额'!$B$6:$CS$16,MATCH("达播",'假设-人工成本固定额'!$A$6:$A$16,0),12),0)</f>
        <v>0.01</v>
      </c>
      <c r="M106" s="348">
        <f>IFERROR(INDEX('假设-人工成本固定额'!$B$6:$CS$16,MATCH("达播",'假设-人工成本固定额'!$A$6:$A$16,0),20),0)</f>
        <v>8.0334728175393798E-3</v>
      </c>
      <c r="N106" s="348">
        <f>IFERROR(INDEX('假设-人工成本固定额'!$B$6:$CS$16,MATCH("达播",'假设-人工成本固定额'!$A$6:$A$16,0),28),0)</f>
        <v>8.0002140214872793E-3</v>
      </c>
      <c r="O106" s="348">
        <f>IFERROR(INDEX('假设-人工成本固定额'!$B$6:$CS$16,MATCH("达播",'假设-人工成本固定额'!$A$6:$A$16,0),36),0)</f>
        <v>8.1026078178951296E-3</v>
      </c>
      <c r="P106" s="348">
        <f>IFERROR(INDEX('假设-人工成本固定额'!$B$6:$CS$16,MATCH("达播",'假设-人工成本固定额'!$A$6:$A$16,0),44),0)</f>
        <v>8.2035781538173404E-3</v>
      </c>
      <c r="Q106" s="348">
        <f>IFERROR(IF(INDEX('假设-人工成本固定额'!$B$6:$CS$16,MATCH("达播",'假设-人工成本固定额'!$A$6:$A$16,0),52)="",AVERAGE($K106:$P106),INDEX('假设-人工成本固定额'!$B$6:$CS$16,MATCH("达播",'假设-人工成本固定额'!$A$6:$A$16,0),52)),AVERAGE($K106:$P106))</f>
        <v>9.5649169959159397E-3</v>
      </c>
      <c r="R106" s="348">
        <f>IFERROR(IF(INDEX('假设-人工成本固定额'!$B$6:$CS$16,MATCH("达播",'假设-人工成本固定额'!$A$6:$A$16,0),60)="",AVERAGE($K106:$P106),INDEX('假设-人工成本固定额'!$B$6:$CS$16,MATCH("达播",'假设-人工成本固定额'!$A$6:$A$16,0),60)),AVERAGE($K106:$P106))</f>
        <v>9.5649169959159397E-3</v>
      </c>
      <c r="S106" s="348">
        <f>IFERROR(IF(INDEX('假设-人工成本固定额'!$B$6:$CS$16,MATCH("达播",'假设-人工成本固定额'!$A$6:$A$16,0),68)="",AVERAGE($K106:$P106),INDEX('假设-人工成本固定额'!$B$6:$CS$16,MATCH("达播",'假设-人工成本固定额'!$A$6:$A$16,0),68)),AVERAGE($K106:$P106))</f>
        <v>9.5649169959159397E-3</v>
      </c>
      <c r="T106" s="348">
        <f>IFERROR(IF(INDEX('假设-人工成本固定额'!$B$6:$CS$16,MATCH("达播",'假设-人工成本固定额'!$A$6:$A$16,0),76)="",AVERAGE($K106:$P106),INDEX('假设-人工成本固定额'!$B$6:$CS$16,MATCH("达播",'假设-人工成本固定额'!$A$6:$A$16,0),76)),AVERAGE($K106:$P106))</f>
        <v>9.5649169959159397E-3</v>
      </c>
      <c r="U106" s="348">
        <f>IFERROR(IF(INDEX('假设-人工成本固定额'!$B$6:$CS$16,MATCH("达播",'假设-人工成本固定额'!$A$6:$A$16,0),84)="",AVERAGE($K106:$P106),INDEX('假设-人工成本固定额'!$B$6:$CS$16,MATCH("达播",'假设-人工成本固定额'!$A$6:$A$16,0),84)),AVERAGE($K106:$P106))</f>
        <v>9.5649169959159397E-3</v>
      </c>
      <c r="V106" s="348">
        <f>IFERROR(IF(INDEX('假设-人工成本固定额'!$B$6:$CS$16,MATCH("达播",'假设-人工成本固定额'!$A$6:$A$16,0),92)="",AVERAGE($K106:$P106),INDEX('假设-人工成本固定额'!$B$6:$CS$16,MATCH("达播",'假设-人工成本固定额'!$A$6:$A$16,0),92)),AVERAGE($K106:$P106))</f>
        <v>9.5649169959159397E-3</v>
      </c>
      <c r="W106" s="348">
        <f>AVERAGE(K106:V106)</f>
        <v>9.5649169959159397E-3</v>
      </c>
      <c r="Y106" s="155">
        <v>9.0098620882463794E-3</v>
      </c>
      <c r="Z106" s="155"/>
      <c r="AA106" s="155"/>
      <c r="AB106" s="155"/>
      <c r="AC106" s="155"/>
      <c r="AD106" s="155"/>
      <c r="AE106" s="155"/>
      <c r="AF106" s="155"/>
      <c r="AG106" s="155"/>
      <c r="AH106" s="155"/>
      <c r="AI106" s="155"/>
      <c r="AJ106" s="155"/>
      <c r="AK106" s="155"/>
      <c r="AL106" s="338" t="s">
        <v>360</v>
      </c>
    </row>
    <row r="107" spans="1:38">
      <c r="A107" s="338"/>
      <c r="B107" s="338"/>
      <c r="C107" s="338"/>
      <c r="E107" s="67" t="s">
        <v>52</v>
      </c>
      <c r="F107" s="67" t="s">
        <v>79</v>
      </c>
      <c r="G107" s="67" t="s">
        <v>148</v>
      </c>
      <c r="I107" s="338"/>
      <c r="J107" s="348">
        <f>AVERAGE(K107:P107)</f>
        <v>0</v>
      </c>
      <c r="K107" s="348">
        <f>IFERROR(INDEX('假设-人工成本固定额'!$B$6:$CS$16,MATCH("达播",'假设-人工成本固定额'!$A$6:$A$16,0),7),0)</f>
        <v>0</v>
      </c>
      <c r="L107" s="348">
        <f>IFERROR(INDEX('假设-人工成本固定额'!$B$6:$CS$16,MATCH("达播",'假设-人工成本固定额'!$A$6:$A$16,0),15),0)</f>
        <v>0</v>
      </c>
      <c r="M107" s="348">
        <f>IFERROR(INDEX('假设-人工成本固定额'!$B$6:$CS$16,MATCH("达播",'假设-人工成本固定额'!$A$6:$A$16,0),23),0)</f>
        <v>0</v>
      </c>
      <c r="N107" s="348">
        <f>IFERROR(INDEX('假设-人工成本固定额'!$B$6:$CS$16,MATCH("达播",'假设-人工成本固定额'!$A$6:$A$16,0),31),0)</f>
        <v>0</v>
      </c>
      <c r="O107" s="348">
        <f>IFERROR(INDEX('假设-人工成本固定额'!$B$6:$CS$16,MATCH("达播",'假设-人工成本固定额'!$A$6:$A$16,0),39),0)</f>
        <v>0</v>
      </c>
      <c r="P107" s="348">
        <f>IFERROR(INDEX('假设-人工成本固定额'!$B$6:$CS$16,MATCH("达播",'假设-人工成本固定额'!$A$6:$A$16,0),47),0)</f>
        <v>0</v>
      </c>
      <c r="Q107" s="348">
        <f>IFERROR(IF(INDEX('假设-人工成本固定额'!$B$6:$CS$16,MATCH("达播",'假设-人工成本固定额'!$A$6:$A$16,0),55)="",AVERAGE($K107:$P107),INDEX('假设-人工成本固定额'!$B$6:$CS$16,MATCH("达播",'假设-人工成本固定额'!$A$6:$A$16,0),55)),AVERAGE($K107:$P107))</f>
        <v>0</v>
      </c>
      <c r="R107" s="348">
        <f>IFERROR(IF(INDEX('假设-人工成本固定额'!$B$6:$CS$16,MATCH("达播",'假设-人工成本固定额'!$A$6:$A$16,0),63)="",AVERAGE($K107:$P107),INDEX('假设-人工成本固定额'!$B$6:$CS$16,MATCH("达播",'假设-人工成本固定额'!$A$6:$A$16,0),63)),AVERAGE($K107:$P107))</f>
        <v>0</v>
      </c>
      <c r="S107" s="348">
        <f>IFERROR(IF(INDEX('假设-人工成本固定额'!$B$6:$CS$16,MATCH("达播",'假设-人工成本固定额'!$A$6:$A$16,0),71)="",AVERAGE($K107:$P107),INDEX('假设-人工成本固定额'!$B$6:$CS$16,MATCH("达播",'假设-人工成本固定额'!$A$6:$A$16,0),71)),AVERAGE($K107:$P107))</f>
        <v>0</v>
      </c>
      <c r="T107" s="348">
        <f>IFERROR(IF(INDEX('假设-人工成本固定额'!$B$6:$CS$16,MATCH("达播",'假设-人工成本固定额'!$A$6:$A$16,0),79)="",AVERAGE($K107:$P107),INDEX('假设-人工成本固定额'!$B$6:$CS$16,MATCH("达播",'假设-人工成本固定额'!$A$6:$A$16,0),79)),AVERAGE($K107:$P107))</f>
        <v>0</v>
      </c>
      <c r="U107" s="348">
        <f>IFERROR(IF(INDEX('假设-人工成本固定额'!$B$6:$CS$16,MATCH("达播",'假设-人工成本固定额'!$A$6:$A$16,0),87)="",AVERAGE($K107:$P107),INDEX('假设-人工成本固定额'!$B$6:$CS$16,MATCH("达播",'假设-人工成本固定额'!$A$6:$A$16,0),87)),AVERAGE($K107:$P107))</f>
        <v>0</v>
      </c>
      <c r="V107" s="348">
        <f>IFERROR(IF(INDEX('假设-人工成本固定额'!$B$6:$CS$16,MATCH("达播",'假设-人工成本固定额'!$A$6:$A$16,0),95)="",AVERAGE($K107:$P107),INDEX('假设-人工成本固定额'!$B$6:$CS$16,MATCH("达播",'假设-人工成本固定额'!$A$6:$A$16,0),95)),AVERAGE($K107:$P107))</f>
        <v>0</v>
      </c>
      <c r="W107" s="348">
        <f>AVERAGE(K107:V107)</f>
        <v>0</v>
      </c>
      <c r="X107" s="338"/>
      <c r="Y107" s="155"/>
      <c r="Z107" s="155"/>
      <c r="AA107" s="155"/>
      <c r="AB107" s="155"/>
      <c r="AC107" s="155"/>
      <c r="AD107" s="155"/>
      <c r="AE107" s="155"/>
      <c r="AG107" s="155"/>
      <c r="AH107" s="155"/>
      <c r="AI107" s="155"/>
      <c r="AJ107" s="155"/>
      <c r="AK107" s="155"/>
    </row>
    <row r="108" spans="1:38">
      <c r="E108" s="67" t="s">
        <v>52</v>
      </c>
      <c r="F108" s="67" t="s">
        <v>79</v>
      </c>
      <c r="G108" s="67" t="s">
        <v>82</v>
      </c>
      <c r="J108" s="348">
        <f>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Z$6:$Z$532,"&lt;&gt;")=0,$Y108,IFERROR(SUMIFS('参考值-平台费用率分析'!$Z$6:$Z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A$6:$AA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Y108))</f>
        <v>0</v>
      </c>
      <c r="K108" s="348">
        <f>IF(Z108&lt;&gt;"",Z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H$6:$H$532,"&lt;&gt;")=0,$J108,IFERROR(SUMIFS('参考值-平台费用率分析'!$H$6:$H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I$6:$I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L108" s="348">
        <f>IF(AA108&lt;&gt;"",AA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K$6:$K$532,"&lt;&gt;")=0,$J108,IFERROR(SUMIFS('参考值-平台费用率分析'!$K$6:$K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L$6:$L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M108" s="348">
        <f>IF(AB108&lt;&gt;"",AB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N$6:$N$532,"&lt;&gt;")=0,$J108,IFERROR(SUMIFS('参考值-平台费用率分析'!$N$6:$N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O$6:$O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N108" s="348">
        <f>IF(AC108&lt;&gt;"",AC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Q$6:$Q$532,"&lt;&gt;")=0,$J108,IFERROR(SUMIFS('参考值-平台费用率分析'!$Q$6:$Q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R$6:$R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O108" s="348">
        <f>IF(AD108&lt;&gt;"",AD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T$6:$T$532,"&lt;&gt;")=0,$J108,IFERROR(SUMIFS('参考值-平台费用率分析'!$T$6:$T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U$6:$U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P108" s="348">
        <f>IF(AE108&lt;&gt;"",AE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F$6:$AF$532,"已导入实际")=0,$J108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D$6:$AD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0</v>
      </c>
      <c r="Q108" s="348">
        <f>IF(AF108&lt;&gt;"",AF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F$6:$AF$532,"已导入实际")=0,$J108,IFERROR(SUMIFS('参考值-平台费用率分析'!$AC$6:$AC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D$6:$AD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R108" s="348">
        <f>IF(AG108&lt;&gt;"",AG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N$6:$AN$532,"已导入实际")=0,$J108,IFERROR(SUMIFS('参考值-平台费用率分析'!$AK$6:$AK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L$6:$AL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S108" s="348">
        <f>IF(AH108&lt;&gt;"",AH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R$6:$AR$532,"已导入实际")=0,$J108,IFERROR(SUMIFS('参考值-平台费用率分析'!$AO$6:$AO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P$6:$AP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T108" s="348">
        <f>IF(AI108&lt;&gt;"",AI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V$6:$AV$532,"已导入实际")=0,$J108,IFERROR(SUMIFS('参考值-平台费用率分析'!$AS$6:$AS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T$6:$AT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U108" s="348">
        <f>IF(AJ108&lt;&gt;"",AJ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Z$6:$AZ$532,"已导入实际")=0,$J108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X$6:$AX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V108" s="348">
        <f>IF(AK108&lt;&gt;"",AK108,IF(COUNTIFS('参考值-平台费用率分析'!$A$6:$A$532,"自营",'参考值-平台费用率分析'!$B$6:$B$532,"达播",'参考值-平台费用率分析'!$C$6:$C$532,"销售费用",'参考值-平台费用率分析'!$D$6:$D$532,$F108,'参考值-平台费用率分析'!$E$6:$E$532,$G108,'参考值-平台费用率分析'!$AZ$6:$AZ$532,"已导入实际")=0,$J108,IFERROR(SUMIFS('参考值-平台费用率分析'!$AW$6:$AW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/SUMIFS('参考值-平台费用率分析'!$AX$6:$AX$532,'参考值-平台费用率分析'!$A$6:$A$532,"自营",'参考值-平台费用率分析'!$B$6:$B$532,"达播",'参考值-平台费用率分析'!$C$6:$C$532,"销售费用",'参考值-平台费用率分析'!$D$6:$D$532,$F108,'参考值-平台费用率分析'!$E$6:$E$532,$G108),$J108)))</f>
        <v>7.4999999999999997E-3</v>
      </c>
      <c r="W108" s="348">
        <f>AVERAGE(K108:V108)</f>
        <v>3.7499999999999999E-3</v>
      </c>
      <c r="Y108" s="155">
        <v>7.1974016759798502E-3</v>
      </c>
      <c r="Z108" s="155"/>
      <c r="AA108" s="155"/>
      <c r="AB108" s="155"/>
      <c r="AC108" s="155"/>
      <c r="AD108" s="155"/>
      <c r="AE108" s="155"/>
      <c r="AF108" s="155">
        <v>7.4999999999999997E-3</v>
      </c>
      <c r="AG108" s="155">
        <v>7.4999999999999997E-3</v>
      </c>
      <c r="AH108" s="155">
        <v>7.4999999999999997E-3</v>
      </c>
      <c r="AI108" s="155">
        <v>7.4999999999999997E-3</v>
      </c>
      <c r="AJ108" s="155">
        <v>7.4999999999999997E-3</v>
      </c>
      <c r="AK108" s="155">
        <v>7.4999999999999997E-3</v>
      </c>
      <c r="AL108" s="338" t="s">
        <v>794</v>
      </c>
    </row>
    <row r="109" spans="1:38">
      <c r="K109" s="348"/>
      <c r="L109" s="348"/>
      <c r="M109" s="348"/>
      <c r="N109" s="348"/>
      <c r="O109" s="348"/>
      <c r="P109" s="348"/>
      <c r="Q109" s="348"/>
      <c r="R109" s="348"/>
      <c r="S109" s="348"/>
      <c r="T109" s="348"/>
      <c r="U109" s="348"/>
      <c r="V109" s="348"/>
      <c r="Z109" s="155"/>
      <c r="AA109" s="155"/>
      <c r="AB109" s="155"/>
      <c r="AC109" s="155"/>
      <c r="AD109" s="155"/>
      <c r="AE109" s="155"/>
      <c r="AF109" s="155"/>
      <c r="AG109" s="155"/>
      <c r="AH109" s="155"/>
      <c r="AI109" s="155"/>
      <c r="AJ109" s="155"/>
      <c r="AK109" s="155"/>
    </row>
    <row r="110" spans="1:38">
      <c r="B110" s="102" t="s">
        <v>227</v>
      </c>
      <c r="C110" s="102"/>
      <c r="K110" s="347"/>
      <c r="L110" s="347"/>
      <c r="M110" s="347"/>
      <c r="N110" s="347"/>
      <c r="O110" s="347"/>
      <c r="P110" s="347"/>
      <c r="Q110" s="347"/>
      <c r="R110" s="347"/>
      <c r="S110" s="347"/>
      <c r="T110" s="347"/>
      <c r="U110" s="347"/>
      <c r="V110" s="347"/>
      <c r="W110" s="344"/>
      <c r="Z110" s="155"/>
      <c r="AA110" s="155"/>
      <c r="AB110" s="155"/>
      <c r="AC110" s="155"/>
      <c r="AD110" s="155"/>
      <c r="AE110" s="155"/>
      <c r="AF110" s="155"/>
      <c r="AG110" s="155"/>
      <c r="AH110" s="155"/>
      <c r="AI110" s="155"/>
      <c r="AJ110" s="155"/>
      <c r="AK110" s="155"/>
    </row>
    <row r="111" spans="1:38">
      <c r="D111" s="67" t="s">
        <v>54</v>
      </c>
      <c r="J111" s="348">
        <f>SUM(J112:J115)+'假设-ROI月度滚动'!I14</f>
        <v>0.38815207462772694</v>
      </c>
      <c r="K111" s="347">
        <f>SUM(K112:K115)+'假设-ROI月度滚动'!J14</f>
        <v>0.24720926278322822</v>
      </c>
      <c r="L111" s="347">
        <f>SUM(L112:L115)+'假设-ROI月度滚动'!K14</f>
        <v>0.41708299742131161</v>
      </c>
      <c r="M111" s="347">
        <f>SUM(M112:M115)+'假设-ROI月度滚动'!L14</f>
        <v>0.28322679773532367</v>
      </c>
      <c r="N111" s="347">
        <f>SUM(N112:N115)+'假设-ROI月度滚动'!M14</f>
        <v>0.16880687959089169</v>
      </c>
      <c r="O111" s="347">
        <f>SUM(O112:O115)+'假设-ROI月度滚动'!N14</f>
        <v>0.5772294887250784</v>
      </c>
      <c r="P111" s="347">
        <f>SUM(P112:P115)+'假设-ROI月度滚动'!O14</f>
        <v>0.30395479035698725</v>
      </c>
      <c r="Q111" s="347">
        <f>SUM(Q112:Q115)+'假设-ROI月度滚动'!P14</f>
        <v>0.30395479035698725</v>
      </c>
      <c r="R111" s="347">
        <f>SUM(R112:R115)+'假设-ROI月度滚动'!Q14</f>
        <v>0.30395479035698725</v>
      </c>
      <c r="S111" s="347">
        <f>SUM(S112:S115)+'假设-ROI月度滚动'!R14</f>
        <v>0.30395479035698725</v>
      </c>
      <c r="T111" s="347">
        <f>SUM(T112:T115)+'假设-ROI月度滚动'!S14</f>
        <v>0.30395479035698725</v>
      </c>
      <c r="U111" s="347">
        <f>SUM(U112:U115)+'假设-ROI月度滚动'!T14</f>
        <v>0.30395479035698725</v>
      </c>
      <c r="V111" s="347">
        <f>SUM(V112:V115)+'假设-ROI月度滚动'!U14</f>
        <v>0.30395479035698725</v>
      </c>
      <c r="W111" s="349">
        <f>IFERROR(AVERAGE(K111:V111),0)</f>
        <v>0.31843657989622859</v>
      </c>
      <c r="Z111" s="155"/>
      <c r="AA111" s="155"/>
      <c r="AB111" s="155"/>
      <c r="AC111" s="155"/>
      <c r="AD111" s="155"/>
      <c r="AE111" s="155"/>
      <c r="AF111" s="155"/>
      <c r="AG111" s="155"/>
      <c r="AH111" s="155"/>
      <c r="AI111" s="155"/>
      <c r="AJ111" s="155"/>
      <c r="AK111" s="155"/>
    </row>
    <row r="112" spans="1:38">
      <c r="E112" s="67" t="s">
        <v>52</v>
      </c>
      <c r="F112" s="67" t="s">
        <v>54</v>
      </c>
      <c r="G112" s="67" t="s">
        <v>58</v>
      </c>
      <c r="J112" s="348">
        <f>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Z$6:$Z$532,"&lt;&gt;")=0,$Y112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Y112))</f>
        <v>0</v>
      </c>
      <c r="K112" s="348">
        <f>IF(Z112&lt;&gt;"",Z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H$6:$H$532,"&lt;&gt;")=0,$J112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I$6:$I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L112" s="348">
        <f>IF(AA112&lt;&gt;"",AA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K$6:$K$532,"&lt;&gt;")=0,$J112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L$6:$L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M112" s="348">
        <f>IF(AB112&lt;&gt;"",AB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N$6:$N$532,"&lt;&gt;")=0,$J112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O$6:$O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N112" s="348">
        <f>IF(AC112&lt;&gt;"",AC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Q$6:$Q$532,"&lt;&gt;")=0,$J112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R$6:$R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O112" s="348">
        <f>IF(AD112&lt;&gt;"",AD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T$6:$T$532,"&lt;&gt;")=0,$J112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U$6:$U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P112" s="348">
        <f>IF(AE112&lt;&gt;"",AE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F$6:$AF$532,"已导入实际")=0,$J112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Q112" s="348">
        <f>IF(AF112&lt;&gt;"",AF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J$6:$AJ$532,"已导入实际")=0,$J112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R112" s="348">
        <f>IF(AG112&lt;&gt;"",AG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N$6:$AN$532,"已导入实际")=0,$J112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S112" s="348">
        <f>IF(AH112&lt;&gt;"",AH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R$6:$AR$532,"已导入实际")=0,$J112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T112" s="348">
        <f>IF(AI112&lt;&gt;"",AI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V$6:$AV$532,"已导入实际")=0,$J112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U112" s="348">
        <f>IF(AJ112&lt;&gt;"",AJ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Z$6:$AZ$532,"已导入实际")=0,$J112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V112" s="348">
        <f>IF(AK112&lt;&gt;"",AK112,IF(COUNTIFS('参考值-平台费用率分析'!$A$6:$A$532,"自营",'参考值-平台费用率分析'!$B$6:$B$532,"拼多多",'参考值-平台费用率分析'!$C$6:$C$532,"销售费用",'参考值-平台费用率分析'!$D$6:$D$532,$F112,'参考值-平台费用率分析'!$E$6:$E$532,$G112,'参考值-平台费用率分析'!$AZ$6:$AZ$532,"已导入实际")=0,$J112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112,'参考值-平台费用率分析'!$E$6:$E$532,$G112),$J112)))</f>
        <v>0</v>
      </c>
      <c r="W112" s="348">
        <f>(K112*'假设-目标渠道分解'!L$13+L112*'假设-目标渠道分解'!M$13+M112*'假设-目标渠道分解'!N$13+N112*'假设-目标渠道分解'!O$13+O112*'假设-目标渠道分解'!P$13+P112*'假设-目标渠道分解'!Q$13+Q112*'假设-目标渠道分解'!R$13+R112*'假设-目标渠道分解'!S$13+S112*'假设-目标渠道分解'!T$13+T112*'假设-目标渠道分解'!U$13+U112*'假设-目标渠道分解'!V$13+V112*'假设-目标渠道分解'!W$13)/'假设-目标渠道分解'!J$13</f>
        <v>0</v>
      </c>
      <c r="Y112" s="155">
        <v>0</v>
      </c>
      <c r="Z112" s="155"/>
      <c r="AA112" s="155"/>
      <c r="AB112" s="155"/>
      <c r="AC112" s="155"/>
      <c r="AD112" s="155"/>
      <c r="AE112" s="155"/>
      <c r="AF112" s="155"/>
      <c r="AG112" s="155"/>
      <c r="AH112" s="155"/>
      <c r="AI112" s="155"/>
      <c r="AJ112" s="155"/>
      <c r="AK112" s="155"/>
      <c r="AL112" s="338" t="s">
        <v>794</v>
      </c>
    </row>
    <row r="113" spans="4:38">
      <c r="E113" s="67" t="s">
        <v>52</v>
      </c>
      <c r="F113" s="67" t="s">
        <v>54</v>
      </c>
      <c r="G113" s="67" t="s">
        <v>59</v>
      </c>
      <c r="J113" s="348">
        <f>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Z$6:$Z$532,"&lt;&gt;")=0,$Y113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Y113))</f>
        <v>0</v>
      </c>
      <c r="K113" s="348">
        <f>IF(Z113&lt;&gt;"",Z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H$6:$H$532,"&lt;&gt;")=0,$J113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I$6:$I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L113" s="348">
        <f>IF(AA113&lt;&gt;"",AA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K$6:$K$532,"&lt;&gt;")=0,$J113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L$6:$L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M113" s="348">
        <f>IF(AB113&lt;&gt;"",AB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N$6:$N$532,"&lt;&gt;")=0,$J113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O$6:$O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N113" s="348">
        <f>IF(AC113&lt;&gt;"",AC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Q$6:$Q$532,"&lt;&gt;")=0,$J113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R$6:$R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O113" s="348">
        <f>IF(AD113&lt;&gt;"",AD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T$6:$T$532,"&lt;&gt;")=0,$J113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U$6:$U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P113" s="348">
        <f>IF(AE113&lt;&gt;"",AE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F$6:$AF$532,"已导入实际")=0,$J113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Q113" s="348">
        <f>IF(AF113&lt;&gt;"",AF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J$6:$AJ$532,"已导入实际")=0,$J113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R113" s="348">
        <f>IF(AG113&lt;&gt;"",AG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N$6:$AN$532,"已导入实际")=0,$J113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S113" s="348">
        <f>IF(AH113&lt;&gt;"",AH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R$6:$AR$532,"已导入实际")=0,$J113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T113" s="348">
        <f>IF(AI113&lt;&gt;"",AI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V$6:$AV$532,"已导入实际")=0,$J113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U113" s="348">
        <f>IF(AJ113&lt;&gt;"",AJ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Z$6:$AZ$532,"已导入实际")=0,$J113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V113" s="348">
        <f>IF(AK113&lt;&gt;"",AK113,IF(COUNTIFS('参考值-平台费用率分析'!$A$6:$A$532,"自营",'参考值-平台费用率分析'!$B$6:$B$532,"拼多多",'参考值-平台费用率分析'!$C$6:$C$532,"销售费用",'参考值-平台费用率分析'!$D$6:$D$532,$F113,'参考值-平台费用率分析'!$E$6:$E$532,$G113,'参考值-平台费用率分析'!$AZ$6:$AZ$532,"已导入实际")=0,$J113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113,'参考值-平台费用率分析'!$E$6:$E$532,$G113),$J113)))</f>
        <v>0</v>
      </c>
      <c r="W113" s="348">
        <f>(K113*'假设-目标渠道分解'!L$13+L113*'假设-目标渠道分解'!M$13+M113*'假设-目标渠道分解'!N$13+N113*'假设-目标渠道分解'!O$13+O113*'假设-目标渠道分解'!P$13+P113*'假设-目标渠道分解'!Q$13+Q113*'假设-目标渠道分解'!R$13+R113*'假设-目标渠道分解'!S$13+S113*'假设-目标渠道分解'!T$13+T113*'假设-目标渠道分解'!U$13+U113*'假设-目标渠道分解'!V$13+V113*'假设-目标渠道分解'!W$13)/'假设-目标渠道分解'!J$13</f>
        <v>0</v>
      </c>
      <c r="Y113" s="155">
        <v>0</v>
      </c>
      <c r="Z113" s="155"/>
      <c r="AA113" s="155"/>
      <c r="AB113" s="155"/>
      <c r="AC113" s="155"/>
      <c r="AD113" s="155"/>
      <c r="AE113" s="155"/>
      <c r="AF113" s="155"/>
      <c r="AG113" s="155"/>
      <c r="AH113" s="155"/>
      <c r="AI113" s="155"/>
      <c r="AJ113" s="155"/>
      <c r="AK113" s="155"/>
      <c r="AL113" s="338" t="s">
        <v>794</v>
      </c>
    </row>
    <row r="114" spans="4:38">
      <c r="E114" s="67" t="s">
        <v>52</v>
      </c>
      <c r="F114" s="67" t="s">
        <v>54</v>
      </c>
      <c r="G114" s="67" t="s">
        <v>60</v>
      </c>
      <c r="J114" s="348">
        <f>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Z$6:$Z$532,"&lt;&gt;")=0,$Y114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Y114))</f>
        <v>0</v>
      </c>
      <c r="K114" s="348">
        <f>IF(Z114&lt;&gt;"",Z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H$6:$H$532,"&lt;&gt;")=0,$J114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I$6:$I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L114" s="348">
        <f>IF(AA114&lt;&gt;"",AA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K$6:$K$532,"&lt;&gt;")=0,$J114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L$6:$L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M114" s="348">
        <f>IF(AB114&lt;&gt;"",AB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N$6:$N$532,"&lt;&gt;")=0,$J114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O$6:$O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N114" s="348">
        <f>IF(AC114&lt;&gt;"",AC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Q$6:$Q$532,"&lt;&gt;")=0,$J114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R$6:$R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O114" s="348">
        <f>IF(AD114&lt;&gt;"",AD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T$6:$T$532,"&lt;&gt;")=0,$J114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U$6:$U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P114" s="348">
        <f>IF(AE114&lt;&gt;"",AE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F$6:$AF$532,"已导入实际")=0,$J114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Q114" s="348">
        <f>IF(AF114&lt;&gt;"",AF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J$6:$AJ$532,"已导入实际")=0,$J114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R114" s="348">
        <f>IF(AG114&lt;&gt;"",AG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N$6:$AN$532,"已导入实际")=0,$J114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S114" s="348">
        <f>IF(AH114&lt;&gt;"",AH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R$6:$AR$532,"已导入实际")=0,$J114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T114" s="348">
        <f>IF(AI114&lt;&gt;"",AI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V$6:$AV$532,"已导入实际")=0,$J114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U114" s="348">
        <f>IF(AJ114&lt;&gt;"",AJ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Z$6:$AZ$532,"已导入实际")=0,$J114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V114" s="348">
        <f>IF(AK114&lt;&gt;"",AK114,IF(COUNTIFS('参考值-平台费用率分析'!$A$6:$A$532,"自营",'参考值-平台费用率分析'!$B$6:$B$532,"拼多多",'参考值-平台费用率分析'!$C$6:$C$532,"销售费用",'参考值-平台费用率分析'!$D$6:$D$532,$F114,'参考值-平台费用率分析'!$E$6:$E$532,$G114,'参考值-平台费用率分析'!$AZ$6:$AZ$532,"已导入实际")=0,$J114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114,'参考值-平台费用率分析'!$E$6:$E$532,$G114),$J114)))</f>
        <v>0</v>
      </c>
      <c r="W114" s="348">
        <f>(K114*'假设-目标渠道分解'!L$13+L114*'假设-目标渠道分解'!M$13+M114*'假设-目标渠道分解'!N$13+N114*'假设-目标渠道分解'!O$13+O114*'假设-目标渠道分解'!P$13+P114*'假设-目标渠道分解'!Q$13+Q114*'假设-目标渠道分解'!R$13+R114*'假设-目标渠道分解'!S$13+S114*'假设-目标渠道分解'!T$13+T114*'假设-目标渠道分解'!U$13+U114*'假设-目标渠道分解'!V$13+V114*'假设-目标渠道分解'!W$13)/'假设-目标渠道分解'!J$13</f>
        <v>0</v>
      </c>
      <c r="Y114" s="155">
        <v>0</v>
      </c>
      <c r="Z114" s="155"/>
      <c r="AA114" s="155"/>
      <c r="AB114" s="155"/>
      <c r="AC114" s="155"/>
      <c r="AD114" s="155"/>
      <c r="AE114" s="155"/>
      <c r="AF114" s="155"/>
      <c r="AG114" s="155"/>
      <c r="AH114" s="155"/>
      <c r="AI114" s="155"/>
      <c r="AJ114" s="155"/>
      <c r="AK114" s="155"/>
      <c r="AL114" s="338" t="s">
        <v>794</v>
      </c>
    </row>
    <row r="115" spans="4:38">
      <c r="E115" s="67" t="s">
        <v>52</v>
      </c>
      <c r="F115" s="67" t="s">
        <v>54</v>
      </c>
      <c r="G115" s="67" t="s">
        <v>61</v>
      </c>
      <c r="J115" s="348">
        <f>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Z$6:$Z$532,"&lt;&gt;")=0,$Y115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Y115))</f>
        <v>3.6544900566869223E-3</v>
      </c>
      <c r="K115" s="348">
        <f>IF(Z115&lt;&gt;"",Z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H$6:$H$532,"&lt;&gt;")=0,$J115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I$6:$I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2.2839901382202207E-2</v>
      </c>
      <c r="L115" s="348">
        <f>IF(AA115&lt;&gt;"",AA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K$6:$K$532,"&lt;&gt;")=0,$J115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L$6:$L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1.0625297807571606E-2</v>
      </c>
      <c r="M115" s="348">
        <f>IF(AB115&lt;&gt;"",AB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N$6:$N$532,"&lt;&gt;")=0,$J115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O$6:$O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1.9065857073455643E-2</v>
      </c>
      <c r="N115" s="348">
        <f>IF(AC115&lt;&gt;"",AC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Q$6:$Q$532,"&lt;&gt;")=0,$J115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R$6:$R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-1.2040324564603288E-2</v>
      </c>
      <c r="O115" s="348">
        <f>IF(AD115&lt;&gt;"",AD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T$6:$T$532,"&lt;&gt;")=0,$J115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U$6:$U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5.3281686800924601E-3</v>
      </c>
      <c r="P115" s="350">
        <f>IF(AE115&lt;&gt;"",AE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F$6:$AF$532,"已导入实际")=0,$J115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Q115" s="350">
        <f>IF(AF115&lt;&gt;"",AF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J$6:$AJ$532,"已导入实际")=0,$J115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R115" s="350">
        <f>IF(AG115&lt;&gt;"",AG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N$6:$AN$532,"已导入实际")=0,$J115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S115" s="350">
        <f>IF(AH115&lt;&gt;"",AH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R$6:$AR$532,"已导入实际")=0,$J115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T115" s="350">
        <f>IF(AI115&lt;&gt;"",AI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V$6:$AV$532,"已导入实际")=0,$J115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U115" s="350">
        <f>IF(AJ115&lt;&gt;"",AJ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Z$6:$AZ$532,"已导入实际")=0,$J115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V115" s="350">
        <f>IF(AK115&lt;&gt;"",AK115,IF(COUNTIFS('参考值-平台费用率分析'!$A$6:$A$532,"自营",'参考值-平台费用率分析'!$B$6:$B$532,"拼多多",'参考值-平台费用率分析'!$C$6:$C$532,"销售费用",'参考值-平台费用率分析'!$D$6:$D$532,$F115,'参考值-平台费用率分析'!$E$6:$E$532,$G115,'参考值-平台费用率分析'!$AZ$6:$AZ$532,"已导入实际")=0,$J115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115,'参考值-平台费用率分析'!$E$6:$E$532,$G115),$J115)))</f>
        <v>3.6544900566869223E-3</v>
      </c>
      <c r="W115" s="348">
        <f>(K115*'假设-目标渠道分解'!L$13+L115*'假设-目标渠道分解'!M$13+M115*'假设-目标渠道分解'!N$13+N115*'假设-目标渠道分解'!O$13+O115*'假设-目标渠道分解'!P$13+P115*'假设-目标渠道分解'!Q$13+Q115*'假设-目标渠道分解'!R$13+R115*'假设-目标渠道分解'!S$13+S115*'假设-目标渠道分解'!T$13+T115*'假设-目标渠道分解'!U$13+U115*'假设-目标渠道分解'!V$13+V115*'假设-目标渠道分解'!W$13)/'假设-目标渠道分解'!J$13</f>
        <v>5.560946706761577E-3</v>
      </c>
      <c r="Y115" s="155">
        <v>1.03199299261875E-2</v>
      </c>
      <c r="Z115" s="155"/>
      <c r="AA115" s="155"/>
      <c r="AB115" s="155"/>
      <c r="AC115" s="155"/>
      <c r="AD115" s="155"/>
      <c r="AE115" s="155"/>
      <c r="AF115" s="155"/>
      <c r="AG115" s="155"/>
      <c r="AH115" s="155"/>
      <c r="AI115" s="155"/>
      <c r="AJ115" s="155"/>
      <c r="AK115" s="155"/>
      <c r="AL115" s="338" t="s">
        <v>794</v>
      </c>
    </row>
    <row r="116" spans="4:38">
      <c r="D116" s="67" t="s">
        <v>65</v>
      </c>
      <c r="J116" s="348">
        <v>0</v>
      </c>
      <c r="K116" s="348">
        <f t="shared" ref="K116:W116" si="16">SUM(K117:K120)</f>
        <v>0</v>
      </c>
      <c r="L116" s="348">
        <f t="shared" si="16"/>
        <v>0</v>
      </c>
      <c r="M116" s="348">
        <f t="shared" si="16"/>
        <v>0</v>
      </c>
      <c r="N116" s="348">
        <f t="shared" si="16"/>
        <v>0</v>
      </c>
      <c r="O116" s="348">
        <f t="shared" si="16"/>
        <v>0</v>
      </c>
      <c r="P116" s="348">
        <f t="shared" si="16"/>
        <v>0</v>
      </c>
      <c r="Q116" s="348">
        <f t="shared" si="16"/>
        <v>0</v>
      </c>
      <c r="R116" s="348">
        <f t="shared" si="16"/>
        <v>0</v>
      </c>
      <c r="S116" s="348">
        <f t="shared" si="16"/>
        <v>0</v>
      </c>
      <c r="T116" s="348">
        <f t="shared" si="16"/>
        <v>0</v>
      </c>
      <c r="U116" s="348">
        <f t="shared" si="16"/>
        <v>0</v>
      </c>
      <c r="V116" s="348">
        <f t="shared" si="16"/>
        <v>0</v>
      </c>
      <c r="W116" s="349">
        <f t="shared" si="16"/>
        <v>0</v>
      </c>
      <c r="Z116" s="155"/>
      <c r="AA116" s="155"/>
      <c r="AB116" s="155"/>
      <c r="AC116" s="155"/>
      <c r="AD116" s="155"/>
      <c r="AE116" s="155"/>
      <c r="AF116" s="155"/>
      <c r="AG116" s="155"/>
      <c r="AH116" s="155"/>
      <c r="AI116" s="155"/>
      <c r="AJ116" s="155"/>
      <c r="AK116" s="155"/>
    </row>
    <row r="117" spans="4:38">
      <c r="E117" s="67" t="s">
        <v>52</v>
      </c>
      <c r="F117" s="67" t="s">
        <v>65</v>
      </c>
      <c r="G117" s="67" t="s">
        <v>66</v>
      </c>
      <c r="J117" s="348">
        <f>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Z$6:$Z$532,"&lt;&gt;")=0,$Y117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Y117))</f>
        <v>0</v>
      </c>
      <c r="K117" s="348">
        <f>IF(Z117&lt;&gt;"",Z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H$6:$H$532,"&lt;&gt;")=0,$J117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I$6:$I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L117" s="348">
        <f>IF(AA117&lt;&gt;"",AA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K$6:$K$532,"&lt;&gt;")=0,$J117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L$6:$L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M117" s="348">
        <f>IF(AB117&lt;&gt;"",AB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N$6:$N$532,"&lt;&gt;")=0,$J117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O$6:$O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N117" s="348">
        <f>IF(AC117&lt;&gt;"",AC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Q$6:$Q$532,"&lt;&gt;")=0,$J117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R$6:$R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O117" s="348">
        <f>IF(AD117&lt;&gt;"",AD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T$6:$T$532,"&lt;&gt;")=0,$J117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U$6:$U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P117" s="347">
        <f>IF(AE117&lt;&gt;"",AE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F$6:$AF$532,"已导入实际")=0,$J117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Q117" s="347">
        <f>IF(AF117&lt;&gt;"",AF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J$6:$AJ$532,"已导入实际")=0,$J117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R117" s="347">
        <f>IF(AG117&lt;&gt;"",AG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N$6:$AN$532,"已导入实际")=0,$J117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S117" s="347">
        <f>IF(AH117&lt;&gt;"",AH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R$6:$AR$532,"已导入实际")=0,$J117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T117" s="347">
        <f>IF(AI117&lt;&gt;"",AI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V$6:$AV$532,"已导入实际")=0,$J117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U117" s="347">
        <f>IF(AJ117&lt;&gt;"",AJ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Z$6:$AZ$532,"已导入实际")=0,$J117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V117" s="347">
        <f>IF(AK117&lt;&gt;"",AK117,IF(COUNTIFS('参考值-平台费用率分析'!$A$6:$A$532,"自营",'参考值-平台费用率分析'!$B$6:$B$532,"拼多多",'参考值-平台费用率分析'!$C$6:$C$532,"销售费用",'参考值-平台费用率分析'!$D$6:$D$532,$F117,'参考值-平台费用率分析'!$E$6:$E$532,$G117,'参考值-平台费用率分析'!$AZ$6:$AZ$532,"已导入实际")=0,$J117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117,'参考值-平台费用率分析'!$E$6:$E$532,$G117),$J117)))</f>
        <v>0</v>
      </c>
      <c r="W117" s="348">
        <f>(K117*'假设-目标渠道分解'!L$13+L117*'假设-目标渠道分解'!M$13+M117*'假设-目标渠道分解'!N$13+N117*'假设-目标渠道分解'!O$13+O117*'假设-目标渠道分解'!P$13+P117*'假设-目标渠道分解'!Q$13+Q117*'假设-目标渠道分解'!R$13+R117*'假设-目标渠道分解'!S$13+S117*'假设-目标渠道分解'!T$13+T117*'假设-目标渠道分解'!U$13+U117*'假设-目标渠道分解'!V$13+V117*'假设-目标渠道分解'!W$13)/'假设-目标渠道分解'!J$13</f>
        <v>0</v>
      </c>
      <c r="Y117" s="155">
        <v>0</v>
      </c>
      <c r="Z117" s="155"/>
      <c r="AA117" s="155"/>
      <c r="AB117" s="155"/>
      <c r="AC117" s="155"/>
      <c r="AD117" s="155"/>
      <c r="AE117" s="155"/>
      <c r="AF117" s="155"/>
      <c r="AG117" s="155"/>
      <c r="AH117" s="155"/>
      <c r="AI117" s="155"/>
      <c r="AJ117" s="155"/>
      <c r="AK117" s="155"/>
      <c r="AL117" s="338" t="s">
        <v>794</v>
      </c>
    </row>
    <row r="118" spans="4:38">
      <c r="E118" s="67" t="s">
        <v>52</v>
      </c>
      <c r="F118" s="67" t="s">
        <v>65</v>
      </c>
      <c r="G118" s="67" t="s">
        <v>67</v>
      </c>
      <c r="J118" s="348">
        <f>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Z$6:$Z$532,"&lt;&gt;")=0,$Y118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Y118))</f>
        <v>0</v>
      </c>
      <c r="K118" s="348">
        <f>IF(Z118&lt;&gt;"",Z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H$6:$H$532,"&lt;&gt;")=0,$J118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I$6:$I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L118" s="348">
        <f>IF(AA118&lt;&gt;"",AA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K$6:$K$532,"&lt;&gt;")=0,$J118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L$6:$L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M118" s="348">
        <f>IF(AB118&lt;&gt;"",AB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N$6:$N$532,"&lt;&gt;")=0,$J118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O$6:$O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N118" s="348">
        <f>IF(AC118&lt;&gt;"",AC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Q$6:$Q$532,"&lt;&gt;")=0,$J118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R$6:$R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O118" s="348">
        <f>IF(AD118&lt;&gt;"",AD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T$6:$T$532,"&lt;&gt;")=0,$J118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U$6:$U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P118" s="347">
        <f>IF(AE118&lt;&gt;"",AE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F$6:$AF$532,"已导入实际")=0,$J118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Q118" s="347">
        <f>IF(AF118&lt;&gt;"",AF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J$6:$AJ$532,"已导入实际")=0,$J118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R118" s="347">
        <f>IF(AG118&lt;&gt;"",AG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N$6:$AN$532,"已导入实际")=0,$J118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S118" s="347">
        <f>IF(AH118&lt;&gt;"",AH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R$6:$AR$532,"已导入实际")=0,$J118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T118" s="347">
        <f>IF(AI118&lt;&gt;"",AI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V$6:$AV$532,"已导入实际")=0,$J118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U118" s="347">
        <f>IF(AJ118&lt;&gt;"",AJ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Z$6:$AZ$532,"已导入实际")=0,$J118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V118" s="347">
        <f>IF(AK118&lt;&gt;"",AK118,IF(COUNTIFS('参考值-平台费用率分析'!$A$6:$A$532,"自营",'参考值-平台费用率分析'!$B$6:$B$532,"拼多多",'参考值-平台费用率分析'!$C$6:$C$532,"销售费用",'参考值-平台费用率分析'!$D$6:$D$532,$F118,'参考值-平台费用率分析'!$E$6:$E$532,$G118,'参考值-平台费用率分析'!$AZ$6:$AZ$532,"已导入实际")=0,$J118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118,'参考值-平台费用率分析'!$E$6:$E$532,$G118),$J118)))</f>
        <v>0</v>
      </c>
      <c r="W118" s="348">
        <f>(K118*'假设-目标渠道分解'!L$13+L118*'假设-目标渠道分解'!M$13+M118*'假设-目标渠道分解'!N$13+N118*'假设-目标渠道分解'!O$13+O118*'假设-目标渠道分解'!P$13+P118*'假设-目标渠道分解'!Q$13+Q118*'假设-目标渠道分解'!R$13+R118*'假设-目标渠道分解'!S$13+S118*'假设-目标渠道分解'!T$13+T118*'假设-目标渠道分解'!U$13+U118*'假设-目标渠道分解'!V$13+V118*'假设-目标渠道分解'!W$13)/'假设-目标渠道分解'!J$13</f>
        <v>0</v>
      </c>
      <c r="Y118" s="155">
        <v>0</v>
      </c>
      <c r="Z118" s="155"/>
      <c r="AA118" s="155"/>
      <c r="AB118" s="155"/>
      <c r="AC118" s="155"/>
      <c r="AD118" s="155"/>
      <c r="AE118" s="155"/>
      <c r="AF118" s="155"/>
      <c r="AG118" s="155"/>
      <c r="AH118" s="155"/>
      <c r="AI118" s="155"/>
      <c r="AJ118" s="155"/>
      <c r="AK118" s="155"/>
      <c r="AL118" s="338" t="s">
        <v>794</v>
      </c>
    </row>
    <row r="119" spans="4:38">
      <c r="E119" s="67" t="s">
        <v>52</v>
      </c>
      <c r="F119" s="67" t="s">
        <v>65</v>
      </c>
      <c r="G119" s="67" t="s">
        <v>68</v>
      </c>
      <c r="J119" s="348">
        <f>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Z$6:$Z$532,"&lt;&gt;")=0,$Y119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Y119))</f>
        <v>0</v>
      </c>
      <c r="K119" s="348">
        <f>IF(Z119&lt;&gt;"",Z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H$6:$H$532,"&lt;&gt;")=0,$J119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I$6:$I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L119" s="348">
        <f>IF(AA119&lt;&gt;"",AA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K$6:$K$532,"&lt;&gt;")=0,$J119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L$6:$L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M119" s="348">
        <f>IF(AB119&lt;&gt;"",AB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N$6:$N$532,"&lt;&gt;")=0,$J119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O$6:$O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N119" s="348">
        <f>IF(AC119&lt;&gt;"",AC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Q$6:$Q$532,"&lt;&gt;")=0,$J119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R$6:$R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O119" s="348">
        <f>IF(AD119&lt;&gt;"",AD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T$6:$T$532,"&lt;&gt;")=0,$J119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U$6:$U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P119" s="348">
        <f>IF(AE119&lt;&gt;"",AE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F$6:$AF$532,"已导入实际")=0,$J119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Q119" s="348">
        <f>IF(AF119&lt;&gt;"",AF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J$6:$AJ$532,"已导入实际")=0,$J119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R119" s="348">
        <f>IF(AG119&lt;&gt;"",AG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N$6:$AN$532,"已导入实际")=0,$J119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S119" s="348">
        <f>IF(AH119&lt;&gt;"",AH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R$6:$AR$532,"已导入实际")=0,$J119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T119" s="348">
        <f>IF(AI119&lt;&gt;"",AI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V$6:$AV$532,"已导入实际")=0,$J119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U119" s="348">
        <f>IF(AJ119&lt;&gt;"",AJ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Z$6:$AZ$532,"已导入实际")=0,$J119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V119" s="348">
        <f>IF(AK119&lt;&gt;"",AK119,IF(COUNTIFS('参考值-平台费用率分析'!$A$6:$A$532,"自营",'参考值-平台费用率分析'!$B$6:$B$532,"拼多多",'参考值-平台费用率分析'!$C$6:$C$532,"销售费用",'参考值-平台费用率分析'!$D$6:$D$532,$F119,'参考值-平台费用率分析'!$E$6:$E$532,$G119,'参考值-平台费用率分析'!$AZ$6:$AZ$532,"已导入实际")=0,$J119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119,'参考值-平台费用率分析'!$E$6:$E$532,$G119),$J119)))</f>
        <v>0</v>
      </c>
      <c r="W119" s="348">
        <f>(K119*'假设-目标渠道分解'!L$13+L119*'假设-目标渠道分解'!M$13+M119*'假设-目标渠道分解'!N$13+N119*'假设-目标渠道分解'!O$13+O119*'假设-目标渠道分解'!P$13+P119*'假设-目标渠道分解'!Q$13+Q119*'假设-目标渠道分解'!R$13+R119*'假设-目标渠道分解'!S$13+S119*'假设-目标渠道分解'!T$13+T119*'假设-目标渠道分解'!U$13+U119*'假设-目标渠道分解'!V$13+V119*'假设-目标渠道分解'!W$13)/'假设-目标渠道分解'!J$13</f>
        <v>0</v>
      </c>
      <c r="Y119" s="155">
        <v>0</v>
      </c>
      <c r="Z119" s="155"/>
      <c r="AA119" s="155"/>
      <c r="AB119" s="155"/>
      <c r="AC119" s="155"/>
      <c r="AD119" s="155"/>
      <c r="AE119" s="155"/>
      <c r="AF119" s="155"/>
      <c r="AG119" s="155"/>
      <c r="AH119" s="155"/>
      <c r="AI119" s="155"/>
      <c r="AJ119" s="155"/>
      <c r="AK119" s="155"/>
      <c r="AL119" s="338" t="s">
        <v>794</v>
      </c>
    </row>
    <row r="120" spans="4:38">
      <c r="E120" s="67" t="s">
        <v>52</v>
      </c>
      <c r="F120" s="67" t="s">
        <v>65</v>
      </c>
      <c r="G120" s="67" t="s">
        <v>69</v>
      </c>
      <c r="J120" s="348">
        <f>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Z$6:$Z$532,"&lt;&gt;")=0,$Y120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Y120))</f>
        <v>0</v>
      </c>
      <c r="K120" s="348">
        <f>IF(Z120&lt;&gt;"",Z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H$6:$H$532,"&lt;&gt;")=0,$J120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I$6:$I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L120" s="348">
        <f>IF(AA120&lt;&gt;"",AA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K$6:$K$532,"&lt;&gt;")=0,$J120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L$6:$L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M120" s="348">
        <f>IF(AB120&lt;&gt;"",AB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N$6:$N$532,"&lt;&gt;")=0,$J120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O$6:$O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N120" s="348">
        <f>IF(AC120&lt;&gt;"",AC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Q$6:$Q$532,"&lt;&gt;")=0,$J120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R$6:$R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O120" s="348">
        <f>IF(AD120&lt;&gt;"",AD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T$6:$T$532,"&lt;&gt;")=0,$J120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U$6:$U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P120" s="348">
        <f>IF(AE120&lt;&gt;"",AE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F$6:$AF$532,"已导入实际")=0,$J120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Q120" s="348">
        <f>IF(AF120&lt;&gt;"",AF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J$6:$AJ$532,"已导入实际")=0,$J120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R120" s="348">
        <f>IF(AG120&lt;&gt;"",AG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N$6:$AN$532,"已导入实际")=0,$J120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S120" s="348">
        <f>IF(AH120&lt;&gt;"",AH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R$6:$AR$532,"已导入实际")=0,$J120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T120" s="348">
        <f>IF(AI120&lt;&gt;"",AI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V$6:$AV$532,"已导入实际")=0,$J120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U120" s="348">
        <f>IF(AJ120&lt;&gt;"",AJ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Z$6:$AZ$532,"已导入实际")=0,$J120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V120" s="348">
        <f>IF(AK120&lt;&gt;"",AK120,IF(COUNTIFS('参考值-平台费用率分析'!$A$6:$A$532,"自营",'参考值-平台费用率分析'!$B$6:$B$532,"拼多多",'参考值-平台费用率分析'!$C$6:$C$532,"销售费用",'参考值-平台费用率分析'!$D$6:$D$532,$F120,'参考值-平台费用率分析'!$E$6:$E$532,$G120,'参考值-平台费用率分析'!$AZ$6:$AZ$532,"已导入实际")=0,$J120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120,'参考值-平台费用率分析'!$E$6:$E$532,$G120),$J120)))</f>
        <v>0</v>
      </c>
      <c r="W120" s="348">
        <f>(K120*'假设-目标渠道分解'!L$13+L120*'假设-目标渠道分解'!M$13+M120*'假设-目标渠道分解'!N$13+N120*'假设-目标渠道分解'!O$13+O120*'假设-目标渠道分解'!P$13+P120*'假设-目标渠道分解'!Q$13+Q120*'假设-目标渠道分解'!R$13+R120*'假设-目标渠道分解'!S$13+S120*'假设-目标渠道分解'!T$13+T120*'假设-目标渠道分解'!U$13+U120*'假设-目标渠道分解'!V$13+V120*'假设-目标渠道分解'!W$13)/'假设-目标渠道分解'!J$13</f>
        <v>0</v>
      </c>
      <c r="Y120" s="155">
        <v>0</v>
      </c>
      <c r="Z120" s="155"/>
      <c r="AA120" s="155"/>
      <c r="AB120" s="155"/>
      <c r="AC120" s="155"/>
      <c r="AD120" s="155"/>
      <c r="AE120" s="155"/>
      <c r="AF120" s="155"/>
      <c r="AG120" s="155"/>
      <c r="AH120" s="155"/>
      <c r="AI120" s="155"/>
      <c r="AJ120" s="155"/>
      <c r="AK120" s="155"/>
      <c r="AL120" s="338" t="s">
        <v>794</v>
      </c>
    </row>
    <row r="121" spans="4:38">
      <c r="D121" s="67" t="s">
        <v>70</v>
      </c>
      <c r="J121" s="348">
        <v>0</v>
      </c>
      <c r="K121" s="348">
        <f t="shared" ref="K121:W121" si="17">SUM(K122:K124)</f>
        <v>0.13506238028679401</v>
      </c>
      <c r="L121" s="348">
        <f t="shared" si="17"/>
        <v>0.11400844828771958</v>
      </c>
      <c r="M121" s="348">
        <f t="shared" si="17"/>
        <v>0.18239182528288908</v>
      </c>
      <c r="N121" s="348">
        <f t="shared" si="17"/>
        <v>0.15376523782458582</v>
      </c>
      <c r="O121" s="348">
        <f t="shared" si="17"/>
        <v>6.2295416215114092E-2</v>
      </c>
      <c r="P121" s="348">
        <f t="shared" si="17"/>
        <v>5.2601576017512718E-2</v>
      </c>
      <c r="Q121" s="348">
        <f t="shared" si="17"/>
        <v>5.2601576017512718E-2</v>
      </c>
      <c r="R121" s="348">
        <f t="shared" si="17"/>
        <v>5.2601576017512718E-2</v>
      </c>
      <c r="S121" s="348">
        <f t="shared" si="17"/>
        <v>5.2601576017512718E-2</v>
      </c>
      <c r="T121" s="348">
        <f t="shared" si="17"/>
        <v>5.2601576017512718E-2</v>
      </c>
      <c r="U121" s="348">
        <f t="shared" si="17"/>
        <v>5.2601576017512718E-2</v>
      </c>
      <c r="V121" s="348">
        <f t="shared" si="17"/>
        <v>5.2601576017512718E-2</v>
      </c>
      <c r="W121" s="349">
        <f t="shared" si="17"/>
        <v>8.8289908268473077E-2</v>
      </c>
      <c r="Z121" s="155"/>
      <c r="AA121" s="155"/>
      <c r="AB121" s="155"/>
      <c r="AC121" s="155"/>
      <c r="AD121" s="155"/>
      <c r="AE121" s="155"/>
      <c r="AF121" s="155"/>
      <c r="AG121" s="155"/>
      <c r="AH121" s="155"/>
      <c r="AI121" s="155"/>
      <c r="AJ121" s="155"/>
      <c r="AK121" s="155"/>
    </row>
    <row r="122" spans="4:38">
      <c r="E122" s="67" t="s">
        <v>52</v>
      </c>
      <c r="F122" s="67" t="s">
        <v>70</v>
      </c>
      <c r="G122" s="67" t="s">
        <v>71</v>
      </c>
      <c r="J122" s="348">
        <f>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Z$6:$Z$532,"&lt;&gt;")=0,$Y122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Y122))</f>
        <v>0</v>
      </c>
      <c r="K122" s="348">
        <f>IF(Z122&lt;&gt;"",Z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H$6:$H$532,"&lt;&gt;")=0,$J122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I$6:$I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L122" s="348">
        <f>IF(AA122&lt;&gt;"",AA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K$6:$K$532,"&lt;&gt;")=0,$J122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L$6:$L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M122" s="348">
        <f>IF(AB122&lt;&gt;"",AB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N$6:$N$532,"&lt;&gt;")=0,$J122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O$6:$O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N122" s="348">
        <f>IF(AC122&lt;&gt;"",AC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Q$6:$Q$532,"&lt;&gt;")=0,$J122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R$6:$R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O122" s="348">
        <f>IF(AD122&lt;&gt;"",AD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T$6:$T$532,"&lt;&gt;")=0,$J122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U$6:$U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P122" s="350">
        <f>IF(AE122&lt;&gt;"",AE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F$6:$AF$532,"已导入实际")=0,$J122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Q122" s="350">
        <f>IF(AF122&lt;&gt;"",AF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J$6:$AJ$532,"已导入实际")=0,$J122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R122" s="350">
        <f>IF(AG122&lt;&gt;"",AG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N$6:$AN$532,"已导入实际")=0,$J122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S122" s="350">
        <f>IF(AH122&lt;&gt;"",AH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R$6:$AR$532,"已导入实际")=0,$J122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T122" s="350">
        <f>IF(AI122&lt;&gt;"",AI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V$6:$AV$532,"已导入实际")=0,$J122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U122" s="350">
        <f>IF(AJ122&lt;&gt;"",AJ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Z$6:$AZ$532,"已导入实际")=0,$J122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V122" s="350">
        <f>IF(AK122&lt;&gt;"",AK122,IF(COUNTIFS('参考值-平台费用率分析'!$A$6:$A$532,"自营",'参考值-平台费用率分析'!$B$6:$B$532,"拼多多",'参考值-平台费用率分析'!$C$6:$C$532,"销售费用",'参考值-平台费用率分析'!$D$6:$D$532,$F122,'参考值-平台费用率分析'!$E$6:$E$532,$G122,'参考值-平台费用率分析'!$AZ$6:$AZ$532,"已导入实际")=0,$J122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122,'参考值-平台费用率分析'!$E$6:$E$532,$G122),$J122)))</f>
        <v>0</v>
      </c>
      <c r="W122" s="348">
        <f>(K122*'假设-目标渠道分解'!L$13+L122*'假设-目标渠道分解'!M$13+M122*'假设-目标渠道分解'!N$13+N122*'假设-目标渠道分解'!O$13+O122*'假设-目标渠道分解'!P$13+P122*'假设-目标渠道分解'!Q$13+Q122*'假设-目标渠道分解'!R$13+R122*'假设-目标渠道分解'!S$13+S122*'假设-目标渠道分解'!T$13+T122*'假设-目标渠道分解'!U$13+U122*'假设-目标渠道分解'!V$13+V122*'假设-目标渠道分解'!W$13)/'假设-目标渠道分解'!J$13</f>
        <v>0</v>
      </c>
      <c r="Y122" s="155">
        <v>8.7699307794218501E-2</v>
      </c>
      <c r="Z122" s="155"/>
      <c r="AA122" s="155"/>
      <c r="AB122" s="155"/>
      <c r="AC122" s="155"/>
      <c r="AD122" s="155"/>
      <c r="AE122" s="155"/>
      <c r="AF122" s="155"/>
      <c r="AG122" s="155"/>
      <c r="AH122" s="155"/>
      <c r="AI122" s="155"/>
      <c r="AJ122" s="155"/>
      <c r="AK122" s="155"/>
      <c r="AL122" s="338" t="s">
        <v>794</v>
      </c>
    </row>
    <row r="123" spans="4:38">
      <c r="E123" s="67" t="s">
        <v>52</v>
      </c>
      <c r="F123" s="67" t="s">
        <v>70</v>
      </c>
      <c r="G123" s="67" t="s">
        <v>72</v>
      </c>
      <c r="J123" s="348">
        <f>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Z$6:$Z$532,"&lt;&gt;")=0,$Y123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Y123))</f>
        <v>0</v>
      </c>
      <c r="K123" s="348">
        <f>IF(Z123&lt;&gt;"",Z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H$6:$H$532,"&lt;&gt;")=0,$J123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I$6:$I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L123" s="348">
        <f>IF(AA123&lt;&gt;"",AA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K$6:$K$532,"&lt;&gt;")=0,$J123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L$6:$L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M123" s="348">
        <f>IF(AB123&lt;&gt;"",AB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N$6:$N$532,"&lt;&gt;")=0,$J123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O$6:$O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N123" s="348">
        <f>IF(AC123&lt;&gt;"",AC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Q$6:$Q$532,"&lt;&gt;")=0,$J123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R$6:$R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O123" s="348">
        <f>IF(AD123&lt;&gt;"",AD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T$6:$T$532,"&lt;&gt;")=0,$J123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U$6:$U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P123" s="348">
        <f>IF(AE123&lt;&gt;"",AE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F$6:$AF$532,"已导入实际")=0,$J123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Q123" s="348">
        <f>IF(AF123&lt;&gt;"",AF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J$6:$AJ$532,"已导入实际")=0,$J123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R123" s="348">
        <f>IF(AG123&lt;&gt;"",AG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N$6:$AN$532,"已导入实际")=0,$J123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S123" s="348">
        <f>IF(AH123&lt;&gt;"",AH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R$6:$AR$532,"已导入实际")=0,$J123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T123" s="348">
        <f>IF(AI123&lt;&gt;"",AI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V$6:$AV$532,"已导入实际")=0,$J123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U123" s="348">
        <f>IF(AJ123&lt;&gt;"",AJ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Z$6:$AZ$532,"已导入实际")=0,$J123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V123" s="348">
        <f>IF(AK123&lt;&gt;"",AK123,IF(COUNTIFS('参考值-平台费用率分析'!$A$6:$A$532,"自营",'参考值-平台费用率分析'!$B$6:$B$532,"拼多多",'参考值-平台费用率分析'!$C$6:$C$532,"销售费用",'参考值-平台费用率分析'!$D$6:$D$532,$F123,'参考值-平台费用率分析'!$E$6:$E$532,$G123,'参考值-平台费用率分析'!$AZ$6:$AZ$532,"已导入实际")=0,$J123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123,'参考值-平台费用率分析'!$E$6:$E$532,$G123),$J123)))</f>
        <v>0</v>
      </c>
      <c r="W123" s="348">
        <f>(K123*'假设-目标渠道分解'!L$13+L123*'假设-目标渠道分解'!M$13+M123*'假设-目标渠道分解'!N$13+N123*'假设-目标渠道分解'!O$13+O123*'假设-目标渠道分解'!P$13+P123*'假设-目标渠道分解'!Q$13+Q123*'假设-目标渠道分解'!R$13+R123*'假设-目标渠道分解'!S$13+S123*'假设-目标渠道分解'!T$13+T123*'假设-目标渠道分解'!U$13+U123*'假设-目标渠道分解'!V$13+V123*'假设-目标渠道分解'!W$13)/'假设-目标渠道分解'!J$13</f>
        <v>0</v>
      </c>
      <c r="Y123" s="155">
        <v>0</v>
      </c>
      <c r="Z123" s="155"/>
      <c r="AA123" s="155"/>
      <c r="AB123" s="155"/>
      <c r="AC123" s="155"/>
      <c r="AD123" s="155"/>
      <c r="AE123" s="155"/>
      <c r="AF123" s="155"/>
      <c r="AG123" s="155"/>
      <c r="AH123" s="155"/>
      <c r="AI123" s="155"/>
      <c r="AJ123" s="155"/>
      <c r="AK123" s="155"/>
      <c r="AL123" s="338" t="s">
        <v>794</v>
      </c>
    </row>
    <row r="124" spans="4:38">
      <c r="E124" s="67" t="s">
        <v>52</v>
      </c>
      <c r="F124" s="67" t="s">
        <v>70</v>
      </c>
      <c r="G124" s="67" t="s">
        <v>73</v>
      </c>
      <c r="J124" s="348">
        <f>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Z$6:$Z$532,"&lt;&gt;")=0,$Y124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Y124))</f>
        <v>5.2601576017512718E-2</v>
      </c>
      <c r="K124" s="348">
        <f>IF(Z124&lt;&gt;"",Z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H$6:$H$532,"&lt;&gt;")=0,$J124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I$6:$I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0.13506238028679401</v>
      </c>
      <c r="L124" s="348">
        <f>IF(AA124&lt;&gt;"",AA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K$6:$K$532,"&lt;&gt;")=0,$J124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L$6:$L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0.11400844828771958</v>
      </c>
      <c r="M124" s="348">
        <f>IF(AB124&lt;&gt;"",AB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N$6:$N$532,"&lt;&gt;")=0,$J124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O$6:$O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0.18239182528288908</v>
      </c>
      <c r="N124" s="348">
        <f>IF(AC124&lt;&gt;"",AC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Q$6:$Q$532,"&lt;&gt;")=0,$J124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R$6:$R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0.15376523782458582</v>
      </c>
      <c r="O124" s="348">
        <f>IF(AD124&lt;&gt;"",AD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T$6:$T$532,"&lt;&gt;")=0,$J124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U$6:$U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6.2295416215114092E-2</v>
      </c>
      <c r="P124" s="348">
        <f>IF(AE124&lt;&gt;"",AE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F$6:$AF$532,"已导入实际")=0,$J124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Q124" s="348">
        <f>IF(AF124&lt;&gt;"",AF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J$6:$AJ$532,"已导入实际")=0,$J124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R124" s="348">
        <f>IF(AG124&lt;&gt;"",AG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N$6:$AN$532,"已导入实际")=0,$J124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S124" s="348">
        <f>IF(AH124&lt;&gt;"",AH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R$6:$AR$532,"已导入实际")=0,$J124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T124" s="348">
        <f>IF(AI124&lt;&gt;"",AI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V$6:$AV$532,"已导入实际")=0,$J124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U124" s="348">
        <f>IF(AJ124&lt;&gt;"",AJ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Z$6:$AZ$532,"已导入实际")=0,$J124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V124" s="348">
        <f>IF(AK124&lt;&gt;"",AK124,IF(COUNTIFS('参考值-平台费用率分析'!$A$6:$A$532,"自营",'参考值-平台费用率分析'!$B$6:$B$532,"拼多多",'参考值-平台费用率分析'!$C$6:$C$532,"销售费用",'参考值-平台费用率分析'!$D$6:$D$532,$F124,'参考值-平台费用率分析'!$E$6:$E$532,$G124,'参考值-平台费用率分析'!$AZ$6:$AZ$532,"已导入实际")=0,$J124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124,'参考值-平台费用率分析'!$E$6:$E$532,$G124),$J124)))</f>
        <v>5.2601576017512718E-2</v>
      </c>
      <c r="W124" s="348">
        <f>(K124*'假设-目标渠道分解'!L$13+L124*'假设-目标渠道分解'!M$13+M124*'假设-目标渠道分解'!N$13+N124*'假设-目标渠道分解'!O$13+O124*'假设-目标渠道分解'!P$13+P124*'假设-目标渠道分解'!Q$13+Q124*'假设-目标渠道分解'!R$13+R124*'假设-目标渠道分解'!S$13+S124*'假设-目标渠道分解'!T$13+T124*'假设-目标渠道分解'!U$13+U124*'假设-目标渠道分解'!V$13+V124*'假设-目标渠道分解'!W$13)/'假设-目标渠道分解'!J$13</f>
        <v>8.8289908268473077E-2</v>
      </c>
      <c r="Y124" s="155">
        <v>0</v>
      </c>
      <c r="Z124" s="155"/>
      <c r="AA124" s="155"/>
      <c r="AB124" s="155"/>
      <c r="AC124" s="155"/>
      <c r="AD124" s="155"/>
      <c r="AE124" s="155"/>
      <c r="AF124" s="155"/>
      <c r="AG124" s="155"/>
      <c r="AH124" s="155"/>
      <c r="AI124" s="155"/>
      <c r="AJ124" s="155"/>
      <c r="AK124" s="155"/>
      <c r="AL124" s="338" t="s">
        <v>794</v>
      </c>
    </row>
    <row r="125" spans="4:38">
      <c r="D125" s="67" t="s">
        <v>74</v>
      </c>
      <c r="J125" s="348">
        <v>0</v>
      </c>
      <c r="K125" s="348">
        <f t="shared" ref="K125:W125" si="18">SUM(K126:K129)</f>
        <v>0.15860986788914519</v>
      </c>
      <c r="L125" s="348">
        <f t="shared" si="18"/>
        <v>0.15849623650028671</v>
      </c>
      <c r="M125" s="348">
        <f t="shared" si="18"/>
        <v>0.14686903157478232</v>
      </c>
      <c r="N125" s="348">
        <f t="shared" si="18"/>
        <v>0.10518668496295289</v>
      </c>
      <c r="O125" s="348">
        <f t="shared" si="18"/>
        <v>6.9672520100767868E-2</v>
      </c>
      <c r="P125" s="348">
        <f t="shared" si="18"/>
        <v>8.7642166176060105E-2</v>
      </c>
      <c r="Q125" s="348">
        <f t="shared" si="18"/>
        <v>8.7642166176060105E-2</v>
      </c>
      <c r="R125" s="348">
        <f t="shared" si="18"/>
        <v>8.7642166176060105E-2</v>
      </c>
      <c r="S125" s="348">
        <f t="shared" si="18"/>
        <v>8.7642166176060105E-2</v>
      </c>
      <c r="T125" s="348">
        <f t="shared" si="18"/>
        <v>8.7642166176060105E-2</v>
      </c>
      <c r="U125" s="348">
        <f t="shared" si="18"/>
        <v>8.7642166176060105E-2</v>
      </c>
      <c r="V125" s="348">
        <f t="shared" si="18"/>
        <v>8.7642166176060105E-2</v>
      </c>
      <c r="W125" s="349">
        <f t="shared" si="18"/>
        <v>0.10332290396304213</v>
      </c>
      <c r="Z125" s="155"/>
      <c r="AA125" s="155"/>
      <c r="AB125" s="155"/>
      <c r="AC125" s="155"/>
      <c r="AD125" s="155"/>
      <c r="AE125" s="155"/>
      <c r="AF125" s="155"/>
      <c r="AG125" s="155"/>
      <c r="AH125" s="155"/>
      <c r="AI125" s="155"/>
      <c r="AJ125" s="155"/>
      <c r="AK125" s="155"/>
    </row>
    <row r="126" spans="4:38">
      <c r="E126" s="67" t="s">
        <v>52</v>
      </c>
      <c r="F126" s="67" t="s">
        <v>74</v>
      </c>
      <c r="G126" s="67" t="s">
        <v>75</v>
      </c>
      <c r="J126" s="348">
        <f>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Z$6:$Z$532,"&lt;&gt;")=0,$Y126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Y126))</f>
        <v>5.1862638570686577E-2</v>
      </c>
      <c r="K126" s="348">
        <f>IF(Z126&lt;&gt;"",Z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H$6:$H$532,"&lt;&gt;")=0,$J126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I$6:$I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7.046901692809443E-2</v>
      </c>
      <c r="L126" s="348">
        <f>IF(AA126&lt;&gt;"",AA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K$6:$K$532,"&lt;&gt;")=0,$J126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L$6:$L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6.7579062435524792E-2</v>
      </c>
      <c r="M126" s="348">
        <f>IF(AB126&lt;&gt;"",AB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N$6:$N$532,"&lt;&gt;")=0,$J126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O$6:$O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9.6397906102107536E-2</v>
      </c>
      <c r="N126" s="348">
        <f>IF(AC126&lt;&gt;"",AC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Q$6:$Q$532,"&lt;&gt;")=0,$J126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R$6:$R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5.6667317040065827E-2</v>
      </c>
      <c r="O126" s="348">
        <f>IF(AD126&lt;&gt;"",AD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T$6:$T$532,"&lt;&gt;")=0,$J126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U$6:$U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4.5188499648730888E-2</v>
      </c>
      <c r="P126" s="350">
        <f>IF(AE126&lt;&gt;"",AE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F$6:$AF$532,"已导入实际")=0,$J126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Q126" s="350">
        <f>IF(AF126&lt;&gt;"",AF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J$6:$AJ$532,"已导入实际")=0,$J126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R126" s="350">
        <f>IF(AG126&lt;&gt;"",AG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N$6:$AN$532,"已导入实际")=0,$J126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S126" s="350">
        <f>IF(AH126&lt;&gt;"",AH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R$6:$AR$532,"已导入实际")=0,$J126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T126" s="350">
        <f>IF(AI126&lt;&gt;"",AI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V$6:$AV$532,"已导入实际")=0,$J126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U126" s="350">
        <f>IF(AJ126&lt;&gt;"",AJ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Z$6:$AZ$532,"已导入实际")=0,$J126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V126" s="350">
        <f>IF(AK126&lt;&gt;"",AK126,IF(COUNTIFS('参考值-平台费用率分析'!$A$6:$A$532,"自营",'参考值-平台费用率分析'!$B$6:$B$532,"拼多多",'参考值-平台费用率分析'!$C$6:$C$532,"销售费用",'参考值-平台费用率分析'!$D$6:$D$532,$F126,'参考值-平台费用率分析'!$E$6:$E$532,$G126,'参考值-平台费用率分析'!$AZ$6:$AZ$532,"已导入实际")=0,$J126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126,'参考值-平台费用率分析'!$E$6:$E$532,$G126),$J126)))</f>
        <v>5.1862638570686577E-2</v>
      </c>
      <c r="W126" s="348">
        <f>(K126*'假设-目标渠道分解'!L$13+L126*'假设-目标渠道分解'!M$13+M126*'假设-目标渠道分解'!N$13+N126*'假设-目标渠道分解'!O$13+O126*'假设-目标渠道分解'!P$13+P126*'假设-目标渠道分解'!Q$13+Q126*'假设-目标渠道分解'!R$13+R126*'假设-目标渠道分解'!S$13+S126*'假设-目标渠道分解'!T$13+T126*'假设-目标渠道分解'!U$13+U126*'假设-目标渠道分解'!V$13+V126*'假设-目标渠道分解'!W$13)/'假设-目标渠道分解'!J$13</f>
        <v>5.8429680285396621E-2</v>
      </c>
      <c r="Y126" s="155">
        <v>7.1322637394005003E-2</v>
      </c>
      <c r="Z126" s="155"/>
      <c r="AA126" s="155"/>
      <c r="AB126" s="155"/>
      <c r="AC126" s="155"/>
      <c r="AD126" s="155"/>
      <c r="AE126" s="155"/>
      <c r="AF126" s="155"/>
      <c r="AG126" s="155"/>
      <c r="AH126" s="155"/>
      <c r="AI126" s="155"/>
      <c r="AJ126" s="155"/>
      <c r="AK126" s="155"/>
      <c r="AL126" s="338" t="s">
        <v>794</v>
      </c>
    </row>
    <row r="127" spans="4:38">
      <c r="E127" s="67" t="s">
        <v>52</v>
      </c>
      <c r="F127" s="67" t="s">
        <v>74</v>
      </c>
      <c r="G127" s="67" t="s">
        <v>76</v>
      </c>
      <c r="J127" s="348">
        <f>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Z$6:$Z$532,"&lt;&gt;")=0,$Y127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Y127))</f>
        <v>1.8066483782291184E-2</v>
      </c>
      <c r="K127" s="348">
        <f>IF(Z127&lt;&gt;"",Z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H$6:$H$532,"&lt;&gt;")=0,$J127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I$6:$I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3.9027372262773724E-2</v>
      </c>
      <c r="L127" s="348">
        <f>IF(AA127&lt;&gt;"",AA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K$6:$K$532,"&lt;&gt;")=0,$J127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L$6:$L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2.6099912687464789E-2</v>
      </c>
      <c r="M127" s="348">
        <f>IF(AB127&lt;&gt;"",AB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N$6:$N$532,"&lt;&gt;")=0,$J127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O$6:$O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3.5687967729081491E-2</v>
      </c>
      <c r="N127" s="348">
        <f>IF(AC127&lt;&gt;"",AC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Q$6:$Q$532,"&lt;&gt;")=0,$J127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R$6:$R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3.0793766595125591E-2</v>
      </c>
      <c r="O127" s="348">
        <f>IF(AD127&lt;&gt;"",AD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T$6:$T$532,"&lt;&gt;")=0,$J127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U$6:$U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1.6295784105792948E-2</v>
      </c>
      <c r="P127" s="348">
        <f>IF(AE127&lt;&gt;"",AE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F$6:$AF$532,"已导入实际")=0,$J127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Q127" s="348">
        <f>IF(AF127&lt;&gt;"",AF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J$6:$AJ$532,"已导入实际")=0,$J127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R127" s="348">
        <f>IF(AG127&lt;&gt;"",AG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N$6:$AN$532,"已导入实际")=0,$J127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S127" s="348">
        <f>IF(AH127&lt;&gt;"",AH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R$6:$AR$532,"已导入实际")=0,$J127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T127" s="348">
        <f>IF(AI127&lt;&gt;"",AI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V$6:$AV$532,"已导入实际")=0,$J127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U127" s="348">
        <f>IF(AJ127&lt;&gt;"",AJ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Z$6:$AZ$532,"已导入实际")=0,$J127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V127" s="348">
        <f>IF(AK127&lt;&gt;"",AK127,IF(COUNTIFS('参考值-平台费用率分析'!$A$6:$A$532,"自营",'参考值-平台费用率分析'!$B$6:$B$532,"拼多多",'参考值-平台费用率分析'!$C$6:$C$532,"销售费用",'参考值-平台费用率分析'!$D$6:$D$532,$F127,'参考值-平台费用率分析'!$E$6:$E$532,$G127,'参考值-平台费用率分析'!$AZ$6:$AZ$532,"已导入实际")=0,$J127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127,'参考值-平台费用率分析'!$E$6:$E$532,$G127),$J127)))</f>
        <v>1.8066483782291184E-2</v>
      </c>
      <c r="W127" s="348">
        <f>(K127*'假设-目标渠道分解'!L$13+L127*'假设-目标渠道分解'!M$13+M127*'假设-目标渠道分解'!N$13+N127*'假设-目标渠道分解'!O$13+O127*'假设-目标渠道分解'!P$13+P127*'假设-目标渠道分解'!Q$13+Q127*'假设-目标渠道分解'!R$13+R127*'假设-目标渠道分解'!S$13+S127*'假设-目标渠道分解'!T$13+T127*'假设-目标渠道分解'!U$13+U127*'假设-目标渠道分解'!V$13+V127*'假设-目标渠道分解'!W$13)/'假设-目标渠道分解'!J$13</f>
        <v>2.3097954155618047E-2</v>
      </c>
      <c r="Y127" s="155">
        <v>2.8932968959529699E-2</v>
      </c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338" t="s">
        <v>794</v>
      </c>
    </row>
    <row r="128" spans="4:38">
      <c r="E128" s="67" t="s">
        <v>52</v>
      </c>
      <c r="F128" s="67" t="s">
        <v>74</v>
      </c>
      <c r="G128" s="67" t="s">
        <v>77</v>
      </c>
      <c r="J128" s="348">
        <f>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Z$6:$Z$532,"&lt;&gt;")=0,$Y128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Y128))</f>
        <v>0</v>
      </c>
      <c r="K128" s="348">
        <f>IF(Z128&lt;&gt;"",Z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H$6:$H$532,"&lt;&gt;")=0,$J128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I$6:$I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L128" s="348">
        <f>IF(AA128&lt;&gt;"",AA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K$6:$K$532,"&lt;&gt;")=0,$J128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L$6:$L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M128" s="348">
        <f>IF(AB128&lt;&gt;"",AB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N$6:$N$532,"&lt;&gt;")=0,$J128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O$6:$O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N128" s="348">
        <f>IF(AC128&lt;&gt;"",AC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Q$6:$Q$532,"&lt;&gt;")=0,$J128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R$6:$R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O128" s="348">
        <f>IF(AD128&lt;&gt;"",AD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T$6:$T$532,"&lt;&gt;")=0,$J128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U$6:$U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P128" s="348">
        <f>IF(AE128&lt;&gt;"",AE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F$6:$AF$532,"已导入实际")=0,$J128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Q128" s="348">
        <f>IF(AF128&lt;&gt;"",AF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J$6:$AJ$532,"已导入实际")=0,$J128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R128" s="348">
        <f>IF(AG128&lt;&gt;"",AG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N$6:$AN$532,"已导入实际")=0,$J128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S128" s="348">
        <f>IF(AH128&lt;&gt;"",AH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R$6:$AR$532,"已导入实际")=0,$J128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T128" s="348">
        <f>IF(AI128&lt;&gt;"",AI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V$6:$AV$532,"已导入实际")=0,$J128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U128" s="348">
        <f>IF(AJ128&lt;&gt;"",AJ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Z$6:$AZ$532,"已导入实际")=0,$J128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V128" s="348">
        <f>IF(AK128&lt;&gt;"",AK128,IF(COUNTIFS('参考值-平台费用率分析'!$A$6:$A$532,"自营",'参考值-平台费用率分析'!$B$6:$B$532,"拼多多",'参考值-平台费用率分析'!$C$6:$C$532,"销售费用",'参考值-平台费用率分析'!$D$6:$D$532,$F128,'参考值-平台费用率分析'!$E$6:$E$532,$G128,'参考值-平台费用率分析'!$AZ$6:$AZ$532,"已导入实际")=0,$J128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128,'参考值-平台费用率分析'!$E$6:$E$532,$G128),$J128)))</f>
        <v>0</v>
      </c>
      <c r="W128" s="348">
        <f>(K128*'假设-目标渠道分解'!L$13+L128*'假设-目标渠道分解'!M$13+M128*'假设-目标渠道分解'!N$13+N128*'假设-目标渠道分解'!O$13+O128*'假设-目标渠道分解'!P$13+P128*'假设-目标渠道分解'!Q$13+Q128*'假设-目标渠道分解'!R$13+R128*'假设-目标渠道分解'!S$13+S128*'假设-目标渠道分解'!T$13+T128*'假设-目标渠道分解'!U$13+U128*'假设-目标渠道分解'!V$13+V128*'假设-目标渠道分解'!W$13)/'假设-目标渠道分解'!J$13</f>
        <v>0</v>
      </c>
      <c r="Y128" s="155">
        <v>0</v>
      </c>
      <c r="Z128" s="155"/>
      <c r="AA128" s="155"/>
      <c r="AB128" s="155"/>
      <c r="AC128" s="155"/>
      <c r="AD128" s="155"/>
      <c r="AE128" s="155"/>
      <c r="AF128" s="155"/>
      <c r="AG128" s="155"/>
      <c r="AH128" s="155"/>
      <c r="AI128" s="155"/>
      <c r="AJ128" s="155"/>
      <c r="AK128" s="155"/>
      <c r="AL128" s="338" t="s">
        <v>794</v>
      </c>
    </row>
    <row r="129" spans="1:38">
      <c r="E129" s="67" t="s">
        <v>52</v>
      </c>
      <c r="F129" s="67" t="s">
        <v>74</v>
      </c>
      <c r="G129" s="67" t="s">
        <v>78</v>
      </c>
      <c r="J129" s="348">
        <f>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Z$6:$Z$532,"&lt;&gt;")=0,$Y129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Y129))</f>
        <v>1.7713043823082343E-2</v>
      </c>
      <c r="K129" s="348">
        <f>IF(Z129&lt;&gt;"",Z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H$6:$H$532,"&lt;&gt;")=0,$J129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I$6:$I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4.9113478698277042E-2</v>
      </c>
      <c r="L129" s="348">
        <f>IF(AA129&lt;&gt;"",AA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K$6:$K$532,"&lt;&gt;")=0,$J129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L$6:$L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6.4817261377297125E-2</v>
      </c>
      <c r="M129" s="348">
        <f>IF(AB129&lt;&gt;"",AB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N$6:$N$532,"&lt;&gt;")=0,$J129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O$6:$O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1.4783157743593277E-2</v>
      </c>
      <c r="N129" s="348">
        <f>IF(AC129&lt;&gt;"",AC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Q$6:$Q$532,"&lt;&gt;")=0,$J129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R$6:$R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1.7725601327761471E-2</v>
      </c>
      <c r="O129" s="348">
        <f>IF(AD129&lt;&gt;"",AD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T$6:$T$532,"&lt;&gt;")=0,$J129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U$6:$U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8.188236346244035E-3</v>
      </c>
      <c r="P129" s="348">
        <f>IF(AE129&lt;&gt;"",AE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F$6:$AF$532,"已导入实际")=0,$J129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Q129" s="348">
        <f>IF(AF129&lt;&gt;"",AF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J$6:$AJ$532,"已导入实际")=0,$J129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R129" s="348">
        <f>IF(AG129&lt;&gt;"",AG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N$6:$AN$532,"已导入实际")=0,$J129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S129" s="348">
        <f>IF(AH129&lt;&gt;"",AH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R$6:$AR$532,"已导入实际")=0,$J129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T129" s="348">
        <f>IF(AI129&lt;&gt;"",AI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V$6:$AV$532,"已导入实际")=0,$J129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U129" s="348">
        <f>IF(AJ129&lt;&gt;"",AJ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Z$6:$AZ$532,"已导入实际")=0,$J129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V129" s="348">
        <f>IF(AK129&lt;&gt;"",AK129,IF(COUNTIFS('参考值-平台费用率分析'!$A$6:$A$532,"自营",'参考值-平台费用率分析'!$B$6:$B$532,"拼多多",'参考值-平台费用率分析'!$C$6:$C$532,"销售费用",'参考值-平台费用率分析'!$D$6:$D$532,$F129,'参考值-平台费用率分析'!$E$6:$E$532,$G129,'参考值-平台费用率分析'!$AZ$6:$AZ$532,"已导入实际")=0,$J129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129,'参考值-平台费用率分析'!$E$6:$E$532,$G129),$J129)))</f>
        <v>1.7713043823082343E-2</v>
      </c>
      <c r="W129" s="348">
        <f>(K129*'假设-目标渠道分解'!L$13+L129*'假设-目标渠道分解'!M$13+M129*'假设-目标渠道分解'!N$13+N129*'假设-目标渠道分解'!O$13+O129*'假设-目标渠道分解'!P$13+P129*'假设-目标渠道分解'!Q$13+Q129*'假设-目标渠道分解'!R$13+R129*'假设-目标渠道分解'!S$13+S129*'假设-目标渠道分解'!T$13+T129*'假设-目标渠道分解'!U$13+U129*'假设-目标渠道分解'!V$13+V129*'假设-目标渠道分解'!W$13)/'假设-目标渠道分解'!J$13</f>
        <v>2.1795269522027452E-2</v>
      </c>
      <c r="Y129" s="155">
        <v>0</v>
      </c>
      <c r="Z129" s="155"/>
      <c r="AA129" s="155"/>
      <c r="AB129" s="155"/>
      <c r="AC129" s="155"/>
      <c r="AD129" s="155"/>
      <c r="AE129" s="155"/>
      <c r="AF129" s="155"/>
      <c r="AG129" s="155"/>
      <c r="AH129" s="155"/>
      <c r="AI129" s="155"/>
      <c r="AJ129" s="155"/>
      <c r="AK129" s="155"/>
      <c r="AL129" s="338" t="s">
        <v>794</v>
      </c>
    </row>
    <row r="130" spans="1:38">
      <c r="D130" s="67" t="s">
        <v>79</v>
      </c>
      <c r="J130" s="348">
        <f t="shared" ref="J130:W130" si="19">SUM(J131:J134)</f>
        <v>7.4263485380488423E-5</v>
      </c>
      <c r="K130" s="348">
        <f t="shared" si="19"/>
        <v>4.9629164756489398E-5</v>
      </c>
      <c r="L130" s="348">
        <f t="shared" si="19"/>
        <v>0</v>
      </c>
      <c r="M130" s="348">
        <f t="shared" si="19"/>
        <v>3.3472817539381503E-5</v>
      </c>
      <c r="N130" s="348">
        <f t="shared" si="19"/>
        <v>3.1968166374613599E-5</v>
      </c>
      <c r="O130" s="348">
        <f t="shared" si="19"/>
        <v>1.08745436390447E-4</v>
      </c>
      <c r="P130" s="348">
        <f t="shared" si="19"/>
        <v>2.21765327221999E-4</v>
      </c>
      <c r="Q130" s="348">
        <f t="shared" si="19"/>
        <v>7.4263485380488423E-5</v>
      </c>
      <c r="R130" s="348">
        <f t="shared" si="19"/>
        <v>7.4263485380488423E-5</v>
      </c>
      <c r="S130" s="348">
        <f t="shared" si="19"/>
        <v>7.4263485380488423E-5</v>
      </c>
      <c r="T130" s="348">
        <f t="shared" si="19"/>
        <v>7.4263485380488423E-5</v>
      </c>
      <c r="U130" s="348">
        <f t="shared" si="19"/>
        <v>7.4263485380488423E-5</v>
      </c>
      <c r="V130" s="348">
        <f t="shared" si="19"/>
        <v>7.4263485380488423E-5</v>
      </c>
      <c r="W130" s="348">
        <f t="shared" si="19"/>
        <v>7.4263485380488396E-5</v>
      </c>
      <c r="Z130" s="155"/>
      <c r="AA130" s="155"/>
      <c r="AB130" s="155"/>
      <c r="AC130" s="155"/>
      <c r="AD130" s="155"/>
      <c r="AE130" s="155"/>
      <c r="AF130" s="155"/>
      <c r="AG130" s="155"/>
      <c r="AH130" s="155"/>
      <c r="AI130" s="155"/>
      <c r="AJ130" s="155"/>
      <c r="AK130" s="155"/>
    </row>
    <row r="131" spans="1:38">
      <c r="E131" s="67" t="s">
        <v>52</v>
      </c>
      <c r="F131" s="67" t="s">
        <v>79</v>
      </c>
      <c r="G131" s="67" t="s">
        <v>80</v>
      </c>
      <c r="J131" s="348">
        <f>IFERROR(SUM('测算-拼多多'!I$42:N$42)/SUM('测算-拼多多'!I$9:N$9),0)</f>
        <v>0</v>
      </c>
      <c r="K131" s="348">
        <f>IFERROR('测算-拼多多'!I$42/'测算-拼多多'!I$9,0)</f>
        <v>0</v>
      </c>
      <c r="L131" s="348">
        <f>IFERROR('测算-拼多多'!J$42/'测算-拼多多'!J$9,0)</f>
        <v>0</v>
      </c>
      <c r="M131" s="348">
        <f>IFERROR('测算-拼多多'!K$42/'测算-拼多多'!K$9,0)</f>
        <v>0</v>
      </c>
      <c r="N131" s="348">
        <f>IFERROR('测算-拼多多'!L$42/'测算-拼多多'!L$9,0)</f>
        <v>0</v>
      </c>
      <c r="O131" s="348">
        <f>IFERROR('测算-拼多多'!M$42/'测算-拼多多'!M$9,0)</f>
        <v>0</v>
      </c>
      <c r="P131" s="348">
        <f>IFERROR('测算-拼多多'!N$42/'测算-拼多多'!N$9,0)</f>
        <v>0</v>
      </c>
      <c r="Q131" s="348">
        <f>IFERROR('测算-拼多多'!O$42/'测算-拼多多'!O$9,0)</f>
        <v>0</v>
      </c>
      <c r="R131" s="348">
        <f>IFERROR('测算-拼多多'!P$42/'测算-拼多多'!P$9,0)</f>
        <v>0</v>
      </c>
      <c r="S131" s="348">
        <f>IFERROR('测算-拼多多'!Q$42/'测算-拼多多'!Q$9,0)</f>
        <v>0</v>
      </c>
      <c r="T131" s="348">
        <f>IFERROR('测算-拼多多'!R$42/'测算-拼多多'!R$9,0)</f>
        <v>0</v>
      </c>
      <c r="U131" s="348">
        <f>IFERROR('测算-拼多多'!S$42/'测算-拼多多'!S$9,0)</f>
        <v>0</v>
      </c>
      <c r="V131" s="348">
        <f>IFERROR('测算-拼多多'!T$42/'测算-拼多多'!T$9,0)</f>
        <v>0</v>
      </c>
      <c r="W131" s="348">
        <f>IFERROR(SUM('测算-拼多多'!I$42:T$42)/SUM('测算-拼多多'!I$9:T$9),0)</f>
        <v>0</v>
      </c>
      <c r="Y131" s="155">
        <v>0.62669594899658498</v>
      </c>
      <c r="Z131" s="155"/>
      <c r="AA131" s="155"/>
      <c r="AB131" s="155"/>
      <c r="AC131" s="155"/>
      <c r="AD131" s="155"/>
      <c r="AE131" s="155"/>
      <c r="AF131" s="155"/>
      <c r="AG131" s="155"/>
      <c r="AH131" s="155"/>
      <c r="AI131" s="155"/>
      <c r="AJ131" s="155"/>
      <c r="AK131" s="155"/>
      <c r="AL131" s="338" t="s">
        <v>360</v>
      </c>
    </row>
    <row r="132" spans="1:38">
      <c r="E132" s="67" t="s">
        <v>52</v>
      </c>
      <c r="F132" s="67" t="s">
        <v>79</v>
      </c>
      <c r="G132" s="67" t="s">
        <v>147</v>
      </c>
      <c r="J132" s="348">
        <f>AVERAGE(K132:P132)</f>
        <v>7.4263485380488423E-5</v>
      </c>
      <c r="K132" s="348">
        <f>IFERROR(INDEX('假设-人工成本固定额'!$B$6:$CS$16,MATCH("拼多多",'假设-人工成本固定额'!$A$6:$A$16,0),4),0)</f>
        <v>4.9629164756489398E-5</v>
      </c>
      <c r="L132" s="348">
        <f>IFERROR(INDEX('假设-人工成本固定额'!$B$6:$CS$16,MATCH("拼多多",'假设-人工成本固定额'!$A$6:$A$16,0),12),0)</f>
        <v>0</v>
      </c>
      <c r="M132" s="348">
        <f>IFERROR(INDEX('假设-人工成本固定额'!$B$6:$CS$16,MATCH("拼多多",'假设-人工成本固定额'!$A$6:$A$16,0),20),0)</f>
        <v>3.3472817539381503E-5</v>
      </c>
      <c r="N132" s="348">
        <f>IFERROR(INDEX('假设-人工成本固定额'!$B$6:$CS$16,MATCH("拼多多",'假设-人工成本固定额'!$A$6:$A$16,0),28),0)</f>
        <v>3.1968166374613599E-5</v>
      </c>
      <c r="O132" s="348">
        <f>IFERROR(INDEX('假设-人工成本固定额'!$B$6:$CS$16,MATCH("拼多多",'假设-人工成本固定额'!$A$6:$A$16,0),36),0)</f>
        <v>1.08745436390447E-4</v>
      </c>
      <c r="P132" s="348">
        <f>IFERROR(INDEX('假设-人工成本固定额'!$B$6:$CS$16,MATCH("拼多多",'假设-人工成本固定额'!$A$6:$A$16,0),44),0)</f>
        <v>2.21765327221999E-4</v>
      </c>
      <c r="Q132" s="348">
        <f>IFERROR(IF(INDEX('假设-人工成本固定额'!$B$6:$CS$16,MATCH("拼多多",'假设-人工成本固定额'!$A$6:$A$16,0),52)="",AVERAGE($K132:$P132),INDEX('假设-人工成本固定额'!$B$6:$CS$16,MATCH("拼多多",'假设-人工成本固定额'!$A$6:$A$16,0),52)),AVERAGE($K132:$P132))</f>
        <v>7.4263485380488423E-5</v>
      </c>
      <c r="R132" s="348">
        <f>IFERROR(IF(INDEX('假设-人工成本固定额'!$B$6:$CS$16,MATCH("拼多多",'假设-人工成本固定额'!$A$6:$A$16,0),60)="",AVERAGE($K132:$P132),INDEX('假设-人工成本固定额'!$B$6:$CS$16,MATCH("拼多多",'假设-人工成本固定额'!$A$6:$A$16,0),60)),AVERAGE($K132:$P132))</f>
        <v>7.4263485380488423E-5</v>
      </c>
      <c r="S132" s="348">
        <f>IFERROR(IF(INDEX('假设-人工成本固定额'!$B$6:$CS$16,MATCH("拼多多",'假设-人工成本固定额'!$A$6:$A$16,0),68)="",AVERAGE($K132:$P132),INDEX('假设-人工成本固定额'!$B$6:$CS$16,MATCH("拼多多",'假设-人工成本固定额'!$A$6:$A$16,0),68)),AVERAGE($K132:$P132))</f>
        <v>7.4263485380488423E-5</v>
      </c>
      <c r="T132" s="348">
        <f>IFERROR(IF(INDEX('假设-人工成本固定额'!$B$6:$CS$16,MATCH("拼多多",'假设-人工成本固定额'!$A$6:$A$16,0),76)="",AVERAGE($K132:$P132),INDEX('假设-人工成本固定额'!$B$6:$CS$16,MATCH("拼多多",'假设-人工成本固定额'!$A$6:$A$16,0),76)),AVERAGE($K132:$P132))</f>
        <v>7.4263485380488423E-5</v>
      </c>
      <c r="U132" s="348">
        <f>IFERROR(IF(INDEX('假设-人工成本固定额'!$B$6:$CS$16,MATCH("拼多多",'假设-人工成本固定额'!$A$6:$A$16,0),84)="",AVERAGE($K132:$P132),INDEX('假设-人工成本固定额'!$B$6:$CS$16,MATCH("拼多多",'假设-人工成本固定额'!$A$6:$A$16,0),84)),AVERAGE($K132:$P132))</f>
        <v>7.4263485380488423E-5</v>
      </c>
      <c r="V132" s="348">
        <f>IFERROR(IF(INDEX('假设-人工成本固定额'!$B$6:$CS$16,MATCH("拼多多",'假设-人工成本固定额'!$A$6:$A$16,0),92)="",AVERAGE($K132:$P132),INDEX('假设-人工成本固定额'!$B$6:$CS$16,MATCH("拼多多",'假设-人工成本固定额'!$A$6:$A$16,0),92)),AVERAGE($K132:$P132))</f>
        <v>7.4263485380488423E-5</v>
      </c>
      <c r="W132" s="348">
        <f>AVERAGE(K132:V132)</f>
        <v>7.4263485380488396E-5</v>
      </c>
      <c r="Y132" s="155">
        <v>6.5026712637868107E-5</v>
      </c>
      <c r="Z132" s="155"/>
      <c r="AA132" s="155"/>
      <c r="AB132" s="155"/>
      <c r="AC132" s="155"/>
      <c r="AD132" s="155"/>
      <c r="AE132" s="155"/>
      <c r="AF132" s="155"/>
      <c r="AG132" s="155"/>
      <c r="AH132" s="155"/>
      <c r="AI132" s="155"/>
      <c r="AJ132" s="155"/>
      <c r="AK132" s="155"/>
      <c r="AL132" s="338" t="s">
        <v>360</v>
      </c>
    </row>
    <row r="133" spans="1:38">
      <c r="A133" s="338"/>
      <c r="B133" s="338"/>
      <c r="C133" s="338"/>
      <c r="E133" s="67" t="s">
        <v>52</v>
      </c>
      <c r="F133" s="67" t="s">
        <v>79</v>
      </c>
      <c r="G133" s="67" t="s">
        <v>148</v>
      </c>
      <c r="I133" s="338"/>
      <c r="J133" s="348">
        <f>AVERAGE(K133:P133)</f>
        <v>0</v>
      </c>
      <c r="K133" s="348">
        <f>IFERROR(INDEX('假设-人工成本固定额'!$B$6:$CS$16,MATCH("拼多多",'假设-人工成本固定额'!$A$6:$A$16,0),7),0)</f>
        <v>0</v>
      </c>
      <c r="L133" s="348">
        <f>IFERROR(INDEX('假设-人工成本固定额'!$B$6:$CS$16,MATCH("拼多多",'假设-人工成本固定额'!$A$6:$A$16,0),15),0)</f>
        <v>0</v>
      </c>
      <c r="M133" s="348">
        <f>IFERROR(INDEX('假设-人工成本固定额'!$B$6:$CS$16,MATCH("拼多多",'假设-人工成本固定额'!$A$6:$A$16,0),23),0)</f>
        <v>0</v>
      </c>
      <c r="N133" s="348">
        <f>IFERROR(INDEX('假设-人工成本固定额'!$B$6:$CS$16,MATCH("拼多多",'假设-人工成本固定额'!$A$6:$A$16,0),31),0)</f>
        <v>0</v>
      </c>
      <c r="O133" s="348">
        <f>IFERROR(INDEX('假设-人工成本固定额'!$B$6:$CS$16,MATCH("拼多多",'假设-人工成本固定额'!$A$6:$A$16,0),39),0)</f>
        <v>0</v>
      </c>
      <c r="P133" s="348">
        <f>IFERROR(INDEX('假设-人工成本固定额'!$B$6:$CS$16,MATCH("拼多多",'假设-人工成本固定额'!$A$6:$A$16,0),47),0)</f>
        <v>0</v>
      </c>
      <c r="Q133" s="348">
        <f>IFERROR(IF(INDEX('假设-人工成本固定额'!$B$6:$CS$16,MATCH("拼多多",'假设-人工成本固定额'!$A$6:$A$16,0),55)="",AVERAGE($K133:$P133),INDEX('假设-人工成本固定额'!$B$6:$CS$16,MATCH("拼多多",'假设-人工成本固定额'!$A$6:$A$16,0),55)),AVERAGE($K133:$P133))</f>
        <v>0</v>
      </c>
      <c r="R133" s="348">
        <f>IFERROR(IF(INDEX('假设-人工成本固定额'!$B$6:$CS$16,MATCH("拼多多",'假设-人工成本固定额'!$A$6:$A$16,0),63)="",AVERAGE($K133:$P133),INDEX('假设-人工成本固定额'!$B$6:$CS$16,MATCH("拼多多",'假设-人工成本固定额'!$A$6:$A$16,0),63)),AVERAGE($K133:$P133))</f>
        <v>0</v>
      </c>
      <c r="S133" s="348">
        <f>IFERROR(IF(INDEX('假设-人工成本固定额'!$B$6:$CS$16,MATCH("拼多多",'假设-人工成本固定额'!$A$6:$A$16,0),71)="",AVERAGE($K133:$P133),INDEX('假设-人工成本固定额'!$B$6:$CS$16,MATCH("拼多多",'假设-人工成本固定额'!$A$6:$A$16,0),71)),AVERAGE($K133:$P133))</f>
        <v>0</v>
      </c>
      <c r="T133" s="348">
        <f>IFERROR(IF(INDEX('假设-人工成本固定额'!$B$6:$CS$16,MATCH("拼多多",'假设-人工成本固定额'!$A$6:$A$16,0),79)="",AVERAGE($K133:$P133),INDEX('假设-人工成本固定额'!$B$6:$CS$16,MATCH("拼多多",'假设-人工成本固定额'!$A$6:$A$16,0),79)),AVERAGE($K133:$P133))</f>
        <v>0</v>
      </c>
      <c r="U133" s="348">
        <f>IFERROR(IF(INDEX('假设-人工成本固定额'!$B$6:$CS$16,MATCH("拼多多",'假设-人工成本固定额'!$A$6:$A$16,0),87)="",AVERAGE($K133:$P133),INDEX('假设-人工成本固定额'!$B$6:$CS$16,MATCH("拼多多",'假设-人工成本固定额'!$A$6:$A$16,0),87)),AVERAGE($K133:$P133))</f>
        <v>0</v>
      </c>
      <c r="V133" s="348">
        <f>IFERROR(IF(INDEX('假设-人工成本固定额'!$B$6:$CS$16,MATCH("拼多多",'假设-人工成本固定额'!$A$6:$A$16,0),95)="",AVERAGE($K133:$P133),INDEX('假设-人工成本固定额'!$B$6:$CS$16,MATCH("拼多多",'假设-人工成本固定额'!$A$6:$A$16,0),95)),AVERAGE($K133:$P133))</f>
        <v>0</v>
      </c>
      <c r="W133" s="348">
        <f>AVERAGE(K133:V133)</f>
        <v>0</v>
      </c>
      <c r="X133" s="338"/>
      <c r="Y133" s="155"/>
      <c r="Z133" s="155"/>
      <c r="AA133" s="155"/>
      <c r="AB133" s="155"/>
      <c r="AC133" s="155"/>
      <c r="AD133" s="155"/>
      <c r="AE133" s="155"/>
      <c r="AF133" s="155"/>
      <c r="AG133" s="155"/>
      <c r="AH133" s="155"/>
      <c r="AI133" s="155"/>
      <c r="AJ133" s="155"/>
      <c r="AK133" s="155"/>
    </row>
    <row r="134" spans="1:38">
      <c r="E134" s="67" t="s">
        <v>52</v>
      </c>
      <c r="F134" s="67" t="s">
        <v>79</v>
      </c>
      <c r="G134" s="67" t="s">
        <v>82</v>
      </c>
      <c r="J134" s="348">
        <f>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Z$6:$Z$532,"&lt;&gt;")=0,$Y134,IFERROR(SUMIFS('参考值-平台费用率分析'!$Z$6:$Z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A$6:$AA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Y134))</f>
        <v>0</v>
      </c>
      <c r="K134" s="348">
        <f>IF(Z134&lt;&gt;"",Z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H$6:$H$532,"&lt;&gt;")=0,$J134,IFERROR(SUMIFS('参考值-平台费用率分析'!$H$6:$H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I$6:$I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L134" s="348">
        <f>IF(AA134&lt;&gt;"",AA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K$6:$K$532,"&lt;&gt;")=0,$J134,IFERROR(SUMIFS('参考值-平台费用率分析'!$K$6:$K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L$6:$L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M134" s="348">
        <f>IF(AB134&lt;&gt;"",AB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N$6:$N$532,"&lt;&gt;")=0,$J134,IFERROR(SUMIFS('参考值-平台费用率分析'!$N$6:$N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O$6:$O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N134" s="348">
        <f>IF(AC134&lt;&gt;"",AC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Q$6:$Q$532,"&lt;&gt;")=0,$J134,IFERROR(SUMIFS('参考值-平台费用率分析'!$Q$6:$Q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R$6:$R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O134" s="348">
        <f>IF(AD134&lt;&gt;"",AD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T$6:$T$532,"&lt;&gt;")=0,$J134,IFERROR(SUMIFS('参考值-平台费用率分析'!$T$6:$T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U$6:$U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P134" s="348">
        <f>IF(AE134&lt;&gt;"",AE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F$6:$AF$532,"已导入实际")=0,$J134,IFERROR(SUMIFS('参考值-平台费用率分析'!$AC$6:$AC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D$6:$AD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Q134" s="348">
        <f>IF(AF134&lt;&gt;"",AF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J$6:$AJ$532,"已导入实际")=0,$J134,IFERROR(SUMIFS('参考值-平台费用率分析'!$AG$6:$AG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H$6:$AH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R134" s="348">
        <f>IF(AG134&lt;&gt;"",AG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N$6:$AN$532,"已导入实际")=0,$J134,IFERROR(SUMIFS('参考值-平台费用率分析'!$AK$6:$AK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L$6:$AL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S134" s="348">
        <f>IF(AH134&lt;&gt;"",AH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R$6:$AR$532,"已导入实际")=0,$J134,IFERROR(SUMIFS('参考值-平台费用率分析'!$AO$6:$AO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P$6:$AP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T134" s="348">
        <f>IF(AI134&lt;&gt;"",AI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V$6:$AV$532,"已导入实际")=0,$J134,IFERROR(SUMIFS('参考值-平台费用率分析'!$AS$6:$AS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T$6:$AT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U134" s="348">
        <f>IF(AJ134&lt;&gt;"",AJ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Z$6:$AZ$532,"已导入实际")=0,$J134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V134" s="348">
        <f>IF(AK134&lt;&gt;"",AK134,IF(COUNTIFS('参考值-平台费用率分析'!$A$6:$A$532,"自营",'参考值-平台费用率分析'!$B$6:$B$532,"拼多多",'参考值-平台费用率分析'!$C$6:$C$532,"销售费用",'参考值-平台费用率分析'!$D$6:$D$532,$F134,'参考值-平台费用率分析'!$E$6:$E$532,$G134,'参考值-平台费用率分析'!$AZ$6:$AZ$532,"已导入实际")=0,$J134,IFERROR(SUMIFS('参考值-平台费用率分析'!$AW$6:$AW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/SUMIFS('参考值-平台费用率分析'!$AX$6:$AX$532,'参考值-平台费用率分析'!$A$6:$A$532,"自营",'参考值-平台费用率分析'!$B$6:$B$532,"拼多多",'参考值-平台费用率分析'!$C$6:$C$532,"销售费用",'参考值-平台费用率分析'!$D$6:$D$532,$F134,'参考值-平台费用率分析'!$E$6:$E$532,$G134),$J134)))</f>
        <v>0</v>
      </c>
      <c r="W134" s="348">
        <f>AVERAGE(K134:V134)</f>
        <v>0</v>
      </c>
      <c r="Y134" s="155">
        <v>3.5243648192520701E-3</v>
      </c>
      <c r="Z134" s="155"/>
      <c r="AA134" s="155"/>
      <c r="AB134" s="155"/>
      <c r="AC134" s="155"/>
      <c r="AD134" s="155"/>
      <c r="AE134" s="155"/>
      <c r="AF134" s="155"/>
      <c r="AG134" s="155"/>
      <c r="AH134" s="155"/>
      <c r="AI134" s="155"/>
      <c r="AJ134" s="155"/>
      <c r="AK134" s="155"/>
      <c r="AL134" s="338" t="s">
        <v>794</v>
      </c>
    </row>
    <row r="135" spans="1:38">
      <c r="K135" s="348"/>
      <c r="L135" s="348"/>
      <c r="M135" s="348"/>
      <c r="N135" s="348"/>
      <c r="O135" s="348"/>
      <c r="P135" s="348"/>
      <c r="Q135" s="348"/>
      <c r="R135" s="348"/>
      <c r="S135" s="348"/>
      <c r="T135" s="348"/>
      <c r="U135" s="348"/>
      <c r="V135" s="348"/>
      <c r="Z135" s="155"/>
      <c r="AA135" s="155"/>
      <c r="AB135" s="155"/>
      <c r="AC135" s="155"/>
      <c r="AD135" s="155"/>
      <c r="AE135" s="155"/>
      <c r="AF135" s="155"/>
      <c r="AG135" s="155"/>
      <c r="AH135" s="155"/>
      <c r="AI135" s="155"/>
      <c r="AJ135" s="155"/>
      <c r="AK135" s="155"/>
    </row>
    <row r="136" spans="1:38">
      <c r="B136" s="102" t="s">
        <v>517</v>
      </c>
      <c r="C136" s="102"/>
      <c r="K136" s="347"/>
      <c r="L136" s="347"/>
      <c r="M136" s="347"/>
      <c r="N136" s="347"/>
      <c r="O136" s="347"/>
      <c r="P136" s="347"/>
      <c r="Q136" s="347"/>
      <c r="R136" s="347"/>
      <c r="S136" s="347"/>
      <c r="T136" s="347"/>
      <c r="U136" s="347"/>
      <c r="V136" s="347"/>
      <c r="W136" s="344"/>
      <c r="Z136" s="155"/>
      <c r="AA136" s="155"/>
      <c r="AB136" s="155"/>
      <c r="AC136" s="155"/>
      <c r="AD136" s="155"/>
      <c r="AE136" s="155"/>
      <c r="AF136" s="155"/>
      <c r="AG136" s="155"/>
      <c r="AH136" s="155"/>
      <c r="AI136" s="155"/>
      <c r="AJ136" s="155"/>
      <c r="AK136" s="155"/>
    </row>
    <row r="137" spans="1:38">
      <c r="D137" s="67" t="s">
        <v>54</v>
      </c>
      <c r="J137" s="348">
        <f>SUM(J138:J141)+'假设-ROI月度滚动'!I16</f>
        <v>0.2960959247404073</v>
      </c>
      <c r="K137" s="347">
        <f>SUM(K138:K141)+'假设-ROI月度滚动'!J16</f>
        <v>0.30202895001482027</v>
      </c>
      <c r="L137" s="347">
        <f>SUM(L138:L141)+'假设-ROI月度滚动'!K16</f>
        <v>0.33711796010992284</v>
      </c>
      <c r="M137" s="347">
        <f>SUM(M138:M141)+'假设-ROI月度滚动'!L16</f>
        <v>0.28336269732080205</v>
      </c>
      <c r="N137" s="347">
        <f>SUM(N138:N141)+'假设-ROI月度滚动'!M16</f>
        <v>0.27217456116328426</v>
      </c>
      <c r="O137" s="347">
        <f>SUM(O138:O141)+'假设-ROI月度滚动'!N16</f>
        <v>0.30916857538970466</v>
      </c>
      <c r="P137" s="347">
        <f>SUM(P138:P141)+'假设-ROI月度滚动'!O16</f>
        <v>0.35141004641474827</v>
      </c>
      <c r="Q137" s="347">
        <f>SUM(Q138:Q141)+'假设-ROI月度滚动'!P16</f>
        <v>0.35107674781293274</v>
      </c>
      <c r="R137" s="347">
        <f>SUM(R138:R141)+'假设-ROI月度滚动'!Q16</f>
        <v>0.35107674781293274</v>
      </c>
      <c r="S137" s="347">
        <f>SUM(S138:S141)+'假设-ROI月度滚动'!R16</f>
        <v>0.35107674781293274</v>
      </c>
      <c r="T137" s="347">
        <f>SUM(T138:T141)+'假设-ROI月度滚动'!S16</f>
        <v>0.35107674781293274</v>
      </c>
      <c r="U137" s="347">
        <f>SUM(U138:U141)+'假设-ROI月度滚动'!T16</f>
        <v>0.35107674781293274</v>
      </c>
      <c r="V137" s="347">
        <f>SUM(V138:V141)+'假设-ROI月度滚动'!U16</f>
        <v>0.35107674781293274</v>
      </c>
      <c r="W137" s="349">
        <f>IFERROR(AVERAGE(K137:V137),0)</f>
        <v>0.33014360644090662</v>
      </c>
      <c r="Z137" s="155"/>
      <c r="AA137" s="155"/>
      <c r="AB137" s="155"/>
      <c r="AC137" s="155"/>
      <c r="AD137" s="155"/>
      <c r="AE137" s="155"/>
      <c r="AF137" s="155"/>
      <c r="AG137" s="155"/>
      <c r="AH137" s="155"/>
      <c r="AI137" s="155"/>
      <c r="AJ137" s="155"/>
      <c r="AK137" s="155"/>
    </row>
    <row r="138" spans="1:38">
      <c r="E138" s="67" t="s">
        <v>52</v>
      </c>
      <c r="F138" s="67" t="s">
        <v>54</v>
      </c>
      <c r="G138" s="67" t="s">
        <v>58</v>
      </c>
      <c r="J138" s="348">
        <f>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Z$6:$Z$532,"&lt;&gt;")=0,$Y138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A$6:$AA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Y138))</f>
        <v>0</v>
      </c>
      <c r="K138" s="348">
        <f>IF(Z138&lt;&gt;"",Z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H$6:$H$532,"&lt;&gt;")=0,$J138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I$6:$I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L138" s="348">
        <f>IF(AA138&lt;&gt;"",AA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K$6:$K$532,"&lt;&gt;")=0,$J138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L$6:$L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M138" s="348">
        <f>IF(AB138&lt;&gt;"",AB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N$6:$N$532,"&lt;&gt;")=0,$J138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O$6:$O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N138" s="348">
        <f>IF(AC138&lt;&gt;"",AC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Q$6:$Q$532,"&lt;&gt;")=0,$J138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R$6:$R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O138" s="348">
        <f>IF(AD138&lt;&gt;"",AD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T$6:$T$532,"&lt;&gt;")=0,$J138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U$6:$U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P138" s="348">
        <f>IF(AE138&lt;&gt;"",AE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F$6:$AF$532,"已导入实际")=0,$J138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D$6:$AD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Q138" s="348">
        <f>IF(AF138&lt;&gt;"",AF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J$6:$AJ$532,"已导入实际")=0,$J138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H$6:$AH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R138" s="348">
        <f>IF(AG138&lt;&gt;"",AG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N$6:$AN$532,"已导入实际")=0,$J138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L$6:$AL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S138" s="348">
        <f>IF(AH138&lt;&gt;"",AH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R$6:$AR$532,"已导入实际")=0,$J138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P$6:$AP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T138" s="348">
        <f>IF(AI138&lt;&gt;"",AI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V$6:$AV$532,"已导入实际")=0,$J138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T$6:$AT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U138" s="348">
        <f>IF(AJ138&lt;&gt;"",AJ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Z$6:$AZ$532,"已导入实际")=0,$J138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X$6:$AX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V138" s="348">
        <f>IF(AK138&lt;&gt;"",AK138,IF(COUNTIFS('参考值-平台费用率分析'!$A$6:$A$532,"自营",'参考值-平台费用率分析'!$B$6:$B$532,"京东",'参考值-平台费用率分析'!$C$6:$C$532,"销售费用",'参考值-平台费用率分析'!$D$6:$D$532,$F138,'参考值-平台费用率分析'!$E$6:$E$532,$G138,'参考值-平台费用率分析'!$AZ$6:$AZ$532,"已导入实际")=0,$J138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/SUMIFS('参考值-平台费用率分析'!$AX$6:$AX$532,'参考值-平台费用率分析'!$A$6:$A$532,"自营",'参考值-平台费用率分析'!$B$6:$B$532,"京东",'参考值-平台费用率分析'!$C$6:$C$532,"销售费用",'参考值-平台费用率分析'!$D$6:$D$532,$F138,'参考值-平台费用率分析'!$E$6:$E$532,$G138),$J138)))</f>
        <v>0</v>
      </c>
      <c r="W138" s="348">
        <f>(K138*'假设-目标渠道分解'!L$11+L138*'假设-目标渠道分解'!M$11+M138*'假设-目标渠道分解'!N$11+N138*'假设-目标渠道分解'!O$11+O138*'假设-目标渠道分解'!P$11+P138*'假设-目标渠道分解'!Q$11+Q138*'假设-目标渠道分解'!R$11+R138*'假设-目标渠道分解'!S$11+S138*'假设-目标渠道分解'!T$11+T138*'假设-目标渠道分解'!U$11+U138*'假设-目标渠道分解'!V$11+V138*'假设-目标渠道分解'!W$11)/'假设-目标渠道分解'!J$11</f>
        <v>0</v>
      </c>
      <c r="Y138" s="155">
        <v>0</v>
      </c>
      <c r="Z138" s="155"/>
      <c r="AA138" s="155"/>
      <c r="AB138" s="155"/>
      <c r="AC138" s="155"/>
      <c r="AD138" s="155"/>
      <c r="AE138" s="155"/>
      <c r="AF138" s="155"/>
      <c r="AG138" s="155"/>
      <c r="AH138" s="155"/>
      <c r="AI138" s="155"/>
      <c r="AJ138" s="155"/>
      <c r="AK138" s="155"/>
      <c r="AL138" s="338" t="s">
        <v>794</v>
      </c>
    </row>
    <row r="139" spans="1:38">
      <c r="E139" s="67" t="s">
        <v>52</v>
      </c>
      <c r="F139" s="67" t="s">
        <v>54</v>
      </c>
      <c r="G139" s="67" t="s">
        <v>59</v>
      </c>
      <c r="J139" s="348">
        <f>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Z$6:$Z$532,"&lt;&gt;")=0,$Y139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A$6:$AA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Y139))</f>
        <v>0</v>
      </c>
      <c r="K139" s="348">
        <f>IF(Z139&lt;&gt;"",Z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H$6:$H$532,"&lt;&gt;")=0,$J139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I$6:$I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L139" s="348">
        <f>IF(AA139&lt;&gt;"",AA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K$6:$K$532,"&lt;&gt;")=0,$J139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L$6:$L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M139" s="348">
        <f>IF(AB139&lt;&gt;"",AB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N$6:$N$532,"&lt;&gt;")=0,$J139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O$6:$O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N139" s="348">
        <f>IF(AC139&lt;&gt;"",AC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Q$6:$Q$532,"&lt;&gt;")=0,$J139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R$6:$R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O139" s="348">
        <f>IF(AD139&lt;&gt;"",AD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T$6:$T$532,"&lt;&gt;")=0,$J139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U$6:$U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P139" s="348">
        <f>IF(AE139&lt;&gt;"",AE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F$6:$AF$532,"已导入实际")=0,$J139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D$6:$AD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Q139" s="348">
        <f>IF(AF139&lt;&gt;"",AF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J$6:$AJ$532,"已导入实际")=0,$J139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H$6:$AH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R139" s="348">
        <f>IF(AG139&lt;&gt;"",AG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N$6:$AN$532,"已导入实际")=0,$J139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L$6:$AL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S139" s="348">
        <f>IF(AH139&lt;&gt;"",AH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R$6:$AR$532,"已导入实际")=0,$J139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P$6:$AP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T139" s="348">
        <f>IF(AI139&lt;&gt;"",AI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V$6:$AV$532,"已导入实际")=0,$J139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T$6:$AT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U139" s="348">
        <f>IF(AJ139&lt;&gt;"",AJ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Z$6:$AZ$532,"已导入实际")=0,$J139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X$6:$AX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V139" s="348">
        <f>IF(AK139&lt;&gt;"",AK139,IF(COUNTIFS('参考值-平台费用率分析'!$A$6:$A$532,"自营",'参考值-平台费用率分析'!$B$6:$B$532,"京东",'参考值-平台费用率分析'!$C$6:$C$532,"销售费用",'参考值-平台费用率分析'!$D$6:$D$532,$F139,'参考值-平台费用率分析'!$E$6:$E$532,$G139,'参考值-平台费用率分析'!$AZ$6:$AZ$532,"已导入实际")=0,$J139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/SUMIFS('参考值-平台费用率分析'!$AX$6:$AX$532,'参考值-平台费用率分析'!$A$6:$A$532,"自营",'参考值-平台费用率分析'!$B$6:$B$532,"京东",'参考值-平台费用率分析'!$C$6:$C$532,"销售费用",'参考值-平台费用率分析'!$D$6:$D$532,$F139,'参考值-平台费用率分析'!$E$6:$E$532,$G139),$J139)))</f>
        <v>0</v>
      </c>
      <c r="W139" s="348">
        <f>(K139*'假设-目标渠道分解'!L$11+L139*'假设-目标渠道分解'!M$11+M139*'假设-目标渠道分解'!N$11+N139*'假设-目标渠道分解'!O$11+O139*'假设-目标渠道分解'!P$11+P139*'假设-目标渠道分解'!Q$11+Q139*'假设-目标渠道分解'!R$11+R139*'假设-目标渠道分解'!S$11+S139*'假设-目标渠道分解'!T$11+T139*'假设-目标渠道分解'!U$11+U139*'假设-目标渠道分解'!V$11+V139*'假设-目标渠道分解'!W$11)/'假设-目标渠道分解'!J$11</f>
        <v>0</v>
      </c>
      <c r="Y139" s="155">
        <v>0</v>
      </c>
      <c r="Z139" s="155"/>
      <c r="AA139" s="155"/>
      <c r="AB139" s="155"/>
      <c r="AC139" s="155"/>
      <c r="AD139" s="155"/>
      <c r="AE139" s="155"/>
      <c r="AF139" s="155"/>
      <c r="AG139" s="155"/>
      <c r="AH139" s="155"/>
      <c r="AI139" s="155"/>
      <c r="AJ139" s="155"/>
      <c r="AK139" s="155"/>
      <c r="AL139" s="338" t="s">
        <v>794</v>
      </c>
    </row>
    <row r="140" spans="1:38">
      <c r="E140" s="67" t="s">
        <v>52</v>
      </c>
      <c r="F140" s="67" t="s">
        <v>54</v>
      </c>
      <c r="G140" s="67" t="s">
        <v>60</v>
      </c>
      <c r="J140" s="348">
        <f>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Z$6:$Z$532,"&lt;&gt;")=0,$Y140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A$6:$AA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Y140))</f>
        <v>0</v>
      </c>
      <c r="K140" s="348">
        <f>IF(Z140&lt;&gt;"",Z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H$6:$H$532,"&lt;&gt;")=0,$J140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I$6:$I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L140" s="348">
        <f>IF(AA140&lt;&gt;"",AA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K$6:$K$532,"&lt;&gt;")=0,$J140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L$6:$L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M140" s="348">
        <f>IF(AB140&lt;&gt;"",AB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N$6:$N$532,"&lt;&gt;")=0,$J140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O$6:$O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N140" s="348">
        <f>IF(AC140&lt;&gt;"",AC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Q$6:$Q$532,"&lt;&gt;")=0,$J140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R$6:$R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O140" s="348">
        <f>IF(AD140&lt;&gt;"",AD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T$6:$T$532,"&lt;&gt;")=0,$J140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U$6:$U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P140" s="348">
        <f>IF(AE140&lt;&gt;"",AE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F$6:$AF$532,"已导入实际")=0,$J140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D$6:$AD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Q140" s="348">
        <f>IF(AF140&lt;&gt;"",AF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J$6:$AJ$532,"已导入实际")=0,$J140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H$6:$AH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R140" s="348">
        <f>IF(AG140&lt;&gt;"",AG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N$6:$AN$532,"已导入实际")=0,$J140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L$6:$AL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S140" s="348">
        <f>IF(AH140&lt;&gt;"",AH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R$6:$AR$532,"已导入实际")=0,$J140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P$6:$AP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T140" s="348">
        <f>IF(AI140&lt;&gt;"",AI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V$6:$AV$532,"已导入实际")=0,$J140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T$6:$AT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U140" s="348">
        <f>IF(AJ140&lt;&gt;"",AJ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Z$6:$AZ$532,"已导入实际")=0,$J140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X$6:$AX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V140" s="348">
        <f>IF(AK140&lt;&gt;"",AK140,IF(COUNTIFS('参考值-平台费用率分析'!$A$6:$A$532,"自营",'参考值-平台费用率分析'!$B$6:$B$532,"京东",'参考值-平台费用率分析'!$C$6:$C$532,"销售费用",'参考值-平台费用率分析'!$D$6:$D$532,$F140,'参考值-平台费用率分析'!$E$6:$E$532,$G140,'参考值-平台费用率分析'!$AZ$6:$AZ$532,"已导入实际")=0,$J140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/SUMIFS('参考值-平台费用率分析'!$AX$6:$AX$532,'参考值-平台费用率分析'!$A$6:$A$532,"自营",'参考值-平台费用率分析'!$B$6:$B$532,"京东",'参考值-平台费用率分析'!$C$6:$C$532,"销售费用",'参考值-平台费用率分析'!$D$6:$D$532,$F140,'参考值-平台费用率分析'!$E$6:$E$532,$G140),$J140)))</f>
        <v>0</v>
      </c>
      <c r="W140" s="348">
        <f>(K140*'假设-目标渠道分解'!L$11+L140*'假设-目标渠道分解'!M$11+M140*'假设-目标渠道分解'!N$11+N140*'假设-目标渠道分解'!O$11+O140*'假设-目标渠道分解'!P$11+P140*'假设-目标渠道分解'!Q$11+Q140*'假设-目标渠道分解'!R$11+R140*'假设-目标渠道分解'!S$11+S140*'假设-目标渠道分解'!T$11+T140*'假设-目标渠道分解'!U$11+U140*'假设-目标渠道分解'!V$11+V140*'假设-目标渠道分解'!W$11)/'假设-目标渠道分解'!J$11</f>
        <v>0</v>
      </c>
      <c r="Y140" s="155">
        <v>0</v>
      </c>
      <c r="Z140" s="155"/>
      <c r="AA140" s="155"/>
      <c r="AB140" s="155"/>
      <c r="AC140" s="155"/>
      <c r="AD140" s="155"/>
      <c r="AE140" s="155"/>
      <c r="AF140" s="155"/>
      <c r="AG140" s="155"/>
      <c r="AH140" s="155"/>
      <c r="AI140" s="155"/>
      <c r="AJ140" s="155"/>
      <c r="AK140" s="155"/>
      <c r="AL140" s="338" t="s">
        <v>794</v>
      </c>
    </row>
    <row r="141" spans="1:38">
      <c r="E141" s="67" t="s">
        <v>52</v>
      </c>
      <c r="F141" s="67" t="s">
        <v>54</v>
      </c>
      <c r="G141" s="67" t="s">
        <v>61</v>
      </c>
      <c r="J141" s="348">
        <f>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Z$6:$Z$532,"&lt;&gt;")=0,$Y141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A$6:$AA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Y141))</f>
        <v>6.3720425973852302E-2</v>
      </c>
      <c r="K141" s="350">
        <f>IF(Z141&lt;&gt;"",Z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H$6:$H$532,"&lt;&gt;")=0,$J141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I$6:$I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4.7364992830597259E-2</v>
      </c>
      <c r="L141" s="350">
        <f>IF(AA141&lt;&gt;"",AA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K$6:$K$532,"&lt;&gt;")=0,$J141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L$6:$L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8.674828063176783E-2</v>
      </c>
      <c r="M141" s="350">
        <f>IF(AB141&lt;&gt;"",AB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N$6:$N$532,"&lt;&gt;")=0,$J141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O$6:$O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7.2679680283271042E-2</v>
      </c>
      <c r="N141" s="350">
        <f>IF(AC141&lt;&gt;"",AC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Q$6:$Q$532,"&lt;&gt;")=0,$J141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R$6:$R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6.2018388476495281E-2</v>
      </c>
      <c r="O141" s="350">
        <f>IF(AD141&lt;&gt;"",AD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T$6:$T$532,"&lt;&gt;")=0,$J141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U$6:$U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5.1862908068093704E-2</v>
      </c>
      <c r="P141" s="350">
        <f>IF(AE141&lt;&gt;"",AE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F$6:$AF$532,"已导入实际")=0,$J141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D$6:$AD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Q141" s="350">
        <f>IF(AF141&lt;&gt;"",AF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J$6:$AJ$532,"已导入实际")=0,$J141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H$6:$AH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R141" s="350">
        <f>IF(AG141&lt;&gt;"",AG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N$6:$AN$532,"已导入实际")=0,$J141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L$6:$AL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S141" s="350">
        <f>IF(AH141&lt;&gt;"",AH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R$6:$AR$532,"已导入实际")=0,$J141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P$6:$AP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T141" s="350">
        <f>IF(AI141&lt;&gt;"",AI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V$6:$AV$532,"已导入实际")=0,$J141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T$6:$AT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U141" s="350">
        <f>IF(AJ141&lt;&gt;"",AJ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Z$6:$AZ$532,"已导入实际")=0,$J141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X$6:$AX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V141" s="350">
        <f>IF(AK141&lt;&gt;"",AK141,IF(COUNTIFS('参考值-平台费用率分析'!$A$6:$A$532,"自营",'参考值-平台费用率分析'!$B$6:$B$532,"京东",'参考值-平台费用率分析'!$C$6:$C$532,"销售费用",'参考值-平台费用率分析'!$D$6:$D$532,$F141,'参考值-平台费用率分析'!$E$6:$E$532,$G141,'参考值-平台费用率分析'!$AZ$6:$AZ$532,"已导入实际")=0,$J141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/SUMIFS('参考值-平台费用率分析'!$AX$6:$AX$532,'参考值-平台费用率分析'!$A$6:$A$532,"自营",'参考值-平台费用率分析'!$B$6:$B$532,"京东",'参考值-平台费用率分析'!$C$6:$C$532,"销售费用",'参考值-平台费用率分析'!$D$6:$D$532,$F141,'参考值-平台费用率分析'!$E$6:$E$532,$G141),$J141)))</f>
        <v>6.3720425973852302E-2</v>
      </c>
      <c r="W141" s="348">
        <f>(K141*'假设-目标渠道分解'!L$11+L141*'假设-目标渠道分解'!M$11+M141*'假设-目标渠道分解'!N$11+N141*'假设-目标渠道分解'!O$11+O141*'假设-目标渠道分解'!P$11+P141*'假设-目标渠道分解'!Q$11+Q141*'假设-目标渠道分解'!R$11+R141*'假设-目标渠道分解'!S$11+S141*'假设-目标渠道分解'!T$11+T141*'假设-目标渠道分解'!U$11+U141*'假设-目标渠道分解'!V$11+V141*'假设-目标渠道分解'!W$11)/'假设-目标渠道分解'!J$11</f>
        <v>6.3310897860361703E-2</v>
      </c>
      <c r="Y141" s="155">
        <v>6.5179167838281205E-2</v>
      </c>
      <c r="Z141" s="155"/>
      <c r="AA141" s="155"/>
      <c r="AB141" s="155"/>
      <c r="AC141" s="155"/>
      <c r="AD141" s="155"/>
      <c r="AE141" s="155"/>
      <c r="AF141" s="155"/>
      <c r="AG141" s="155"/>
      <c r="AH141" s="155"/>
      <c r="AI141" s="155"/>
      <c r="AJ141" s="155"/>
      <c r="AK141" s="155"/>
      <c r="AL141" s="338" t="s">
        <v>794</v>
      </c>
    </row>
    <row r="142" spans="1:38">
      <c r="D142" s="67" t="s">
        <v>65</v>
      </c>
      <c r="J142" s="348">
        <v>0</v>
      </c>
      <c r="K142" s="348">
        <f t="shared" ref="K142:W142" si="20">SUM(K143:K146)</f>
        <v>0</v>
      </c>
      <c r="L142" s="348">
        <f t="shared" si="20"/>
        <v>0</v>
      </c>
      <c r="M142" s="348">
        <f t="shared" si="20"/>
        <v>0</v>
      </c>
      <c r="N142" s="348">
        <f t="shared" si="20"/>
        <v>0</v>
      </c>
      <c r="O142" s="348">
        <f t="shared" si="20"/>
        <v>0</v>
      </c>
      <c r="P142" s="348">
        <f t="shared" si="20"/>
        <v>0</v>
      </c>
      <c r="Q142" s="348">
        <f t="shared" si="20"/>
        <v>0</v>
      </c>
      <c r="R142" s="348">
        <f t="shared" si="20"/>
        <v>0</v>
      </c>
      <c r="S142" s="348">
        <f t="shared" si="20"/>
        <v>0</v>
      </c>
      <c r="T142" s="348">
        <f t="shared" si="20"/>
        <v>0</v>
      </c>
      <c r="U142" s="348">
        <f t="shared" si="20"/>
        <v>0</v>
      </c>
      <c r="V142" s="348">
        <f t="shared" si="20"/>
        <v>0</v>
      </c>
      <c r="W142" s="349">
        <f t="shared" si="20"/>
        <v>0</v>
      </c>
      <c r="Z142" s="155"/>
      <c r="AA142" s="155"/>
      <c r="AB142" s="155"/>
      <c r="AC142" s="155"/>
      <c r="AD142" s="155"/>
      <c r="AE142" s="155"/>
      <c r="AF142" s="155"/>
      <c r="AG142" s="155"/>
      <c r="AH142" s="155"/>
      <c r="AI142" s="155"/>
      <c r="AJ142" s="155"/>
      <c r="AK142" s="155"/>
    </row>
    <row r="143" spans="1:38">
      <c r="E143" s="67" t="s">
        <v>52</v>
      </c>
      <c r="F143" s="67" t="s">
        <v>65</v>
      </c>
      <c r="G143" s="67" t="s">
        <v>66</v>
      </c>
      <c r="J143" s="348">
        <f>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Z$6:$Z$532,"&lt;&gt;")=0,$Y143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A$6:$AA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Y143))</f>
        <v>0</v>
      </c>
      <c r="K143" s="348">
        <f>IF(Z143&lt;&gt;"",Z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H$6:$H$532,"&lt;&gt;")=0,$J143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I$6:$I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L143" s="348">
        <f>IF(AA143&lt;&gt;"",AA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K$6:$K$532,"&lt;&gt;")=0,$J143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L$6:$L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M143" s="348">
        <f>IF(AB143&lt;&gt;"",AB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N$6:$N$532,"&lt;&gt;")=0,$J143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O$6:$O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N143" s="348">
        <f>IF(AC143&lt;&gt;"",AC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Q$6:$Q$532,"&lt;&gt;")=0,$J143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R$6:$R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O143" s="348">
        <f>IF(AD143&lt;&gt;"",AD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T$6:$T$532,"&lt;&gt;")=0,$J143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U$6:$U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P143" s="347">
        <f>IF(AE143&lt;&gt;"",AE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F$6:$AF$532,"已导入实际")=0,$J143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D$6:$AD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Q143" s="347">
        <f>IF(AF143&lt;&gt;"",AF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J$6:$AJ$532,"已导入实际")=0,$J143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H$6:$AH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R143" s="347">
        <f>IF(AG143&lt;&gt;"",AG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N$6:$AN$532,"已导入实际")=0,$J143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L$6:$AL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S143" s="347">
        <f>IF(AH143&lt;&gt;"",AH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R$6:$AR$532,"已导入实际")=0,$J143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P$6:$AP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T143" s="347">
        <f>IF(AI143&lt;&gt;"",AI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V$6:$AV$532,"已导入实际")=0,$J143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T$6:$AT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U143" s="347">
        <f>IF(AJ143&lt;&gt;"",AJ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Z$6:$AZ$532,"已导入实际")=0,$J143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X$6:$AX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V143" s="347">
        <f>IF(AK143&lt;&gt;"",AK143,IF(COUNTIFS('参考值-平台费用率分析'!$A$6:$A$532,"自营",'参考值-平台费用率分析'!$B$6:$B$532,"京东",'参考值-平台费用率分析'!$C$6:$C$532,"销售费用",'参考值-平台费用率分析'!$D$6:$D$532,$F143,'参考值-平台费用率分析'!$E$6:$E$532,$G143,'参考值-平台费用率分析'!$AZ$6:$AZ$532,"已导入实际")=0,$J143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/SUMIFS('参考值-平台费用率分析'!$AX$6:$AX$532,'参考值-平台费用率分析'!$A$6:$A$532,"自营",'参考值-平台费用率分析'!$B$6:$B$532,"京东",'参考值-平台费用率分析'!$C$6:$C$532,"销售费用",'参考值-平台费用率分析'!$D$6:$D$532,$F143,'参考值-平台费用率分析'!$E$6:$E$532,$G143),$J143)))</f>
        <v>0</v>
      </c>
      <c r="W143" s="348">
        <f>(K143*'假设-目标渠道分解'!L$11+L143*'假设-目标渠道分解'!M$11+M143*'假设-目标渠道分解'!N$11+N143*'假设-目标渠道分解'!O$11+O143*'假设-目标渠道分解'!P$11+P143*'假设-目标渠道分解'!Q$11+Q143*'假设-目标渠道分解'!R$11+R143*'假设-目标渠道分解'!S$11+S143*'假设-目标渠道分解'!T$11+T143*'假设-目标渠道分解'!U$11+U143*'假设-目标渠道分解'!V$11+V143*'假设-目标渠道分解'!W$11)/'假设-目标渠道分解'!J$11</f>
        <v>0</v>
      </c>
      <c r="Y143" s="155">
        <v>0</v>
      </c>
      <c r="Z143" s="155"/>
      <c r="AA143" s="155"/>
      <c r="AB143" s="155"/>
      <c r="AC143" s="155"/>
      <c r="AD143" s="155"/>
      <c r="AE143" s="155"/>
      <c r="AF143" s="155"/>
      <c r="AG143" s="155"/>
      <c r="AH143" s="155"/>
      <c r="AI143" s="155"/>
      <c r="AJ143" s="155"/>
      <c r="AK143" s="155"/>
      <c r="AL143" s="338" t="s">
        <v>794</v>
      </c>
    </row>
    <row r="144" spans="1:38">
      <c r="E144" s="67" t="s">
        <v>52</v>
      </c>
      <c r="F144" s="67" t="s">
        <v>65</v>
      </c>
      <c r="G144" s="67" t="s">
        <v>67</v>
      </c>
      <c r="J144" s="348">
        <f>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Z$6:$Z$532,"&lt;&gt;")=0,$Y144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A$6:$AA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Y144))</f>
        <v>0</v>
      </c>
      <c r="K144" s="348">
        <f>IF(Z144&lt;&gt;"",Z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H$6:$H$532,"&lt;&gt;")=0,$J144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I$6:$I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L144" s="348">
        <f>IF(AA144&lt;&gt;"",AA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K$6:$K$532,"&lt;&gt;")=0,$J144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L$6:$L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M144" s="348">
        <f>IF(AB144&lt;&gt;"",AB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N$6:$N$532,"&lt;&gt;")=0,$J144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O$6:$O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N144" s="348">
        <f>IF(AC144&lt;&gt;"",AC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Q$6:$Q$532,"&lt;&gt;")=0,$J144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R$6:$R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O144" s="348">
        <f>IF(AD144&lt;&gt;"",AD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T$6:$T$532,"&lt;&gt;")=0,$J144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U$6:$U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P144" s="347">
        <f>IF(AE144&lt;&gt;"",AE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F$6:$AF$532,"已导入实际")=0,$J144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D$6:$AD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Q144" s="347">
        <f>IF(AF144&lt;&gt;"",AF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J$6:$AJ$532,"已导入实际")=0,$J144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H$6:$AH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R144" s="347">
        <f>IF(AG144&lt;&gt;"",AG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N$6:$AN$532,"已导入实际")=0,$J144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L$6:$AL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S144" s="347">
        <f>IF(AH144&lt;&gt;"",AH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R$6:$AR$532,"已导入实际")=0,$J144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P$6:$AP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T144" s="347">
        <f>IF(AI144&lt;&gt;"",AI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V$6:$AV$532,"已导入实际")=0,$J144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T$6:$AT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U144" s="347">
        <f>IF(AJ144&lt;&gt;"",AJ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Z$6:$AZ$532,"已导入实际")=0,$J144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X$6:$AX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V144" s="347">
        <f>IF(AK144&lt;&gt;"",AK144,IF(COUNTIFS('参考值-平台费用率分析'!$A$6:$A$532,"自营",'参考值-平台费用率分析'!$B$6:$B$532,"京东",'参考值-平台费用率分析'!$C$6:$C$532,"销售费用",'参考值-平台费用率分析'!$D$6:$D$532,$F144,'参考值-平台费用率分析'!$E$6:$E$532,$G144,'参考值-平台费用率分析'!$AZ$6:$AZ$532,"已导入实际")=0,$J144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/SUMIFS('参考值-平台费用率分析'!$AX$6:$AX$532,'参考值-平台费用率分析'!$A$6:$A$532,"自营",'参考值-平台费用率分析'!$B$6:$B$532,"京东",'参考值-平台费用率分析'!$C$6:$C$532,"销售费用",'参考值-平台费用率分析'!$D$6:$D$532,$F144,'参考值-平台费用率分析'!$E$6:$E$532,$G144),$J144)))</f>
        <v>0</v>
      </c>
      <c r="W144" s="348">
        <f>(K144*'假设-目标渠道分解'!L$11+L144*'假设-目标渠道分解'!M$11+M144*'假设-目标渠道分解'!N$11+N144*'假设-目标渠道分解'!O$11+O144*'假设-目标渠道分解'!P$11+P144*'假设-目标渠道分解'!Q$11+Q144*'假设-目标渠道分解'!R$11+R144*'假设-目标渠道分解'!S$11+S144*'假设-目标渠道分解'!T$11+T144*'假设-目标渠道分解'!U$11+U144*'假设-目标渠道分解'!V$11+V144*'假设-目标渠道分解'!W$11)/'假设-目标渠道分解'!J$11</f>
        <v>0</v>
      </c>
      <c r="Y144" s="155">
        <v>0</v>
      </c>
      <c r="Z144" s="155"/>
      <c r="AA144" s="155"/>
      <c r="AB144" s="155"/>
      <c r="AC144" s="155"/>
      <c r="AD144" s="155"/>
      <c r="AE144" s="155"/>
      <c r="AF144" s="155"/>
      <c r="AG144" s="155"/>
      <c r="AH144" s="155"/>
      <c r="AI144" s="155"/>
      <c r="AJ144" s="155"/>
      <c r="AK144" s="155"/>
      <c r="AL144" s="338" t="s">
        <v>794</v>
      </c>
    </row>
    <row r="145" spans="1:38">
      <c r="E145" s="67" t="s">
        <v>52</v>
      </c>
      <c r="F145" s="67" t="s">
        <v>65</v>
      </c>
      <c r="G145" s="67" t="s">
        <v>68</v>
      </c>
      <c r="J145" s="348">
        <f>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Z$6:$Z$532,"&lt;&gt;")=0,$Y145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A$6:$AA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Y145))</f>
        <v>0</v>
      </c>
      <c r="K145" s="348">
        <f>IF(Z145&lt;&gt;"",Z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H$6:$H$532,"&lt;&gt;")=0,$J145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I$6:$I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L145" s="348">
        <f>IF(AA145&lt;&gt;"",AA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K$6:$K$532,"&lt;&gt;")=0,$J145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L$6:$L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M145" s="348">
        <f>IF(AB145&lt;&gt;"",AB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N$6:$N$532,"&lt;&gt;")=0,$J145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O$6:$O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N145" s="348">
        <f>IF(AC145&lt;&gt;"",AC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Q$6:$Q$532,"&lt;&gt;")=0,$J145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R$6:$R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O145" s="348">
        <f>IF(AD145&lt;&gt;"",AD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T$6:$T$532,"&lt;&gt;")=0,$J145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U$6:$U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P145" s="348">
        <f>IF(AE145&lt;&gt;"",AE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F$6:$AF$532,"已导入实际")=0,$J145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D$6:$AD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Q145" s="348">
        <f>IF(AF145&lt;&gt;"",AF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J$6:$AJ$532,"已导入实际")=0,$J145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H$6:$AH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R145" s="348">
        <f>IF(AG145&lt;&gt;"",AG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N$6:$AN$532,"已导入实际")=0,$J145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L$6:$AL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S145" s="348">
        <f>IF(AH145&lt;&gt;"",AH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R$6:$AR$532,"已导入实际")=0,$J145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P$6:$AP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T145" s="348">
        <f>IF(AI145&lt;&gt;"",AI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V$6:$AV$532,"已导入实际")=0,$J145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T$6:$AT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U145" s="348">
        <f>IF(AJ145&lt;&gt;"",AJ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Z$6:$AZ$532,"已导入实际")=0,$J145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X$6:$AX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V145" s="348">
        <f>IF(AK145&lt;&gt;"",AK145,IF(COUNTIFS('参考值-平台费用率分析'!$A$6:$A$532,"自营",'参考值-平台费用率分析'!$B$6:$B$532,"京东",'参考值-平台费用率分析'!$C$6:$C$532,"销售费用",'参考值-平台费用率分析'!$D$6:$D$532,$F145,'参考值-平台费用率分析'!$E$6:$E$532,$G145,'参考值-平台费用率分析'!$AZ$6:$AZ$532,"已导入实际")=0,$J145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/SUMIFS('参考值-平台费用率分析'!$AX$6:$AX$532,'参考值-平台费用率分析'!$A$6:$A$532,"自营",'参考值-平台费用率分析'!$B$6:$B$532,"京东",'参考值-平台费用率分析'!$C$6:$C$532,"销售费用",'参考值-平台费用率分析'!$D$6:$D$532,$F145,'参考值-平台费用率分析'!$E$6:$E$532,$G145),$J145)))</f>
        <v>0</v>
      </c>
      <c r="W145" s="348">
        <f>(K145*'假设-目标渠道分解'!L$11+L145*'假设-目标渠道分解'!M$11+M145*'假设-目标渠道分解'!N$11+N145*'假设-目标渠道分解'!O$11+O145*'假设-目标渠道分解'!P$11+P145*'假设-目标渠道分解'!Q$11+Q145*'假设-目标渠道分解'!R$11+R145*'假设-目标渠道分解'!S$11+S145*'假设-目标渠道分解'!T$11+T145*'假设-目标渠道分解'!U$11+U145*'假设-目标渠道分解'!V$11+V145*'假设-目标渠道分解'!W$11)/'假设-目标渠道分解'!J$11</f>
        <v>0</v>
      </c>
      <c r="Y145" s="155">
        <v>0</v>
      </c>
      <c r="Z145" s="155"/>
      <c r="AA145" s="155"/>
      <c r="AB145" s="155"/>
      <c r="AC145" s="155"/>
      <c r="AD145" s="155"/>
      <c r="AE145" s="155"/>
      <c r="AF145" s="155"/>
      <c r="AG145" s="155"/>
      <c r="AH145" s="155"/>
      <c r="AI145" s="155"/>
      <c r="AJ145" s="155"/>
      <c r="AK145" s="155"/>
      <c r="AL145" s="338" t="s">
        <v>794</v>
      </c>
    </row>
    <row r="146" spans="1:38">
      <c r="E146" s="67" t="s">
        <v>52</v>
      </c>
      <c r="F146" s="67" t="s">
        <v>65</v>
      </c>
      <c r="G146" s="67" t="s">
        <v>69</v>
      </c>
      <c r="J146" s="348">
        <f>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Z$6:$Z$532,"&lt;&gt;")=0,$Y146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A$6:$AA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Y146))</f>
        <v>0</v>
      </c>
      <c r="K146" s="348">
        <f>IF(Z146&lt;&gt;"",Z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H$6:$H$532,"&lt;&gt;")=0,$J146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I$6:$I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L146" s="348">
        <f>IF(AA146&lt;&gt;"",AA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K$6:$K$532,"&lt;&gt;")=0,$J146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L$6:$L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M146" s="348">
        <f>IF(AB146&lt;&gt;"",AB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N$6:$N$532,"&lt;&gt;")=0,$J146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O$6:$O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N146" s="348">
        <f>IF(AC146&lt;&gt;"",AC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Q$6:$Q$532,"&lt;&gt;")=0,$J146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R$6:$R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O146" s="348">
        <f>IF(AD146&lt;&gt;"",AD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T$6:$T$532,"&lt;&gt;")=0,$J146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U$6:$U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P146" s="348">
        <f>IF(AE146&lt;&gt;"",AE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F$6:$AF$532,"已导入实际")=0,$J146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D$6:$AD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Q146" s="348">
        <f>IF(AF146&lt;&gt;"",AF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J$6:$AJ$532,"已导入实际")=0,$J146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H$6:$AH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R146" s="348">
        <f>IF(AG146&lt;&gt;"",AG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N$6:$AN$532,"已导入实际")=0,$J146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L$6:$AL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S146" s="348">
        <f>IF(AH146&lt;&gt;"",AH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R$6:$AR$532,"已导入实际")=0,$J146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P$6:$AP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T146" s="348">
        <f>IF(AI146&lt;&gt;"",AI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V$6:$AV$532,"已导入实际")=0,$J146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T$6:$AT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U146" s="348">
        <f>IF(AJ146&lt;&gt;"",AJ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Z$6:$AZ$532,"已导入实际")=0,$J146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X$6:$AX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V146" s="348">
        <f>IF(AK146&lt;&gt;"",AK146,IF(COUNTIFS('参考值-平台费用率分析'!$A$6:$A$532,"自营",'参考值-平台费用率分析'!$B$6:$B$532,"京东",'参考值-平台费用率分析'!$C$6:$C$532,"销售费用",'参考值-平台费用率分析'!$D$6:$D$532,$F146,'参考值-平台费用率分析'!$E$6:$E$532,$G146,'参考值-平台费用率分析'!$AZ$6:$AZ$532,"已导入实际")=0,$J146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/SUMIFS('参考值-平台费用率分析'!$AX$6:$AX$532,'参考值-平台费用率分析'!$A$6:$A$532,"自营",'参考值-平台费用率分析'!$B$6:$B$532,"京东",'参考值-平台费用率分析'!$C$6:$C$532,"销售费用",'参考值-平台费用率分析'!$D$6:$D$532,$F146,'参考值-平台费用率分析'!$E$6:$E$532,$G146),$J146)))</f>
        <v>0</v>
      </c>
      <c r="W146" s="348">
        <f>(K146*'假设-目标渠道分解'!L$11+L146*'假设-目标渠道分解'!M$11+M146*'假设-目标渠道分解'!N$11+N146*'假设-目标渠道分解'!O$11+O146*'假设-目标渠道分解'!P$11+P146*'假设-目标渠道分解'!Q$11+Q146*'假设-目标渠道分解'!R$11+R146*'假设-目标渠道分解'!S$11+S146*'假设-目标渠道分解'!T$11+T146*'假设-目标渠道分解'!U$11+U146*'假设-目标渠道分解'!V$11+V146*'假设-目标渠道分解'!W$11)/'假设-目标渠道分解'!J$11</f>
        <v>0</v>
      </c>
      <c r="Y146" s="155">
        <v>0</v>
      </c>
      <c r="Z146" s="155"/>
      <c r="AA146" s="155"/>
      <c r="AB146" s="155"/>
      <c r="AC146" s="155"/>
      <c r="AD146" s="155"/>
      <c r="AE146" s="155"/>
      <c r="AF146" s="155"/>
      <c r="AG146" s="155"/>
      <c r="AH146" s="155"/>
      <c r="AI146" s="155"/>
      <c r="AJ146" s="155"/>
      <c r="AK146" s="155"/>
      <c r="AL146" s="338" t="s">
        <v>794</v>
      </c>
    </row>
    <row r="147" spans="1:38">
      <c r="D147" s="67" t="s">
        <v>70</v>
      </c>
      <c r="J147" s="348">
        <v>0</v>
      </c>
      <c r="K147" s="348">
        <f t="shared" ref="K147:W147" si="21">SUM(K148:K150)</f>
        <v>3.9178883914201268E-2</v>
      </c>
      <c r="L147" s="348">
        <f t="shared" si="21"/>
        <v>3.7949746811535554E-2</v>
      </c>
      <c r="M147" s="348">
        <f t="shared" si="21"/>
        <v>3.8194598475837158E-2</v>
      </c>
      <c r="N147" s="348">
        <f t="shared" si="21"/>
        <v>3.5100917996743093E-2</v>
      </c>
      <c r="O147" s="348">
        <f t="shared" si="21"/>
        <v>3.5469635363191809E-2</v>
      </c>
      <c r="P147" s="348">
        <f t="shared" si="21"/>
        <v>3.6694749824121076E-2</v>
      </c>
      <c r="Q147" s="348">
        <f t="shared" si="21"/>
        <v>3.6694749824121076E-2</v>
      </c>
      <c r="R147" s="348">
        <f t="shared" si="21"/>
        <v>3.6694749824121076E-2</v>
      </c>
      <c r="S147" s="348">
        <f t="shared" si="21"/>
        <v>3.6694749824121076E-2</v>
      </c>
      <c r="T147" s="348">
        <f t="shared" si="21"/>
        <v>3.6694749824121076E-2</v>
      </c>
      <c r="U147" s="348">
        <f t="shared" si="21"/>
        <v>3.6694749824121076E-2</v>
      </c>
      <c r="V147" s="348">
        <f t="shared" si="21"/>
        <v>3.6694749824121076E-2</v>
      </c>
      <c r="W147" s="349">
        <f t="shared" si="21"/>
        <v>3.6780009402969861E-2</v>
      </c>
      <c r="Z147" s="155"/>
      <c r="AA147" s="155"/>
      <c r="AB147" s="155"/>
      <c r="AC147" s="155"/>
      <c r="AD147" s="155"/>
      <c r="AE147" s="155"/>
      <c r="AF147" s="155"/>
      <c r="AG147" s="155"/>
      <c r="AH147" s="155"/>
      <c r="AI147" s="155"/>
      <c r="AJ147" s="155"/>
      <c r="AK147" s="155"/>
    </row>
    <row r="148" spans="1:38">
      <c r="E148" s="67" t="s">
        <v>52</v>
      </c>
      <c r="F148" s="67" t="s">
        <v>70</v>
      </c>
      <c r="G148" s="67" t="s">
        <v>71</v>
      </c>
      <c r="J148" s="348">
        <f>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Z$6:$Z$532,"&lt;&gt;")=0,$Y148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A$6:$AA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Y148))</f>
        <v>0</v>
      </c>
      <c r="K148" s="348">
        <f>IF(Z148&lt;&gt;"",Z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H$6:$H$532,"&lt;&gt;")=0,$J148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I$6:$I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L148" s="348">
        <f>IF(AA148&lt;&gt;"",AA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K$6:$K$532,"&lt;&gt;")=0,$J148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L$6:$L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M148" s="348">
        <f>IF(AB148&lt;&gt;"",AB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N$6:$N$532,"&lt;&gt;")=0,$J148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O$6:$O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N148" s="348">
        <f>IF(AC148&lt;&gt;"",AC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Q$6:$Q$532,"&lt;&gt;")=0,$J148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R$6:$R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O148" s="348">
        <f>IF(AD148&lt;&gt;"",AD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T$6:$T$532,"&lt;&gt;")=0,$J148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U$6:$U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P148" s="350">
        <f>IF(AE148&lt;&gt;"",AE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F$6:$AF$532,"已导入实际")=0,$J148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D$6:$AD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Q148" s="350">
        <f>IF(AF148&lt;&gt;"",AF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J$6:$AJ$532,"已导入实际")=0,$J148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H$6:$AH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R148" s="350">
        <f>IF(AG148&lt;&gt;"",AG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N$6:$AN$532,"已导入实际")=0,$J148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L$6:$AL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S148" s="350">
        <f>IF(AH148&lt;&gt;"",AH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R$6:$AR$532,"已导入实际")=0,$J148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P$6:$AP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T148" s="350">
        <f>IF(AI148&lt;&gt;"",AI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V$6:$AV$532,"已导入实际")=0,$J148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T$6:$AT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U148" s="350">
        <f>IF(AJ148&lt;&gt;"",AJ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Z$6:$AZ$532,"已导入实际")=0,$J148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X$6:$AX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V148" s="350">
        <f>IF(AK148&lt;&gt;"",AK148,IF(COUNTIFS('参考值-平台费用率分析'!$A$6:$A$532,"自营",'参考值-平台费用率分析'!$B$6:$B$532,"京东",'参考值-平台费用率分析'!$C$6:$C$532,"销售费用",'参考值-平台费用率分析'!$D$6:$D$532,$F148,'参考值-平台费用率分析'!$E$6:$E$532,$G148,'参考值-平台费用率分析'!$AZ$6:$AZ$532,"已导入实际")=0,$J148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/SUMIFS('参考值-平台费用率分析'!$AX$6:$AX$532,'参考值-平台费用率分析'!$A$6:$A$532,"自营",'参考值-平台费用率分析'!$B$6:$B$532,"京东",'参考值-平台费用率分析'!$C$6:$C$532,"销售费用",'参考值-平台费用率分析'!$D$6:$D$532,$F148,'参考值-平台费用率分析'!$E$6:$E$532,$G148),$J148)))</f>
        <v>0</v>
      </c>
      <c r="W148" s="348">
        <f>(K148*'假设-目标渠道分解'!L$11+L148*'假设-目标渠道分解'!M$11+M148*'假设-目标渠道分解'!N$11+N148*'假设-目标渠道分解'!O$11+O148*'假设-目标渠道分解'!P$11+P148*'假设-目标渠道分解'!Q$11+Q148*'假设-目标渠道分解'!R$11+R148*'假设-目标渠道分解'!S$11+S148*'假设-目标渠道分解'!T$11+T148*'假设-目标渠道分解'!U$11+U148*'假设-目标渠道分解'!V$11+V148*'假设-目标渠道分解'!W$11)/'假设-目标渠道分解'!J$11</f>
        <v>0</v>
      </c>
      <c r="Y148" s="155">
        <v>2.6934442753213501E-2</v>
      </c>
      <c r="Z148" s="155"/>
      <c r="AA148" s="155"/>
      <c r="AB148" s="155"/>
      <c r="AC148" s="155"/>
      <c r="AD148" s="155"/>
      <c r="AE148" s="155"/>
      <c r="AF148" s="155"/>
      <c r="AG148" s="155"/>
      <c r="AH148" s="155"/>
      <c r="AI148" s="155"/>
      <c r="AJ148" s="155"/>
      <c r="AK148" s="155"/>
      <c r="AL148" s="338" t="s">
        <v>794</v>
      </c>
    </row>
    <row r="149" spans="1:38">
      <c r="E149" s="67" t="s">
        <v>52</v>
      </c>
      <c r="F149" s="67" t="s">
        <v>70</v>
      </c>
      <c r="G149" s="67" t="s">
        <v>72</v>
      </c>
      <c r="J149" s="348">
        <f>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Z$6:$Z$532,"&lt;&gt;")=0,$Y149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A$6:$AA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Y149))</f>
        <v>0</v>
      </c>
      <c r="K149" s="348">
        <f>IF(Z149&lt;&gt;"",Z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H$6:$H$532,"&lt;&gt;")=0,$J149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I$6:$I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L149" s="348">
        <f>IF(AA149&lt;&gt;"",AA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K$6:$K$532,"&lt;&gt;")=0,$J149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L$6:$L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M149" s="348">
        <f>IF(AB149&lt;&gt;"",AB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N$6:$N$532,"&lt;&gt;")=0,$J149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O$6:$O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N149" s="348">
        <f>IF(AC149&lt;&gt;"",AC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Q$6:$Q$532,"&lt;&gt;")=0,$J149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R$6:$R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O149" s="348">
        <f>IF(AD149&lt;&gt;"",AD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T$6:$T$532,"&lt;&gt;")=0,$J149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U$6:$U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P149" s="348">
        <f>IF(AE149&lt;&gt;"",AE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F$6:$AF$532,"已导入实际")=0,$J149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D$6:$AD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Q149" s="348">
        <f>IF(AF149&lt;&gt;"",AF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J$6:$AJ$532,"已导入实际")=0,$J149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H$6:$AH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R149" s="348">
        <f>IF(AG149&lt;&gt;"",AG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N$6:$AN$532,"已导入实际")=0,$J149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L$6:$AL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S149" s="348">
        <f>IF(AH149&lt;&gt;"",AH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R$6:$AR$532,"已导入实际")=0,$J149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P$6:$AP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T149" s="348">
        <f>IF(AI149&lt;&gt;"",AI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V$6:$AV$532,"已导入实际")=0,$J149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T$6:$AT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U149" s="348">
        <f>IF(AJ149&lt;&gt;"",AJ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Z$6:$AZ$532,"已导入实际")=0,$J149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X$6:$AX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V149" s="348">
        <f>IF(AK149&lt;&gt;"",AK149,IF(COUNTIFS('参考值-平台费用率分析'!$A$6:$A$532,"自营",'参考值-平台费用率分析'!$B$6:$B$532,"京东",'参考值-平台费用率分析'!$C$6:$C$532,"销售费用",'参考值-平台费用率分析'!$D$6:$D$532,$F149,'参考值-平台费用率分析'!$E$6:$E$532,$G149,'参考值-平台费用率分析'!$AZ$6:$AZ$532,"已导入实际")=0,$J149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/SUMIFS('参考值-平台费用率分析'!$AX$6:$AX$532,'参考值-平台费用率分析'!$A$6:$A$532,"自营",'参考值-平台费用率分析'!$B$6:$B$532,"京东",'参考值-平台费用率分析'!$C$6:$C$532,"销售费用",'参考值-平台费用率分析'!$D$6:$D$532,$F149,'参考值-平台费用率分析'!$E$6:$E$532,$G149),$J149)))</f>
        <v>0</v>
      </c>
      <c r="W149" s="348">
        <f>(K149*'假设-目标渠道分解'!L$11+L149*'假设-目标渠道分解'!M$11+M149*'假设-目标渠道分解'!N$11+N149*'假设-目标渠道分解'!O$11+O149*'假设-目标渠道分解'!P$11+P149*'假设-目标渠道分解'!Q$11+Q149*'假设-目标渠道分解'!R$11+R149*'假设-目标渠道分解'!S$11+S149*'假设-目标渠道分解'!T$11+T149*'假设-目标渠道分解'!U$11+U149*'假设-目标渠道分解'!V$11+V149*'假设-目标渠道分解'!W$11)/'假设-目标渠道分解'!J$11</f>
        <v>0</v>
      </c>
      <c r="Y149" s="155">
        <v>0</v>
      </c>
      <c r="Z149" s="155"/>
      <c r="AA149" s="155"/>
      <c r="AB149" s="155"/>
      <c r="AC149" s="155"/>
      <c r="AD149" s="155"/>
      <c r="AE149" s="155"/>
      <c r="AF149" s="155"/>
      <c r="AG149" s="155"/>
      <c r="AH149" s="155"/>
      <c r="AI149" s="155"/>
      <c r="AJ149" s="155"/>
      <c r="AK149" s="155"/>
      <c r="AL149" s="338" t="s">
        <v>794</v>
      </c>
    </row>
    <row r="150" spans="1:38">
      <c r="E150" s="67" t="s">
        <v>52</v>
      </c>
      <c r="F150" s="67" t="s">
        <v>70</v>
      </c>
      <c r="G150" s="67" t="s">
        <v>73</v>
      </c>
      <c r="J150" s="348">
        <f>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Z$6:$Z$532,"&lt;&gt;")=0,$Y150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A$6:$AA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Y150))</f>
        <v>3.6694749824121076E-2</v>
      </c>
      <c r="K150" s="348">
        <f>IF(Z150&lt;&gt;"",Z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H$6:$H$532,"&lt;&gt;")=0,$J150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I$6:$I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3.9178883914201268E-2</v>
      </c>
      <c r="L150" s="348">
        <f>IF(AA150&lt;&gt;"",AA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K$6:$K$532,"&lt;&gt;")=0,$J150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L$6:$L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3.7949746811535554E-2</v>
      </c>
      <c r="M150" s="348">
        <f>IF(AB150&lt;&gt;"",AB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N$6:$N$532,"&lt;&gt;")=0,$J150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O$6:$O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3.8194598475837158E-2</v>
      </c>
      <c r="N150" s="348">
        <f>IF(AC150&lt;&gt;"",AC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Q$6:$Q$532,"&lt;&gt;")=0,$J150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R$6:$R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3.5100917996743093E-2</v>
      </c>
      <c r="O150" s="348">
        <f>IF(AD150&lt;&gt;"",AD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T$6:$T$532,"&lt;&gt;")=0,$J150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U$6:$U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3.5469635363191809E-2</v>
      </c>
      <c r="P150" s="348">
        <f>IF(AE150&lt;&gt;"",AE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F$6:$AF$532,"已导入实际")=0,$J150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D$6:$AD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Q150" s="348">
        <f>IF(AF150&lt;&gt;"",AF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J$6:$AJ$532,"已导入实际")=0,$J150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H$6:$AH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R150" s="348">
        <f>IF(AG150&lt;&gt;"",AG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N$6:$AN$532,"已导入实际")=0,$J150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L$6:$AL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S150" s="348">
        <f>IF(AH150&lt;&gt;"",AH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R$6:$AR$532,"已导入实际")=0,$J150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P$6:$AP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T150" s="348">
        <f>IF(AI150&lt;&gt;"",AI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V$6:$AV$532,"已导入实际")=0,$J150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T$6:$AT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U150" s="348">
        <f>IF(AJ150&lt;&gt;"",AJ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Z$6:$AZ$532,"已导入实际")=0,$J150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X$6:$AX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V150" s="348">
        <f>IF(AK150&lt;&gt;"",AK150,IF(COUNTIFS('参考值-平台费用率分析'!$A$6:$A$532,"自营",'参考值-平台费用率分析'!$B$6:$B$532,"京东",'参考值-平台费用率分析'!$C$6:$C$532,"销售费用",'参考值-平台费用率分析'!$D$6:$D$532,$F150,'参考值-平台费用率分析'!$E$6:$E$532,$G150,'参考值-平台费用率分析'!$AZ$6:$AZ$532,"已导入实际")=0,$J150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/SUMIFS('参考值-平台费用率分析'!$AX$6:$AX$532,'参考值-平台费用率分析'!$A$6:$A$532,"自营",'参考值-平台费用率分析'!$B$6:$B$532,"京东",'参考值-平台费用率分析'!$C$6:$C$532,"销售费用",'参考值-平台费用率分析'!$D$6:$D$532,$F150,'参考值-平台费用率分析'!$E$6:$E$532,$G150),$J150)))</f>
        <v>3.6694749824121076E-2</v>
      </c>
      <c r="W150" s="348">
        <f>(K150*'假设-目标渠道分解'!L$11+L150*'假设-目标渠道分解'!M$11+M150*'假设-目标渠道分解'!N$11+N150*'假设-目标渠道分解'!O$11+O150*'假设-目标渠道分解'!P$11+P150*'假设-目标渠道分解'!Q$11+Q150*'假设-目标渠道分解'!R$11+R150*'假设-目标渠道分解'!S$11+S150*'假设-目标渠道分解'!T$11+T150*'假设-目标渠道分解'!U$11+U150*'假设-目标渠道分解'!V$11+V150*'假设-目标渠道分解'!W$11)/'假设-目标渠道分解'!J$11</f>
        <v>3.6780009402969861E-2</v>
      </c>
      <c r="Y150" s="155">
        <v>0</v>
      </c>
      <c r="Z150" s="155"/>
      <c r="AA150" s="155"/>
      <c r="AB150" s="155"/>
      <c r="AC150" s="155"/>
      <c r="AD150" s="155"/>
      <c r="AE150" s="155"/>
      <c r="AF150" s="155"/>
      <c r="AG150" s="155"/>
      <c r="AH150" s="155"/>
      <c r="AI150" s="155"/>
      <c r="AJ150" s="155"/>
      <c r="AK150" s="155"/>
      <c r="AL150" s="338" t="s">
        <v>794</v>
      </c>
    </row>
    <row r="151" spans="1:38">
      <c r="D151" s="67" t="s">
        <v>74</v>
      </c>
      <c r="J151" s="348">
        <v>0</v>
      </c>
      <c r="K151" s="348">
        <f t="shared" ref="K151:W151" si="22">SUM(K152:K155)</f>
        <v>4.3645836276079653E-2</v>
      </c>
      <c r="L151" s="348">
        <f t="shared" si="22"/>
        <v>5.05632870084557E-2</v>
      </c>
      <c r="M151" s="348">
        <f t="shared" si="22"/>
        <v>2.8416087480665972E-2</v>
      </c>
      <c r="N151" s="348">
        <f t="shared" si="22"/>
        <v>3.4705831997635175E-2</v>
      </c>
      <c r="O151" s="348">
        <f t="shared" si="22"/>
        <v>3.1403755939090214E-2</v>
      </c>
      <c r="P151" s="348">
        <f t="shared" si="22"/>
        <v>3.5431190859164435E-2</v>
      </c>
      <c r="Q151" s="348">
        <f t="shared" si="22"/>
        <v>3.5431190859164435E-2</v>
      </c>
      <c r="R151" s="348">
        <f t="shared" si="22"/>
        <v>3.5431190859164435E-2</v>
      </c>
      <c r="S151" s="348">
        <f t="shared" si="22"/>
        <v>3.5431190859164435E-2</v>
      </c>
      <c r="T151" s="348">
        <f t="shared" si="22"/>
        <v>3.5431190859164435E-2</v>
      </c>
      <c r="U151" s="348">
        <f t="shared" si="22"/>
        <v>3.5431190859164435E-2</v>
      </c>
      <c r="V151" s="348">
        <f t="shared" si="22"/>
        <v>3.5431190859164435E-2</v>
      </c>
      <c r="W151" s="349">
        <f t="shared" si="22"/>
        <v>3.5795968906277634E-2</v>
      </c>
      <c r="Z151" s="155"/>
      <c r="AA151" s="155"/>
      <c r="AB151" s="155"/>
      <c r="AC151" s="155"/>
      <c r="AD151" s="155"/>
      <c r="AE151" s="155"/>
      <c r="AF151" s="155"/>
      <c r="AG151" s="155"/>
      <c r="AH151" s="155"/>
      <c r="AI151" s="155"/>
      <c r="AJ151" s="155"/>
      <c r="AK151" s="155"/>
    </row>
    <row r="152" spans="1:38">
      <c r="E152" s="67" t="s">
        <v>52</v>
      </c>
      <c r="F152" s="67" t="s">
        <v>74</v>
      </c>
      <c r="G152" s="67" t="s">
        <v>75</v>
      </c>
      <c r="J152" s="348">
        <f>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Z$6:$Z$532,"&lt;&gt;")=0,$Y152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A$6:$AA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Y152))</f>
        <v>2.0476164495749155E-2</v>
      </c>
      <c r="K152" s="348">
        <f>IF(Z152&lt;&gt;"",Z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H$6:$H$532,"&lt;&gt;")=0,$J152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I$6:$I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2.0922950867644046E-2</v>
      </c>
      <c r="L152" s="348">
        <f>IF(AA152&lt;&gt;"",AA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K$6:$K$532,"&lt;&gt;")=0,$J152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L$6:$L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2.5033617889161704E-2</v>
      </c>
      <c r="M152" s="348">
        <f>IF(AB152&lt;&gt;"",AB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N$6:$N$532,"&lt;&gt;")=0,$J152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O$6:$O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1.8625404364645007E-2</v>
      </c>
      <c r="N152" s="348">
        <f>IF(AC152&lt;&gt;"",AC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Q$6:$Q$532,"&lt;&gt;")=0,$J152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R$6:$R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2.0086559849586207E-2</v>
      </c>
      <c r="O152" s="348">
        <f>IF(AD152&lt;&gt;"",AD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T$6:$T$532,"&lt;&gt;")=0,$J152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U$6:$U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2.0039065721091355E-2</v>
      </c>
      <c r="P152" s="350">
        <f>IF(AE152&lt;&gt;"",AE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F$6:$AF$532,"已导入实际")=0,$J152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D$6:$AD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Q152" s="350">
        <f>IF(AF152&lt;&gt;"",AF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J$6:$AJ$532,"已导入实际")=0,$J152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H$6:$AH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R152" s="350">
        <f>IF(AG152&lt;&gt;"",AG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N$6:$AN$532,"已导入实际")=0,$J152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L$6:$AL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S152" s="350">
        <f>IF(AH152&lt;&gt;"",AH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R$6:$AR$532,"已导入实际")=0,$J152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P$6:$AP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T152" s="350">
        <f>IF(AI152&lt;&gt;"",AI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V$6:$AV$532,"已导入实际")=0,$J152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T$6:$AT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U152" s="350">
        <f>IF(AJ152&lt;&gt;"",AJ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Z$6:$AZ$532,"已导入实际")=0,$J152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X$6:$AX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V152" s="350">
        <f>IF(AK152&lt;&gt;"",AK152,IF(COUNTIFS('参考值-平台费用率分析'!$A$6:$A$532,"自营",'参考值-平台费用率分析'!$B$6:$B$532,"京东",'参考值-平台费用率分析'!$C$6:$C$532,"销售费用",'参考值-平台费用率分析'!$D$6:$D$532,$F152,'参考值-平台费用率分析'!$E$6:$E$532,$G152,'参考值-平台费用率分析'!$AZ$6:$AZ$532,"已导入实际")=0,$J152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/SUMIFS('参考值-平台费用率分析'!$AX$6:$AX$532,'参考值-平台费用率分析'!$A$6:$A$532,"自营",'参考值-平台费用率分析'!$B$6:$B$532,"京东",'参考值-平台费用率分析'!$C$6:$C$532,"销售费用",'参考值-平台费用率分析'!$D$6:$D$532,$F152,'参考值-平台费用率分析'!$E$6:$E$532,$G152),$J152)))</f>
        <v>2.0476164495749155E-2</v>
      </c>
      <c r="W152" s="348">
        <f>(K152*'假设-目标渠道分解'!L$11+L152*'假设-目标渠道分解'!M$11+M152*'假设-目标渠道分解'!N$11+N152*'假设-目标渠道分解'!O$11+O152*'假设-目标渠道分解'!P$11+P152*'假设-目标渠道分解'!Q$11+Q152*'假设-目标渠道分解'!R$11+R152*'假设-目标渠道分解'!S$11+S152*'假设-目标渠道分解'!T$11+T152*'假设-目标渠道分解'!U$11+U152*'假设-目标渠道分解'!V$11+V152*'假设-目标渠道分解'!W$11)/'假设-目标渠道分解'!J$11</f>
        <v>2.0544351040825398E-2</v>
      </c>
      <c r="Y152" s="155">
        <v>2.04383032396677E-2</v>
      </c>
      <c r="Z152" s="155"/>
      <c r="AA152" s="155"/>
      <c r="AB152" s="155"/>
      <c r="AC152" s="155"/>
      <c r="AD152" s="155"/>
      <c r="AE152" s="155"/>
      <c r="AF152" s="155"/>
      <c r="AG152" s="155"/>
      <c r="AH152" s="155"/>
      <c r="AI152" s="155"/>
      <c r="AJ152" s="155"/>
      <c r="AK152" s="155"/>
      <c r="AL152" s="338" t="s">
        <v>794</v>
      </c>
    </row>
    <row r="153" spans="1:38">
      <c r="E153" s="67" t="s">
        <v>52</v>
      </c>
      <c r="F153" s="67" t="s">
        <v>74</v>
      </c>
      <c r="G153" s="67" t="s">
        <v>76</v>
      </c>
      <c r="J153" s="348">
        <f>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Z$6:$Z$532,"&lt;&gt;")=0,$Y153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A$6:$AA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Y153))</f>
        <v>9.0439628404876682E-3</v>
      </c>
      <c r="K153" s="348">
        <f>IF(Z153&lt;&gt;"",Z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H$6:$H$532,"&lt;&gt;")=0,$J153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I$6:$I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1.2969022985983087E-2</v>
      </c>
      <c r="L153" s="348">
        <f>IF(AA153&lt;&gt;"",AA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K$6:$K$532,"&lt;&gt;")=0,$J153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L$6:$L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8.869950417881859E-3</v>
      </c>
      <c r="M153" s="348">
        <f>IF(AB153&lt;&gt;"",AB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N$6:$N$532,"&lt;&gt;")=0,$J153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O$6:$O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7.5722405798985338E-3</v>
      </c>
      <c r="N153" s="348">
        <f>IF(AC153&lt;&gt;"",AC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Q$6:$Q$532,"&lt;&gt;")=0,$J153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R$6:$R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1.0085737916296368E-2</v>
      </c>
      <c r="O153" s="348">
        <f>IF(AD153&lt;&gt;"",AD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T$6:$T$532,"&lt;&gt;")=0,$J153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U$6:$U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7.9353514081009994E-3</v>
      </c>
      <c r="P153" s="350">
        <f>IF(AE153&lt;&gt;"",AE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F$6:$AF$532,"已导入实际")=0,$J153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D$6:$AD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Q153" s="350">
        <f>IF(AF153&lt;&gt;"",AF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J$6:$AJ$532,"已导入实际")=0,$J153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H$6:$AH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R153" s="350">
        <f>IF(AG153&lt;&gt;"",AG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N$6:$AN$532,"已导入实际")=0,$J153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L$6:$AL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S153" s="350">
        <f>IF(AH153&lt;&gt;"",AH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R$6:$AR$532,"已导入实际")=0,$J153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P$6:$AP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T153" s="350">
        <f>IF(AI153&lt;&gt;"",AI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V$6:$AV$532,"已导入实际")=0,$J153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T$6:$AT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U153" s="350">
        <f>IF(AJ153&lt;&gt;"",AJ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Z$6:$AZ$532,"已导入实际")=0,$J153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X$6:$AX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V153" s="350">
        <f>IF(AK153&lt;&gt;"",AK153,IF(COUNTIFS('参考值-平台费用率分析'!$A$6:$A$532,"自营",'参考值-平台费用率分析'!$B$6:$B$532,"京东",'参考值-平台费用率分析'!$C$6:$C$532,"销售费用",'参考值-平台费用率分析'!$D$6:$D$532,$F153,'参考值-平台费用率分析'!$E$6:$E$532,$G153,'参考值-平台费用率分析'!$AZ$6:$AZ$532,"已导入实际")=0,$J153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/SUMIFS('参考值-平台费用率分析'!$AX$6:$AX$532,'参考值-平台费用率分析'!$A$6:$A$532,"自营",'参考值-平台费用率分析'!$B$6:$B$532,"京东",'参考值-平台费用率分析'!$C$6:$C$532,"销售费用",'参考值-平台费用率分析'!$D$6:$D$532,$F153,'参考值-平台费用率分析'!$E$6:$E$532,$G153),$J153)))</f>
        <v>9.0439628404876682E-3</v>
      </c>
      <c r="W153" s="348">
        <f>(K153*'假设-目标渠道分解'!L$11+L153*'假设-目标渠道分解'!M$11+M153*'假设-目标渠道分解'!N$11+N153*'假设-目标渠道分解'!O$11+O153*'假设-目标渠道分解'!P$11+P153*'假设-目标渠道分解'!Q$11+Q153*'假设-目标渠道分解'!R$11+R153*'假设-目标渠道分解'!S$11+S153*'假设-目标渠道分解'!T$11+T153*'假设-目标渠道分解'!U$11+U153*'假设-目标渠道分解'!V$11+V153*'假设-目标渠道分解'!W$11)/'假设-目标渠道分解'!J$11</f>
        <v>9.1457282429837812E-3</v>
      </c>
      <c r="Y153" s="155">
        <v>9.3023495831753098E-3</v>
      </c>
      <c r="Z153" s="155"/>
      <c r="AA153" s="155"/>
      <c r="AB153" s="155"/>
      <c r="AC153" s="155"/>
      <c r="AD153" s="155"/>
      <c r="AE153" s="155"/>
      <c r="AF153" s="155"/>
      <c r="AG153" s="155"/>
      <c r="AH153" s="155"/>
      <c r="AI153" s="155"/>
      <c r="AJ153" s="155"/>
      <c r="AK153" s="155"/>
      <c r="AL153" s="338" t="s">
        <v>794</v>
      </c>
    </row>
    <row r="154" spans="1:38">
      <c r="E154" s="67" t="s">
        <v>52</v>
      </c>
      <c r="F154" s="67" t="s">
        <v>74</v>
      </c>
      <c r="G154" s="67" t="s">
        <v>77</v>
      </c>
      <c r="J154" s="348">
        <f>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Z$6:$Z$532,"&lt;&gt;")=0,$Y154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A$6:$AA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Y154))</f>
        <v>0</v>
      </c>
      <c r="K154" s="348">
        <f>IF(Z154&lt;&gt;"",Z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H$6:$H$532,"&lt;&gt;")=0,$J154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I$6:$I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L154" s="348">
        <f>IF(AA154&lt;&gt;"",AA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K$6:$K$532,"&lt;&gt;")=0,$J154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L$6:$L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M154" s="348">
        <f>IF(AB154&lt;&gt;"",AB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N$6:$N$532,"&lt;&gt;")=0,$J154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O$6:$O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N154" s="348">
        <f>IF(AC154&lt;&gt;"",AC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Q$6:$Q$532,"&lt;&gt;")=0,$J154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R$6:$R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O154" s="348">
        <f>IF(AD154&lt;&gt;"",AD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T$6:$T$532,"&lt;&gt;")=0,$J154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U$6:$U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P154" s="348">
        <f>IF(AE154&lt;&gt;"",AE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F$6:$AF$532,"已导入实际")=0,$J154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D$6:$AD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Q154" s="348">
        <f>IF(AF154&lt;&gt;"",AF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J$6:$AJ$532,"已导入实际")=0,$J154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H$6:$AH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R154" s="348">
        <f>IF(AG154&lt;&gt;"",AG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N$6:$AN$532,"已导入实际")=0,$J154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L$6:$AL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S154" s="348">
        <f>IF(AH154&lt;&gt;"",AH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R$6:$AR$532,"已导入实际")=0,$J154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P$6:$AP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T154" s="348">
        <f>IF(AI154&lt;&gt;"",AI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V$6:$AV$532,"已导入实际")=0,$J154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T$6:$AT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U154" s="348">
        <f>IF(AJ154&lt;&gt;"",AJ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Z$6:$AZ$532,"已导入实际")=0,$J154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X$6:$AX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V154" s="348">
        <f>IF(AK154&lt;&gt;"",AK154,IF(COUNTIFS('参考值-平台费用率分析'!$A$6:$A$532,"自营",'参考值-平台费用率分析'!$B$6:$B$532,"京东",'参考值-平台费用率分析'!$C$6:$C$532,"销售费用",'参考值-平台费用率分析'!$D$6:$D$532,$F154,'参考值-平台费用率分析'!$E$6:$E$532,$G154,'参考值-平台费用率分析'!$AZ$6:$AZ$532,"已导入实际")=0,$J154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/SUMIFS('参考值-平台费用率分析'!$AX$6:$AX$532,'参考值-平台费用率分析'!$A$6:$A$532,"自营",'参考值-平台费用率分析'!$B$6:$B$532,"京东",'参考值-平台费用率分析'!$C$6:$C$532,"销售费用",'参考值-平台费用率分析'!$D$6:$D$532,$F154,'参考值-平台费用率分析'!$E$6:$E$532,$G154),$J154)))</f>
        <v>0</v>
      </c>
      <c r="W154" s="348">
        <f>(K154*'假设-目标渠道分解'!L$11+L154*'假设-目标渠道分解'!M$11+M154*'假设-目标渠道分解'!N$11+N154*'假设-目标渠道分解'!O$11+O154*'假设-目标渠道分解'!P$11+P154*'假设-目标渠道分解'!Q$11+Q154*'假设-目标渠道分解'!R$11+R154*'假设-目标渠道分解'!S$11+S154*'假设-目标渠道分解'!T$11+T154*'假设-目标渠道分解'!U$11+U154*'假设-目标渠道分解'!V$11+V154*'假设-目标渠道分解'!W$11)/'假设-目标渠道分解'!J$11</f>
        <v>0</v>
      </c>
      <c r="Y154" s="155">
        <v>0</v>
      </c>
      <c r="Z154" s="155"/>
      <c r="AA154" s="155"/>
      <c r="AB154" s="155"/>
      <c r="AC154" s="155"/>
      <c r="AD154" s="155"/>
      <c r="AE154" s="155"/>
      <c r="AF154" s="155"/>
      <c r="AG154" s="155"/>
      <c r="AH154" s="155"/>
      <c r="AI154" s="155"/>
      <c r="AJ154" s="155"/>
      <c r="AK154" s="155"/>
      <c r="AL154" s="338" t="s">
        <v>794</v>
      </c>
    </row>
    <row r="155" spans="1:38">
      <c r="E155" s="67" t="s">
        <v>52</v>
      </c>
      <c r="F155" s="67" t="s">
        <v>74</v>
      </c>
      <c r="G155" s="67" t="s">
        <v>78</v>
      </c>
      <c r="J155" s="348">
        <f>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Z$6:$Z$532,"&lt;&gt;")=0,$Y155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A$6:$AA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Y155))</f>
        <v>5.9110635229276103E-3</v>
      </c>
      <c r="K155" s="348">
        <f>IF(Z155&lt;&gt;"",Z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H$6:$H$532,"&lt;&gt;")=0,$J155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I$6:$I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9.7538624224525212E-3</v>
      </c>
      <c r="L155" s="348">
        <f>IF(AA155&lt;&gt;"",AA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K$6:$K$532,"&lt;&gt;")=0,$J155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L$6:$L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1.6659718701412134E-2</v>
      </c>
      <c r="M155" s="348">
        <f>IF(AB155&lt;&gt;"",AB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N$6:$N$532,"&lt;&gt;")=0,$J155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O$6:$O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2.2184425361224305E-3</v>
      </c>
      <c r="N155" s="348">
        <f>IF(AC155&lt;&gt;"",AC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Q$6:$Q$532,"&lt;&gt;")=0,$J155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R$6:$R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4.5335342317526029E-3</v>
      </c>
      <c r="O155" s="348">
        <f>IF(AD155&lt;&gt;"",AD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T$6:$T$532,"&lt;&gt;")=0,$J155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U$6:$U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3.4293388098978615E-3</v>
      </c>
      <c r="P155" s="348">
        <f>IF(AE155&lt;&gt;"",AE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F$6:$AF$532,"已导入实际")=0,$J155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D$6:$AD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Q155" s="348">
        <f>IF(AF155&lt;&gt;"",AF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J$6:$AJ$532,"已导入实际")=0,$J155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H$6:$AH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R155" s="348">
        <f>IF(AG155&lt;&gt;"",AG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N$6:$AN$532,"已导入实际")=0,$J155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L$6:$AL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S155" s="348">
        <f>IF(AH155&lt;&gt;"",AH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R$6:$AR$532,"已导入实际")=0,$J155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P$6:$AP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T155" s="348">
        <f>IF(AI155&lt;&gt;"",AI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V$6:$AV$532,"已导入实际")=0,$J155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T$6:$AT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U155" s="348">
        <f>IF(AJ155&lt;&gt;"",AJ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Z$6:$AZ$532,"已导入实际")=0,$J155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X$6:$AX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V155" s="348">
        <f>IF(AK155&lt;&gt;"",AK155,IF(COUNTIFS('参考值-平台费用率分析'!$A$6:$A$532,"自营",'参考值-平台费用率分析'!$B$6:$B$532,"京东",'参考值-平台费用率分析'!$C$6:$C$532,"销售费用",'参考值-平台费用率分析'!$D$6:$D$532,$F155,'参考值-平台费用率分析'!$E$6:$E$532,$G155,'参考值-平台费用率分析'!$AZ$6:$AZ$532,"已导入实际")=0,$J155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/SUMIFS('参考值-平台费用率分析'!$AX$6:$AX$532,'参考值-平台费用率分析'!$A$6:$A$532,"自营",'参考值-平台费用率分析'!$B$6:$B$532,"京东",'参考值-平台费用率分析'!$C$6:$C$532,"销售费用",'参考值-平台费用率分析'!$D$6:$D$532,$F155,'参考值-平台费用率分析'!$E$6:$E$532,$G155),$J155)))</f>
        <v>5.9110635229276103E-3</v>
      </c>
      <c r="W155" s="348">
        <f>(K155*'假设-目标渠道分解'!L$11+L155*'假设-目标渠道分解'!M$11+M155*'假设-目标渠道分解'!N$11+N155*'假设-目标渠道分解'!O$11+O155*'假设-目标渠道分解'!P$11+P155*'假设-目标渠道分解'!Q$11+Q155*'假设-目标渠道分解'!R$11+R155*'假设-目标渠道分解'!S$11+S155*'假设-目标渠道分解'!T$11+T155*'假设-目标渠道分解'!U$11+U155*'假设-目标渠道分解'!V$11+V155*'假设-目标渠道分解'!W$11)/'假设-目标渠道分解'!J$11</f>
        <v>6.1058896224684559E-3</v>
      </c>
      <c r="Y155" s="155">
        <v>0</v>
      </c>
      <c r="Z155" s="155"/>
      <c r="AA155" s="155"/>
      <c r="AB155" s="155"/>
      <c r="AC155" s="155"/>
      <c r="AD155" s="155"/>
      <c r="AE155" s="155"/>
      <c r="AF155" s="155"/>
      <c r="AG155" s="155"/>
      <c r="AH155" s="155"/>
      <c r="AI155" s="155"/>
      <c r="AJ155" s="155"/>
      <c r="AK155" s="155"/>
      <c r="AL155" s="338" t="s">
        <v>794</v>
      </c>
    </row>
    <row r="156" spans="1:38">
      <c r="D156" s="67" t="s">
        <v>79</v>
      </c>
      <c r="J156" s="348">
        <f t="shared" ref="J156:W156" si="23">SUM(J157:J160)</f>
        <v>5.952670920960406E-2</v>
      </c>
      <c r="K156" s="348">
        <f t="shared" si="23"/>
        <v>6.882827725168536E-2</v>
      </c>
      <c r="L156" s="348">
        <f t="shared" si="23"/>
        <v>0.1075304823792847</v>
      </c>
      <c r="M156" s="348">
        <f t="shared" si="23"/>
        <v>4.7917136411407907E-2</v>
      </c>
      <c r="N156" s="348">
        <f t="shared" si="23"/>
        <v>5.3932252075219289E-2</v>
      </c>
      <c r="O156" s="348">
        <f t="shared" si="23"/>
        <v>4.8869272816341389E-2</v>
      </c>
      <c r="P156" s="348">
        <f t="shared" si="23"/>
        <v>6.2715136857319331E-2</v>
      </c>
      <c r="Q156" s="348">
        <f t="shared" si="23"/>
        <v>4.4184011357173716E-2</v>
      </c>
      <c r="R156" s="348">
        <f t="shared" si="23"/>
        <v>3.3767369630832697E-2</v>
      </c>
      <c r="S156" s="348">
        <f t="shared" si="23"/>
        <v>2.730819869744374E-2</v>
      </c>
      <c r="T156" s="348">
        <f t="shared" si="23"/>
        <v>2.5468550712059789E-2</v>
      </c>
      <c r="U156" s="348">
        <f t="shared" si="23"/>
        <v>2.1477002715912043E-2</v>
      </c>
      <c r="V156" s="348">
        <f t="shared" si="23"/>
        <v>2.470803951862122E-2</v>
      </c>
      <c r="W156" s="348">
        <f t="shared" si="23"/>
        <v>3.6831881660384556E-2</v>
      </c>
      <c r="Z156" s="155"/>
      <c r="AA156" s="155"/>
      <c r="AB156" s="155"/>
      <c r="AC156" s="155"/>
      <c r="AD156" s="155"/>
      <c r="AE156" s="155"/>
      <c r="AF156" s="155"/>
      <c r="AG156" s="155"/>
      <c r="AH156" s="155"/>
      <c r="AI156" s="155"/>
      <c r="AJ156" s="155"/>
      <c r="AK156" s="155"/>
    </row>
    <row r="157" spans="1:38">
      <c r="E157" s="67" t="s">
        <v>52</v>
      </c>
      <c r="F157" s="67" t="s">
        <v>79</v>
      </c>
      <c r="G157" s="67" t="s">
        <v>80</v>
      </c>
      <c r="J157" s="348">
        <f>IFERROR(SUM('测算-京东POP'!I$42:N$42)/SUM('测算-京东POP'!I$9:N$9),0)</f>
        <v>5.6628168109269746E-2</v>
      </c>
      <c r="K157" s="348">
        <f>IFERROR('测算-京东POP'!I$42/'测算-京东POP'!I$9,0)</f>
        <v>6.5149451791607998E-2</v>
      </c>
      <c r="L157" s="348">
        <f>IFERROR('测算-京东POP'!J$42/'测算-京东POP'!J$9,0)</f>
        <v>0.10416396228548708</v>
      </c>
      <c r="M157" s="348">
        <f>IFERROR('测算-京东POP'!K$42/'测算-京东POP'!K$9,0)</f>
        <v>4.2540594645462476E-2</v>
      </c>
      <c r="N157" s="348">
        <f>IFERROR('测算-京东POP'!L$42/'测算-京东POP'!L$9,0)</f>
        <v>4.9293403556646256E-2</v>
      </c>
      <c r="O157" s="348">
        <f>IFERROR('测算-京东POP'!M$42/'测算-京东POP'!M$9,0)</f>
        <v>4.8760527379950944E-2</v>
      </c>
      <c r="P157" s="348">
        <f>IFERROR('测算-京东POP'!N$42/'测算-京东POP'!N$9,0)</f>
        <v>6.2493371530097326E-2</v>
      </c>
      <c r="Q157" s="348">
        <f>IFERROR('测算-京东POP'!O$42/'测算-京东POP'!O$9,0)</f>
        <v>4.1285470256839402E-2</v>
      </c>
      <c r="R157" s="348">
        <f>IFERROR('测算-京东POP'!P$42/'测算-京东POP'!P$9,0)</f>
        <v>3.0868828530498382E-2</v>
      </c>
      <c r="S157" s="348">
        <f>IFERROR('测算-京东POP'!Q$42/'测算-京东POP'!Q$9,0)</f>
        <v>2.4409657597109426E-2</v>
      </c>
      <c r="T157" s="348">
        <f>IFERROR('测算-京东POP'!R$42/'测算-京东POP'!R$9,0)</f>
        <v>2.2570009611725474E-2</v>
      </c>
      <c r="U157" s="348">
        <f>IFERROR('测算-京东POP'!S$42/'测算-京东POP'!S$9,0)</f>
        <v>1.8578461615577729E-2</v>
      </c>
      <c r="V157" s="348">
        <f>IFERROR('测算-京东POP'!T$42/'测算-京东POP'!T$9,0)</f>
        <v>2.1809498418286905E-2</v>
      </c>
      <c r="W157" s="348">
        <f>IFERROR(SUM('测算-京东POP'!I$42:T$42)/SUM('测算-京东POP'!I$9:T$9),0)</f>
        <v>3.3933340560050242E-2</v>
      </c>
      <c r="Y157" s="155">
        <v>7.1869062300183098E-2</v>
      </c>
      <c r="Z157" s="155"/>
      <c r="AA157" s="155"/>
      <c r="AB157" s="155"/>
      <c r="AC157" s="155"/>
      <c r="AD157" s="155"/>
      <c r="AE157" s="155"/>
      <c r="AF157" s="155"/>
      <c r="AG157" s="155"/>
      <c r="AH157" s="155"/>
      <c r="AI157" s="155"/>
      <c r="AJ157" s="155"/>
      <c r="AK157" s="155"/>
      <c r="AL157" s="338" t="s">
        <v>360</v>
      </c>
    </row>
    <row r="158" spans="1:38">
      <c r="E158" s="67" t="s">
        <v>52</v>
      </c>
      <c r="F158" s="67" t="s">
        <v>79</v>
      </c>
      <c r="G158" s="67" t="s">
        <v>147</v>
      </c>
      <c r="J158" s="348">
        <f>AVERAGE(K158:P158)</f>
        <v>2.8985411003343143E-3</v>
      </c>
      <c r="K158" s="348">
        <f>IFERROR(INDEX('假设-人工成本固定额'!$B$6:$CS$16,MATCH("京东",'假设-人工成本固定额'!$A$6:$A$16,0),4),0)</f>
        <v>3.67882546007736E-3</v>
      </c>
      <c r="L158" s="348">
        <f>IFERROR(INDEX('假设-人工成本固定额'!$B$6:$CS$16,MATCH("京东",'假设-人工成本固定额'!$A$6:$A$16,0),12),0)</f>
        <v>3.3665200937976199E-3</v>
      </c>
      <c r="M158" s="348">
        <f>IFERROR(INDEX('假设-人工成本固定额'!$B$6:$CS$16,MATCH("京东",'假设-人工成本固定额'!$A$6:$A$16,0),20),0)</f>
        <v>5.3765417659454298E-3</v>
      </c>
      <c r="N158" s="348">
        <f>IFERROR(INDEX('假设-人工成本固定额'!$B$6:$CS$16,MATCH("京东",'假设-人工成本固定额'!$A$6:$A$16,0),28),0)</f>
        <v>4.6388485185730301E-3</v>
      </c>
      <c r="O158" s="348">
        <f>IFERROR(INDEX('假设-人工成本固定额'!$B$6:$CS$16,MATCH("京东",'假设-人工成本固定额'!$A$6:$A$16,0),36),0)</f>
        <v>1.08745436390447E-4</v>
      </c>
      <c r="P158" s="348">
        <f>IFERROR(INDEX('假设-人工成本固定额'!$B$6:$CS$16,MATCH("京东",'假设-人工成本固定额'!$A$6:$A$16,0),44),0)</f>
        <v>2.21765327221999E-4</v>
      </c>
      <c r="Q158" s="348">
        <f>IFERROR(IF(INDEX('假设-人工成本固定额'!$B$6:$CS$16,MATCH("京东",'假设-人工成本固定额'!$A$6:$A$16,0),52)="",AVERAGE($K158:$P158),INDEX('假设-人工成本固定额'!$B$6:$CS$16,MATCH("京东",'假设-人工成本固定额'!$A$6:$A$16,0),52)),AVERAGE($K158:$P158))</f>
        <v>2.8985411003343143E-3</v>
      </c>
      <c r="R158" s="348">
        <f>IFERROR(IF(INDEX('假设-人工成本固定额'!$B$6:$CS$16,MATCH("京东",'假设-人工成本固定额'!$A$6:$A$16,0),60)="",AVERAGE($K158:$P158),INDEX('假设-人工成本固定额'!$B$6:$CS$16,MATCH("京东",'假设-人工成本固定额'!$A$6:$A$16,0),60)),AVERAGE($K158:$P158))</f>
        <v>2.8985411003343143E-3</v>
      </c>
      <c r="S158" s="348">
        <f>IFERROR(IF(INDEX('假设-人工成本固定额'!$B$6:$CS$16,MATCH("京东",'假设-人工成本固定额'!$A$6:$A$16,0),68)="",AVERAGE($K158:$P158),INDEX('假设-人工成本固定额'!$B$6:$CS$16,MATCH("京东",'假设-人工成本固定额'!$A$6:$A$16,0),68)),AVERAGE($K158:$P158))</f>
        <v>2.8985411003343143E-3</v>
      </c>
      <c r="T158" s="348">
        <f>IFERROR(IF(INDEX('假设-人工成本固定额'!$B$6:$CS$16,MATCH("京东",'假设-人工成本固定额'!$A$6:$A$16,0),76)="",AVERAGE($K158:$P158),INDEX('假设-人工成本固定额'!$B$6:$CS$16,MATCH("京东",'假设-人工成本固定额'!$A$6:$A$16,0),76)),AVERAGE($K158:$P158))</f>
        <v>2.8985411003343143E-3</v>
      </c>
      <c r="U158" s="348">
        <f>IFERROR(IF(INDEX('假设-人工成本固定额'!$B$6:$CS$16,MATCH("京东",'假设-人工成本固定额'!$A$6:$A$16,0),84)="",AVERAGE($K158:$P158),INDEX('假设-人工成本固定额'!$B$6:$CS$16,MATCH("京东",'假设-人工成本固定额'!$A$6:$A$16,0),84)),AVERAGE($K158:$P158))</f>
        <v>2.8985411003343143E-3</v>
      </c>
      <c r="V158" s="348">
        <f>IFERROR(IF(INDEX('假设-人工成本固定额'!$B$6:$CS$16,MATCH("京东",'假设-人工成本固定额'!$A$6:$A$16,0),92)="",AVERAGE($K158:$P158),INDEX('假设-人工成本固定额'!$B$6:$CS$16,MATCH("京东",'假设-人工成本固定额'!$A$6:$A$16,0),92)),AVERAGE($K158:$P158))</f>
        <v>2.8985411003343143E-3</v>
      </c>
      <c r="W158" s="348">
        <f>AVERAGE(K158:V158)</f>
        <v>2.8985411003343143E-3</v>
      </c>
      <c r="Y158" s="155">
        <v>3.5425651636075699E-3</v>
      </c>
      <c r="Z158" s="155"/>
      <c r="AA158" s="155"/>
      <c r="AB158" s="155"/>
      <c r="AC158" s="155"/>
      <c r="AD158" s="155"/>
      <c r="AE158" s="155"/>
      <c r="AF158" s="155"/>
      <c r="AG158" s="155"/>
      <c r="AH158" s="155"/>
      <c r="AI158" s="155"/>
      <c r="AJ158" s="155"/>
      <c r="AK158" s="155"/>
      <c r="AL158" s="338" t="s">
        <v>360</v>
      </c>
    </row>
    <row r="159" spans="1:38">
      <c r="A159" s="338"/>
      <c r="B159" s="338"/>
      <c r="C159" s="338"/>
      <c r="E159" s="67" t="s">
        <v>52</v>
      </c>
      <c r="F159" s="67" t="s">
        <v>79</v>
      </c>
      <c r="G159" s="67" t="s">
        <v>148</v>
      </c>
      <c r="I159" s="338"/>
      <c r="J159" s="348">
        <f>AVERAGE(K159:P159)</f>
        <v>0</v>
      </c>
      <c r="K159" s="348">
        <f>IFERROR(INDEX('假设-人工成本固定额'!$B$6:$CS$16,MATCH("京东",'假设-人工成本固定额'!$A$6:$A$16,0),7),0)</f>
        <v>0</v>
      </c>
      <c r="L159" s="348">
        <f>IFERROR(INDEX('假设-人工成本固定额'!$B$6:$CS$16,MATCH("京东",'假设-人工成本固定额'!$A$6:$A$16,0),15),0)</f>
        <v>0</v>
      </c>
      <c r="M159" s="348">
        <f>IFERROR(INDEX('假设-人工成本固定额'!$B$6:$CS$16,MATCH("京东",'假设-人工成本固定额'!$A$6:$A$16,0),23),0)</f>
        <v>0</v>
      </c>
      <c r="N159" s="348">
        <f>IFERROR(INDEX('假设-人工成本固定额'!$B$6:$CS$16,MATCH("京东",'假设-人工成本固定额'!$A$6:$A$16,0),31),0)</f>
        <v>0</v>
      </c>
      <c r="O159" s="348">
        <f>IFERROR(INDEX('假设-人工成本固定额'!$B$6:$CS$16,MATCH("京东",'假设-人工成本固定额'!$A$6:$A$16,0),39),0)</f>
        <v>0</v>
      </c>
      <c r="P159" s="348">
        <f>IFERROR(INDEX('假设-人工成本固定额'!$B$6:$CS$16,MATCH("京东",'假设-人工成本固定额'!$A$6:$A$16,0),47),0)</f>
        <v>0</v>
      </c>
      <c r="Q159" s="348">
        <f>IFERROR(IF(INDEX('假设-人工成本固定额'!$B$6:$CS$16,MATCH("京东",'假设-人工成本固定额'!$A$6:$A$16,0),55)="",AVERAGE($K159:$P159),INDEX('假设-人工成本固定额'!$B$6:$CS$16,MATCH("京东",'假设-人工成本固定额'!$A$6:$A$16,0),55)),AVERAGE($K159:$P159))</f>
        <v>0</v>
      </c>
      <c r="R159" s="348">
        <f>IFERROR(IF(INDEX('假设-人工成本固定额'!$B$6:$CS$16,MATCH("京东",'假设-人工成本固定额'!$A$6:$A$16,0),63)="",AVERAGE($K159:$P159),INDEX('假设-人工成本固定额'!$B$6:$CS$16,MATCH("京东",'假设-人工成本固定额'!$A$6:$A$16,0),63)),AVERAGE($K159:$P159))</f>
        <v>0</v>
      </c>
      <c r="S159" s="348">
        <f>IFERROR(IF(INDEX('假设-人工成本固定额'!$B$6:$CS$16,MATCH("京东",'假设-人工成本固定额'!$A$6:$A$16,0),71)="",AVERAGE($K159:$P159),INDEX('假设-人工成本固定额'!$B$6:$CS$16,MATCH("京东",'假设-人工成本固定额'!$A$6:$A$16,0),71)),AVERAGE($K159:$P159))</f>
        <v>0</v>
      </c>
      <c r="T159" s="348">
        <f>IFERROR(IF(INDEX('假设-人工成本固定额'!$B$6:$CS$16,MATCH("京东",'假设-人工成本固定额'!$A$6:$A$16,0),79)="",AVERAGE($K159:$P159),INDEX('假设-人工成本固定额'!$B$6:$CS$16,MATCH("京东",'假设-人工成本固定额'!$A$6:$A$16,0),79)),AVERAGE($K159:$P159))</f>
        <v>0</v>
      </c>
      <c r="U159" s="348">
        <f>IFERROR(IF(INDEX('假设-人工成本固定额'!$B$6:$CS$16,MATCH("京东",'假设-人工成本固定额'!$A$6:$A$16,0),87)="",AVERAGE($K159:$P159),INDEX('假设-人工成本固定额'!$B$6:$CS$16,MATCH("京东",'假设-人工成本固定额'!$A$6:$A$16,0),87)),AVERAGE($K159:$P159))</f>
        <v>0</v>
      </c>
      <c r="V159" s="348">
        <f>IFERROR(IF(INDEX('假设-人工成本固定额'!$B$6:$CS$16,MATCH("京东",'假设-人工成本固定额'!$A$6:$A$16,0),95)="",AVERAGE($K159:$P159),INDEX('假设-人工成本固定额'!$B$6:$CS$16,MATCH("京东",'假设-人工成本固定额'!$A$6:$A$16,0),95)),AVERAGE($K159:$P159))</f>
        <v>0</v>
      </c>
      <c r="W159" s="348">
        <f>AVERAGE(K159:V159)</f>
        <v>0</v>
      </c>
      <c r="X159" s="338"/>
      <c r="Y159" s="155"/>
      <c r="Z159" s="155"/>
      <c r="AA159" s="155"/>
      <c r="AB159" s="155"/>
      <c r="AC159" s="155"/>
      <c r="AD159" s="155"/>
      <c r="AE159" s="155"/>
      <c r="AF159" s="155"/>
      <c r="AG159" s="155"/>
      <c r="AH159" s="155"/>
      <c r="AI159" s="155"/>
      <c r="AJ159" s="155"/>
      <c r="AK159" s="155"/>
    </row>
    <row r="160" spans="1:38">
      <c r="E160" s="67" t="s">
        <v>52</v>
      </c>
      <c r="F160" s="67" t="s">
        <v>79</v>
      </c>
      <c r="G160" s="67" t="s">
        <v>82</v>
      </c>
      <c r="J160" s="348">
        <f>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Z$6:$Z$532,"&lt;&gt;")=0,$Y160,IFERROR(SUMIFS('参考值-平台费用率分析'!$Z$6:$Z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A$6:$AA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Y160))</f>
        <v>0</v>
      </c>
      <c r="K160" s="348">
        <f>IF(Z160&lt;&gt;"",Z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H$6:$H$532,"&lt;&gt;")=0,$J160,IFERROR(SUMIFS('参考值-平台费用率分析'!$H$6:$H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I$6:$I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L160" s="348">
        <f>IF(AA160&lt;&gt;"",AA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K$6:$K$532,"&lt;&gt;")=0,$J160,IFERROR(SUMIFS('参考值-平台费用率分析'!$K$6:$K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L$6:$L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M160" s="348">
        <f>IF(AB160&lt;&gt;"",AB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N$6:$N$532,"&lt;&gt;")=0,$J160,IFERROR(SUMIFS('参考值-平台费用率分析'!$N$6:$N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O$6:$O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N160" s="348">
        <f>IF(AC160&lt;&gt;"",AC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Q$6:$Q$532,"&lt;&gt;")=0,$J160,IFERROR(SUMIFS('参考值-平台费用率分析'!$Q$6:$Q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R$6:$R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O160" s="348">
        <f>IF(AD160&lt;&gt;"",AD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T$6:$T$532,"&lt;&gt;")=0,$J160,IFERROR(SUMIFS('参考值-平台费用率分析'!$T$6:$T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U$6:$U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P160" s="348">
        <f>IF(AE160&lt;&gt;"",AE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F$6:$AF$532,"已导入实际")=0,$J160,IFERROR(SUMIFS('参考值-平台费用率分析'!$AC$6:$AC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D$6:$AD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Q160" s="348">
        <f>IF(AF160&lt;&gt;"",AF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J$6:$AJ$532,"已导入实际")=0,$J160,IFERROR(SUMIFS('参考值-平台费用率分析'!$AG$6:$AG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H$6:$AH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R160" s="348">
        <f>IF(AG160&lt;&gt;"",AG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N$6:$AN$532,"已导入实际")=0,$J160,IFERROR(SUMIFS('参考值-平台费用率分析'!$AK$6:$AK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L$6:$AL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S160" s="348">
        <f>IF(AH160&lt;&gt;"",AH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R$6:$AR$532,"已导入实际")=0,$J160,IFERROR(SUMIFS('参考值-平台费用率分析'!$AO$6:$AO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P$6:$AP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T160" s="348">
        <f>IF(AI160&lt;&gt;"",AI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V$6:$AV$532,"已导入实际")=0,$J160,IFERROR(SUMIFS('参考值-平台费用率分析'!$AS$6:$AS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T$6:$AT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U160" s="348">
        <f>IF(AJ160&lt;&gt;"",AJ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Z$6:$AZ$532,"已导入实际")=0,$J160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X$6:$AX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V160" s="348">
        <f>IF(AK160&lt;&gt;"",AK160,IF(COUNTIFS('参考值-平台费用率分析'!$A$6:$A$532,"自营",'参考值-平台费用率分析'!$B$6:$B$532,"京东",'参考值-平台费用率分析'!$C$6:$C$532,"销售费用",'参考值-平台费用率分析'!$D$6:$D$532,$F160,'参考值-平台费用率分析'!$E$6:$E$532,$G160,'参考值-平台费用率分析'!$AZ$6:$AZ$532,"已导入实际")=0,$J160,IFERROR(SUMIFS('参考值-平台费用率分析'!$AW$6:$AW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/SUMIFS('参考值-平台费用率分析'!$AX$6:$AX$532,'参考值-平台费用率分析'!$A$6:$A$532,"自营",'参考值-平台费用率分析'!$B$6:$B$532,"京东",'参考值-平台费用率分析'!$C$6:$C$532,"销售费用",'参考值-平台费用率分析'!$D$6:$D$532,$F160,'参考值-平台费用率分析'!$E$6:$E$532,$G160),$J160)))</f>
        <v>0</v>
      </c>
      <c r="W160" s="348">
        <f>AVERAGE(K160:V160)</f>
        <v>0</v>
      </c>
      <c r="Y160" s="155">
        <v>2.66942265969255E-3</v>
      </c>
      <c r="Z160" s="155"/>
      <c r="AA160" s="155"/>
      <c r="AB160" s="155"/>
      <c r="AC160" s="155"/>
      <c r="AD160" s="155"/>
      <c r="AE160" s="155"/>
      <c r="AF160" s="155"/>
      <c r="AG160" s="155"/>
      <c r="AH160" s="155"/>
      <c r="AI160" s="155"/>
      <c r="AJ160" s="155"/>
      <c r="AK160" s="155"/>
      <c r="AL160" s="338" t="s">
        <v>794</v>
      </c>
    </row>
    <row r="161" spans="2:38">
      <c r="J161" s="351" t="str">
        <f>IF(I154="","",I154/I$6)</f>
        <v/>
      </c>
      <c r="K161" s="348"/>
      <c r="L161" s="348"/>
      <c r="M161" s="348"/>
      <c r="N161" s="348"/>
      <c r="O161" s="348"/>
      <c r="P161" s="348"/>
      <c r="Q161" s="348"/>
      <c r="R161" s="348"/>
      <c r="S161" s="348"/>
      <c r="T161" s="348"/>
      <c r="U161" s="348"/>
      <c r="V161" s="348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</row>
    <row r="162" spans="2:38">
      <c r="B162" s="102" t="s">
        <v>153</v>
      </c>
      <c r="C162" s="102"/>
      <c r="K162" s="347"/>
      <c r="L162" s="347"/>
      <c r="M162" s="347"/>
      <c r="N162" s="347"/>
      <c r="O162" s="347"/>
      <c r="P162" s="347"/>
      <c r="Q162" s="347"/>
      <c r="R162" s="347"/>
      <c r="S162" s="347"/>
      <c r="T162" s="347"/>
      <c r="U162" s="347"/>
      <c r="V162" s="347"/>
      <c r="W162" s="344"/>
      <c r="Z162" s="155"/>
      <c r="AA162" s="155"/>
      <c r="AB162" s="155"/>
      <c r="AC162" s="155"/>
      <c r="AD162" s="155"/>
      <c r="AE162" s="155"/>
      <c r="AF162" s="155"/>
      <c r="AG162" s="155"/>
      <c r="AH162" s="155"/>
      <c r="AI162" s="155"/>
      <c r="AJ162" s="155"/>
      <c r="AK162" s="155"/>
    </row>
    <row r="163" spans="2:38">
      <c r="D163" s="67" t="s">
        <v>54</v>
      </c>
      <c r="J163" s="348">
        <f t="shared" ref="J163:W163" si="24">SUM(J165:J168)</f>
        <v>0.10179265386442238</v>
      </c>
      <c r="K163" s="347">
        <f t="shared" si="24"/>
        <v>0.10120327075920724</v>
      </c>
      <c r="L163" s="347">
        <f t="shared" si="24"/>
        <v>7.5630028741357005E-2</v>
      </c>
      <c r="M163" s="347">
        <f t="shared" si="24"/>
        <v>1.2409864072743946</v>
      </c>
      <c r="N163" s="347">
        <f t="shared" si="24"/>
        <v>5.487883301043963E-2</v>
      </c>
      <c r="O163" s="347">
        <f t="shared" si="24"/>
        <v>6.2672907588227633E-2</v>
      </c>
      <c r="P163" s="347">
        <f t="shared" si="24"/>
        <v>0.10179265386442238</v>
      </c>
      <c r="Q163" s="347">
        <f t="shared" si="24"/>
        <v>0.10179265386442238</v>
      </c>
      <c r="R163" s="347">
        <f t="shared" si="24"/>
        <v>0.10179265386442238</v>
      </c>
      <c r="S163" s="347">
        <f t="shared" si="24"/>
        <v>0.10179265386442238</v>
      </c>
      <c r="T163" s="347">
        <f t="shared" si="24"/>
        <v>0.10179265386442238</v>
      </c>
      <c r="U163" s="347">
        <f t="shared" si="24"/>
        <v>0.10179265386442238</v>
      </c>
      <c r="V163" s="347">
        <f t="shared" si="24"/>
        <v>0.10179265386442238</v>
      </c>
      <c r="W163" s="348">
        <f t="shared" si="24"/>
        <v>0.20303031900903501</v>
      </c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</row>
    <row r="164" spans="2:38">
      <c r="E164" s="67" t="s">
        <v>52</v>
      </c>
      <c r="F164" s="67" t="s">
        <v>54</v>
      </c>
      <c r="G164" s="336" t="s">
        <v>55</v>
      </c>
      <c r="J164" s="348">
        <f>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Z$6:$Z$532,"&lt;&gt;")=0,$Y164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Y164))</f>
        <v>0.42795315299193698</v>
      </c>
      <c r="K164" s="348">
        <f>IF(Z164&lt;&gt;"",Z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H$6:$H$532,"&lt;&gt;")=0,$J164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0.33044780233480042</v>
      </c>
      <c r="L164" s="348">
        <f>IF(AA164&lt;&gt;"",AA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K$6:$K$532,"&lt;&gt;")=0,$J164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0.30359065082438819</v>
      </c>
      <c r="M164" s="348">
        <f>IF(AB164&lt;&gt;"",AB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N$6:$N$532,"&lt;&gt;")=0,$J164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4.6264079308214887</v>
      </c>
      <c r="N164" s="348">
        <f>IF(AC164&lt;&gt;"",AC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Q$6:$Q$532,"&lt;&gt;")=0,$J164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0.32566615922158837</v>
      </c>
      <c r="O164" s="348">
        <f>IF(AD164&lt;&gt;"",AD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T$6:$T$532,"&lt;&gt;")=0,$J164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0.31878114726616696</v>
      </c>
      <c r="P164" s="348">
        <f>IF(AE164&lt;&gt;"",AE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F$6:$AF$532,"已导入实际")=0,$J164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Q164" s="348">
        <f>IF(AF164&lt;&gt;"",AF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J$6:$AJ$532,"已导入实际")=0,$J164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R164" s="348">
        <f>IF(AG164&lt;&gt;"",AG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N$6:$AN$532,"已导入实际")=0,$J164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S164" s="348">
        <f>IF(AH164&lt;&gt;"",AH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R$6:$AR$532,"已导入实际")=0,$J164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T164" s="348">
        <f>IF(AI164&lt;&gt;"",AI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V$6:$AV$532,"已导入实际")=0,$J164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U164" s="348">
        <f>IF(AJ164&lt;&gt;"",AJ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Z$6:$AZ$532,"已导入实际")=0,$J164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V164" s="348">
        <f>IF(AK164&lt;&gt;"",AK164,IF(COUNTIFS(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,'参考值-平台费用率分析'!$AZ$6:$AZ$532,"已导入实际")=0,$J164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164,'参考值-平台费用率分析'!$E$6:$E$532,$G164),$J164)))</f>
        <v>0.42795315299193698</v>
      </c>
      <c r="W164" s="348">
        <f>(K164*'假设-目标渠道分解'!L$10+L164*'假设-目标渠道分解'!M$10+M164*'假设-目标渠道分解'!N$10+N164*'假设-目标渠道分解'!O$10+O164*'假设-目标渠道分解'!P$10+P164*'假设-目标渠道分解'!Q$10+Q164*'假设-目标渠道分解'!R$10+R164*'假设-目标渠道分解'!S$10+S164*'假设-目标渠道分解'!T$10+T164*'假设-目标渠道分解'!U$10+U164*'假设-目标渠道分解'!V$10+V164*'假设-目标渠道分解'!W$10)/'假设-目标渠道分解'!J$10</f>
        <v>0.80442947940747878</v>
      </c>
      <c r="Y164" s="155">
        <v>0.31997891083282598</v>
      </c>
      <c r="Z164" s="155"/>
      <c r="AA164" s="155"/>
      <c r="AB164" s="155"/>
      <c r="AC164" s="155"/>
      <c r="AD164" s="155"/>
      <c r="AE164" s="155"/>
      <c r="AF164" s="155"/>
      <c r="AG164" s="155"/>
      <c r="AH164" s="155"/>
      <c r="AI164" s="155"/>
      <c r="AJ164" s="155"/>
      <c r="AK164" s="155"/>
    </row>
    <row r="165" spans="2:38">
      <c r="E165" s="67" t="s">
        <v>52</v>
      </c>
      <c r="F165" s="67" t="s">
        <v>54</v>
      </c>
      <c r="G165" s="67" t="s">
        <v>898</v>
      </c>
      <c r="J165" s="348">
        <f>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Z$6:$Z$532,"&lt;&gt;")=0,$Y165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Y165))</f>
        <v>3.3310586095866767E-3</v>
      </c>
      <c r="K165" s="348">
        <f>IF(Z165&lt;&gt;"",Z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H$6:$H$532,"&lt;&gt;")=0,$J165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4.0004448627067927E-4</v>
      </c>
      <c r="L165" s="348">
        <f>IF(AA165&lt;&gt;"",AA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K$6:$K$532,"&lt;&gt;")=0,$J165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5.2136542696321802E-4</v>
      </c>
      <c r="M165" s="348">
        <f>IF(AB165&lt;&gt;"",AB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N$6:$N$532,"&lt;&gt;")=0,$J165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1.2456490124846968E-2</v>
      </c>
      <c r="N165" s="348">
        <f>IF(AC165&lt;&gt;"",AC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Q$6:$Q$532,"&lt;&gt;")=0,$J165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8.3657239011963272E-4</v>
      </c>
      <c r="O165" s="348">
        <f>IF(AD165&lt;&gt;"",AD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T$6:$T$532,"&lt;&gt;")=0,$J165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9.4839853181204262E-3</v>
      </c>
      <c r="P165" s="348">
        <f>IF(AE165&lt;&gt;"",AE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F$6:$AF$532,"已导入实际")=0,$J165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Q165" s="348">
        <f>IF(AF165&lt;&gt;"",AF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J$6:$AJ$532,"已导入实际")=0,$J165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R165" s="348">
        <f>IF(AG165&lt;&gt;"",AG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N$6:$AN$532,"已导入实际")=0,$J165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S165" s="348">
        <f>IF(AH165&lt;&gt;"",AH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R$6:$AR$532,"已导入实际")=0,$J165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T165" s="348">
        <f>IF(AI165&lt;&gt;"",AI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V$6:$AV$532,"已导入实际")=0,$J165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U165" s="348">
        <f>IF(AJ165&lt;&gt;"",AJ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Z$6:$AZ$532,"已导入实际")=0,$J165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V165" s="348">
        <f>IF(AK165&lt;&gt;"",AK165,IF(COUNTIFS(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,'参考值-平台费用率分析'!$AZ$6:$AZ$532,"已导入实际")=0,$J165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165,'参考值-平台费用率分析'!$E$6:$E$532,$G165),$J165)))</f>
        <v>3.3310586095866767E-3</v>
      </c>
      <c r="W165" s="348">
        <f>(K165*'假设-目标渠道分解'!L$10+L165*'假设-目标渠道分解'!M$10+M165*'假设-目标渠道分解'!N$10+N165*'假设-目标渠道分解'!O$10+O165*'假设-目标渠道分解'!P$10+P165*'假设-目标渠道分解'!Q$10+Q165*'假设-目标渠道分解'!R$10+R165*'假设-目标渠道分解'!S$10+S165*'假设-目标渠道分解'!T$10+T165*'假设-目标渠道分解'!U$10+U165*'假设-目标渠道分解'!V$10+V165*'假设-目标渠道分解'!W$10)/'假设-目标渠道分解'!J$10</f>
        <v>4.3428524995113562E-3</v>
      </c>
      <c r="Y165" s="155">
        <v>0.31997891083282598</v>
      </c>
      <c r="Z165" s="155"/>
      <c r="AA165" s="155"/>
      <c r="AB165" s="155"/>
      <c r="AC165" s="155"/>
      <c r="AD165" s="155"/>
      <c r="AE165" s="155"/>
      <c r="AF165" s="155"/>
      <c r="AG165" s="155"/>
      <c r="AH165" s="155"/>
      <c r="AI165" s="155"/>
      <c r="AJ165" s="155"/>
      <c r="AK165" s="155"/>
      <c r="AL165" s="338" t="s">
        <v>794</v>
      </c>
    </row>
    <row r="166" spans="2:38">
      <c r="E166" s="67" t="s">
        <v>52</v>
      </c>
      <c r="F166" s="67" t="s">
        <v>54</v>
      </c>
      <c r="G166" s="67" t="s">
        <v>63</v>
      </c>
      <c r="J166" s="348">
        <f>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Z$6:$Z$532,"&lt;&gt;")=0,$Y166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Y166))</f>
        <v>2.0000705624578119E-2</v>
      </c>
      <c r="K166" s="348">
        <f>IF(Z166&lt;&gt;"",Z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H$6:$H$532,"&lt;&gt;")=0,$J166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6.9616870479710458E-3</v>
      </c>
      <c r="L166" s="348">
        <f>IF(AA166&lt;&gt;"",AA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K$6:$K$532,"&lt;&gt;")=0,$J166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9.7057962179349262E-3</v>
      </c>
      <c r="M166" s="348">
        <f>IF(AB166&lt;&gt;"",AB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N$6:$N$532,"&lt;&gt;")=0,$J166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0.4064758241180621</v>
      </c>
      <c r="N166" s="348">
        <f>IF(AC166&lt;&gt;"",AC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Q$6:$Q$532,"&lt;&gt;")=0,$J166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7.1592908278647069E-3</v>
      </c>
      <c r="O166" s="348">
        <f>IF(AD166&lt;&gt;"",AD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T$6:$T$532,"&lt;&gt;")=0,$J166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1.619121456861037E-2</v>
      </c>
      <c r="P166" s="348">
        <f>IF(AE166&lt;&gt;"",AE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F$6:$AF$532,"已导入实际")=0,$J166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Q166" s="348">
        <f>IF(AF166&lt;&gt;"",AF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J$6:$AJ$532,"已导入实际")=0,$J166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R166" s="348">
        <f>IF(AG166&lt;&gt;"",AG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N$6:$AN$532,"已导入实际")=0,$J166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S166" s="348">
        <f>IF(AH166&lt;&gt;"",AH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R$6:$AR$532,"已导入实际")=0,$J166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T166" s="348">
        <f>IF(AI166&lt;&gt;"",AI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V$6:$AV$532,"已导入实际")=0,$J166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U166" s="348">
        <f>IF(AJ166&lt;&gt;"",AJ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Z$6:$AZ$532,"已导入实际")=0,$J166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V166" s="348">
        <f>IF(AK166&lt;&gt;"",AK166,IF(COUNTIFS(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,'参考值-平台费用率分析'!$AZ$6:$AZ$532,"已导入实际")=0,$J166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166,'参考值-平台费用率分析'!$E$6:$E$532,$G166),$J166)))</f>
        <v>2.0000705624578119E-2</v>
      </c>
      <c r="W166" s="348">
        <f>(K166*'假设-目标渠道分解'!L$10+L166*'假设-目标渠道分解'!M$10+M166*'假设-目标渠道分解'!N$10+N166*'假设-目标渠道分解'!O$10+O166*'假设-目标渠道分解'!P$10+P166*'假设-目标渠道分解'!Q$10+Q166*'假设-目标渠道分解'!R$10+R166*'假设-目标渠道分解'!S$10+S166*'假设-目标渠道分解'!T$10+T166*'假设-目标渠道分解'!U$10+U166*'假设-目标渠道分解'!V$10+V166*'假设-目标渠道分解'!W$10)/'假设-目标渠道分解'!J$10</f>
        <v>5.4862405713344033E-2</v>
      </c>
      <c r="Y166" s="155">
        <v>8.7265346563861701E-2</v>
      </c>
      <c r="Z166" s="155"/>
      <c r="AA166" s="155"/>
      <c r="AB166" s="155"/>
      <c r="AC166" s="155"/>
      <c r="AD166" s="155"/>
      <c r="AE166" s="155"/>
      <c r="AF166" s="155"/>
      <c r="AG166" s="155"/>
      <c r="AH166" s="155"/>
      <c r="AI166" s="155"/>
      <c r="AJ166" s="155"/>
      <c r="AK166" s="155"/>
      <c r="AL166" s="338" t="s">
        <v>794</v>
      </c>
    </row>
    <row r="167" spans="2:38">
      <c r="E167" s="67" t="s">
        <v>52</v>
      </c>
      <c r="F167" s="67" t="s">
        <v>54</v>
      </c>
      <c r="G167" s="67" t="s">
        <v>60</v>
      </c>
      <c r="J167" s="348">
        <f>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Z$6:$Z$532,"&lt;&gt;")=0,$Y167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Y167))</f>
        <v>7.8460889630257574E-2</v>
      </c>
      <c r="K167" s="348">
        <f>IF(Z167&lt;&gt;"",Z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H$6:$H$532,"&lt;&gt;")=0,$J167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9.3841539224965506E-2</v>
      </c>
      <c r="L167" s="348">
        <f>IF(AA167&lt;&gt;"",AA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K$6:$K$532,"&lt;&gt;")=0,$J167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6.5402867096458858E-2</v>
      </c>
      <c r="M167" s="348">
        <f>IF(AB167&lt;&gt;"",AB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N$6:$N$532,"&lt;&gt;")=0,$J167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0.82205409303148558</v>
      </c>
      <c r="N167" s="348">
        <f>IF(AC167&lt;&gt;"",AC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Q$6:$Q$532,"&lt;&gt;")=0,$J167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4.6882969792455292E-2</v>
      </c>
      <c r="O167" s="348">
        <f>IF(AD167&lt;&gt;"",AD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T$6:$T$532,"&lt;&gt;")=0,$J167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3.6997707701496831E-2</v>
      </c>
      <c r="P167" s="348">
        <f>IF(AE167&lt;&gt;"",AE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F$6:$AF$532,"已导入实际")=0,$J167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Q167" s="348">
        <f>IF(AF167&lt;&gt;"",AF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J$6:$AJ$532,"已导入实际")=0,$J167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R167" s="348">
        <f>IF(AG167&lt;&gt;"",AG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N$6:$AN$532,"已导入实际")=0,$J167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S167" s="348">
        <f>IF(AH167&lt;&gt;"",AH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R$6:$AR$532,"已导入实际")=0,$J167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T167" s="348">
        <f>IF(AI167&lt;&gt;"",AI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V$6:$AV$532,"已导入实际")=0,$J167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U167" s="348">
        <f>IF(AJ167&lt;&gt;"",AJ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Z$6:$AZ$532,"已导入实际")=0,$J167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V167" s="348">
        <f>IF(AK167&lt;&gt;"",AK167,IF(COUNTIFS(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,'参考值-平台费用率分析'!$AZ$6:$AZ$532,"已导入实际")=0,$J167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167,'参考值-平台费用率分析'!$E$6:$E$532,$G167),$J167)))</f>
        <v>7.8460889630257574E-2</v>
      </c>
      <c r="W167" s="348">
        <f>(K167*'假设-目标渠道分解'!L$10+L167*'假设-目标渠道分解'!M$10+M167*'假设-目标渠道分解'!N$10+N167*'假设-目标渠道分解'!O$10+O167*'假设-目标渠道分解'!P$10+P167*'假设-目标渠道分解'!Q$10+Q167*'假设-目标渠道分解'!R$10+R167*'假设-目标渠道分解'!S$10+S167*'假设-目标渠道分解'!T$10+T167*'假设-目标渠道分解'!U$10+U167*'假设-目标渠道分解'!V$10+V167*'假设-目标渠道分解'!W$10)/'假设-目标渠道分解'!J$10</f>
        <v>0.14382506079617963</v>
      </c>
      <c r="Y167" s="155">
        <v>0</v>
      </c>
      <c r="Z167" s="155"/>
      <c r="AA167" s="155"/>
      <c r="AB167" s="155"/>
      <c r="AC167" s="155"/>
      <c r="AD167" s="155"/>
      <c r="AE167" s="155"/>
      <c r="AF167" s="155"/>
      <c r="AG167" s="155"/>
      <c r="AH167" s="155"/>
      <c r="AI167" s="155"/>
      <c r="AJ167" s="155"/>
      <c r="AK167" s="155"/>
      <c r="AL167" s="338" t="s">
        <v>794</v>
      </c>
    </row>
    <row r="168" spans="2:38">
      <c r="E168" s="67" t="s">
        <v>52</v>
      </c>
      <c r="F168" s="67" t="s">
        <v>54</v>
      </c>
      <c r="G168" s="67" t="s">
        <v>61</v>
      </c>
      <c r="J168" s="348">
        <f>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Z$6:$Z$532,"&lt;&gt;")=0,$Y168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Y168))</f>
        <v>0</v>
      </c>
      <c r="K168" s="350">
        <f>IF(Z168&lt;&gt;"",Z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H$6:$H$532,"&lt;&gt;")=0,$J168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L168" s="350">
        <f>IF(AA168&lt;&gt;"",AA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K$6:$K$532,"&lt;&gt;")=0,$J168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M168" s="350">
        <f>IF(AB168&lt;&gt;"",AB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N$6:$N$532,"&lt;&gt;")=0,$J168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N168" s="350">
        <f>IF(AC168&lt;&gt;"",AC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Q$6:$Q$532,"&lt;&gt;")=0,$J168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O168" s="350">
        <f>IF(AD168&lt;&gt;"",AD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T$6:$T$532,"&lt;&gt;")=0,$J168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P168" s="350">
        <f>IF(AE168&lt;&gt;"",AE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F$6:$AF$532,"已导入实际")=0,$J168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Q168" s="350">
        <f>IF(AF168&lt;&gt;"",AF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J$6:$AJ$532,"已导入实际")=0,$J168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R168" s="350">
        <f>IF(AG168&lt;&gt;"",AG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N$6:$AN$532,"已导入实际")=0,$J168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S168" s="350">
        <f>IF(AH168&lt;&gt;"",AH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R$6:$AR$532,"已导入实际")=0,$J168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T168" s="350">
        <f>IF(AI168&lt;&gt;"",AI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V$6:$AV$532,"已导入实际")=0,$J168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U168" s="350">
        <f>IF(AJ168&lt;&gt;"",AJ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Z$6:$AZ$532,"已导入实际")=0,$J168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V168" s="350">
        <f>IF(AK168&lt;&gt;"",AK168,IF(COUNTIFS(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,'参考值-平台费用率分析'!$AZ$6:$AZ$532,"已导入实际")=0,$J168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168,'参考值-平台费用率分析'!$E$6:$E$532,$G168),$J168)))</f>
        <v>0</v>
      </c>
      <c r="W168" s="348">
        <f>(K168*'假设-目标渠道分解'!L$10+L168*'假设-目标渠道分解'!M$10+M168*'假设-目标渠道分解'!N$10+N168*'假设-目标渠道分解'!O$10+O168*'假设-目标渠道分解'!P$10+P168*'假设-目标渠道分解'!Q$10+Q168*'假设-目标渠道分解'!R$10+R168*'假设-目标渠道分解'!S$10+S168*'假设-目标渠道分解'!T$10+T168*'假设-目标渠道分解'!U$10+U168*'假设-目标渠道分解'!V$10+V168*'假设-目标渠道分解'!W$10)/'假设-目标渠道分解'!J$10</f>
        <v>0</v>
      </c>
      <c r="Y168" s="155">
        <v>0</v>
      </c>
      <c r="Z168" s="155"/>
      <c r="AA168" s="155"/>
      <c r="AB168" s="155"/>
      <c r="AC168" s="155"/>
      <c r="AD168" s="155"/>
      <c r="AE168" s="155"/>
      <c r="AF168" s="155"/>
      <c r="AG168" s="155"/>
      <c r="AH168" s="155"/>
      <c r="AI168" s="155"/>
      <c r="AJ168" s="155"/>
      <c r="AK168" s="155"/>
      <c r="AL168" s="338" t="s">
        <v>794</v>
      </c>
    </row>
    <row r="169" spans="2:38">
      <c r="E169" s="67" t="s">
        <v>52</v>
      </c>
      <c r="F169" s="67" t="s">
        <v>54</v>
      </c>
      <c r="G169" s="67" t="s">
        <v>900</v>
      </c>
      <c r="J169" s="348">
        <f>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Z$6:$Z$532,"&lt;&gt;")=0,$Y169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Y169))</f>
        <v>2.8203164308412687E-2</v>
      </c>
      <c r="K169" s="350">
        <f>IF(Z169&lt;&gt;"",Z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H$6:$H$532,"&lt;&gt;")=0,$J169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1.5937486007565411E-2</v>
      </c>
      <c r="L169" s="350">
        <f>IF(AA169&lt;&gt;"",AA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K$6:$K$532,"&lt;&gt;")=0,$J169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1.1490798515649596E-2</v>
      </c>
      <c r="M169" s="350">
        <f>IF(AB169&lt;&gt;"",AB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N$6:$N$532,"&lt;&gt;")=0,$J169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0.27504459877879922</v>
      </c>
      <c r="N169" s="350">
        <f>IF(AC169&lt;&gt;"",AC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Q$6:$Q$532,"&lt;&gt;")=0,$J169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1.4243131315784873E-2</v>
      </c>
      <c r="O169" s="350">
        <f>IF(AD169&lt;&gt;"",AD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T$6:$T$532,"&lt;&gt;")=0,$J169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4.181109083975431E-2</v>
      </c>
      <c r="P169" s="350">
        <f>IF(AE169&lt;&gt;"",AE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F$6:$AF$532,"已导入实际")=0,$J169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Q169" s="350">
        <f>IF(AF169&lt;&gt;"",AF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J$6:$AJ$532,"已导入实际")=0,$J169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R169" s="350">
        <f>IF(AG169&lt;&gt;"",AG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N$6:$AN$532,"已导入实际")=0,$J169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S169" s="350">
        <f>IF(AH169&lt;&gt;"",AH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R$6:$AR$532,"已导入实际")=0,$J169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T169" s="350">
        <f>IF(AI169&lt;&gt;"",AI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V$6:$AV$532,"已导入实际")=0,$J169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U169" s="350">
        <f>IF(AJ169&lt;&gt;"",AJ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Z$6:$AZ$532,"已导入实际")=0,$J169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V169" s="350">
        <f>IF(AK169&lt;&gt;"",AK169,IF(COUNTIFS(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,'参考值-平台费用率分析'!$AZ$6:$AZ$532,"已导入实际")=0,$J169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169,'参考值-平台费用率分析'!$E$6:$E$532,$G169),$J169)))</f>
        <v>2.8203164308412687E-2</v>
      </c>
      <c r="W169" s="348">
        <f>(K169*'假设-目标渠道分解'!L$10+L169*'假设-目标渠道分解'!M$10+M169*'假设-目标渠道分解'!N$10+N169*'假设-目标渠道分解'!O$10+O169*'假设-目标渠道分解'!P$10+P169*'假设-目标渠道分解'!Q$10+Q169*'假设-目标渠道分解'!R$10+R169*'假设-目标渠道分解'!S$10+S169*'假设-目标渠道分解'!T$10+T169*'假设-目标渠道分解'!U$10+U169*'假设-目标渠道分解'!V$10+V169*'假设-目标渠道分解'!W$10)/'假设-目标渠道分解'!J$10</f>
        <v>5.0897484644148422E-2</v>
      </c>
      <c r="Y169" s="155">
        <v>2.8199999999999999E-2</v>
      </c>
      <c r="Z169" s="155"/>
      <c r="AA169" s="155"/>
      <c r="AB169" s="155"/>
      <c r="AC169" s="155"/>
      <c r="AD169" s="155"/>
      <c r="AE169" s="155"/>
      <c r="AF169" s="155"/>
      <c r="AG169" s="155"/>
      <c r="AH169" s="155"/>
      <c r="AI169" s="155"/>
      <c r="AJ169" s="155"/>
      <c r="AK169" s="155"/>
    </row>
    <row r="170" spans="2:38">
      <c r="D170" s="67" t="s">
        <v>65</v>
      </c>
      <c r="J170" s="348">
        <v>0</v>
      </c>
      <c r="K170" s="348">
        <f t="shared" ref="K170:W170" si="25">SUM(K171:K174)</f>
        <v>0</v>
      </c>
      <c r="L170" s="348">
        <f t="shared" si="25"/>
        <v>0</v>
      </c>
      <c r="M170" s="348">
        <f t="shared" si="25"/>
        <v>0</v>
      </c>
      <c r="N170" s="348">
        <f t="shared" si="25"/>
        <v>0</v>
      </c>
      <c r="O170" s="348">
        <f t="shared" si="25"/>
        <v>0</v>
      </c>
      <c r="P170" s="348">
        <f t="shared" si="25"/>
        <v>0</v>
      </c>
      <c r="Q170" s="348">
        <f t="shared" si="25"/>
        <v>0</v>
      </c>
      <c r="R170" s="348">
        <f t="shared" si="25"/>
        <v>0</v>
      </c>
      <c r="S170" s="348">
        <f t="shared" si="25"/>
        <v>0</v>
      </c>
      <c r="T170" s="348">
        <f t="shared" si="25"/>
        <v>0</v>
      </c>
      <c r="U170" s="348">
        <f t="shared" si="25"/>
        <v>0</v>
      </c>
      <c r="V170" s="348">
        <f t="shared" si="25"/>
        <v>0</v>
      </c>
      <c r="W170" s="349">
        <f t="shared" si="25"/>
        <v>0</v>
      </c>
      <c r="Z170" s="155"/>
      <c r="AA170" s="155"/>
      <c r="AB170" s="155"/>
      <c r="AC170" s="155"/>
      <c r="AD170" s="155"/>
      <c r="AE170" s="155"/>
      <c r="AF170" s="155"/>
      <c r="AG170" s="155"/>
      <c r="AH170" s="155"/>
      <c r="AI170" s="155"/>
      <c r="AJ170" s="155"/>
      <c r="AK170" s="155"/>
    </row>
    <row r="171" spans="2:38">
      <c r="E171" s="67" t="s">
        <v>52</v>
      </c>
      <c r="F171" s="67" t="s">
        <v>65</v>
      </c>
      <c r="G171" s="67" t="s">
        <v>66</v>
      </c>
      <c r="J171" s="348">
        <f>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Z$6:$Z$532,"&lt;&gt;")=0,$Y171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Y171))</f>
        <v>0</v>
      </c>
      <c r="K171" s="348">
        <f>IF(Z171&lt;&gt;"",Z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H$6:$H$532,"&lt;&gt;")=0,$J171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L171" s="348">
        <f>IF(AA171&lt;&gt;"",AA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K$6:$K$532,"&lt;&gt;")=0,$J171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M171" s="348">
        <f>IF(AB171&lt;&gt;"",AB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N$6:$N$532,"&lt;&gt;")=0,$J171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N171" s="348">
        <f>IF(AC171&lt;&gt;"",AC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Q$6:$Q$532,"&lt;&gt;")=0,$J171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O171" s="348">
        <f>IF(AD171&lt;&gt;"",AD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T$6:$T$532,"&lt;&gt;")=0,$J171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P171" s="347">
        <f>IF(AE171&lt;&gt;"",AE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F$6:$AF$532,"已导入实际")=0,$J171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Q171" s="347">
        <f>IF(AF171&lt;&gt;"",AF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J$6:$AJ$532,"已导入实际")=0,$J171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R171" s="347">
        <f>IF(AG171&lt;&gt;"",AG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N$6:$AN$532,"已导入实际")=0,$J171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S171" s="347">
        <f>IF(AH171&lt;&gt;"",AH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R$6:$AR$532,"已导入实际")=0,$J171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T171" s="347">
        <f>IF(AI171&lt;&gt;"",AI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V$6:$AV$532,"已导入实际")=0,$J171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U171" s="347">
        <f>IF(AJ171&lt;&gt;"",AJ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Z$6:$AZ$532,"已导入实际")=0,$J171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V171" s="347">
        <f>IF(AK171&lt;&gt;"",AK171,IF(COUNTIFS(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,'参考值-平台费用率分析'!$AZ$6:$AZ$532,"已导入实际")=0,$J171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171,'参考值-平台费用率分析'!$E$6:$E$532,$G171),$J171)))</f>
        <v>0</v>
      </c>
      <c r="W171" s="348">
        <f>(K171*'假设-目标渠道分解'!L$10+L171*'假设-目标渠道分解'!M$10+M171*'假设-目标渠道分解'!N$10+N171*'假设-目标渠道分解'!O$10+O171*'假设-目标渠道分解'!P$10+P171*'假设-目标渠道分解'!Q$10+Q171*'假设-目标渠道分解'!R$10+R171*'假设-目标渠道分解'!S$10+S171*'假设-目标渠道分解'!T$10+T171*'假设-目标渠道分解'!U$10+U171*'假设-目标渠道分解'!V$10+V171*'假设-目标渠道分解'!W$10)/'假设-目标渠道分解'!J$10</f>
        <v>0</v>
      </c>
      <c r="Y171" s="155">
        <v>0</v>
      </c>
      <c r="Z171" s="155"/>
      <c r="AA171" s="155"/>
      <c r="AB171" s="155"/>
      <c r="AC171" s="155"/>
      <c r="AD171" s="155"/>
      <c r="AE171" s="155"/>
      <c r="AF171" s="155"/>
      <c r="AG171" s="155"/>
      <c r="AH171" s="155"/>
      <c r="AI171" s="155"/>
      <c r="AJ171" s="155"/>
      <c r="AK171" s="155"/>
      <c r="AL171" s="338" t="s">
        <v>794</v>
      </c>
    </row>
    <row r="172" spans="2:38">
      <c r="E172" s="67" t="s">
        <v>52</v>
      </c>
      <c r="F172" s="67" t="s">
        <v>65</v>
      </c>
      <c r="G172" s="67" t="s">
        <v>67</v>
      </c>
      <c r="J172" s="348">
        <f>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Z$6:$Z$532,"&lt;&gt;")=0,$Y172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Y172))</f>
        <v>0</v>
      </c>
      <c r="K172" s="348">
        <f>IF(Z172&lt;&gt;"",Z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H$6:$H$532,"&lt;&gt;")=0,$J172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L172" s="348">
        <f>IF(AA172&lt;&gt;"",AA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K$6:$K$532,"&lt;&gt;")=0,$J172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M172" s="348">
        <f>IF(AB172&lt;&gt;"",AB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N$6:$N$532,"&lt;&gt;")=0,$J172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N172" s="348">
        <f>IF(AC172&lt;&gt;"",AC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Q$6:$Q$532,"&lt;&gt;")=0,$J172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O172" s="348">
        <f>IF(AD172&lt;&gt;"",AD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T$6:$T$532,"&lt;&gt;")=0,$J172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P172" s="347">
        <f>IF(AE172&lt;&gt;"",AE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F$6:$AF$532,"已导入实际")=0,$J172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Q172" s="347">
        <f>IF(AF172&lt;&gt;"",AF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J$6:$AJ$532,"已导入实际")=0,$J172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R172" s="347">
        <f>IF(AG172&lt;&gt;"",AG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N$6:$AN$532,"已导入实际")=0,$J172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S172" s="347">
        <f>IF(AH172&lt;&gt;"",AH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R$6:$AR$532,"已导入实际")=0,$J172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T172" s="347">
        <f>IF(AI172&lt;&gt;"",AI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V$6:$AV$532,"已导入实际")=0,$J172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U172" s="347">
        <f>IF(AJ172&lt;&gt;"",AJ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Z$6:$AZ$532,"已导入实际")=0,$J172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V172" s="347">
        <f>IF(AK172&lt;&gt;"",AK172,IF(COUNTIFS(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,'参考值-平台费用率分析'!$AZ$6:$AZ$532,"已导入实际")=0,$J172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172,'参考值-平台费用率分析'!$E$6:$E$532,$G172),$J172)))</f>
        <v>0</v>
      </c>
      <c r="W172" s="348">
        <f>(K172*'假设-目标渠道分解'!L$10+L172*'假设-目标渠道分解'!M$10+M172*'假设-目标渠道分解'!N$10+N172*'假设-目标渠道分解'!O$10+O172*'假设-目标渠道分解'!P$10+P172*'假设-目标渠道分解'!Q$10+Q172*'假设-目标渠道分解'!R$10+R172*'假设-目标渠道分解'!S$10+S172*'假设-目标渠道分解'!T$10+T172*'假设-目标渠道分解'!U$10+U172*'假设-目标渠道分解'!V$10+V172*'假设-目标渠道分解'!W$10)/'假设-目标渠道分解'!J$10</f>
        <v>0</v>
      </c>
      <c r="Y172" s="155">
        <v>0</v>
      </c>
      <c r="Z172" s="155"/>
      <c r="AA172" s="155"/>
      <c r="AB172" s="155"/>
      <c r="AC172" s="155"/>
      <c r="AD172" s="155"/>
      <c r="AE172" s="155"/>
      <c r="AF172" s="155"/>
      <c r="AG172" s="155"/>
      <c r="AH172" s="155"/>
      <c r="AI172" s="155"/>
      <c r="AJ172" s="155"/>
      <c r="AK172" s="155"/>
      <c r="AL172" s="338" t="s">
        <v>794</v>
      </c>
    </row>
    <row r="173" spans="2:38">
      <c r="E173" s="67" t="s">
        <v>52</v>
      </c>
      <c r="F173" s="67" t="s">
        <v>65</v>
      </c>
      <c r="G173" s="67" t="s">
        <v>68</v>
      </c>
      <c r="J173" s="348">
        <f>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Z$6:$Z$532,"&lt;&gt;")=0,$Y173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Y173))</f>
        <v>0</v>
      </c>
      <c r="K173" s="348">
        <f>IF(Z173&lt;&gt;"",Z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H$6:$H$532,"&lt;&gt;")=0,$J173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L173" s="348">
        <f>IF(AA173&lt;&gt;"",AA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K$6:$K$532,"&lt;&gt;")=0,$J173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M173" s="348">
        <f>IF(AB173&lt;&gt;"",AB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N$6:$N$532,"&lt;&gt;")=0,$J173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N173" s="348">
        <f>IF(AC173&lt;&gt;"",AC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Q$6:$Q$532,"&lt;&gt;")=0,$J173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O173" s="348">
        <f>IF(AD173&lt;&gt;"",AD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T$6:$T$532,"&lt;&gt;")=0,$J173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P173" s="348">
        <f>IF(AE173&lt;&gt;"",AE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F$6:$AF$532,"已导入实际")=0,$J173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Q173" s="348">
        <f>IF(AF173&lt;&gt;"",AF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J$6:$AJ$532,"已导入实际")=0,$J173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R173" s="348">
        <f>IF(AG173&lt;&gt;"",AG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N$6:$AN$532,"已导入实际")=0,$J173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S173" s="348">
        <f>IF(AH173&lt;&gt;"",AH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R$6:$AR$532,"已导入实际")=0,$J173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T173" s="348">
        <f>IF(AI173&lt;&gt;"",AI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V$6:$AV$532,"已导入实际")=0,$J173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U173" s="348">
        <f>IF(AJ173&lt;&gt;"",AJ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Z$6:$AZ$532,"已导入实际")=0,$J173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V173" s="348">
        <f>IF(AK173&lt;&gt;"",AK173,IF(COUNTIFS(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,'参考值-平台费用率分析'!$AZ$6:$AZ$532,"已导入实际")=0,$J173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173,'参考值-平台费用率分析'!$E$6:$E$532,$G173),$J173)))</f>
        <v>0</v>
      </c>
      <c r="W173" s="348">
        <f>(K173*'假设-目标渠道分解'!L$10+L173*'假设-目标渠道分解'!M$10+M173*'假设-目标渠道分解'!N$10+N173*'假设-目标渠道分解'!O$10+O173*'假设-目标渠道分解'!P$10+P173*'假设-目标渠道分解'!Q$10+Q173*'假设-目标渠道分解'!R$10+R173*'假设-目标渠道分解'!S$10+S173*'假设-目标渠道分解'!T$10+T173*'假设-目标渠道分解'!U$10+U173*'假设-目标渠道分解'!V$10+V173*'假设-目标渠道分解'!W$10)/'假设-目标渠道分解'!J$10</f>
        <v>0</v>
      </c>
      <c r="Y173" s="155">
        <v>0</v>
      </c>
      <c r="Z173" s="155"/>
      <c r="AA173" s="155"/>
      <c r="AB173" s="155"/>
      <c r="AC173" s="155"/>
      <c r="AD173" s="155"/>
      <c r="AE173" s="155"/>
      <c r="AF173" s="155"/>
      <c r="AG173" s="155"/>
      <c r="AH173" s="155"/>
      <c r="AI173" s="155"/>
      <c r="AJ173" s="155"/>
      <c r="AK173" s="155"/>
      <c r="AL173" s="338" t="s">
        <v>794</v>
      </c>
    </row>
    <row r="174" spans="2:38">
      <c r="E174" s="67" t="s">
        <v>52</v>
      </c>
      <c r="F174" s="67" t="s">
        <v>65</v>
      </c>
      <c r="G174" s="67" t="s">
        <v>69</v>
      </c>
      <c r="J174" s="348">
        <f>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Z$6:$Z$532,"&lt;&gt;")=0,$Y174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Y174))</f>
        <v>0</v>
      </c>
      <c r="K174" s="348">
        <f>IF(Z174&lt;&gt;"",Z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H$6:$H$532,"&lt;&gt;")=0,$J174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L174" s="348">
        <f>IF(AA174&lt;&gt;"",AA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K$6:$K$532,"&lt;&gt;")=0,$J174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M174" s="348">
        <f>IF(AB174&lt;&gt;"",AB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N$6:$N$532,"&lt;&gt;")=0,$J174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N174" s="348">
        <f>IF(AC174&lt;&gt;"",AC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Q$6:$Q$532,"&lt;&gt;")=0,$J174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O174" s="348">
        <f>IF(AD174&lt;&gt;"",AD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T$6:$T$532,"&lt;&gt;")=0,$J174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P174" s="348">
        <f>IF(AE174&lt;&gt;"",AE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F$6:$AF$532,"已导入实际")=0,$J174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Q174" s="348">
        <f>IF(AF174&lt;&gt;"",AF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J$6:$AJ$532,"已导入实际")=0,$J174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R174" s="348">
        <f>IF(AG174&lt;&gt;"",AG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N$6:$AN$532,"已导入实际")=0,$J174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S174" s="348">
        <f>IF(AH174&lt;&gt;"",AH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R$6:$AR$532,"已导入实际")=0,$J174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T174" s="348">
        <f>IF(AI174&lt;&gt;"",AI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V$6:$AV$532,"已导入实际")=0,$J174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U174" s="348">
        <f>IF(AJ174&lt;&gt;"",AJ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Z$6:$AZ$532,"已导入实际")=0,$J174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V174" s="348">
        <f>IF(AK174&lt;&gt;"",AK174,IF(COUNTIFS(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,'参考值-平台费用率分析'!$AZ$6:$AZ$532,"已导入实际")=0,$J174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174,'参考值-平台费用率分析'!$E$6:$E$532,$G174),$J174)))</f>
        <v>0</v>
      </c>
      <c r="W174" s="348">
        <f>(K174*'假设-目标渠道分解'!L$10+L174*'假设-目标渠道分解'!M$10+M174*'假设-目标渠道分解'!N$10+N174*'假设-目标渠道分解'!O$10+O174*'假设-目标渠道分解'!P$10+P174*'假设-目标渠道分解'!Q$10+Q174*'假设-目标渠道分解'!R$10+R174*'假设-目标渠道分解'!S$10+S174*'假设-目标渠道分解'!T$10+T174*'假设-目标渠道分解'!U$10+U174*'假设-目标渠道分解'!V$10+V174*'假设-目标渠道分解'!W$10)/'假设-目标渠道分解'!J$10</f>
        <v>0</v>
      </c>
      <c r="Y174" s="155">
        <v>0</v>
      </c>
      <c r="Z174" s="155"/>
      <c r="AA174" s="155"/>
      <c r="AB174" s="155"/>
      <c r="AC174" s="155"/>
      <c r="AD174" s="155"/>
      <c r="AE174" s="155"/>
      <c r="AF174" s="155"/>
      <c r="AG174" s="155"/>
      <c r="AH174" s="155"/>
      <c r="AI174" s="155"/>
      <c r="AJ174" s="155"/>
      <c r="AK174" s="155"/>
      <c r="AL174" s="338" t="s">
        <v>794</v>
      </c>
    </row>
    <row r="175" spans="2:38">
      <c r="D175" s="67" t="s">
        <v>70</v>
      </c>
      <c r="J175" s="348">
        <f t="shared" ref="J175:W175" si="26">SUM(J176:J178)</f>
        <v>3.0650551022196184E-2</v>
      </c>
      <c r="K175" s="348">
        <f t="shared" si="26"/>
        <v>2.4831817487287446E-2</v>
      </c>
      <c r="L175" s="348">
        <f t="shared" si="26"/>
        <v>1.2923516645814573E-2</v>
      </c>
      <c r="M175" s="348">
        <f t="shared" si="26"/>
        <v>0.33086655013855298</v>
      </c>
      <c r="N175" s="348">
        <f t="shared" si="26"/>
        <v>2.1753976162969271E-2</v>
      </c>
      <c r="O175" s="348">
        <f t="shared" si="26"/>
        <v>2.9327264431083439E-2</v>
      </c>
      <c r="P175" s="348">
        <f t="shared" si="26"/>
        <v>3.0650551022196184E-2</v>
      </c>
      <c r="Q175" s="348">
        <f t="shared" si="26"/>
        <v>3.0650551022196184E-2</v>
      </c>
      <c r="R175" s="348">
        <f t="shared" si="26"/>
        <v>3.0650551022196184E-2</v>
      </c>
      <c r="S175" s="348">
        <f t="shared" si="26"/>
        <v>3.0650551022196184E-2</v>
      </c>
      <c r="T175" s="348">
        <f t="shared" si="26"/>
        <v>3.0650551022196184E-2</v>
      </c>
      <c r="U175" s="348">
        <f t="shared" si="26"/>
        <v>3.0650551022196184E-2</v>
      </c>
      <c r="V175" s="348">
        <f t="shared" si="26"/>
        <v>3.0650551022196184E-2</v>
      </c>
      <c r="W175" s="348">
        <f t="shared" si="26"/>
        <v>5.7696171802262552E-2</v>
      </c>
      <c r="Z175" s="155"/>
      <c r="AA175" s="155"/>
      <c r="AB175" s="155"/>
      <c r="AC175" s="155"/>
      <c r="AD175" s="155"/>
      <c r="AE175" s="155"/>
      <c r="AF175" s="155"/>
      <c r="AG175" s="155"/>
      <c r="AH175" s="155"/>
      <c r="AI175" s="155"/>
      <c r="AJ175" s="155"/>
      <c r="AK175" s="155"/>
    </row>
    <row r="176" spans="2:38">
      <c r="E176" s="67" t="s">
        <v>52</v>
      </c>
      <c r="F176" s="67" t="s">
        <v>70</v>
      </c>
      <c r="G176" s="67" t="s">
        <v>71</v>
      </c>
      <c r="J176" s="348">
        <f>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Z$6:$Z$532,"&lt;&gt;")=0,$Y176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Y176))</f>
        <v>3.0650551022196184E-2</v>
      </c>
      <c r="K176" s="348">
        <f>IF(Z176&lt;&gt;"",Z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H$6:$H$532,"&lt;&gt;")=0,$J176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2.4831817487287446E-2</v>
      </c>
      <c r="L176" s="348">
        <f>IF(AA176&lt;&gt;"",AA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K$6:$K$532,"&lt;&gt;")=0,$J176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1.2923516645814573E-2</v>
      </c>
      <c r="M176" s="348">
        <f>IF(AB176&lt;&gt;"",AB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N$6:$N$532,"&lt;&gt;")=0,$J176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0.33086655013855298</v>
      </c>
      <c r="N176" s="348">
        <f>IF(AC176&lt;&gt;"",AC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Q$6:$Q$532,"&lt;&gt;")=0,$J176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2.1753976162969271E-2</v>
      </c>
      <c r="O176" s="348">
        <f>IF(AD176&lt;&gt;"",AD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T$6:$T$532,"&lt;&gt;")=0,$J176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2.9327264431083439E-2</v>
      </c>
      <c r="P176" s="350">
        <f>IF(AE176&lt;&gt;"",AE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F$6:$AF$532,"已导入实际")=0,$J176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Q176" s="350">
        <f>IF(AF176&lt;&gt;"",AF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J$6:$AJ$532,"已导入实际")=0,$J176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R176" s="350">
        <f>IF(AG176&lt;&gt;"",AG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N$6:$AN$532,"已导入实际")=0,$J176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S176" s="350">
        <f>IF(AH176&lt;&gt;"",AH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R$6:$AR$532,"已导入实际")=0,$J176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T176" s="350">
        <f>IF(AI176&lt;&gt;"",AI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V$6:$AV$532,"已导入实际")=0,$J176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U176" s="350">
        <f>IF(AJ176&lt;&gt;"",AJ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Z$6:$AZ$532,"已导入实际")=0,$J176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V176" s="350">
        <f>IF(AK176&lt;&gt;"",AK176,IF(COUNTIFS(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,'参考值-平台费用率分析'!$AZ$6:$AZ$532,"已导入实际")=0,$J176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176,'参考值-平台费用率分析'!$E$6:$E$532,$G176),$J176)))</f>
        <v>3.0650551022196184E-2</v>
      </c>
      <c r="W176" s="348">
        <f>(K176*'假设-目标渠道分解'!L$10+L176*'假设-目标渠道分解'!M$10+M176*'假设-目标渠道分解'!N$10+N176*'假设-目标渠道分解'!O$10+O176*'假设-目标渠道分解'!P$10+P176*'假设-目标渠道分解'!Q$10+Q176*'假设-目标渠道分解'!R$10+R176*'假设-目标渠道分解'!S$10+S176*'假设-目标渠道分解'!T$10+T176*'假设-目标渠道分解'!U$10+U176*'假设-目标渠道分解'!V$10+V176*'假设-目标渠道分解'!W$10)/'假设-目标渠道分解'!J$10</f>
        <v>5.7696171802262552E-2</v>
      </c>
      <c r="Y176" s="155">
        <v>2.2145875736955201E-2</v>
      </c>
      <c r="Z176" s="155"/>
      <c r="AA176" s="155"/>
      <c r="AB176" s="155"/>
      <c r="AC176" s="155"/>
      <c r="AD176" s="155"/>
      <c r="AE176" s="155"/>
      <c r="AF176" s="155"/>
      <c r="AG176" s="155"/>
      <c r="AH176" s="155"/>
      <c r="AI176" s="155"/>
      <c r="AJ176" s="155"/>
      <c r="AK176" s="155"/>
      <c r="AL176" s="338" t="s">
        <v>794</v>
      </c>
    </row>
    <row r="177" spans="1:38">
      <c r="E177" s="67" t="s">
        <v>52</v>
      </c>
      <c r="F177" s="67" t="s">
        <v>70</v>
      </c>
      <c r="G177" s="67" t="s">
        <v>72</v>
      </c>
      <c r="J177" s="348">
        <f>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Z$6:$Z$532,"&lt;&gt;")=0,$Y177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Y177))</f>
        <v>0</v>
      </c>
      <c r="K177" s="348">
        <f>IF(Z177&lt;&gt;"",Z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H$6:$H$532,"&lt;&gt;")=0,$J177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L177" s="348">
        <f>IF(AA177&lt;&gt;"",AA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K$6:$K$532,"&lt;&gt;")=0,$J177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M177" s="348">
        <f>IF(AB177&lt;&gt;"",AB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N$6:$N$532,"&lt;&gt;")=0,$J177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N177" s="348">
        <f>IF(AC177&lt;&gt;"",AC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Q$6:$Q$532,"&lt;&gt;")=0,$J177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O177" s="348">
        <f>IF(AD177&lt;&gt;"",AD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T$6:$T$532,"&lt;&gt;")=0,$J177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P177" s="348">
        <f>IF(AE177&lt;&gt;"",AE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F$6:$AF$532,"已导入实际")=0,$J177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Q177" s="348">
        <f>IF(AF177&lt;&gt;"",AF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J$6:$AJ$532,"已导入实际")=0,$J177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R177" s="348">
        <f>IF(AG177&lt;&gt;"",AG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N$6:$AN$532,"已导入实际")=0,$J177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S177" s="348">
        <f>IF(AH177&lt;&gt;"",AH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R$6:$AR$532,"已导入实际")=0,$J177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T177" s="348">
        <f>IF(AI177&lt;&gt;"",AI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V$6:$AV$532,"已导入实际")=0,$J177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U177" s="348">
        <f>IF(AJ177&lt;&gt;"",AJ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Z$6:$AZ$532,"已导入实际")=0,$J177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V177" s="348">
        <f>IF(AK177&lt;&gt;"",AK177,IF(COUNTIFS(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,'参考值-平台费用率分析'!$AZ$6:$AZ$532,"已导入实际")=0,$J177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177,'参考值-平台费用率分析'!$E$6:$E$532,$G177),$J177)))</f>
        <v>0</v>
      </c>
      <c r="W177" s="348">
        <f>(K177*'假设-目标渠道分解'!L$10+L177*'假设-目标渠道分解'!M$10+M177*'假设-目标渠道分解'!N$10+N177*'假设-目标渠道分解'!O$10+O177*'假设-目标渠道分解'!P$10+P177*'假设-目标渠道分解'!Q$10+Q177*'假设-目标渠道分解'!R$10+R177*'假设-目标渠道分解'!S$10+S177*'假设-目标渠道分解'!T$10+T177*'假设-目标渠道分解'!U$10+U177*'假设-目标渠道分解'!V$10+V177*'假设-目标渠道分解'!W$10)/'假设-目标渠道分解'!J$10</f>
        <v>0</v>
      </c>
      <c r="Y177" s="155">
        <v>0</v>
      </c>
      <c r="Z177" s="155"/>
      <c r="AA177" s="155"/>
      <c r="AB177" s="155"/>
      <c r="AC177" s="155"/>
      <c r="AD177" s="155"/>
      <c r="AE177" s="155"/>
      <c r="AF177" s="155"/>
      <c r="AG177" s="155"/>
      <c r="AH177" s="155"/>
      <c r="AI177" s="155"/>
      <c r="AJ177" s="155"/>
      <c r="AK177" s="155"/>
      <c r="AL177" s="338" t="s">
        <v>794</v>
      </c>
    </row>
    <row r="178" spans="1:38">
      <c r="E178" s="67" t="s">
        <v>52</v>
      </c>
      <c r="F178" s="67" t="s">
        <v>70</v>
      </c>
      <c r="G178" s="67" t="s">
        <v>73</v>
      </c>
      <c r="J178" s="348">
        <f>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Z$6:$Z$532,"&lt;&gt;")=0,$Y178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Y178))</f>
        <v>0</v>
      </c>
      <c r="K178" s="348">
        <f>IF(Z178&lt;&gt;"",Z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H$6:$H$532,"&lt;&gt;")=0,$J178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L178" s="348">
        <f>IF(AA178&lt;&gt;"",AA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K$6:$K$532,"&lt;&gt;")=0,$J178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M178" s="348">
        <f>IF(AB178&lt;&gt;"",AB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N$6:$N$532,"&lt;&gt;")=0,$J178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N178" s="348">
        <f>IF(AC178&lt;&gt;"",AC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Q$6:$Q$532,"&lt;&gt;")=0,$J178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O178" s="348">
        <f>IF(AD178&lt;&gt;"",AD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T$6:$T$532,"&lt;&gt;")=0,$J178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P178" s="348">
        <f>IF(AE178&lt;&gt;"",AE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F$6:$AF$532,"已导入实际")=0,$J178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Q178" s="348">
        <f>IF(AF178&lt;&gt;"",AF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J$6:$AJ$532,"已导入实际")=0,$J178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R178" s="348">
        <f>IF(AG178&lt;&gt;"",AG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N$6:$AN$532,"已导入实际")=0,$J178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S178" s="348">
        <f>IF(AH178&lt;&gt;"",AH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R$6:$AR$532,"已导入实际")=0,$J178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T178" s="348">
        <f>IF(AI178&lt;&gt;"",AI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V$6:$AV$532,"已导入实际")=0,$J178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U178" s="348">
        <f>IF(AJ178&lt;&gt;"",AJ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Z$6:$AZ$532,"已导入实际")=0,$J178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V178" s="348">
        <f>IF(AK178&lt;&gt;"",AK178,IF(COUNTIFS(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,'参考值-平台费用率分析'!$AZ$6:$AZ$532,"已导入实际")=0,$J178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178,'参考值-平台费用率分析'!$E$6:$E$532,$G178),$J178)))</f>
        <v>0</v>
      </c>
      <c r="W178" s="348">
        <f>(K178*'假设-目标渠道分解'!L$10+L178*'假设-目标渠道分解'!M$10+M178*'假设-目标渠道分解'!N$10+N178*'假设-目标渠道分解'!O$10+O178*'假设-目标渠道分解'!P$10+P178*'假设-目标渠道分解'!Q$10+Q178*'假设-目标渠道分解'!R$10+R178*'假设-目标渠道分解'!S$10+S178*'假设-目标渠道分解'!T$10+T178*'假设-目标渠道分解'!U$10+U178*'假设-目标渠道分解'!V$10+V178*'假设-目标渠道分解'!W$10)/'假设-目标渠道分解'!J$10</f>
        <v>0</v>
      </c>
      <c r="Y178" s="155">
        <v>0</v>
      </c>
      <c r="Z178" s="155"/>
      <c r="AA178" s="155"/>
      <c r="AB178" s="155"/>
      <c r="AC178" s="155"/>
      <c r="AD178" s="155"/>
      <c r="AE178" s="155"/>
      <c r="AF178" s="155"/>
      <c r="AG178" s="155"/>
      <c r="AH178" s="155"/>
      <c r="AI178" s="155"/>
      <c r="AJ178" s="155"/>
      <c r="AK178" s="155"/>
      <c r="AL178" s="338" t="s">
        <v>794</v>
      </c>
    </row>
    <row r="179" spans="1:38">
      <c r="D179" s="67" t="s">
        <v>74</v>
      </c>
      <c r="J179" s="348">
        <f t="shared" ref="J179:W179" si="27">SUM(J180:J183)</f>
        <v>4.0539295514302388E-2</v>
      </c>
      <c r="K179" s="348">
        <f t="shared" si="27"/>
        <v>2.9392323659487549E-2</v>
      </c>
      <c r="L179" s="348">
        <f t="shared" si="27"/>
        <v>6.9546954252267104E-2</v>
      </c>
      <c r="M179" s="348">
        <f t="shared" si="27"/>
        <v>0.24158460145410826</v>
      </c>
      <c r="N179" s="348">
        <f t="shared" si="27"/>
        <v>2.3487328053741874E-2</v>
      </c>
      <c r="O179" s="348">
        <f t="shared" si="27"/>
        <v>2.9485410101286764E-2</v>
      </c>
      <c r="P179" s="348">
        <f t="shared" si="27"/>
        <v>4.0539295514302388E-2</v>
      </c>
      <c r="Q179" s="348">
        <f t="shared" si="27"/>
        <v>4.0539295514302388E-2</v>
      </c>
      <c r="R179" s="348">
        <f t="shared" si="27"/>
        <v>4.0539295514302388E-2</v>
      </c>
      <c r="S179" s="348">
        <f t="shared" si="27"/>
        <v>4.0539295514302388E-2</v>
      </c>
      <c r="T179" s="348">
        <f t="shared" si="27"/>
        <v>4.0539295514302388E-2</v>
      </c>
      <c r="U179" s="348">
        <f t="shared" si="27"/>
        <v>4.0539295514302388E-2</v>
      </c>
      <c r="V179" s="348">
        <f t="shared" si="27"/>
        <v>4.0539295514302388E-2</v>
      </c>
      <c r="W179" s="348">
        <f t="shared" si="27"/>
        <v>5.8444903662872139E-2</v>
      </c>
      <c r="Z179" s="155"/>
      <c r="AA179" s="155"/>
      <c r="AB179" s="155"/>
      <c r="AC179" s="155"/>
      <c r="AD179" s="155"/>
      <c r="AE179" s="155"/>
      <c r="AF179" s="155"/>
      <c r="AG179" s="155"/>
      <c r="AH179" s="155"/>
      <c r="AI179" s="155"/>
      <c r="AJ179" s="155"/>
      <c r="AK179" s="155"/>
    </row>
    <row r="180" spans="1:38">
      <c r="E180" s="67" t="s">
        <v>52</v>
      </c>
      <c r="F180" s="67" t="s">
        <v>74</v>
      </c>
      <c r="G180" s="67" t="s">
        <v>75</v>
      </c>
      <c r="J180" s="348">
        <f>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Z$6:$Z$532,"&lt;&gt;")=0,$Y180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Y180))</f>
        <v>0</v>
      </c>
      <c r="K180" s="348">
        <f>IF(Z180&lt;&gt;"",Z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H$6:$H$532,"&lt;&gt;")=0,$J180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L180" s="348">
        <f>IF(AA180&lt;&gt;"",AA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K$6:$K$532,"&lt;&gt;")=0,$J180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M180" s="348">
        <f>IF(AB180&lt;&gt;"",AB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N$6:$N$532,"&lt;&gt;")=0,$J180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N180" s="348">
        <f>IF(AC180&lt;&gt;"",AC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Q$6:$Q$532,"&lt;&gt;")=0,$J180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O180" s="348">
        <f>IF(AD180&lt;&gt;"",AD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T$6:$T$532,"&lt;&gt;")=0,$J180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P180" s="350">
        <f>IF(AE180&lt;&gt;"",AE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F$6:$AF$532,"已导入实际")=0,$J180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Q180" s="350">
        <f>IF(AF180&lt;&gt;"",AF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J$6:$AJ$532,"已导入实际")=0,$J180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R180" s="350">
        <f>IF(AG180&lt;&gt;"",AG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N$6:$AN$532,"已导入实际")=0,$J180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S180" s="350">
        <f>IF(AH180&lt;&gt;"",AH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R$6:$AR$532,"已导入实际")=0,$J180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T180" s="350">
        <f>IF(AI180&lt;&gt;"",AI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V$6:$AV$532,"已导入实际")=0,$J180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U180" s="350">
        <f>IF(AJ180&lt;&gt;"",AJ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Z$6:$AZ$532,"已导入实际")=0,$J180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V180" s="350">
        <f>IF(AK180&lt;&gt;"",AK180,IF(COUNTIFS(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,'参考值-平台费用率分析'!$AZ$6:$AZ$532,"已导入实际")=0,$J180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180,'参考值-平台费用率分析'!$E$6:$E$532,$G180),$J180)))</f>
        <v>0</v>
      </c>
      <c r="W180" s="348">
        <f>(K180*'假设-目标渠道分解'!L$10+L180*'假设-目标渠道分解'!M$10+M180*'假设-目标渠道分解'!N$10+N180*'假设-目标渠道分解'!O$10+O180*'假设-目标渠道分解'!P$10+P180*'假设-目标渠道分解'!Q$10+Q180*'假设-目标渠道分解'!R$10+R180*'假设-目标渠道分解'!S$10+S180*'假设-目标渠道分解'!T$10+T180*'假设-目标渠道分解'!U$10+U180*'假设-目标渠道分解'!V$10+V180*'假设-目标渠道分解'!W$10)/'假设-目标渠道分解'!J$10</f>
        <v>0</v>
      </c>
      <c r="Y180" s="155">
        <v>1.14489906736419E-2</v>
      </c>
      <c r="Z180" s="155"/>
      <c r="AA180" s="155"/>
      <c r="AB180" s="155"/>
      <c r="AC180" s="155"/>
      <c r="AD180" s="155"/>
      <c r="AE180" s="155"/>
      <c r="AF180" s="155"/>
      <c r="AG180" s="155"/>
      <c r="AH180" s="155"/>
      <c r="AI180" s="155"/>
      <c r="AJ180" s="155"/>
      <c r="AK180" s="155"/>
      <c r="AL180" s="338" t="s">
        <v>794</v>
      </c>
    </row>
    <row r="181" spans="1:38">
      <c r="E181" s="67" t="s">
        <v>52</v>
      </c>
      <c r="F181" s="67" t="s">
        <v>74</v>
      </c>
      <c r="G181" s="67" t="s">
        <v>76</v>
      </c>
      <c r="J181" s="348">
        <f>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Z$6:$Z$532,"&lt;&gt;")=0,$Y181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Y181))</f>
        <v>2.1575546194158341E-3</v>
      </c>
      <c r="K181" s="348">
        <f>IF(Z181&lt;&gt;"",Z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H$6:$H$532,"&lt;&gt;")=0,$J181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1.4414501026723361E-3</v>
      </c>
      <c r="L181" s="348">
        <f>IF(AA181&lt;&gt;"",AA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K$6:$K$532,"&lt;&gt;")=0,$J181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9.2933688272018222E-4</v>
      </c>
      <c r="M181" s="348">
        <f>IF(AB181&lt;&gt;"",AB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N$6:$N$532,"&lt;&gt;")=0,$J181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1.9530304342708145E-2</v>
      </c>
      <c r="N181" s="348">
        <f>IF(AC181&lt;&gt;"",AC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Q$6:$Q$532,"&lt;&gt;")=0,$J181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1.2464890108411677E-3</v>
      </c>
      <c r="O181" s="348">
        <f>IF(AD181&lt;&gt;"",AD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T$6:$T$532,"&lt;&gt;")=0,$J181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2.9479753410003836E-3</v>
      </c>
      <c r="P181" s="350">
        <f>IF(AE181&lt;&gt;"",AE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F$6:$AF$532,"已导入实际")=0,$J181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Q181" s="350">
        <f>IF(AF181&lt;&gt;"",AF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J$6:$AJ$532,"已导入实际")=0,$J181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R181" s="350">
        <f>IF(AG181&lt;&gt;"",AG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N$6:$AN$532,"已导入实际")=0,$J181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S181" s="350">
        <f>IF(AH181&lt;&gt;"",AH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R$6:$AR$532,"已导入实际")=0,$J181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T181" s="350">
        <f>IF(AI181&lt;&gt;"",AI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V$6:$AV$532,"已导入实际")=0,$J181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U181" s="350">
        <f>IF(AJ181&lt;&gt;"",AJ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Z$6:$AZ$532,"已导入实际")=0,$J181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V181" s="350">
        <f>IF(AK181&lt;&gt;"",AK181,IF(COUNTIFS(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,'参考值-平台费用率分析'!$AZ$6:$AZ$532,"已导入实际")=0,$J181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181,'参考值-平台费用率分析'!$E$6:$E$532,$G181),$J181)))</f>
        <v>2.1575546194158341E-3</v>
      </c>
      <c r="W181" s="348">
        <f>(K181*'假设-目标渠道分解'!L$10+L181*'假设-目标渠道分解'!M$10+M181*'假设-目标渠道分解'!N$10+N181*'假设-目标渠道分解'!O$10+O181*'假设-目标渠道分解'!P$10+P181*'假设-目标渠道分解'!Q$10+Q181*'假设-目标渠道分解'!R$10+R181*'假设-目标渠道分解'!S$10+S181*'假设-目标渠道分解'!T$10+T181*'假设-目标渠道分解'!U$10+U181*'假设-目标渠道分解'!V$10+V181*'假设-目标渠道分解'!W$10)/'假设-目标渠道分解'!J$10</f>
        <v>3.7483194734709746E-3</v>
      </c>
      <c r="Y181" s="155">
        <v>2.1575562228349802E-3</v>
      </c>
      <c r="Z181" s="155"/>
      <c r="AA181" s="155"/>
      <c r="AB181" s="155"/>
      <c r="AC181" s="155"/>
      <c r="AD181" s="155"/>
      <c r="AE181" s="155"/>
      <c r="AF181" s="155"/>
      <c r="AG181" s="155"/>
      <c r="AH181" s="155"/>
      <c r="AI181" s="155"/>
      <c r="AJ181" s="155"/>
      <c r="AK181" s="155"/>
      <c r="AL181" s="338" t="s">
        <v>794</v>
      </c>
    </row>
    <row r="182" spans="1:38">
      <c r="E182" s="67" t="s">
        <v>52</v>
      </c>
      <c r="F182" s="67" t="s">
        <v>74</v>
      </c>
      <c r="G182" s="67" t="s">
        <v>77</v>
      </c>
      <c r="J182" s="348">
        <f>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Z$6:$Z$532,"&lt;&gt;")=0,$Y182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Y182))</f>
        <v>1.0522507319580031E-2</v>
      </c>
      <c r="K182" s="348">
        <f>IF(Z182&lt;&gt;"",Z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H$6:$H$532,"&lt;&gt;")=0,$J182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6.3134264426852162E-3</v>
      </c>
      <c r="L182" s="348">
        <f>IF(AA182&lt;&gt;"",AA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K$6:$K$532,"&lt;&gt;")=0,$J182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4.1350365642124952E-3</v>
      </c>
      <c r="M182" s="348">
        <f>IF(AB182&lt;&gt;"",AB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N$6:$N$532,"&lt;&gt;")=0,$J182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9.656777570731849E-2</v>
      </c>
      <c r="N182" s="348">
        <f>IF(AC182&lt;&gt;"",AC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Q$6:$Q$532,"&lt;&gt;")=0,$J182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1.0475262183437967E-2</v>
      </c>
      <c r="O182" s="348">
        <f>IF(AD182&lt;&gt;"",AD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T$6:$T$532,"&lt;&gt;")=0,$J182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1.084544555679565E-2</v>
      </c>
      <c r="P182" s="348">
        <f>IF(AE182&lt;&gt;"",AE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F$6:$AF$532,"已导入实际")=0,$J182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Q182" s="348">
        <f>IF(AF182&lt;&gt;"",AF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J$6:$AJ$532,"已导入实际")=0,$J182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R182" s="348">
        <f>IF(AG182&lt;&gt;"",AG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N$6:$AN$532,"已导入实际")=0,$J182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S182" s="348">
        <f>IF(AH182&lt;&gt;"",AH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R$6:$AR$532,"已导入实际")=0,$J182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T182" s="348">
        <f>IF(AI182&lt;&gt;"",AI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V$6:$AV$532,"已导入实际")=0,$J182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U182" s="348">
        <f>IF(AJ182&lt;&gt;"",AJ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Z$6:$AZ$532,"已导入实际")=0,$J182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V182" s="348">
        <f>IF(AK182&lt;&gt;"",AK182,IF(COUNTIFS(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,'参考值-平台费用率分析'!$AZ$6:$AZ$532,"已导入实际")=0,$J182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182,'参考值-平台费用率分析'!$E$6:$E$532,$G182),$J182)))</f>
        <v>1.0522507319580031E-2</v>
      </c>
      <c r="W182" s="348">
        <f>(K182*'假设-目标渠道分解'!L$10+L182*'假设-目标渠道分解'!M$10+M182*'假设-目标渠道分解'!N$10+N182*'假设-目标渠道分解'!O$10+O182*'假设-目标渠道分解'!P$10+P182*'假设-目标渠道分解'!Q$10+Q182*'假设-目标渠道分解'!R$10+R182*'假设-目标渠道分解'!S$10+S182*'假设-目标渠道分解'!T$10+T182*'假设-目标渠道分解'!U$10+U182*'假设-目标渠道分解'!V$10+V182*'假设-目标渠道分解'!W$10)/'假设-目标渠道分解'!J$10</f>
        <v>1.8363491470796918E-2</v>
      </c>
      <c r="Y182" s="155">
        <v>0</v>
      </c>
      <c r="Z182" s="155"/>
      <c r="AA182" s="155"/>
      <c r="AB182" s="155"/>
      <c r="AC182" s="155"/>
      <c r="AD182" s="155"/>
      <c r="AE182" s="155"/>
      <c r="AF182" s="155"/>
      <c r="AG182" s="155"/>
      <c r="AH182" s="155"/>
      <c r="AI182" s="155"/>
      <c r="AJ182" s="155"/>
      <c r="AK182" s="155"/>
      <c r="AL182" s="338" t="s">
        <v>794</v>
      </c>
    </row>
    <row r="183" spans="1:38">
      <c r="E183" s="67" t="s">
        <v>52</v>
      </c>
      <c r="F183" s="67" t="s">
        <v>74</v>
      </c>
      <c r="G183" s="67" t="s">
        <v>78</v>
      </c>
      <c r="J183" s="348">
        <f>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Z$6:$Z$532,"&lt;&gt;")=0,$Y183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Y183))</f>
        <v>2.7859233575306522E-2</v>
      </c>
      <c r="K183" s="348">
        <f>IF(Z183&lt;&gt;"",Z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H$6:$H$532,"&lt;&gt;")=0,$J183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2.1637447114129998E-2</v>
      </c>
      <c r="L183" s="348">
        <f>IF(AA183&lt;&gt;"",AA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K$6:$K$532,"&lt;&gt;")=0,$J183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6.4482580805334422E-2</v>
      </c>
      <c r="M183" s="348">
        <f>IF(AB183&lt;&gt;"",AB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N$6:$N$532,"&lt;&gt;")=0,$J183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0.12548652140408162</v>
      </c>
      <c r="N183" s="348">
        <f>IF(AC183&lt;&gt;"",AC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Q$6:$Q$532,"&lt;&gt;")=0,$J183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1.1765576859462739E-2</v>
      </c>
      <c r="O183" s="348">
        <f>IF(AD183&lt;&gt;"",AD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T$6:$T$532,"&lt;&gt;")=0,$J183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1.5691989203490731E-2</v>
      </c>
      <c r="P183" s="348">
        <f>IF(AE183&lt;&gt;"",AE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F$6:$AF$532,"已导入实际")=0,$J183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Q183" s="348">
        <f>IF(AF183&lt;&gt;"",AF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J$6:$AJ$532,"已导入实际")=0,$J183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R183" s="348">
        <f>IF(AG183&lt;&gt;"",AG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N$6:$AN$532,"已导入实际")=0,$J183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S183" s="348">
        <f>IF(AH183&lt;&gt;"",AH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R$6:$AR$532,"已导入实际")=0,$J183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T183" s="348">
        <f>IF(AI183&lt;&gt;"",AI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V$6:$AV$532,"已导入实际")=0,$J183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U183" s="348">
        <f>IF(AJ183&lt;&gt;"",AJ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Z$6:$AZ$532,"已导入实际")=0,$J183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V183" s="348">
        <f>IF(AK183&lt;&gt;"",AK183,IF(COUNTIFS(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,'参考值-平台费用率分析'!$AZ$6:$AZ$532,"已导入实际")=0,$J183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183,'参考值-平台费用率分析'!$E$6:$E$532,$G183),$J183)))</f>
        <v>2.7859233575306522E-2</v>
      </c>
      <c r="W183" s="348">
        <f>(K183*'假设-目标渠道分解'!L$10+L183*'假设-目标渠道分解'!M$10+M183*'假设-目标渠道分解'!N$10+N183*'假设-目标渠道分解'!O$10+O183*'假设-目标渠道分解'!P$10+P183*'假设-目标渠道分解'!Q$10+Q183*'假设-目标渠道分解'!R$10+R183*'假设-目标渠道分解'!S$10+S183*'假设-目标渠道分解'!T$10+T183*'假设-目标渠道分解'!U$10+U183*'假设-目标渠道分解'!V$10+V183*'假设-目标渠道分解'!W$10)/'假设-目标渠道分解'!J$10</f>
        <v>3.633309271860425E-2</v>
      </c>
      <c r="Y183" s="155">
        <v>0</v>
      </c>
      <c r="Z183" s="155"/>
      <c r="AA183" s="155"/>
      <c r="AB183" s="155"/>
      <c r="AC183" s="155"/>
      <c r="AD183" s="155"/>
      <c r="AE183" s="155"/>
      <c r="AF183" s="155"/>
      <c r="AG183" s="155"/>
      <c r="AH183" s="155"/>
      <c r="AI183" s="155"/>
      <c r="AJ183" s="155"/>
      <c r="AK183" s="155"/>
      <c r="AL183" s="338" t="s">
        <v>794</v>
      </c>
    </row>
    <row r="184" spans="1:38">
      <c r="D184" s="67" t="s">
        <v>79</v>
      </c>
      <c r="J184" s="348">
        <f t="shared" ref="J184:W184" si="28">SUM(J185:J188)</f>
        <v>4.2912055016353146E-2</v>
      </c>
      <c r="K184" s="348">
        <f t="shared" si="28"/>
        <v>2.2497128975032279E-2</v>
      </c>
      <c r="L184" s="348">
        <f t="shared" si="28"/>
        <v>2.6084123599533854E-2</v>
      </c>
      <c r="M184" s="348">
        <f t="shared" si="28"/>
        <v>0.21176782393337837</v>
      </c>
      <c r="N184" s="348">
        <f t="shared" si="28"/>
        <v>2.159559655702821E-2</v>
      </c>
      <c r="O184" s="348">
        <f t="shared" si="28"/>
        <v>2.1224958455843618E-2</v>
      </c>
      <c r="P184" s="348">
        <f t="shared" si="28"/>
        <v>1.6565226866116892E-2</v>
      </c>
      <c r="Q184" s="348">
        <f t="shared" si="28"/>
        <v>2.6739207169850534E-2</v>
      </c>
      <c r="R184" s="348">
        <f t="shared" si="28"/>
        <v>2.1721253094096393E-2</v>
      </c>
      <c r="S184" s="348">
        <f t="shared" si="28"/>
        <v>1.8609710625545277E-2</v>
      </c>
      <c r="T184" s="348">
        <f t="shared" si="28"/>
        <v>1.7723506669536423E-2</v>
      </c>
      <c r="U184" s="348">
        <f t="shared" si="28"/>
        <v>1.5800679230325514E-2</v>
      </c>
      <c r="V184" s="348">
        <f t="shared" si="28"/>
        <v>1.7357149609072156E-2</v>
      </c>
      <c r="W184" s="348">
        <f t="shared" si="28"/>
        <v>3.0652362263544512E-2</v>
      </c>
      <c r="Z184" s="155"/>
      <c r="AA184" s="155"/>
      <c r="AB184" s="155"/>
      <c r="AC184" s="155"/>
      <c r="AD184" s="155"/>
      <c r="AE184" s="155"/>
      <c r="AF184" s="155"/>
      <c r="AG184" s="155"/>
      <c r="AH184" s="155"/>
      <c r="AI184" s="155"/>
      <c r="AJ184" s="155"/>
      <c r="AK184" s="155"/>
    </row>
    <row r="185" spans="1:38">
      <c r="E185" s="67" t="s">
        <v>52</v>
      </c>
      <c r="F185" s="67" t="s">
        <v>79</v>
      </c>
      <c r="G185" s="67" t="s">
        <v>80</v>
      </c>
      <c r="J185" s="348">
        <f>IFERROR(SUM('测算-京东自营'!I$43:N$43)/SUM('测算-京东自营'!I$8:N$8),0)</f>
        <v>1.4473538011012855E-2</v>
      </c>
      <c r="K185" s="348">
        <f>IFERROR('测算-京东自营'!I$43/'测算-京东自营'!I$8,0)</f>
        <v>1.3279899292993108E-2</v>
      </c>
      <c r="L185" s="348">
        <f>IFERROR('测算-京东自营'!J$43/'测算-京东自营'!J$8,0)</f>
        <v>1.7374387770324452E-2</v>
      </c>
      <c r="M185" s="348">
        <f>IFERROR('测算-京东自营'!K$43/'测算-京东自营'!K$8,0)</f>
        <v>7.9534451455379379E-2</v>
      </c>
      <c r="N185" s="348">
        <f>IFERROR('测算-京东自营'!L$43/'测算-京东自营'!L$8,0)</f>
        <v>1.4826781619298629E-2</v>
      </c>
      <c r="O185" s="348">
        <f>IFERROR('测算-京东自营'!M$43/'测算-京东自营'!M$8,0)</f>
        <v>1.4373983903311297E-2</v>
      </c>
      <c r="P185" s="355">
        <f>IFERROR('测算-京东自营'!N$43/'测算-京东自营'!N$8,0)</f>
        <v>9.7142523135845728E-3</v>
      </c>
      <c r="Q185" s="355">
        <f>IFERROR('测算-京东自营'!O$43/'测算-京东自营'!O$8,0)</f>
        <v>1.9888232617318213E-2</v>
      </c>
      <c r="R185" s="355">
        <f>IFERROR('测算-京东自营'!P$43/'测算-京东自营'!P$8,0)</f>
        <v>1.4870278541564074E-2</v>
      </c>
      <c r="S185" s="355">
        <f>IFERROR('测算-京东自营'!Q$43/'测算-京东自营'!Q$8,0)</f>
        <v>1.1758736073012956E-2</v>
      </c>
      <c r="T185" s="355">
        <f>IFERROR('测算-京东自营'!R$43/'测算-京东自营'!R$8,0)</f>
        <v>1.0872532117004102E-2</v>
      </c>
      <c r="U185" s="355">
        <f>IFERROR('测算-京东自营'!S$43/'测算-京东自营'!S$8,0)</f>
        <v>8.9497046777931924E-3</v>
      </c>
      <c r="V185" s="355">
        <f>IFERROR('测算-京东自营'!T$43/'测算-京东自营'!T$8,0)</f>
        <v>1.0506175056539837E-2</v>
      </c>
      <c r="W185" s="348">
        <f>IFERROR(SUM('测算-京东自营'!I$43:T$43)/SUM('测算-京东自营'!I$8:T$8),0)</f>
        <v>1.3007616484608214E-2</v>
      </c>
      <c r="Y185" s="155">
        <v>1.4795813773671399E-2</v>
      </c>
      <c r="Z185" s="155"/>
      <c r="AA185" s="155"/>
      <c r="AB185" s="155"/>
      <c r="AC185" s="155"/>
      <c r="AD185" s="155"/>
      <c r="AE185" s="155"/>
      <c r="AF185" s="155"/>
      <c r="AG185" s="155"/>
      <c r="AH185" s="155"/>
      <c r="AI185" s="155"/>
      <c r="AJ185" s="155"/>
      <c r="AK185" s="155"/>
      <c r="AL185" s="338" t="s">
        <v>360</v>
      </c>
    </row>
    <row r="186" spans="1:38">
      <c r="E186" s="67" t="s">
        <v>52</v>
      </c>
      <c r="F186" s="67" t="s">
        <v>79</v>
      </c>
      <c r="G186" s="67" t="s">
        <v>147</v>
      </c>
      <c r="J186" s="348">
        <f>AVERAGE(K186:P186)</f>
        <v>2.8438517005340291E-2</v>
      </c>
      <c r="K186" s="348">
        <f>IFERROR(INDEX('假设-人工成本固定额'!$B$6:$CS$16,MATCH("京东自营",'假设-人工成本固定额'!$A$6:$A$16,0),4),0)</f>
        <v>9.2172296820391703E-3</v>
      </c>
      <c r="L186" s="348">
        <f>IFERROR(INDEX('假设-人工成本固定额'!$B$6:$CS$16,MATCH("京东自营",'假设-人工成本固定额'!$A$6:$A$16,0),12),0)</f>
        <v>8.7097358292094005E-3</v>
      </c>
      <c r="M186" s="348">
        <f>IFERROR(INDEX('假设-人工成本固定额'!$B$6:$CS$16,MATCH("京东自营",'假设-人工成本固定额'!$A$6:$A$16,0),20),0)</f>
        <v>0.13223337247799899</v>
      </c>
      <c r="N186" s="348">
        <f>IFERROR(INDEX('假设-人工成本固定额'!$B$6:$CS$16,MATCH("京东自营",'假设-人工成本固定额'!$A$6:$A$16,0),28),0)</f>
        <v>6.7688149377295804E-3</v>
      </c>
      <c r="O186" s="348">
        <f>IFERROR(INDEX('假设-人工成本固定额'!$B$6:$CS$16,MATCH("京东自营",'假设-人工成本固定额'!$A$6:$A$16,0),36),0)</f>
        <v>6.8509745525323204E-3</v>
      </c>
      <c r="P186" s="355">
        <f>IFERROR(INDEX('假设-人工成本固定额'!$B$6:$CS$16,MATCH("京东自营",'假设-人工成本固定额'!$A$6:$A$16,0),36),0)</f>
        <v>6.8509745525323204E-3</v>
      </c>
      <c r="Q186" s="355">
        <f>IFERROR(INDEX('假设-人工成本固定额'!$B$6:$CS$16,MATCH("京东自营",'假设-人工成本固定额'!$A$6:$A$16,0),36),0)</f>
        <v>6.8509745525323204E-3</v>
      </c>
      <c r="R186" s="355">
        <f>IFERROR(INDEX('假设-人工成本固定额'!$B$6:$CS$16,MATCH("京东自营",'假设-人工成本固定额'!$A$6:$A$16,0),36),0)</f>
        <v>6.8509745525323204E-3</v>
      </c>
      <c r="S186" s="355">
        <f>IFERROR(INDEX('假设-人工成本固定额'!$B$6:$CS$16,MATCH("京东自营",'假设-人工成本固定额'!$A$6:$A$16,0),36),0)</f>
        <v>6.8509745525323204E-3</v>
      </c>
      <c r="T186" s="355">
        <f>IFERROR(INDEX('假设-人工成本固定额'!$B$6:$CS$16,MATCH("京东自营",'假设-人工成本固定额'!$A$6:$A$16,0),36),0)</f>
        <v>6.8509745525323204E-3</v>
      </c>
      <c r="U186" s="355">
        <f>IFERROR(INDEX('假设-人工成本固定额'!$B$6:$CS$16,MATCH("京东自营",'假设-人工成本固定额'!$A$6:$A$16,0),36),0)</f>
        <v>6.8509745525323204E-3</v>
      </c>
      <c r="V186" s="355">
        <f>IFERROR(INDEX('假设-人工成本固定额'!$B$6:$CS$16,MATCH("京东自营",'假设-人工成本固定额'!$A$6:$A$16,0),36),0)</f>
        <v>6.8509745525323204E-3</v>
      </c>
      <c r="W186" s="348">
        <f>AVERAGE(K186:V186)</f>
        <v>1.7644745778936297E-2</v>
      </c>
      <c r="Y186" s="155">
        <v>1.08846732440461E-2</v>
      </c>
      <c r="Z186" s="155"/>
      <c r="AA186" s="155"/>
      <c r="AB186" s="155"/>
      <c r="AC186" s="155"/>
      <c r="AD186" s="155"/>
      <c r="AE186" s="155"/>
      <c r="AF186" s="155"/>
      <c r="AG186" s="155"/>
      <c r="AH186" s="155"/>
      <c r="AI186" s="155"/>
      <c r="AJ186" s="155"/>
      <c r="AK186" s="155"/>
      <c r="AL186" s="338" t="s">
        <v>360</v>
      </c>
    </row>
    <row r="187" spans="1:38">
      <c r="A187" s="338"/>
      <c r="B187" s="338"/>
      <c r="C187" s="338"/>
      <c r="E187" s="67" t="s">
        <v>52</v>
      </c>
      <c r="F187" s="67" t="s">
        <v>79</v>
      </c>
      <c r="G187" s="67" t="s">
        <v>148</v>
      </c>
      <c r="I187" s="338"/>
      <c r="J187" s="348">
        <f>AVERAGE(K187:P187)</f>
        <v>0</v>
      </c>
      <c r="K187" s="348">
        <f>IFERROR(INDEX('假设-人工成本固定额'!$B$6:$CS$16,MATCH("京东自营",'假设-人工成本固定额'!$A$6:$A$16,0),7),0)</f>
        <v>0</v>
      </c>
      <c r="L187" s="348">
        <f>IFERROR(INDEX('假设-人工成本固定额'!$B$6:$CS$16,MATCH("京东自营",'假设-人工成本固定额'!$A$6:$A$16,0),15),0)</f>
        <v>0</v>
      </c>
      <c r="M187" s="348">
        <f>IFERROR(INDEX('假设-人工成本固定额'!$B$6:$CS$16,MATCH("京东自营",'假设-人工成本固定额'!$A$6:$A$16,0),23),0)</f>
        <v>0</v>
      </c>
      <c r="N187" s="348">
        <f>IFERROR(INDEX('假设-人工成本固定额'!$B$6:$CS$16,MATCH("京东自营",'假设-人工成本固定额'!$A$6:$A$16,0),31),0)</f>
        <v>0</v>
      </c>
      <c r="O187" s="348">
        <f>IFERROR(INDEX('假设-人工成本固定额'!$B$6:$CS$16,MATCH("京东自营",'假设-人工成本固定额'!$A$6:$A$16,0),39),0)</f>
        <v>0</v>
      </c>
      <c r="P187" s="355">
        <f>IFERROR(INDEX('假设-人工成本固定额'!$B$6:$CS$16,MATCH("京东自营",'假设-人工成本固定额'!$A$6:$A$16,0),47),0)</f>
        <v>0</v>
      </c>
      <c r="Q187" s="355">
        <f>IFERROR(IF(INDEX('假设-人工成本固定额'!$B$6:$CS$16,MATCH("京东自营",'假设-人工成本固定额'!$A$6:$A$16,0),55)="",AVERAGE($K187:$P187),INDEX('假设-人工成本固定额'!$B$6:$CS$16,MATCH("京东自营",'假设-人工成本固定额'!$A$6:$A$16,0),55)),AVERAGE($K187:$P187))</f>
        <v>0</v>
      </c>
      <c r="R187" s="355">
        <f>IFERROR(IF(INDEX('假设-人工成本固定额'!$B$6:$CS$16,MATCH("京东自营",'假设-人工成本固定额'!$A$6:$A$16,0),63)="",AVERAGE($K187:$P187),INDEX('假设-人工成本固定额'!$B$6:$CS$16,MATCH("京东自营",'假设-人工成本固定额'!$A$6:$A$16,0),63)),AVERAGE($K187:$P187))</f>
        <v>0</v>
      </c>
      <c r="S187" s="355">
        <f>IFERROR(IF(INDEX('假设-人工成本固定额'!$B$6:$CS$16,MATCH("京东自营",'假设-人工成本固定额'!$A$6:$A$16,0),71)="",AVERAGE($K187:$P187),INDEX('假设-人工成本固定额'!$B$6:$CS$16,MATCH("京东自营",'假设-人工成本固定额'!$A$6:$A$16,0),71)),AVERAGE($K187:$P187))</f>
        <v>0</v>
      </c>
      <c r="T187" s="355">
        <f>IFERROR(IF(INDEX('假设-人工成本固定额'!$B$6:$CS$16,MATCH("京东自营",'假设-人工成本固定额'!$A$6:$A$16,0),79)="",AVERAGE($K187:$P187),INDEX('假设-人工成本固定额'!$B$6:$CS$16,MATCH("京东自营",'假设-人工成本固定额'!$A$6:$A$16,0),79)),AVERAGE($K187:$P187))</f>
        <v>0</v>
      </c>
      <c r="U187" s="355">
        <f>IFERROR(IF(INDEX('假设-人工成本固定额'!$B$6:$CS$16,MATCH("京东自营",'假设-人工成本固定额'!$A$6:$A$16,0),87)="",AVERAGE($K187:$P187),INDEX('假设-人工成本固定额'!$B$6:$CS$16,MATCH("京东自营",'假设-人工成本固定额'!$A$6:$A$16,0),87)),AVERAGE($K187:$P187))</f>
        <v>0</v>
      </c>
      <c r="V187" s="355">
        <f>IFERROR(IF(INDEX('假设-人工成本固定额'!$B$6:$CS$16,MATCH("京东自营",'假设-人工成本固定额'!$A$6:$A$16,0),95)="",AVERAGE($K187:$P187),INDEX('假设-人工成本固定额'!$B$6:$CS$16,MATCH("京东自营",'假设-人工成本固定额'!$A$6:$A$16,0),95)),AVERAGE($K187:$P187))</f>
        <v>0</v>
      </c>
      <c r="W187" s="348">
        <f>AVERAGE(K187:V187)</f>
        <v>0</v>
      </c>
      <c r="X187" s="338"/>
      <c r="Y187" s="155"/>
      <c r="Z187" s="155"/>
      <c r="AA187" s="155"/>
      <c r="AB187" s="155"/>
      <c r="AC187" s="155"/>
      <c r="AD187" s="155"/>
      <c r="AE187" s="155"/>
      <c r="AF187" s="155"/>
      <c r="AG187" s="155"/>
      <c r="AH187" s="155"/>
      <c r="AI187" s="155"/>
      <c r="AJ187" s="155"/>
      <c r="AK187" s="155"/>
    </row>
    <row r="188" spans="1:38">
      <c r="E188" s="67" t="s">
        <v>52</v>
      </c>
      <c r="F188" s="67" t="s">
        <v>79</v>
      </c>
      <c r="G188" s="67" t="s">
        <v>82</v>
      </c>
      <c r="J188" s="348">
        <f>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Z$6:$Z$532,"&lt;&gt;")=0,$Y188,IFERROR(SUMIFS('参考值-平台费用率分析'!$Z$6:$Z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A$6:$AA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Y188))</f>
        <v>0</v>
      </c>
      <c r="K188" s="348">
        <f>IF(Z188&lt;&gt;"",Z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H$6:$H$532,"&lt;&gt;")=0,$J188,IFERROR(SUMIFS('参考值-平台费用率分析'!$H$6:$H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I$6:$I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L188" s="348">
        <f>IF(AA188&lt;&gt;"",AA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K$6:$K$532,"&lt;&gt;")=0,$J188,IFERROR(SUMIFS('参考值-平台费用率分析'!$K$6:$K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L$6:$L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M188" s="348">
        <f>IF(AB188&lt;&gt;"",AB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N$6:$N$532,"&lt;&gt;")=0,$J188,IFERROR(SUMIFS('参考值-平台费用率分析'!$N$6:$N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O$6:$O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N188" s="348">
        <f>IF(AC188&lt;&gt;"",AC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Q$6:$Q$532,"&lt;&gt;")=0,$J188,IFERROR(SUMIFS('参考值-平台费用率分析'!$Q$6:$Q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R$6:$R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O188" s="348">
        <f>IF(AD188&lt;&gt;"",AD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T$6:$T$532,"&lt;&gt;")=0,$J188,IFERROR(SUMIFS('参考值-平台费用率分析'!$T$6:$T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U$6:$U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P188" s="355">
        <f>IF(AE188&lt;&gt;"",AE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F$6:$AF$532,"已导入实际")=0,$J188,IFERROR(SUMIFS('参考值-平台费用率分析'!$AC$6:$AC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D$6:$AD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Q188" s="355">
        <f>IF(AF188&lt;&gt;"",AF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J$6:$AJ$532,"已导入实际")=0,$J188,IFERROR(SUMIFS('参考值-平台费用率分析'!$AG$6:$AG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H$6:$AH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R188" s="355">
        <f>IF(AG188&lt;&gt;"",AG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N$6:$AN$532,"已导入实际")=0,$J188,IFERROR(SUMIFS('参考值-平台费用率分析'!$AK$6:$AK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L$6:$AL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S188" s="355">
        <f>IF(AH188&lt;&gt;"",AH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R$6:$AR$532,"已导入实际")=0,$J188,IFERROR(SUMIFS('参考值-平台费用率分析'!$AO$6:$AO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P$6:$AP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T188" s="355">
        <f>IF(AI188&lt;&gt;"",AI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V$6:$AV$532,"已导入实际")=0,$J188,IFERROR(SUMIFS('参考值-平台费用率分析'!$AS$6:$AS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T$6:$AT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U188" s="355">
        <f>IF(AJ188&lt;&gt;"",AJ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Z$6:$AZ$532,"已导入实际")=0,$J188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V188" s="355">
        <f>IF(AK188&lt;&gt;"",AK188,IF(COUNTIFS(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,'参考值-平台费用率分析'!$AZ$6:$AZ$532,"已导入实际")=0,$J188,IFERROR(SUMIFS('参考值-平台费用率分析'!$AW$6:$AW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/SUMIFS('参考值-平台费用率分析'!$AX$6:$AX$532,'参考值-平台费用率分析'!$A$6:$A$532,"自营",'参考值-平台费用率分析'!$B$6:$B$532,"京东自营",'参考值-平台费用率分析'!$C$6:$C$532,"销售费用",'参考值-平台费用率分析'!$D$6:$D$532,$F188,'参考值-平台费用率分析'!$E$6:$E$532,$G188),$J188)))</f>
        <v>0</v>
      </c>
      <c r="W188" s="348">
        <f>AVERAGE(K188:V188)</f>
        <v>0</v>
      </c>
      <c r="Y188" s="155">
        <v>4.1122232358253401E-3</v>
      </c>
      <c r="Z188" s="155"/>
      <c r="AA188" s="155"/>
      <c r="AB188" s="155"/>
      <c r="AC188" s="155"/>
      <c r="AD188" s="155"/>
      <c r="AE188" s="155"/>
      <c r="AF188" s="155"/>
      <c r="AG188" s="155"/>
      <c r="AH188" s="155"/>
      <c r="AI188" s="155"/>
      <c r="AJ188" s="155"/>
      <c r="AK188" s="155"/>
      <c r="AL188" s="338" t="s">
        <v>794</v>
      </c>
    </row>
    <row r="189" spans="1:38">
      <c r="Z189" s="155"/>
      <c r="AA189" s="155"/>
      <c r="AB189" s="155"/>
      <c r="AC189" s="155"/>
      <c r="AD189" s="155"/>
      <c r="AE189" s="155"/>
      <c r="AF189" s="155"/>
      <c r="AG189" s="155"/>
      <c r="AH189" s="155"/>
      <c r="AI189" s="155"/>
      <c r="AJ189" s="155"/>
      <c r="AK189" s="155"/>
    </row>
    <row r="190" spans="1:38">
      <c r="B190" s="67" t="s">
        <v>300</v>
      </c>
      <c r="Z190" s="155"/>
      <c r="AA190" s="155"/>
      <c r="AB190" s="155"/>
      <c r="AC190" s="155"/>
      <c r="AD190" s="155"/>
      <c r="AE190" s="155"/>
      <c r="AF190" s="155"/>
      <c r="AG190" s="155"/>
      <c r="AH190" s="155"/>
      <c r="AI190" s="155"/>
      <c r="AJ190" s="155"/>
      <c r="AK190" s="155"/>
    </row>
    <row r="191" spans="1:38">
      <c r="D191" s="67" t="s">
        <v>54</v>
      </c>
      <c r="Z191" s="155"/>
      <c r="AA191" s="155"/>
      <c r="AB191" s="155"/>
      <c r="AC191" s="155"/>
      <c r="AD191" s="155"/>
      <c r="AE191" s="155"/>
      <c r="AF191" s="155"/>
      <c r="AG191" s="155"/>
      <c r="AH191" s="155"/>
      <c r="AI191" s="155"/>
      <c r="AJ191" s="155"/>
      <c r="AK191" s="155"/>
    </row>
    <row r="192" spans="1:38">
      <c r="E192" s="336" t="s">
        <v>52</v>
      </c>
      <c r="F192" s="336" t="s">
        <v>54</v>
      </c>
      <c r="G192" s="336" t="s">
        <v>55</v>
      </c>
      <c r="J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Z$6:$Z$532,"&lt;&gt;")=0,"",IFERROR(SUMIFS('参考值-平台费用率分析'!$Z$6:$Z$532,'参考值-平台费用率分析'!$A$6:$A$532,"分销",'参考值-平台费用率分析'!$C$6:$C$532,$E$192,'参考值-平台费用率分析'!$D$6:$D$532,$F$192,'参考值-平台费用率分析'!$E$6:$E$532,$G$192)/SUMIFS('参考值-平台费用率分析'!$AA$6:$AA$532,'参考值-平台费用率分析'!$A$6:$A$532,"分销",'参考值-平台费用率分析'!$C$6:$C$532,$E$192,'参考值-平台费用率分析'!$D$6:$D$532,$F$192,'参考值-平台费用率分析'!$E$6:$E$532,$G$192),""))</f>
        <v>0</v>
      </c>
      <c r="K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H$6:$H$532,"&lt;&gt;")=0,"",IFERROR(SUMIFS('参考值-平台费用率分析'!$H$6:$H$532,'参考值-平台费用率分析'!$A$6:$A$532,"分销",'参考值-平台费用率分析'!$C$6:$C$532,$E$192,'参考值-平台费用率分析'!$D$6:$D$532,$F$192,'参考值-平台费用率分析'!$E$6:$E$532,$G$192)/SUMIFS('参考值-平台费用率分析'!$I$6:$I$532,'参考值-平台费用率分析'!$A$6:$A$532,"分销",'参考值-平台费用率分析'!$C$6:$C$532,$E$192,'参考值-平台费用率分析'!$D$6:$D$532,$F$192,'参考值-平台费用率分析'!$E$6:$E$532,$G$192),""))</f>
        <v>0</v>
      </c>
      <c r="L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K$6:$K$532,"&lt;&gt;")=0,"",IFERROR(SUMIFS('参考值-平台费用率分析'!$K$6:$K$532,'参考值-平台费用率分析'!$A$6:$A$532,"分销",'参考值-平台费用率分析'!$C$6:$C$532,$E$192,'参考值-平台费用率分析'!$D$6:$D$532,$F$192,'参考值-平台费用率分析'!$E$6:$E$532,$G$192)/SUMIFS('参考值-平台费用率分析'!$L$6:$L$532,'参考值-平台费用率分析'!$A$6:$A$532,"分销",'参考值-平台费用率分析'!$C$6:$C$532,$E$192,'参考值-平台费用率分析'!$D$6:$D$532,$F$192,'参考值-平台费用率分析'!$E$6:$E$532,$G$192),""))</f>
        <v>0</v>
      </c>
      <c r="M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N$6:$N$532,"&lt;&gt;")=0,"",IFERROR(SUMIFS('参考值-平台费用率分析'!$N$6:$N$532,'参考值-平台费用率分析'!$A$6:$A$532,"分销",'参考值-平台费用率分析'!$C$6:$C$532,$E$192,'参考值-平台费用率分析'!$D$6:$D$532,$F$192,'参考值-平台费用率分析'!$E$6:$E$532,$G$192)/SUMIFS('参考值-平台费用率分析'!$O$6:$O$532,'参考值-平台费用率分析'!$A$6:$A$532,"分销",'参考值-平台费用率分析'!$C$6:$C$532,$E$192,'参考值-平台费用率分析'!$D$6:$D$532,$F$192,'参考值-平台费用率分析'!$E$6:$E$532,$G$192),""))</f>
        <v>0</v>
      </c>
      <c r="N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Q$6:$Q$532,"&lt;&gt;")=0,"",IFERROR(SUMIFS('参考值-平台费用率分析'!$Q$6:$Q$532,'参考值-平台费用率分析'!$A$6:$A$532,"分销",'参考值-平台费用率分析'!$C$6:$C$532,$E$192,'参考值-平台费用率分析'!$D$6:$D$532,$F$192,'参考值-平台费用率分析'!$E$6:$E$532,$G$192)/SUMIFS('参考值-平台费用率分析'!$R$6:$R$532,'参考值-平台费用率分析'!$A$6:$A$532,"分销",'参考值-平台费用率分析'!$C$6:$C$532,$E$192,'参考值-平台费用率分析'!$D$6:$D$532,$F$192,'参考值-平台费用率分析'!$E$6:$E$532,$G$192),""))</f>
        <v>0</v>
      </c>
      <c r="O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T$6:$T$532,"&lt;&gt;")=0,"",IFERROR(SUMIFS('参考值-平台费用率分析'!$T$6:$T$532,'参考值-平台费用率分析'!$A$6:$A$532,"分销",'参考值-平台费用率分析'!$C$6:$C$532,$E$192,'参考值-平台费用率分析'!$D$6:$D$532,$F$192,'参考值-平台费用率分析'!$E$6:$E$532,$G$192)/SUMIFS('参考值-平台费用率分析'!$U$6:$U$532,'参考值-平台费用率分析'!$A$6:$A$532,"分销",'参考值-平台费用率分析'!$C$6:$C$532,$E$192,'参考值-平台费用率分析'!$D$6:$D$532,$F$192,'参考值-平台费用率分析'!$E$6:$E$532,$G$192),""))</f>
        <v>0</v>
      </c>
      <c r="P192" s="354">
        <f>IF(COUNTIFS('参考值-平台费用率分析'!$A$6:$A$532,"分销",'参考值-平台费用率分析'!$C$6:$C$532,$E$192,'参考值-平台费用率分析'!$D$6:$D$532,$F$192,'参考值-平台费用率分析'!$E$6:$E$532,$G$192,'参考值-平台费用率分析'!$W$6:$W$532,"&lt;&gt;")=0,"",IFERROR(SUMIFS('参考值-平台费用率分析'!$W$6:$W$532,'参考值-平台费用率分析'!$A$6:$A$532,"分销",'参考值-平台费用率分析'!$C$6:$C$532,$E$192,'参考值-平台费用率分析'!$D$6:$D$532,$F$192,'参考值-平台费用率分析'!$E$6:$E$532,$G$192)/SUMIFS('参考值-平台费用率分析'!$X$6:$X$532,'参考值-平台费用率分析'!$A$6:$A$532,"分销",'参考值-平台费用率分析'!$C$6:$C$532,$E$192,'参考值-平台费用率分析'!$D$6:$D$532,$F$192,'参考值-平台费用率分析'!$E$6:$E$532,$G$192),""))</f>
        <v>0</v>
      </c>
      <c r="Q192" s="354">
        <f>IF(AF192&lt;&gt;"",AF192,IF(COUNTIFS('参考值-平台费用率分析'!$A$6:$A$532,"分销",'参考值-平台费用率分析'!$C$6:$C$532,$E$192,'参考值-平台费用率分析'!$D$6:$D$532,$F$192,'参考值-平台费用率分析'!$E$6:$E$532,$G$192,'参考值-平台费用率分析'!$AF$6:$AF$532,"已导入实际")=0,$J192,IFERROR(SUMIFS('参考值-平台费用率分析'!$AC$6:$AC$532,'参考值-平台费用率分析'!$A$6:$A$532,"分销",'参考值-平台费用率分析'!$C$6:$C$532,$E$192,'参考值-平台费用率分析'!$D$6:$D$532,$F$192,'参考值-平台费用率分析'!$E$6:$E$532,$G$192,'参考值-平台费用率分析'!$AF$6:$AF$532,"已导入实际")/SUMIFS('参考值-平台费用率分析'!$AD$6:$AD$532,'参考值-平台费用率分析'!$A$6:$A$532,"分销",'参考值-平台费用率分析'!$C$6:$C$532,$E$192,'参考值-平台费用率分析'!$D$6:$D$532,$F$192,'参考值-平台费用率分析'!$E$6:$E$532,$G$192,'参考值-平台费用率分析'!$AF$6:$AF$532,"已导入实际"),$J192)))</f>
        <v>0</v>
      </c>
      <c r="R192" s="354">
        <f>IF(AG192&lt;&gt;"",AG192,IF(COUNTIFS('参考值-平台费用率分析'!$A$6:$A$532,"分销",'参考值-平台费用率分析'!$C$6:$C$532,$E$192,'参考值-平台费用率分析'!$D$6:$D$532,$F$192,'参考值-平台费用率分析'!$E$6:$E$532,$G$192,'参考值-平台费用率分析'!$AJ$6:$AJ$532,"已导入实际")=0,$J192,IFERROR(SUMIFS('参考值-平台费用率分析'!$AG$6:$AG$532,'参考值-平台费用率分析'!$A$6:$A$532,"分销",'参考值-平台费用率分析'!$C$6:$C$532,$E$192,'参考值-平台费用率分析'!$D$6:$D$532,$F$192,'参考值-平台费用率分析'!$E$6:$E$532,$G$192,'参考值-平台费用率分析'!$AJ$6:$AJ$532,"已导入实际")/SUMIFS('参考值-平台费用率分析'!$AH$6:$AH$532,'参考值-平台费用率分析'!$A$6:$A$532,"分销",'参考值-平台费用率分析'!$C$6:$C$532,$E$192,'参考值-平台费用率分析'!$D$6:$D$532,$F$192,'参考值-平台费用率分析'!$E$6:$E$532,$G$192,'参考值-平台费用率分析'!$AJ$6:$AJ$532,"已导入实际"),$J192)))</f>
        <v>0</v>
      </c>
      <c r="S192" s="354">
        <f>IF(AH192&lt;&gt;"",AH192,IF(COUNTIFS('参考值-平台费用率分析'!$A$6:$A$532,"分销",'参考值-平台费用率分析'!$C$6:$C$532,$E$192,'参考值-平台费用率分析'!$D$6:$D$532,$F$192,'参考值-平台费用率分析'!$E$6:$E$532,$G$192,'参考值-平台费用率分析'!$AN$6:$AN$532,"已导入实际")=0,$J192,IFERROR(SUMIFS('参考值-平台费用率分析'!$AK$6:$AK$532,'参考值-平台费用率分析'!$A$6:$A$532,"分销",'参考值-平台费用率分析'!$C$6:$C$532,$E$192,'参考值-平台费用率分析'!$D$6:$D$532,$F$192,'参考值-平台费用率分析'!$E$6:$E$532,$G$192,'参考值-平台费用率分析'!$AN$6:$AN$532,"已导入实际")/SUMIFS('参考值-平台费用率分析'!$AL$6:$AL$532,'参考值-平台费用率分析'!$A$6:$A$532,"分销",'参考值-平台费用率分析'!$C$6:$C$532,$E$192,'参考值-平台费用率分析'!$D$6:$D$532,$F$192,'参考值-平台费用率分析'!$E$6:$E$532,$G$192,'参考值-平台费用率分析'!$AN$6:$AN$532,"已导入实际"),$J192)))</f>
        <v>0</v>
      </c>
      <c r="T192" s="354">
        <f>IF(AI192&lt;&gt;"",AI192,IF(COUNTIFS('参考值-平台费用率分析'!$A$6:$A$532,"分销",'参考值-平台费用率分析'!$C$6:$C$532,$E$192,'参考值-平台费用率分析'!$D$6:$D$532,$F$192,'参考值-平台费用率分析'!$E$6:$E$532,$G$192,'参考值-平台费用率分析'!$AR$6:$AR$532,"已导入实际")=0,$J192,IFERROR(SUMIFS('参考值-平台费用率分析'!$AO$6:$AO$532,'参考值-平台费用率分析'!$A$6:$A$532,"分销",'参考值-平台费用率分析'!$C$6:$C$532,$E$192,'参考值-平台费用率分析'!$D$6:$D$532,$F$192,'参考值-平台费用率分析'!$E$6:$E$532,$G$192,'参考值-平台费用率分析'!$AR$6:$AR$532,"已导入实际")/SUMIFS('参考值-平台费用率分析'!$AP$6:$AP$532,'参考值-平台费用率分析'!$A$6:$A$532,"分销",'参考值-平台费用率分析'!$C$6:$C$532,$E$192,'参考值-平台费用率分析'!$D$6:$D$532,$F$192,'参考值-平台费用率分析'!$E$6:$E$532,$G$192,'参考值-平台费用率分析'!$AR$6:$AR$532,"已导入实际"),$J192)))</f>
        <v>0</v>
      </c>
      <c r="U192" s="354">
        <f>IF(AJ192&lt;&gt;"",AJ192,IF(COUNTIFS('参考值-平台费用率分析'!$A$6:$A$532,"分销",'参考值-平台费用率分析'!$C$6:$C$532,$E$192,'参考值-平台费用率分析'!$D$6:$D$532,$F$192,'参考值-平台费用率分析'!$E$6:$E$532,$G$192,'参考值-平台费用率分析'!$AV$6:$AV$532,"已导入实际")=0,$J192,IFERROR(SUMIFS('参考值-平台费用率分析'!$AS$6:$AS$532,'参考值-平台费用率分析'!$A$6:$A$532,"分销",'参考值-平台费用率分析'!$C$6:$C$532,$E$192,'参考值-平台费用率分析'!$D$6:$D$532,$F$192,'参考值-平台费用率分析'!$E$6:$E$532,$G$192,'参考值-平台费用率分析'!$AV$6:$AV$532,"已导入实际")/SUMIFS('参考值-平台费用率分析'!$AT$6:$AT$532,'参考值-平台费用率分析'!$A$6:$A$532,"分销",'参考值-平台费用率分析'!$C$6:$C$532,$E$192,'参考值-平台费用率分析'!$D$6:$D$532,$F$192,'参考值-平台费用率分析'!$E$6:$E$532,$G$192,'参考值-平台费用率分析'!$AV$6:$AV$532,"已导入实际"),$J192)))</f>
        <v>0</v>
      </c>
      <c r="V192" s="354">
        <f>IF(AK192&lt;&gt;"",AK192,IF(COUNTIFS('参考值-平台费用率分析'!$A$6:$A$532,"分销",'参考值-平台费用率分析'!$C$6:$C$532,$E$192,'参考值-平台费用率分析'!$D$6:$D$532,$F$192,'参考值-平台费用率分析'!$E$6:$E$532,$G$192,'参考值-平台费用率分析'!$AZ$6:$AZ$532,"已导入实际")=0,$J192,IFERROR(SUMIFS('参考值-平台费用率分析'!$AW$6:$AW$532,'参考值-平台费用率分析'!$A$6:$A$532,"分销",'参考值-平台费用率分析'!$C$6:$C$532,$E$192,'参考值-平台费用率分析'!$D$6:$D$532,$F$192,'参考值-平台费用率分析'!$E$6:$E$532,$G$192,'参考值-平台费用率分析'!$AZ$6:$AZ$532,"已导入实际")/SUMIFS('参考值-平台费用率分析'!$AX$6:$AX$532,'参考值-平台费用率分析'!$A$6:$A$532,"分销",'参考值-平台费用率分析'!$C$6:$C$532,$E$192,'参考值-平台费用率分析'!$D$6:$D$532,$F$192,'参考值-平台费用率分析'!$E$6:$E$532,$G$192,'参考值-平台费用率分析'!$AZ$6:$AZ$532,"已导入实际"),$J192)))</f>
        <v>0</v>
      </c>
      <c r="W192" s="354">
        <f t="shared" ref="W192:W215" si="29">J192</f>
        <v>0</v>
      </c>
      <c r="Z192" s="155"/>
      <c r="AA192" s="155"/>
      <c r="AB192" s="155"/>
      <c r="AC192" s="155"/>
      <c r="AD192" s="155"/>
      <c r="AE192" s="155"/>
      <c r="AF192" s="155"/>
      <c r="AG192" s="155"/>
      <c r="AH192" s="155"/>
      <c r="AI192" s="155"/>
      <c r="AJ192" s="155"/>
      <c r="AK192" s="155"/>
    </row>
    <row r="193" spans="4:37">
      <c r="E193" s="336" t="s">
        <v>52</v>
      </c>
      <c r="F193" s="336" t="s">
        <v>54</v>
      </c>
      <c r="G193" s="336" t="s">
        <v>58</v>
      </c>
      <c r="J193" s="354">
        <f>IF(COUNTIFS('参考值-平台费用率分析'!$A$6:$A$532,"分销",'参考值-平台费用率分析'!$C$6:$C$532,$E$193,'参考值-平台费用率分析'!$D$6:$D$532,$F$193,'参考值-平台费用率分析'!$E$6:$E$532,$G$193,'参考值-平台费用率分析'!$Z$6:$Z$532,"&lt;&gt;")=0,"",IFERROR(SUMIFS('参考值-平台费用率分析'!$Z$6:$Z$532,'参考值-平台费用率分析'!$A$6:$A$532,"分销",'参考值-平台费用率分析'!$C$6:$C$532,$E$193,'参考值-平台费用率分析'!$D$6:$D$532,$F$193,'参考值-平台费用率分析'!$E$6:$E$532,$G$193)/SUMIFS('参考值-平台费用率分析'!$AA$6:$AA$532,'参考值-平台费用率分析'!$A$6:$A$532,"分销",'参考值-平台费用率分析'!$C$6:$C$532,$E$193,'参考值-平台费用率分析'!$D$6:$D$532,$F$193,'参考值-平台费用率分析'!$E$6:$E$532,$G$193),""))</f>
        <v>0</v>
      </c>
      <c r="K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H$6:$H$532,"&lt;&gt;")=0,"",IFERROR(SUMIFS('参考值-平台费用率分析'!$H$6:$H$532,'参考值-平台费用率分析'!$A$6:$A$532,"分销",'参考值-平台费用率分析'!$C$6:$C$532,$E$193,'参考值-平台费用率分析'!$D$6:$D$532,$F$193,'参考值-平台费用率分析'!$E$6:$E$532,$G$193)/SUMIFS('参考值-平台费用率分析'!$I$6:$I$532,'参考值-平台费用率分析'!$A$6:$A$532,"分销",'参考值-平台费用率分析'!$C$6:$C$532,$E$193,'参考值-平台费用率分析'!$D$6:$D$532,$F$193,'参考值-平台费用率分析'!$E$6:$E$532,$G$193),""))</f>
        <v/>
      </c>
      <c r="L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K$6:$K$532,"&lt;&gt;")=0,"",IFERROR(SUMIFS('参考值-平台费用率分析'!$K$6:$K$532,'参考值-平台费用率分析'!$A$6:$A$532,"分销",'参考值-平台费用率分析'!$C$6:$C$532,$E$193,'参考值-平台费用率分析'!$D$6:$D$532,$F$193,'参考值-平台费用率分析'!$E$6:$E$532,$G$193)/SUMIFS('参考值-平台费用率分析'!$L$6:$L$532,'参考值-平台费用率分析'!$A$6:$A$532,"分销",'参考值-平台费用率分析'!$C$6:$C$532,$E$193,'参考值-平台费用率分析'!$D$6:$D$532,$F$193,'参考值-平台费用率分析'!$E$6:$E$532,$G$193),""))</f>
        <v/>
      </c>
      <c r="M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N$6:$N$532,"&lt;&gt;")=0,"",IFERROR(SUMIFS('参考值-平台费用率分析'!$N$6:$N$532,'参考值-平台费用率分析'!$A$6:$A$532,"分销",'参考值-平台费用率分析'!$C$6:$C$532,$E$193,'参考值-平台费用率分析'!$D$6:$D$532,$F$193,'参考值-平台费用率分析'!$E$6:$E$532,$G$193)/SUMIFS('参考值-平台费用率分析'!$O$6:$O$532,'参考值-平台费用率分析'!$A$6:$A$532,"分销",'参考值-平台费用率分析'!$C$6:$C$532,$E$193,'参考值-平台费用率分析'!$D$6:$D$532,$F$193,'参考值-平台费用率分析'!$E$6:$E$532,$G$193),""))</f>
        <v/>
      </c>
      <c r="N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Q$6:$Q$532,"&lt;&gt;")=0,"",IFERROR(SUMIFS('参考值-平台费用率分析'!$Q$6:$Q$532,'参考值-平台费用率分析'!$A$6:$A$532,"分销",'参考值-平台费用率分析'!$C$6:$C$532,$E$193,'参考值-平台费用率分析'!$D$6:$D$532,$F$193,'参考值-平台费用率分析'!$E$6:$E$532,$G$193)/SUMIFS('参考值-平台费用率分析'!$R$6:$R$532,'参考值-平台费用率分析'!$A$6:$A$532,"分销",'参考值-平台费用率分析'!$C$6:$C$532,$E$193,'参考值-平台费用率分析'!$D$6:$D$532,$F$193,'参考值-平台费用率分析'!$E$6:$E$532,$G$193),""))</f>
        <v/>
      </c>
      <c r="O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T$6:$T$532,"&lt;&gt;")=0,"",IFERROR(SUMIFS('参考值-平台费用率分析'!$T$6:$T$532,'参考值-平台费用率分析'!$A$6:$A$532,"分销",'参考值-平台费用率分析'!$C$6:$C$532,$E$193,'参考值-平台费用率分析'!$D$6:$D$532,$F$193,'参考值-平台费用率分析'!$E$6:$E$532,$G$193)/SUMIFS('参考值-平台费用率分析'!$U$6:$U$532,'参考值-平台费用率分析'!$A$6:$A$532,"分销",'参考值-平台费用率分析'!$C$6:$C$532,$E$193,'参考值-平台费用率分析'!$D$6:$D$532,$F$193,'参考值-平台费用率分析'!$E$6:$E$532,$G$193),""))</f>
        <v/>
      </c>
      <c r="P193" s="354" t="str">
        <f>IF(COUNTIFS('参考值-平台费用率分析'!$A$6:$A$532,"分销",'参考值-平台费用率分析'!$C$6:$C$532,$E$193,'参考值-平台费用率分析'!$D$6:$D$532,$F$193,'参考值-平台费用率分析'!$E$6:$E$532,$G$193,'参考值-平台费用率分析'!$W$6:$W$532,"&lt;&gt;")=0,"",IFERROR(SUMIFS('参考值-平台费用率分析'!$W$6:$W$532,'参考值-平台费用率分析'!$A$6:$A$532,"分销",'参考值-平台费用率分析'!$C$6:$C$532,$E$193,'参考值-平台费用率分析'!$D$6:$D$532,$F$193,'参考值-平台费用率分析'!$E$6:$E$532,$G$193)/SUMIFS('参考值-平台费用率分析'!$X$6:$X$532,'参考值-平台费用率分析'!$A$6:$A$532,"分销",'参考值-平台费用率分析'!$C$6:$C$532,$E$193,'参考值-平台费用率分析'!$D$6:$D$532,$F$193,'参考值-平台费用率分析'!$E$6:$E$532,$G$193),""))</f>
        <v/>
      </c>
      <c r="Q193" s="354">
        <f>IF(AF193&lt;&gt;"",AF193,IF(COUNTIFS('参考值-平台费用率分析'!$A$6:$A$532,"分销",'参考值-平台费用率分析'!$C$6:$C$532,$E$193,'参考值-平台费用率分析'!$D$6:$D$532,$F$193,'参考值-平台费用率分析'!$E$6:$E$532,$G$193,'参考值-平台费用率分析'!$AF$6:$AF$532,"已导入实际")=0,$J193,IFERROR(SUMIFS('参考值-平台费用率分析'!$AC$6:$AC$532,'参考值-平台费用率分析'!$A$6:$A$532,"分销",'参考值-平台费用率分析'!$C$6:$C$532,$E$193,'参考值-平台费用率分析'!$D$6:$D$532,$F$193,'参考值-平台费用率分析'!$E$6:$E$532,$G$193,'参考值-平台费用率分析'!$AF$6:$AF$532,"已导入实际")/SUMIFS('参考值-平台费用率分析'!$AD$6:$AD$532,'参考值-平台费用率分析'!$A$6:$A$532,"分销",'参考值-平台费用率分析'!$C$6:$C$532,$E$193,'参考值-平台费用率分析'!$D$6:$D$532,$F$193,'参考值-平台费用率分析'!$E$6:$E$532,$G$193,'参考值-平台费用率分析'!$AF$6:$AF$532,"已导入实际"),$J193)))</f>
        <v>0</v>
      </c>
      <c r="R193" s="354">
        <f>IF(AG193&lt;&gt;"",AG193,IF(COUNTIFS('参考值-平台费用率分析'!$A$6:$A$532,"分销",'参考值-平台费用率分析'!$C$6:$C$532,$E$193,'参考值-平台费用率分析'!$D$6:$D$532,$F$193,'参考值-平台费用率分析'!$E$6:$E$532,$G$193,'参考值-平台费用率分析'!$AJ$6:$AJ$532,"已导入实际")=0,$J193,IFERROR(SUMIFS('参考值-平台费用率分析'!$AG$6:$AG$532,'参考值-平台费用率分析'!$A$6:$A$532,"分销",'参考值-平台费用率分析'!$C$6:$C$532,$E$193,'参考值-平台费用率分析'!$D$6:$D$532,$F$193,'参考值-平台费用率分析'!$E$6:$E$532,$G$193,'参考值-平台费用率分析'!$AJ$6:$AJ$532,"已导入实际")/SUMIFS('参考值-平台费用率分析'!$AH$6:$AH$532,'参考值-平台费用率分析'!$A$6:$A$532,"分销",'参考值-平台费用率分析'!$C$6:$C$532,$E$193,'参考值-平台费用率分析'!$D$6:$D$532,$F$193,'参考值-平台费用率分析'!$E$6:$E$532,$G$193,'参考值-平台费用率分析'!$AJ$6:$AJ$532,"已导入实际"),$J193)))</f>
        <v>0</v>
      </c>
      <c r="S193" s="354">
        <f>IF(AH193&lt;&gt;"",AH193,IF(COUNTIFS('参考值-平台费用率分析'!$A$6:$A$532,"分销",'参考值-平台费用率分析'!$C$6:$C$532,$E$193,'参考值-平台费用率分析'!$D$6:$D$532,$F$193,'参考值-平台费用率分析'!$E$6:$E$532,$G$193,'参考值-平台费用率分析'!$AN$6:$AN$532,"已导入实际")=0,$J193,IFERROR(SUMIFS('参考值-平台费用率分析'!$AK$6:$AK$532,'参考值-平台费用率分析'!$A$6:$A$532,"分销",'参考值-平台费用率分析'!$C$6:$C$532,$E$193,'参考值-平台费用率分析'!$D$6:$D$532,$F$193,'参考值-平台费用率分析'!$E$6:$E$532,$G$193,'参考值-平台费用率分析'!$AN$6:$AN$532,"已导入实际")/SUMIFS('参考值-平台费用率分析'!$AL$6:$AL$532,'参考值-平台费用率分析'!$A$6:$A$532,"分销",'参考值-平台费用率分析'!$C$6:$C$532,$E$193,'参考值-平台费用率分析'!$D$6:$D$532,$F$193,'参考值-平台费用率分析'!$E$6:$E$532,$G$193,'参考值-平台费用率分析'!$AN$6:$AN$532,"已导入实际"),$J193)))</f>
        <v>0</v>
      </c>
      <c r="T193" s="354">
        <f>IF(AI193&lt;&gt;"",AI193,IF(COUNTIFS('参考值-平台费用率分析'!$A$6:$A$532,"分销",'参考值-平台费用率分析'!$C$6:$C$532,$E$193,'参考值-平台费用率分析'!$D$6:$D$532,$F$193,'参考值-平台费用率分析'!$E$6:$E$532,$G$193,'参考值-平台费用率分析'!$AR$6:$AR$532,"已导入实际")=0,$J193,IFERROR(SUMIFS('参考值-平台费用率分析'!$AO$6:$AO$532,'参考值-平台费用率分析'!$A$6:$A$532,"分销",'参考值-平台费用率分析'!$C$6:$C$532,$E$193,'参考值-平台费用率分析'!$D$6:$D$532,$F$193,'参考值-平台费用率分析'!$E$6:$E$532,$G$193,'参考值-平台费用率分析'!$AR$6:$AR$532,"已导入实际")/SUMIFS('参考值-平台费用率分析'!$AP$6:$AP$532,'参考值-平台费用率分析'!$A$6:$A$532,"分销",'参考值-平台费用率分析'!$C$6:$C$532,$E$193,'参考值-平台费用率分析'!$D$6:$D$532,$F$193,'参考值-平台费用率分析'!$E$6:$E$532,$G$193,'参考值-平台费用率分析'!$AR$6:$AR$532,"已导入实际"),$J193)))</f>
        <v>0</v>
      </c>
      <c r="U193" s="354">
        <f>IF(AJ193&lt;&gt;"",AJ193,IF(COUNTIFS('参考值-平台费用率分析'!$A$6:$A$532,"分销",'参考值-平台费用率分析'!$C$6:$C$532,$E$193,'参考值-平台费用率分析'!$D$6:$D$532,$F$193,'参考值-平台费用率分析'!$E$6:$E$532,$G$193,'参考值-平台费用率分析'!$AV$6:$AV$532,"已导入实际")=0,$J193,IFERROR(SUMIFS('参考值-平台费用率分析'!$AS$6:$AS$532,'参考值-平台费用率分析'!$A$6:$A$532,"分销",'参考值-平台费用率分析'!$C$6:$C$532,$E$193,'参考值-平台费用率分析'!$D$6:$D$532,$F$193,'参考值-平台费用率分析'!$E$6:$E$532,$G$193,'参考值-平台费用率分析'!$AV$6:$AV$532,"已导入实际")/SUMIFS('参考值-平台费用率分析'!$AT$6:$AT$532,'参考值-平台费用率分析'!$A$6:$A$532,"分销",'参考值-平台费用率分析'!$C$6:$C$532,$E$193,'参考值-平台费用率分析'!$D$6:$D$532,$F$193,'参考值-平台费用率分析'!$E$6:$E$532,$G$193,'参考值-平台费用率分析'!$AV$6:$AV$532,"已导入实际"),$J193)))</f>
        <v>0</v>
      </c>
      <c r="V193" s="354">
        <f>IF(AK193&lt;&gt;"",AK193,IF(COUNTIFS('参考值-平台费用率分析'!$A$6:$A$532,"分销",'参考值-平台费用率分析'!$C$6:$C$532,$E$193,'参考值-平台费用率分析'!$D$6:$D$532,$F$193,'参考值-平台费用率分析'!$E$6:$E$532,$G$193,'参考值-平台费用率分析'!$AZ$6:$AZ$532,"已导入实际")=0,$J193,IFERROR(SUMIFS('参考值-平台费用率分析'!$AW$6:$AW$532,'参考值-平台费用率分析'!$A$6:$A$532,"分销",'参考值-平台费用率分析'!$C$6:$C$532,$E$193,'参考值-平台费用率分析'!$D$6:$D$532,$F$193,'参考值-平台费用率分析'!$E$6:$E$532,$G$193,'参考值-平台费用率分析'!$AZ$6:$AZ$532,"已导入实际")/SUMIFS('参考值-平台费用率分析'!$AX$6:$AX$532,'参考值-平台费用率分析'!$A$6:$A$532,"分销",'参考值-平台费用率分析'!$C$6:$C$532,$E$193,'参考值-平台费用率分析'!$D$6:$D$532,$F$193,'参考值-平台费用率分析'!$E$6:$E$532,$G$193,'参考值-平台费用率分析'!$AZ$6:$AZ$532,"已导入实际"),$J193)))</f>
        <v>0</v>
      </c>
      <c r="W193" s="354">
        <f t="shared" si="29"/>
        <v>0</v>
      </c>
      <c r="Z193" s="155"/>
      <c r="AA193" s="155"/>
      <c r="AB193" s="155"/>
      <c r="AC193" s="155"/>
      <c r="AD193" s="155"/>
      <c r="AE193" s="155"/>
      <c r="AF193" s="155"/>
      <c r="AG193" s="155"/>
      <c r="AH193" s="155"/>
      <c r="AI193" s="155"/>
      <c r="AJ193" s="155"/>
      <c r="AK193" s="155"/>
    </row>
    <row r="194" spans="4:37">
      <c r="E194" s="336" t="s">
        <v>52</v>
      </c>
      <c r="F194" s="336" t="s">
        <v>54</v>
      </c>
      <c r="G194" s="336" t="s">
        <v>59</v>
      </c>
      <c r="J194" s="354">
        <f>IF(COUNTIFS('参考值-平台费用率分析'!$A$6:$A$532,"分销",'参考值-平台费用率分析'!$C$6:$C$532,$E$194,'参考值-平台费用率分析'!$D$6:$D$532,$F$194,'参考值-平台费用率分析'!$E$6:$E$532,$G$194,'参考值-平台费用率分析'!$Z$6:$Z$532,"&lt;&gt;")=0,"",IFERROR(SUMIFS('参考值-平台费用率分析'!$Z$6:$Z$532,'参考值-平台费用率分析'!$A$6:$A$532,"分销",'参考值-平台费用率分析'!$C$6:$C$532,$E$194,'参考值-平台费用率分析'!$D$6:$D$532,$F$194,'参考值-平台费用率分析'!$E$6:$E$532,$G$194)/SUMIFS('参考值-平台费用率分析'!$AA$6:$AA$532,'参考值-平台费用率分析'!$A$6:$A$532,"分销",'参考值-平台费用率分析'!$C$6:$C$532,$E$194,'参考值-平台费用率分析'!$D$6:$D$532,$F$194,'参考值-平台费用率分析'!$E$6:$E$532,$G$194),""))</f>
        <v>0</v>
      </c>
      <c r="K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H$6:$H$532,"&lt;&gt;")=0,"",IFERROR(SUMIFS('参考值-平台费用率分析'!$H$6:$H$532,'参考值-平台费用率分析'!$A$6:$A$532,"分销",'参考值-平台费用率分析'!$C$6:$C$532,$E$194,'参考值-平台费用率分析'!$D$6:$D$532,$F$194,'参考值-平台费用率分析'!$E$6:$E$532,$G$194)/SUMIFS('参考值-平台费用率分析'!$I$6:$I$532,'参考值-平台费用率分析'!$A$6:$A$532,"分销",'参考值-平台费用率分析'!$C$6:$C$532,$E$194,'参考值-平台费用率分析'!$D$6:$D$532,$F$194,'参考值-平台费用率分析'!$E$6:$E$532,$G$194),""))</f>
        <v/>
      </c>
      <c r="L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K$6:$K$532,"&lt;&gt;")=0,"",IFERROR(SUMIFS('参考值-平台费用率分析'!$K$6:$K$532,'参考值-平台费用率分析'!$A$6:$A$532,"分销",'参考值-平台费用率分析'!$C$6:$C$532,$E$194,'参考值-平台费用率分析'!$D$6:$D$532,$F$194,'参考值-平台费用率分析'!$E$6:$E$532,$G$194)/SUMIFS('参考值-平台费用率分析'!$L$6:$L$532,'参考值-平台费用率分析'!$A$6:$A$532,"分销",'参考值-平台费用率分析'!$C$6:$C$532,$E$194,'参考值-平台费用率分析'!$D$6:$D$532,$F$194,'参考值-平台费用率分析'!$E$6:$E$532,$G$194),""))</f>
        <v/>
      </c>
      <c r="M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N$6:$N$532,"&lt;&gt;")=0,"",IFERROR(SUMIFS('参考值-平台费用率分析'!$N$6:$N$532,'参考值-平台费用率分析'!$A$6:$A$532,"分销",'参考值-平台费用率分析'!$C$6:$C$532,$E$194,'参考值-平台费用率分析'!$D$6:$D$532,$F$194,'参考值-平台费用率分析'!$E$6:$E$532,$G$194)/SUMIFS('参考值-平台费用率分析'!$O$6:$O$532,'参考值-平台费用率分析'!$A$6:$A$532,"分销",'参考值-平台费用率分析'!$C$6:$C$532,$E$194,'参考值-平台费用率分析'!$D$6:$D$532,$F$194,'参考值-平台费用率分析'!$E$6:$E$532,$G$194),""))</f>
        <v/>
      </c>
      <c r="N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Q$6:$Q$532,"&lt;&gt;")=0,"",IFERROR(SUMIFS('参考值-平台费用率分析'!$Q$6:$Q$532,'参考值-平台费用率分析'!$A$6:$A$532,"分销",'参考值-平台费用率分析'!$C$6:$C$532,$E$194,'参考值-平台费用率分析'!$D$6:$D$532,$F$194,'参考值-平台费用率分析'!$E$6:$E$532,$G$194)/SUMIFS('参考值-平台费用率分析'!$R$6:$R$532,'参考值-平台费用率分析'!$A$6:$A$532,"分销",'参考值-平台费用率分析'!$C$6:$C$532,$E$194,'参考值-平台费用率分析'!$D$6:$D$532,$F$194,'参考值-平台费用率分析'!$E$6:$E$532,$G$194),""))</f>
        <v/>
      </c>
      <c r="O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T$6:$T$532,"&lt;&gt;")=0,"",IFERROR(SUMIFS('参考值-平台费用率分析'!$T$6:$T$532,'参考值-平台费用率分析'!$A$6:$A$532,"分销",'参考值-平台费用率分析'!$C$6:$C$532,$E$194,'参考值-平台费用率分析'!$D$6:$D$532,$F$194,'参考值-平台费用率分析'!$E$6:$E$532,$G$194)/SUMIFS('参考值-平台费用率分析'!$U$6:$U$532,'参考值-平台费用率分析'!$A$6:$A$532,"分销",'参考值-平台费用率分析'!$C$6:$C$532,$E$194,'参考值-平台费用率分析'!$D$6:$D$532,$F$194,'参考值-平台费用率分析'!$E$6:$E$532,$G$194),""))</f>
        <v/>
      </c>
      <c r="P194" s="354" t="str">
        <f>IF(COUNTIFS('参考值-平台费用率分析'!$A$6:$A$532,"分销",'参考值-平台费用率分析'!$C$6:$C$532,$E$194,'参考值-平台费用率分析'!$D$6:$D$532,$F$194,'参考值-平台费用率分析'!$E$6:$E$532,$G$194,'参考值-平台费用率分析'!$W$6:$W$532,"&lt;&gt;")=0,"",IFERROR(SUMIFS('参考值-平台费用率分析'!$W$6:$W$532,'参考值-平台费用率分析'!$A$6:$A$532,"分销",'参考值-平台费用率分析'!$C$6:$C$532,$E$194,'参考值-平台费用率分析'!$D$6:$D$532,$F$194,'参考值-平台费用率分析'!$E$6:$E$532,$G$194)/SUMIFS('参考值-平台费用率分析'!$X$6:$X$532,'参考值-平台费用率分析'!$A$6:$A$532,"分销",'参考值-平台费用率分析'!$C$6:$C$532,$E$194,'参考值-平台费用率分析'!$D$6:$D$532,$F$194,'参考值-平台费用率分析'!$E$6:$E$532,$G$194),""))</f>
        <v/>
      </c>
      <c r="Q194" s="354">
        <f>IF(AF194&lt;&gt;"",AF194,IF(COUNTIFS('参考值-平台费用率分析'!$A$6:$A$532,"分销",'参考值-平台费用率分析'!$C$6:$C$532,$E$194,'参考值-平台费用率分析'!$D$6:$D$532,$F$194,'参考值-平台费用率分析'!$E$6:$E$532,$G$194,'参考值-平台费用率分析'!$AF$6:$AF$532,"已导入实际")=0,$J194,IFERROR(SUMIFS('参考值-平台费用率分析'!$AC$6:$AC$532,'参考值-平台费用率分析'!$A$6:$A$532,"分销",'参考值-平台费用率分析'!$C$6:$C$532,$E$194,'参考值-平台费用率分析'!$D$6:$D$532,$F$194,'参考值-平台费用率分析'!$E$6:$E$532,$G$194,'参考值-平台费用率分析'!$AF$6:$AF$532,"已导入实际")/SUMIFS('参考值-平台费用率分析'!$AD$6:$AD$532,'参考值-平台费用率分析'!$A$6:$A$532,"分销",'参考值-平台费用率分析'!$C$6:$C$532,$E$194,'参考值-平台费用率分析'!$D$6:$D$532,$F$194,'参考值-平台费用率分析'!$E$6:$E$532,$G$194,'参考值-平台费用率分析'!$AF$6:$AF$532,"已导入实际"),$J194)))</f>
        <v>0.05</v>
      </c>
      <c r="R194" s="354">
        <f>IF(AG194&lt;&gt;"",AG194,IF(COUNTIFS('参考值-平台费用率分析'!$A$6:$A$532,"分销",'参考值-平台费用率分析'!$C$6:$C$532,$E$194,'参考值-平台费用率分析'!$D$6:$D$532,$F$194,'参考值-平台费用率分析'!$E$6:$E$532,$G$194,'参考值-平台费用率分析'!$AJ$6:$AJ$532,"已导入实际")=0,$J194,IFERROR(SUMIFS('参考值-平台费用率分析'!$AG$6:$AG$532,'参考值-平台费用率分析'!$A$6:$A$532,"分销",'参考值-平台费用率分析'!$C$6:$C$532,$E$194,'参考值-平台费用率分析'!$D$6:$D$532,$F$194,'参考值-平台费用率分析'!$E$6:$E$532,$G$194,'参考值-平台费用率分析'!$AJ$6:$AJ$532,"已导入实际")/SUMIFS('参考值-平台费用率分析'!$AH$6:$AH$532,'参考值-平台费用率分析'!$A$6:$A$532,"分销",'参考值-平台费用率分析'!$C$6:$C$532,$E$194,'参考值-平台费用率分析'!$D$6:$D$532,$F$194,'参考值-平台费用率分析'!$E$6:$E$532,$G$194,'参考值-平台费用率分析'!$AJ$6:$AJ$532,"已导入实际"),$J194)))</f>
        <v>0.05</v>
      </c>
      <c r="S194" s="354">
        <f>IF(AH194&lt;&gt;"",AH194,IF(COUNTIFS('参考值-平台费用率分析'!$A$6:$A$532,"分销",'参考值-平台费用率分析'!$C$6:$C$532,$E$194,'参考值-平台费用率分析'!$D$6:$D$532,$F$194,'参考值-平台费用率分析'!$E$6:$E$532,$G$194,'参考值-平台费用率分析'!$AN$6:$AN$532,"已导入实际")=0,$J194,IFERROR(SUMIFS('参考值-平台费用率分析'!$AK$6:$AK$532,'参考值-平台费用率分析'!$A$6:$A$532,"分销",'参考值-平台费用率分析'!$C$6:$C$532,$E$194,'参考值-平台费用率分析'!$D$6:$D$532,$F$194,'参考值-平台费用率分析'!$E$6:$E$532,$G$194,'参考值-平台费用率分析'!$AN$6:$AN$532,"已导入实际")/SUMIFS('参考值-平台费用率分析'!$AL$6:$AL$532,'参考值-平台费用率分析'!$A$6:$A$532,"分销",'参考值-平台费用率分析'!$C$6:$C$532,$E$194,'参考值-平台费用率分析'!$D$6:$D$532,$F$194,'参考值-平台费用率分析'!$E$6:$E$532,$G$194,'参考值-平台费用率分析'!$AN$6:$AN$532,"已导入实际"),$J194)))</f>
        <v>0.05</v>
      </c>
      <c r="T194" s="354">
        <f>IF(AI194&lt;&gt;"",AI194,IF(COUNTIFS('参考值-平台费用率分析'!$A$6:$A$532,"分销",'参考值-平台费用率分析'!$C$6:$C$532,$E$194,'参考值-平台费用率分析'!$D$6:$D$532,$F$194,'参考值-平台费用率分析'!$E$6:$E$532,$G$194,'参考值-平台费用率分析'!$AR$6:$AR$532,"已导入实际")=0,$J194,IFERROR(SUMIFS('参考值-平台费用率分析'!$AO$6:$AO$532,'参考值-平台费用率分析'!$A$6:$A$532,"分销",'参考值-平台费用率分析'!$C$6:$C$532,$E$194,'参考值-平台费用率分析'!$D$6:$D$532,$F$194,'参考值-平台费用率分析'!$E$6:$E$532,$G$194,'参考值-平台费用率分析'!$AR$6:$AR$532,"已导入实际")/SUMIFS('参考值-平台费用率分析'!$AP$6:$AP$532,'参考值-平台费用率分析'!$A$6:$A$532,"分销",'参考值-平台费用率分析'!$C$6:$C$532,$E$194,'参考值-平台费用率分析'!$D$6:$D$532,$F$194,'参考值-平台费用率分析'!$E$6:$E$532,$G$194,'参考值-平台费用率分析'!$AR$6:$AR$532,"已导入实际"),$J194)))</f>
        <v>0.05</v>
      </c>
      <c r="U194" s="354">
        <f>IF(AJ194&lt;&gt;"",AJ194,IF(COUNTIFS('参考值-平台费用率分析'!$A$6:$A$532,"分销",'参考值-平台费用率分析'!$C$6:$C$532,$E$194,'参考值-平台费用率分析'!$D$6:$D$532,$F$194,'参考值-平台费用率分析'!$E$6:$E$532,$G$194,'参考值-平台费用率分析'!$AV$6:$AV$532,"已导入实际")=0,$J194,IFERROR(SUMIFS('参考值-平台费用率分析'!$AS$6:$AS$532,'参考值-平台费用率分析'!$A$6:$A$532,"分销",'参考值-平台费用率分析'!$C$6:$C$532,$E$194,'参考值-平台费用率分析'!$D$6:$D$532,$F$194,'参考值-平台费用率分析'!$E$6:$E$532,$G$194,'参考值-平台费用率分析'!$AV$6:$AV$532,"已导入实际")/SUMIFS('参考值-平台费用率分析'!$AT$6:$AT$532,'参考值-平台费用率分析'!$A$6:$A$532,"分销",'参考值-平台费用率分析'!$C$6:$C$532,$E$194,'参考值-平台费用率分析'!$D$6:$D$532,$F$194,'参考值-平台费用率分析'!$E$6:$E$532,$G$194,'参考值-平台费用率分析'!$AV$6:$AV$532,"已导入实际"),$J194)))</f>
        <v>0.05</v>
      </c>
      <c r="V194" s="354">
        <f>IF(AK194&lt;&gt;"",AK194,IF(COUNTIFS('参考值-平台费用率分析'!$A$6:$A$532,"分销",'参考值-平台费用率分析'!$C$6:$C$532,$E$194,'参考值-平台费用率分析'!$D$6:$D$532,$F$194,'参考值-平台费用率分析'!$E$6:$E$532,$G$194,'参考值-平台费用率分析'!$AZ$6:$AZ$532,"已导入实际")=0,$J194,IFERROR(SUMIFS('参考值-平台费用率分析'!$AW$6:$AW$532,'参考值-平台费用率分析'!$A$6:$A$532,"分销",'参考值-平台费用率分析'!$C$6:$C$532,$E$194,'参考值-平台费用率分析'!$D$6:$D$532,$F$194,'参考值-平台费用率分析'!$E$6:$E$532,$G$194,'参考值-平台费用率分析'!$AZ$6:$AZ$532,"已导入实际")/SUMIFS('参考值-平台费用率分析'!$AX$6:$AX$532,'参考值-平台费用率分析'!$A$6:$A$532,"分销",'参考值-平台费用率分析'!$C$6:$C$532,$E$194,'参考值-平台费用率分析'!$D$6:$D$532,$F$194,'参考值-平台费用率分析'!$E$6:$E$532,$G$194,'参考值-平台费用率分析'!$AZ$6:$AZ$532,"已导入实际"),$J194)))</f>
        <v>0.05</v>
      </c>
      <c r="W194" s="354">
        <f t="shared" si="29"/>
        <v>0</v>
      </c>
      <c r="Z194" s="155"/>
      <c r="AA194" s="155"/>
      <c r="AB194" s="155"/>
      <c r="AC194" s="155"/>
      <c r="AD194" s="155"/>
      <c r="AE194" s="155"/>
      <c r="AF194" s="155">
        <v>0.05</v>
      </c>
      <c r="AG194" s="155">
        <v>0.05</v>
      </c>
      <c r="AH194" s="155">
        <v>0.05</v>
      </c>
      <c r="AI194" s="155">
        <v>0.05</v>
      </c>
      <c r="AJ194" s="155">
        <v>0.05</v>
      </c>
      <c r="AK194" s="155">
        <v>0.05</v>
      </c>
    </row>
    <row r="195" spans="4:37">
      <c r="E195" s="336" t="s">
        <v>52</v>
      </c>
      <c r="F195" s="336" t="s">
        <v>54</v>
      </c>
      <c r="G195" s="336" t="s">
        <v>60</v>
      </c>
      <c r="J195" s="354">
        <f>IF(COUNTIFS('参考值-平台费用率分析'!$A$6:$A$532,"分销",'参考值-平台费用率分析'!$C$6:$C$532,$E$195,'参考值-平台费用率分析'!$D$6:$D$532,$F$195,'参考值-平台费用率分析'!$E$6:$E$532,$G$195,'参考值-平台费用率分析'!$Z$6:$Z$532,"&lt;&gt;")=0,"",IFERROR(SUMIFS('参考值-平台费用率分析'!$Z$6:$Z$532,'参考值-平台费用率分析'!$A$6:$A$532,"分销",'参考值-平台费用率分析'!$C$6:$C$532,$E$195,'参考值-平台费用率分析'!$D$6:$D$532,$F$195,'参考值-平台费用率分析'!$E$6:$E$532,$G$195)/SUMIFS('参考值-平台费用率分析'!$AA$6:$AA$532,'参考值-平台费用率分析'!$A$6:$A$532,"分销",'参考值-平台费用率分析'!$C$6:$C$532,$E$195,'参考值-平台费用率分析'!$D$6:$D$532,$F$195,'参考值-平台费用率分析'!$E$6:$E$532,$G$195),""))</f>
        <v>0</v>
      </c>
      <c r="K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H$6:$H$532,"&lt;&gt;")=0,"",IFERROR(SUMIFS('参考值-平台费用率分析'!$H$6:$H$532,'参考值-平台费用率分析'!$A$6:$A$532,"分销",'参考值-平台费用率分析'!$C$6:$C$532,$E$195,'参考值-平台费用率分析'!$D$6:$D$532,$F$195,'参考值-平台费用率分析'!$E$6:$E$532,$G$195)/SUMIFS('参考值-平台费用率分析'!$I$6:$I$532,'参考值-平台费用率分析'!$A$6:$A$532,"分销",'参考值-平台费用率分析'!$C$6:$C$532,$E$195,'参考值-平台费用率分析'!$D$6:$D$532,$F$195,'参考值-平台费用率分析'!$E$6:$E$532,$G$195),""))</f>
        <v/>
      </c>
      <c r="L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K$6:$K$532,"&lt;&gt;")=0,"",IFERROR(SUMIFS('参考值-平台费用率分析'!$K$6:$K$532,'参考值-平台费用率分析'!$A$6:$A$532,"分销",'参考值-平台费用率分析'!$C$6:$C$532,$E$195,'参考值-平台费用率分析'!$D$6:$D$532,$F$195,'参考值-平台费用率分析'!$E$6:$E$532,$G$195)/SUMIFS('参考值-平台费用率分析'!$L$6:$L$532,'参考值-平台费用率分析'!$A$6:$A$532,"分销",'参考值-平台费用率分析'!$C$6:$C$532,$E$195,'参考值-平台费用率分析'!$D$6:$D$532,$F$195,'参考值-平台费用率分析'!$E$6:$E$532,$G$195),""))</f>
        <v/>
      </c>
      <c r="M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N$6:$N$532,"&lt;&gt;")=0,"",IFERROR(SUMIFS('参考值-平台费用率分析'!$N$6:$N$532,'参考值-平台费用率分析'!$A$6:$A$532,"分销",'参考值-平台费用率分析'!$C$6:$C$532,$E$195,'参考值-平台费用率分析'!$D$6:$D$532,$F$195,'参考值-平台费用率分析'!$E$6:$E$532,$G$195)/SUMIFS('参考值-平台费用率分析'!$O$6:$O$532,'参考值-平台费用率分析'!$A$6:$A$532,"分销",'参考值-平台费用率分析'!$C$6:$C$532,$E$195,'参考值-平台费用率分析'!$D$6:$D$532,$F$195,'参考值-平台费用率分析'!$E$6:$E$532,$G$195),""))</f>
        <v/>
      </c>
      <c r="N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Q$6:$Q$532,"&lt;&gt;")=0,"",IFERROR(SUMIFS('参考值-平台费用率分析'!$Q$6:$Q$532,'参考值-平台费用率分析'!$A$6:$A$532,"分销",'参考值-平台费用率分析'!$C$6:$C$532,$E$195,'参考值-平台费用率分析'!$D$6:$D$532,$F$195,'参考值-平台费用率分析'!$E$6:$E$532,$G$195)/SUMIFS('参考值-平台费用率分析'!$R$6:$R$532,'参考值-平台费用率分析'!$A$6:$A$532,"分销",'参考值-平台费用率分析'!$C$6:$C$532,$E$195,'参考值-平台费用率分析'!$D$6:$D$532,$F$195,'参考值-平台费用率分析'!$E$6:$E$532,$G$195),""))</f>
        <v/>
      </c>
      <c r="O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T$6:$T$532,"&lt;&gt;")=0,"",IFERROR(SUMIFS('参考值-平台费用率分析'!$T$6:$T$532,'参考值-平台费用率分析'!$A$6:$A$532,"分销",'参考值-平台费用率分析'!$C$6:$C$532,$E$195,'参考值-平台费用率分析'!$D$6:$D$532,$F$195,'参考值-平台费用率分析'!$E$6:$E$532,$G$195)/SUMIFS('参考值-平台费用率分析'!$U$6:$U$532,'参考值-平台费用率分析'!$A$6:$A$532,"分销",'参考值-平台费用率分析'!$C$6:$C$532,$E$195,'参考值-平台费用率分析'!$D$6:$D$532,$F$195,'参考值-平台费用率分析'!$E$6:$E$532,$G$195),""))</f>
        <v/>
      </c>
      <c r="P195" s="354" t="str">
        <f>IF(COUNTIFS('参考值-平台费用率分析'!$A$6:$A$532,"分销",'参考值-平台费用率分析'!$C$6:$C$532,$E$195,'参考值-平台费用率分析'!$D$6:$D$532,$F$195,'参考值-平台费用率分析'!$E$6:$E$532,$G$195,'参考值-平台费用率分析'!$W$6:$W$532,"&lt;&gt;")=0,"",IFERROR(SUMIFS('参考值-平台费用率分析'!$W$6:$W$532,'参考值-平台费用率分析'!$A$6:$A$532,"分销",'参考值-平台费用率分析'!$C$6:$C$532,$E$195,'参考值-平台费用率分析'!$D$6:$D$532,$F$195,'参考值-平台费用率分析'!$E$6:$E$532,$G$195)/SUMIFS('参考值-平台费用率分析'!$X$6:$X$532,'参考值-平台费用率分析'!$A$6:$A$532,"分销",'参考值-平台费用率分析'!$C$6:$C$532,$E$195,'参考值-平台费用率分析'!$D$6:$D$532,$F$195,'参考值-平台费用率分析'!$E$6:$E$532,$G$195),""))</f>
        <v/>
      </c>
      <c r="Q195" s="354">
        <f>IF(AF195&lt;&gt;"",AF195,IF(COUNTIFS('参考值-平台费用率分析'!$A$6:$A$532,"分销",'参考值-平台费用率分析'!$C$6:$C$532,$E$195,'参考值-平台费用率分析'!$D$6:$D$532,$F$195,'参考值-平台费用率分析'!$E$6:$E$532,$G$195,'参考值-平台费用率分析'!$AF$6:$AF$532,"已导入实际")=0,$J195,IFERROR(SUMIFS('参考值-平台费用率分析'!$AC$6:$AC$532,'参考值-平台费用率分析'!$A$6:$A$532,"分销",'参考值-平台费用率分析'!$C$6:$C$532,$E$195,'参考值-平台费用率分析'!$D$6:$D$532,$F$195,'参考值-平台费用率分析'!$E$6:$E$532,$G$195,'参考值-平台费用率分析'!$AF$6:$AF$532,"已导入实际")/SUMIFS('参考值-平台费用率分析'!$AD$6:$AD$532,'参考值-平台费用率分析'!$A$6:$A$532,"分销",'参考值-平台费用率分析'!$C$6:$C$532,$E$195,'参考值-平台费用率分析'!$D$6:$D$532,$F$195,'参考值-平台费用率分析'!$E$6:$E$532,$G$195,'参考值-平台费用率分析'!$AF$6:$AF$532,"已导入实际"),$J195)))</f>
        <v>0</v>
      </c>
      <c r="R195" s="354">
        <f>IF(AG195&lt;&gt;"",AG195,IF(COUNTIFS('参考值-平台费用率分析'!$A$6:$A$532,"分销",'参考值-平台费用率分析'!$C$6:$C$532,$E$195,'参考值-平台费用率分析'!$D$6:$D$532,$F$195,'参考值-平台费用率分析'!$E$6:$E$532,$G$195,'参考值-平台费用率分析'!$AJ$6:$AJ$532,"已导入实际")=0,$J195,IFERROR(SUMIFS('参考值-平台费用率分析'!$AG$6:$AG$532,'参考值-平台费用率分析'!$A$6:$A$532,"分销",'参考值-平台费用率分析'!$C$6:$C$532,$E$195,'参考值-平台费用率分析'!$D$6:$D$532,$F$195,'参考值-平台费用率分析'!$E$6:$E$532,$G$195,'参考值-平台费用率分析'!$AJ$6:$AJ$532,"已导入实际")/SUMIFS('参考值-平台费用率分析'!$AH$6:$AH$532,'参考值-平台费用率分析'!$A$6:$A$532,"分销",'参考值-平台费用率分析'!$C$6:$C$532,$E$195,'参考值-平台费用率分析'!$D$6:$D$532,$F$195,'参考值-平台费用率分析'!$E$6:$E$532,$G$195,'参考值-平台费用率分析'!$AJ$6:$AJ$532,"已导入实际"),$J195)))</f>
        <v>0</v>
      </c>
      <c r="S195" s="354">
        <f>IF(AH195&lt;&gt;"",AH195,IF(COUNTIFS('参考值-平台费用率分析'!$A$6:$A$532,"分销",'参考值-平台费用率分析'!$C$6:$C$532,$E$195,'参考值-平台费用率分析'!$D$6:$D$532,$F$195,'参考值-平台费用率分析'!$E$6:$E$532,$G$195,'参考值-平台费用率分析'!$AN$6:$AN$532,"已导入实际")=0,$J195,IFERROR(SUMIFS('参考值-平台费用率分析'!$AK$6:$AK$532,'参考值-平台费用率分析'!$A$6:$A$532,"分销",'参考值-平台费用率分析'!$C$6:$C$532,$E$195,'参考值-平台费用率分析'!$D$6:$D$532,$F$195,'参考值-平台费用率分析'!$E$6:$E$532,$G$195,'参考值-平台费用率分析'!$AN$6:$AN$532,"已导入实际")/SUMIFS('参考值-平台费用率分析'!$AL$6:$AL$532,'参考值-平台费用率分析'!$A$6:$A$532,"分销",'参考值-平台费用率分析'!$C$6:$C$532,$E$195,'参考值-平台费用率分析'!$D$6:$D$532,$F$195,'参考值-平台费用率分析'!$E$6:$E$532,$G$195,'参考值-平台费用率分析'!$AN$6:$AN$532,"已导入实际"),$J195)))</f>
        <v>0</v>
      </c>
      <c r="T195" s="354">
        <f>IF(AI195&lt;&gt;"",AI195,IF(COUNTIFS('参考值-平台费用率分析'!$A$6:$A$532,"分销",'参考值-平台费用率分析'!$C$6:$C$532,$E$195,'参考值-平台费用率分析'!$D$6:$D$532,$F$195,'参考值-平台费用率分析'!$E$6:$E$532,$G$195,'参考值-平台费用率分析'!$AR$6:$AR$532,"已导入实际")=0,$J195,IFERROR(SUMIFS('参考值-平台费用率分析'!$AO$6:$AO$532,'参考值-平台费用率分析'!$A$6:$A$532,"分销",'参考值-平台费用率分析'!$C$6:$C$532,$E$195,'参考值-平台费用率分析'!$D$6:$D$532,$F$195,'参考值-平台费用率分析'!$E$6:$E$532,$G$195,'参考值-平台费用率分析'!$AR$6:$AR$532,"已导入实际")/SUMIFS('参考值-平台费用率分析'!$AP$6:$AP$532,'参考值-平台费用率分析'!$A$6:$A$532,"分销",'参考值-平台费用率分析'!$C$6:$C$532,$E$195,'参考值-平台费用率分析'!$D$6:$D$532,$F$195,'参考值-平台费用率分析'!$E$6:$E$532,$G$195,'参考值-平台费用率分析'!$AR$6:$AR$532,"已导入实际"),$J195)))</f>
        <v>0</v>
      </c>
      <c r="U195" s="354">
        <f>IF(AJ195&lt;&gt;"",AJ195,IF(COUNTIFS('参考值-平台费用率分析'!$A$6:$A$532,"分销",'参考值-平台费用率分析'!$C$6:$C$532,$E$195,'参考值-平台费用率分析'!$D$6:$D$532,$F$195,'参考值-平台费用率分析'!$E$6:$E$532,$G$195,'参考值-平台费用率分析'!$AV$6:$AV$532,"已导入实际")=0,$J195,IFERROR(SUMIFS('参考值-平台费用率分析'!$AS$6:$AS$532,'参考值-平台费用率分析'!$A$6:$A$532,"分销",'参考值-平台费用率分析'!$C$6:$C$532,$E$195,'参考值-平台费用率分析'!$D$6:$D$532,$F$195,'参考值-平台费用率分析'!$E$6:$E$532,$G$195,'参考值-平台费用率分析'!$AV$6:$AV$532,"已导入实际")/SUMIFS('参考值-平台费用率分析'!$AT$6:$AT$532,'参考值-平台费用率分析'!$A$6:$A$532,"分销",'参考值-平台费用率分析'!$C$6:$C$532,$E$195,'参考值-平台费用率分析'!$D$6:$D$532,$F$195,'参考值-平台费用率分析'!$E$6:$E$532,$G$195,'参考值-平台费用率分析'!$AV$6:$AV$532,"已导入实际"),$J195)))</f>
        <v>0</v>
      </c>
      <c r="V195" s="354">
        <f>IF(AK195&lt;&gt;"",AK195,IF(COUNTIFS('参考值-平台费用率分析'!$A$6:$A$532,"分销",'参考值-平台费用率分析'!$C$6:$C$532,$E$195,'参考值-平台费用率分析'!$D$6:$D$532,$F$195,'参考值-平台费用率分析'!$E$6:$E$532,$G$195,'参考值-平台费用率分析'!$AZ$6:$AZ$532,"已导入实际")=0,$J195,IFERROR(SUMIFS('参考值-平台费用率分析'!$AW$6:$AW$532,'参考值-平台费用率分析'!$A$6:$A$532,"分销",'参考值-平台费用率分析'!$C$6:$C$532,$E$195,'参考值-平台费用率分析'!$D$6:$D$532,$F$195,'参考值-平台费用率分析'!$E$6:$E$532,$G$195,'参考值-平台费用率分析'!$AZ$6:$AZ$532,"已导入实际")/SUMIFS('参考值-平台费用率分析'!$AX$6:$AX$532,'参考值-平台费用率分析'!$A$6:$A$532,"分销",'参考值-平台费用率分析'!$C$6:$C$532,$E$195,'参考值-平台费用率分析'!$D$6:$D$532,$F$195,'参考值-平台费用率分析'!$E$6:$E$532,$G$195,'参考值-平台费用率分析'!$AZ$6:$AZ$532,"已导入实际"),$J195)))</f>
        <v>0</v>
      </c>
      <c r="W195" s="354">
        <f t="shared" si="29"/>
        <v>0</v>
      </c>
      <c r="Z195" s="155"/>
      <c r="AA195" s="155"/>
      <c r="AB195" s="155"/>
      <c r="AC195" s="155"/>
      <c r="AD195" s="155"/>
      <c r="AE195" s="155"/>
      <c r="AF195" s="155"/>
      <c r="AG195" s="155"/>
      <c r="AH195" s="155"/>
      <c r="AI195" s="155"/>
      <c r="AJ195" s="155"/>
      <c r="AK195" s="155"/>
    </row>
    <row r="196" spans="4:37">
      <c r="D196" s="67" t="s">
        <v>65</v>
      </c>
      <c r="E196" s="336" t="s">
        <v>52</v>
      </c>
      <c r="F196" s="336" t="s">
        <v>54</v>
      </c>
      <c r="G196" s="336" t="s">
        <v>61</v>
      </c>
      <c r="J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Z$6:$Z$532,"&lt;&gt;")=0,"",IFERROR(SUMIFS('参考值-平台费用率分析'!$Z$6:$Z$532,'参考值-平台费用率分析'!$A$6:$A$532,"分销",'参考值-平台费用率分析'!$C$6:$C$532,$E$196,'参考值-平台费用率分析'!$D$6:$D$532,$F$196,'参考值-平台费用率分析'!$E$6:$E$532,$G$196)/SUMIFS('参考值-平台费用率分析'!$AA$6:$AA$532,'参考值-平台费用率分析'!$A$6:$A$532,"分销",'参考值-平台费用率分析'!$C$6:$C$532,$E$196,'参考值-平台费用率分析'!$D$6:$D$532,$F$196,'参考值-平台费用率分析'!$E$6:$E$532,$G$196),""))</f>
        <v>0</v>
      </c>
      <c r="K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H$6:$H$532,"&lt;&gt;")=0,"",IFERROR(SUMIFS('参考值-平台费用率分析'!$H$6:$H$532,'参考值-平台费用率分析'!$A$6:$A$532,"分销",'参考值-平台费用率分析'!$C$6:$C$532,$E$196,'参考值-平台费用率分析'!$D$6:$D$532,$F$196,'参考值-平台费用率分析'!$E$6:$E$532,$G$196)/SUMIFS('参考值-平台费用率分析'!$I$6:$I$532,'参考值-平台费用率分析'!$A$6:$A$532,"分销",'参考值-平台费用率分析'!$C$6:$C$532,$E$196,'参考值-平台费用率分析'!$D$6:$D$532,$F$196,'参考值-平台费用率分析'!$E$6:$E$532,$G$196),""))</f>
        <v>0</v>
      </c>
      <c r="L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K$6:$K$532,"&lt;&gt;")=0,"",IFERROR(SUMIFS('参考值-平台费用率分析'!$K$6:$K$532,'参考值-平台费用率分析'!$A$6:$A$532,"分销",'参考值-平台费用率分析'!$C$6:$C$532,$E$196,'参考值-平台费用率分析'!$D$6:$D$532,$F$196,'参考值-平台费用率分析'!$E$6:$E$532,$G$196)/SUMIFS('参考值-平台费用率分析'!$L$6:$L$532,'参考值-平台费用率分析'!$A$6:$A$532,"分销",'参考值-平台费用率分析'!$C$6:$C$532,$E$196,'参考值-平台费用率分析'!$D$6:$D$532,$F$196,'参考值-平台费用率分析'!$E$6:$E$532,$G$196),""))</f>
        <v>0</v>
      </c>
      <c r="M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N$6:$N$532,"&lt;&gt;")=0,"",IFERROR(SUMIFS('参考值-平台费用率分析'!$N$6:$N$532,'参考值-平台费用率分析'!$A$6:$A$532,"分销",'参考值-平台费用率分析'!$C$6:$C$532,$E$196,'参考值-平台费用率分析'!$D$6:$D$532,$F$196,'参考值-平台费用率分析'!$E$6:$E$532,$G$196)/SUMIFS('参考值-平台费用率分析'!$O$6:$O$532,'参考值-平台费用率分析'!$A$6:$A$532,"分销",'参考值-平台费用率分析'!$C$6:$C$532,$E$196,'参考值-平台费用率分析'!$D$6:$D$532,$F$196,'参考值-平台费用率分析'!$E$6:$E$532,$G$196),""))</f>
        <v>0</v>
      </c>
      <c r="N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Q$6:$Q$532,"&lt;&gt;")=0,"",IFERROR(SUMIFS('参考值-平台费用率分析'!$Q$6:$Q$532,'参考值-平台费用率分析'!$A$6:$A$532,"分销",'参考值-平台费用率分析'!$C$6:$C$532,$E$196,'参考值-平台费用率分析'!$D$6:$D$532,$F$196,'参考值-平台费用率分析'!$E$6:$E$532,$G$196)/SUMIFS('参考值-平台费用率分析'!$R$6:$R$532,'参考值-平台费用率分析'!$A$6:$A$532,"分销",'参考值-平台费用率分析'!$C$6:$C$532,$E$196,'参考值-平台费用率分析'!$D$6:$D$532,$F$196,'参考值-平台费用率分析'!$E$6:$E$532,$G$196),""))</f>
        <v>0</v>
      </c>
      <c r="O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T$6:$T$532,"&lt;&gt;")=0,"",IFERROR(SUMIFS('参考值-平台费用率分析'!$T$6:$T$532,'参考值-平台费用率分析'!$A$6:$A$532,"分销",'参考值-平台费用率分析'!$C$6:$C$532,$E$196,'参考值-平台费用率分析'!$D$6:$D$532,$F$196,'参考值-平台费用率分析'!$E$6:$E$532,$G$196)/SUMIFS('参考值-平台费用率分析'!$U$6:$U$532,'参考值-平台费用率分析'!$A$6:$A$532,"分销",'参考值-平台费用率分析'!$C$6:$C$532,$E$196,'参考值-平台费用率分析'!$D$6:$D$532,$F$196,'参考值-平台费用率分析'!$E$6:$E$532,$G$196),""))</f>
        <v>0</v>
      </c>
      <c r="P196" s="354">
        <f>IF(COUNTIFS('参考值-平台费用率分析'!$A$6:$A$532,"分销",'参考值-平台费用率分析'!$C$6:$C$532,$E$196,'参考值-平台费用率分析'!$D$6:$D$532,$F$196,'参考值-平台费用率分析'!$E$6:$E$532,$G$196,'参考值-平台费用率分析'!$W$6:$W$532,"&lt;&gt;")=0,"",IFERROR(SUMIFS('参考值-平台费用率分析'!$W$6:$W$532,'参考值-平台费用率分析'!$A$6:$A$532,"分销",'参考值-平台费用率分析'!$C$6:$C$532,$E$196,'参考值-平台费用率分析'!$D$6:$D$532,$F$196,'参考值-平台费用率分析'!$E$6:$E$532,$G$196)/SUMIFS('参考值-平台费用率分析'!$X$6:$X$532,'参考值-平台费用率分析'!$A$6:$A$532,"分销",'参考值-平台费用率分析'!$C$6:$C$532,$E$196,'参考值-平台费用率分析'!$D$6:$D$532,$F$196,'参考值-平台费用率分析'!$E$6:$E$532,$G$196),""))</f>
        <v>0</v>
      </c>
      <c r="Q196" s="354">
        <f>IF(AF196&lt;&gt;"",AF196,IF(COUNTIFS('参考值-平台费用率分析'!$A$6:$A$532,"分销",'参考值-平台费用率分析'!$C$6:$C$532,$E$196,'参考值-平台费用率分析'!$D$6:$D$532,$F$196,'参考值-平台费用率分析'!$E$6:$E$532,$G$196,'参考值-平台费用率分析'!$AF$6:$AF$532,"已导入实际")=0,$J196,IFERROR(SUMIFS('参考值-平台费用率分析'!$AC$6:$AC$532,'参考值-平台费用率分析'!$A$6:$A$532,"分销",'参考值-平台费用率分析'!$C$6:$C$532,$E$196,'参考值-平台费用率分析'!$D$6:$D$532,$F$196,'参考值-平台费用率分析'!$E$6:$E$532,$G$196,'参考值-平台费用率分析'!$AF$6:$AF$532,"已导入实际")/SUMIFS('参考值-平台费用率分析'!$AD$6:$AD$532,'参考值-平台费用率分析'!$A$6:$A$532,"分销",'参考值-平台费用率分析'!$C$6:$C$532,$E$196,'参考值-平台费用率分析'!$D$6:$D$532,$F$196,'参考值-平台费用率分析'!$E$6:$E$532,$G$196,'参考值-平台费用率分析'!$AF$6:$AF$532,"已导入实际"),$J196)))</f>
        <v>0</v>
      </c>
      <c r="R196" s="354">
        <f>IF(AG196&lt;&gt;"",AG196,IF(COUNTIFS('参考值-平台费用率分析'!$A$6:$A$532,"分销",'参考值-平台费用率分析'!$C$6:$C$532,$E$196,'参考值-平台费用率分析'!$D$6:$D$532,$F$196,'参考值-平台费用率分析'!$E$6:$E$532,$G$196,'参考值-平台费用率分析'!$AJ$6:$AJ$532,"已导入实际")=0,$J196,IFERROR(SUMIFS('参考值-平台费用率分析'!$AG$6:$AG$532,'参考值-平台费用率分析'!$A$6:$A$532,"分销",'参考值-平台费用率分析'!$C$6:$C$532,$E$196,'参考值-平台费用率分析'!$D$6:$D$532,$F$196,'参考值-平台费用率分析'!$E$6:$E$532,$G$196,'参考值-平台费用率分析'!$AJ$6:$AJ$532,"已导入实际")/SUMIFS('参考值-平台费用率分析'!$AH$6:$AH$532,'参考值-平台费用率分析'!$A$6:$A$532,"分销",'参考值-平台费用率分析'!$C$6:$C$532,$E$196,'参考值-平台费用率分析'!$D$6:$D$532,$F$196,'参考值-平台费用率分析'!$E$6:$E$532,$G$196,'参考值-平台费用率分析'!$AJ$6:$AJ$532,"已导入实际"),$J196)))</f>
        <v>0</v>
      </c>
      <c r="S196" s="354">
        <f>IF(AH196&lt;&gt;"",AH196,IF(COUNTIFS('参考值-平台费用率分析'!$A$6:$A$532,"分销",'参考值-平台费用率分析'!$C$6:$C$532,$E$196,'参考值-平台费用率分析'!$D$6:$D$532,$F$196,'参考值-平台费用率分析'!$E$6:$E$532,$G$196,'参考值-平台费用率分析'!$AN$6:$AN$532,"已导入实际")=0,$J196,IFERROR(SUMIFS('参考值-平台费用率分析'!$AK$6:$AK$532,'参考值-平台费用率分析'!$A$6:$A$532,"分销",'参考值-平台费用率分析'!$C$6:$C$532,$E$196,'参考值-平台费用率分析'!$D$6:$D$532,$F$196,'参考值-平台费用率分析'!$E$6:$E$532,$G$196,'参考值-平台费用率分析'!$AN$6:$AN$532,"已导入实际")/SUMIFS('参考值-平台费用率分析'!$AL$6:$AL$532,'参考值-平台费用率分析'!$A$6:$A$532,"分销",'参考值-平台费用率分析'!$C$6:$C$532,$E$196,'参考值-平台费用率分析'!$D$6:$D$532,$F$196,'参考值-平台费用率分析'!$E$6:$E$532,$G$196,'参考值-平台费用率分析'!$AN$6:$AN$532,"已导入实际"),$J196)))</f>
        <v>0</v>
      </c>
      <c r="T196" s="354">
        <f>IF(AI196&lt;&gt;"",AI196,IF(COUNTIFS('参考值-平台费用率分析'!$A$6:$A$532,"分销",'参考值-平台费用率分析'!$C$6:$C$532,$E$196,'参考值-平台费用率分析'!$D$6:$D$532,$F$196,'参考值-平台费用率分析'!$E$6:$E$532,$G$196,'参考值-平台费用率分析'!$AR$6:$AR$532,"已导入实际")=0,$J196,IFERROR(SUMIFS('参考值-平台费用率分析'!$AO$6:$AO$532,'参考值-平台费用率分析'!$A$6:$A$532,"分销",'参考值-平台费用率分析'!$C$6:$C$532,$E$196,'参考值-平台费用率分析'!$D$6:$D$532,$F$196,'参考值-平台费用率分析'!$E$6:$E$532,$G$196,'参考值-平台费用率分析'!$AR$6:$AR$532,"已导入实际")/SUMIFS('参考值-平台费用率分析'!$AP$6:$AP$532,'参考值-平台费用率分析'!$A$6:$A$532,"分销",'参考值-平台费用率分析'!$C$6:$C$532,$E$196,'参考值-平台费用率分析'!$D$6:$D$532,$F$196,'参考值-平台费用率分析'!$E$6:$E$532,$G$196,'参考值-平台费用率分析'!$AR$6:$AR$532,"已导入实际"),$J196)))</f>
        <v>0</v>
      </c>
      <c r="U196" s="354">
        <f>IF(AJ196&lt;&gt;"",AJ196,IF(COUNTIFS('参考值-平台费用率分析'!$A$6:$A$532,"分销",'参考值-平台费用率分析'!$C$6:$C$532,$E$196,'参考值-平台费用率分析'!$D$6:$D$532,$F$196,'参考值-平台费用率分析'!$E$6:$E$532,$G$196,'参考值-平台费用率分析'!$AV$6:$AV$532,"已导入实际")=0,$J196,IFERROR(SUMIFS('参考值-平台费用率分析'!$AS$6:$AS$532,'参考值-平台费用率分析'!$A$6:$A$532,"分销",'参考值-平台费用率分析'!$C$6:$C$532,$E$196,'参考值-平台费用率分析'!$D$6:$D$532,$F$196,'参考值-平台费用率分析'!$E$6:$E$532,$G$196,'参考值-平台费用率分析'!$AV$6:$AV$532,"已导入实际")/SUMIFS('参考值-平台费用率分析'!$AT$6:$AT$532,'参考值-平台费用率分析'!$A$6:$A$532,"分销",'参考值-平台费用率分析'!$C$6:$C$532,$E$196,'参考值-平台费用率分析'!$D$6:$D$532,$F$196,'参考值-平台费用率分析'!$E$6:$E$532,$G$196,'参考值-平台费用率分析'!$AV$6:$AV$532,"已导入实际"),$J196)))</f>
        <v>0</v>
      </c>
      <c r="V196" s="354">
        <f>IF(AK196&lt;&gt;"",AK196,IF(COUNTIFS('参考值-平台费用率分析'!$A$6:$A$532,"分销",'参考值-平台费用率分析'!$C$6:$C$532,$E$196,'参考值-平台费用率分析'!$D$6:$D$532,$F$196,'参考值-平台费用率分析'!$E$6:$E$532,$G$196,'参考值-平台费用率分析'!$AZ$6:$AZ$532,"已导入实际")=0,$J196,IFERROR(SUMIFS('参考值-平台费用率分析'!$AW$6:$AW$532,'参考值-平台费用率分析'!$A$6:$A$532,"分销",'参考值-平台费用率分析'!$C$6:$C$532,$E$196,'参考值-平台费用率分析'!$D$6:$D$532,$F$196,'参考值-平台费用率分析'!$E$6:$E$532,$G$196,'参考值-平台费用率分析'!$AZ$6:$AZ$532,"已导入实际")/SUMIFS('参考值-平台费用率分析'!$AX$6:$AX$532,'参考值-平台费用率分析'!$A$6:$A$532,"分销",'参考值-平台费用率分析'!$C$6:$C$532,$E$196,'参考值-平台费用率分析'!$D$6:$D$532,$F$196,'参考值-平台费用率分析'!$E$6:$E$532,$G$196,'参考值-平台费用率分析'!$AZ$6:$AZ$532,"已导入实际"),$J196)))</f>
        <v>0</v>
      </c>
      <c r="W196" s="354">
        <f t="shared" si="29"/>
        <v>0</v>
      </c>
      <c r="Z196" s="155"/>
      <c r="AA196" s="155"/>
      <c r="AB196" s="155"/>
      <c r="AC196" s="155"/>
      <c r="AD196" s="155"/>
      <c r="AE196" s="155"/>
      <c r="AF196" s="155"/>
      <c r="AG196" s="155"/>
      <c r="AH196" s="155"/>
      <c r="AI196" s="155"/>
      <c r="AJ196" s="155"/>
      <c r="AK196" s="155"/>
    </row>
    <row r="197" spans="4:37">
      <c r="D197" s="67" t="s">
        <v>65</v>
      </c>
      <c r="E197" s="336" t="s">
        <v>52</v>
      </c>
      <c r="F197" s="336" t="s">
        <v>65</v>
      </c>
      <c r="G197" s="336" t="s">
        <v>66</v>
      </c>
      <c r="J197" s="354">
        <f t="shared" ref="J197:V197" si="30">SUM(J198:J201)</f>
        <v>0</v>
      </c>
      <c r="K197" s="354">
        <f t="shared" si="30"/>
        <v>0</v>
      </c>
      <c r="L197" s="354">
        <f t="shared" si="30"/>
        <v>0</v>
      </c>
      <c r="M197" s="354">
        <f t="shared" si="30"/>
        <v>0</v>
      </c>
      <c r="N197" s="354">
        <f t="shared" si="30"/>
        <v>0</v>
      </c>
      <c r="O197" s="354">
        <f t="shared" si="30"/>
        <v>0</v>
      </c>
      <c r="P197" s="354">
        <f t="shared" si="30"/>
        <v>0</v>
      </c>
      <c r="Q197" s="354">
        <f t="shared" si="30"/>
        <v>0</v>
      </c>
      <c r="R197" s="354">
        <f t="shared" si="30"/>
        <v>0</v>
      </c>
      <c r="S197" s="354">
        <f t="shared" si="30"/>
        <v>0</v>
      </c>
      <c r="T197" s="354">
        <f t="shared" si="30"/>
        <v>0</v>
      </c>
      <c r="U197" s="354">
        <f t="shared" si="30"/>
        <v>0</v>
      </c>
      <c r="V197" s="354">
        <f t="shared" si="30"/>
        <v>0</v>
      </c>
      <c r="W197" s="354">
        <f t="shared" si="29"/>
        <v>0</v>
      </c>
      <c r="Z197" s="155"/>
      <c r="AA197" s="155"/>
      <c r="AB197" s="155"/>
      <c r="AC197" s="155"/>
      <c r="AD197" s="155"/>
      <c r="AE197" s="155"/>
      <c r="AF197" s="155"/>
      <c r="AG197" s="155"/>
      <c r="AH197" s="155"/>
      <c r="AI197" s="155"/>
      <c r="AJ197" s="155"/>
      <c r="AK197" s="155"/>
    </row>
    <row r="198" spans="4:37">
      <c r="E198" s="336" t="s">
        <v>52</v>
      </c>
      <c r="F198" s="336" t="s">
        <v>65</v>
      </c>
      <c r="G198" s="336" t="s">
        <v>66</v>
      </c>
      <c r="J198" s="354">
        <f>IF(COUNTIFS('参考值-平台费用率分析'!$A$6:$A$532,"分销",'参考值-平台费用率分析'!$C$6:$C$532,$E$198,'参考值-平台费用率分析'!$D$6:$D$532,$F$198,'参考值-平台费用率分析'!$E$6:$E$532,$G$198,'参考值-平台费用率分析'!$Z$6:$Z$532,"&lt;&gt;")=0,"",IFERROR(SUMIFS('参考值-平台费用率分析'!$Z$6:$Z$532,'参考值-平台费用率分析'!$A$6:$A$532,"分销",'参考值-平台费用率分析'!$C$6:$C$532,$E$198,'参考值-平台费用率分析'!$D$6:$D$532,$F$198,'参考值-平台费用率分析'!$E$6:$E$532,$G$198)/SUMIFS('参考值-平台费用率分析'!$AA$6:$AA$532,'参考值-平台费用率分析'!$A$6:$A$532,"分销",'参考值-平台费用率分析'!$C$6:$C$532,$E$198,'参考值-平台费用率分析'!$D$6:$D$532,$F$198,'参考值-平台费用率分析'!$E$6:$E$532,$G$198),""))</f>
        <v>0</v>
      </c>
      <c r="K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H$6:$H$532,"&lt;&gt;")=0,"",IFERROR(SUMIFS('参考值-平台费用率分析'!$H$6:$H$532,'参考值-平台费用率分析'!$A$6:$A$532,"分销",'参考值-平台费用率分析'!$C$6:$C$532,$E$198,'参考值-平台费用率分析'!$D$6:$D$532,$F$198,'参考值-平台费用率分析'!$E$6:$E$532,$G$198)/SUMIFS('参考值-平台费用率分析'!$I$6:$I$532,'参考值-平台费用率分析'!$A$6:$A$532,"分销",'参考值-平台费用率分析'!$C$6:$C$532,$E$198,'参考值-平台费用率分析'!$D$6:$D$532,$F$198,'参考值-平台费用率分析'!$E$6:$E$532,$G$198),""))</f>
        <v/>
      </c>
      <c r="L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K$6:$K$532,"&lt;&gt;")=0,"",IFERROR(SUMIFS('参考值-平台费用率分析'!$K$6:$K$532,'参考值-平台费用率分析'!$A$6:$A$532,"分销",'参考值-平台费用率分析'!$C$6:$C$532,$E$198,'参考值-平台费用率分析'!$D$6:$D$532,$F$198,'参考值-平台费用率分析'!$E$6:$E$532,$G$198)/SUMIFS('参考值-平台费用率分析'!$L$6:$L$532,'参考值-平台费用率分析'!$A$6:$A$532,"分销",'参考值-平台费用率分析'!$C$6:$C$532,$E$198,'参考值-平台费用率分析'!$D$6:$D$532,$F$198,'参考值-平台费用率分析'!$E$6:$E$532,$G$198),""))</f>
        <v/>
      </c>
      <c r="M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N$6:$N$532,"&lt;&gt;")=0,"",IFERROR(SUMIFS('参考值-平台费用率分析'!$N$6:$N$532,'参考值-平台费用率分析'!$A$6:$A$532,"分销",'参考值-平台费用率分析'!$C$6:$C$532,$E$198,'参考值-平台费用率分析'!$D$6:$D$532,$F$198,'参考值-平台费用率分析'!$E$6:$E$532,$G$198)/SUMIFS('参考值-平台费用率分析'!$O$6:$O$532,'参考值-平台费用率分析'!$A$6:$A$532,"分销",'参考值-平台费用率分析'!$C$6:$C$532,$E$198,'参考值-平台费用率分析'!$D$6:$D$532,$F$198,'参考值-平台费用率分析'!$E$6:$E$532,$G$198),""))</f>
        <v/>
      </c>
      <c r="N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Q$6:$Q$532,"&lt;&gt;")=0,"",IFERROR(SUMIFS('参考值-平台费用率分析'!$Q$6:$Q$532,'参考值-平台费用率分析'!$A$6:$A$532,"分销",'参考值-平台费用率分析'!$C$6:$C$532,$E$198,'参考值-平台费用率分析'!$D$6:$D$532,$F$198,'参考值-平台费用率分析'!$E$6:$E$532,$G$198)/SUMIFS('参考值-平台费用率分析'!$R$6:$R$532,'参考值-平台费用率分析'!$A$6:$A$532,"分销",'参考值-平台费用率分析'!$C$6:$C$532,$E$198,'参考值-平台费用率分析'!$D$6:$D$532,$F$198,'参考值-平台费用率分析'!$E$6:$E$532,$G$198),""))</f>
        <v/>
      </c>
      <c r="O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T$6:$T$532,"&lt;&gt;")=0,"",IFERROR(SUMIFS('参考值-平台费用率分析'!$T$6:$T$532,'参考值-平台费用率分析'!$A$6:$A$532,"分销",'参考值-平台费用率分析'!$C$6:$C$532,$E$198,'参考值-平台费用率分析'!$D$6:$D$532,$F$198,'参考值-平台费用率分析'!$E$6:$E$532,$G$198)/SUMIFS('参考值-平台费用率分析'!$U$6:$U$532,'参考值-平台费用率分析'!$A$6:$A$532,"分销",'参考值-平台费用率分析'!$C$6:$C$532,$E$198,'参考值-平台费用率分析'!$D$6:$D$532,$F$198,'参考值-平台费用率分析'!$E$6:$E$532,$G$198),""))</f>
        <v/>
      </c>
      <c r="P198" s="354" t="str">
        <f>IF(COUNTIFS('参考值-平台费用率分析'!$A$6:$A$532,"分销",'参考值-平台费用率分析'!$C$6:$C$532,$E$198,'参考值-平台费用率分析'!$D$6:$D$532,$F$198,'参考值-平台费用率分析'!$E$6:$E$532,$G$198,'参考值-平台费用率分析'!$W$6:$W$532,"&lt;&gt;")=0,"",IFERROR(SUMIFS('参考值-平台费用率分析'!$W$6:$W$532,'参考值-平台费用率分析'!$A$6:$A$532,"分销",'参考值-平台费用率分析'!$C$6:$C$532,$E$198,'参考值-平台费用率分析'!$D$6:$D$532,$F$198,'参考值-平台费用率分析'!$E$6:$E$532,$G$198)/SUMIFS('参考值-平台费用率分析'!$X$6:$X$532,'参考值-平台费用率分析'!$A$6:$A$532,"分销",'参考值-平台费用率分析'!$C$6:$C$532,$E$198,'参考值-平台费用率分析'!$D$6:$D$532,$F$198,'参考值-平台费用率分析'!$E$6:$E$532,$G$198),""))</f>
        <v/>
      </c>
      <c r="Q198" s="354">
        <f>IF(AF198&lt;&gt;"",AF198,IF(COUNTIFS('参考值-平台费用率分析'!$A$6:$A$532,"分销",'参考值-平台费用率分析'!$C$6:$C$532,$E$198,'参考值-平台费用率分析'!$D$6:$D$532,$F$198,'参考值-平台费用率分析'!$E$6:$E$532,$G$198,'参考值-平台费用率分析'!$AF$6:$AF$532,"已导入实际")=0,$J198,IFERROR(SUMIFS('参考值-平台费用率分析'!$AC$6:$AC$532,'参考值-平台费用率分析'!$A$6:$A$532,"分销",'参考值-平台费用率分析'!$C$6:$C$532,$E$198,'参考值-平台费用率分析'!$D$6:$D$532,$F$198,'参考值-平台费用率分析'!$E$6:$E$532,$G$198,'参考值-平台费用率分析'!$AF$6:$AF$532,"已导入实际")/SUMIFS('参考值-平台费用率分析'!$AD$6:$AD$532,'参考值-平台费用率分析'!$A$6:$A$532,"分销",'参考值-平台费用率分析'!$C$6:$C$532,$E$198,'参考值-平台费用率分析'!$D$6:$D$532,$F$198,'参考值-平台费用率分析'!$E$6:$E$532,$G$198,'参考值-平台费用率分析'!$AF$6:$AF$532,"已导入实际"),$J198)))</f>
        <v>0</v>
      </c>
      <c r="R198" s="354">
        <f>IF(AG198&lt;&gt;"",AG198,IF(COUNTIFS('参考值-平台费用率分析'!$A$6:$A$532,"分销",'参考值-平台费用率分析'!$C$6:$C$532,$E$198,'参考值-平台费用率分析'!$D$6:$D$532,$F$198,'参考值-平台费用率分析'!$E$6:$E$532,$G$198,'参考值-平台费用率分析'!$AJ$6:$AJ$532,"已导入实际")=0,$J198,IFERROR(SUMIFS('参考值-平台费用率分析'!$AG$6:$AG$532,'参考值-平台费用率分析'!$A$6:$A$532,"分销",'参考值-平台费用率分析'!$C$6:$C$532,$E$198,'参考值-平台费用率分析'!$D$6:$D$532,$F$198,'参考值-平台费用率分析'!$E$6:$E$532,$G$198,'参考值-平台费用率分析'!$AJ$6:$AJ$532,"已导入实际")/SUMIFS('参考值-平台费用率分析'!$AH$6:$AH$532,'参考值-平台费用率分析'!$A$6:$A$532,"分销",'参考值-平台费用率分析'!$C$6:$C$532,$E$198,'参考值-平台费用率分析'!$D$6:$D$532,$F$198,'参考值-平台费用率分析'!$E$6:$E$532,$G$198,'参考值-平台费用率分析'!$AJ$6:$AJ$532,"已导入实际"),$J198)))</f>
        <v>0</v>
      </c>
      <c r="S198" s="354">
        <f>IF(AH198&lt;&gt;"",AH198,IF(COUNTIFS('参考值-平台费用率分析'!$A$6:$A$532,"分销",'参考值-平台费用率分析'!$C$6:$C$532,$E$198,'参考值-平台费用率分析'!$D$6:$D$532,$F$198,'参考值-平台费用率分析'!$E$6:$E$532,$G$198,'参考值-平台费用率分析'!$AN$6:$AN$532,"已导入实际")=0,$J198,IFERROR(SUMIFS('参考值-平台费用率分析'!$AK$6:$AK$532,'参考值-平台费用率分析'!$A$6:$A$532,"分销",'参考值-平台费用率分析'!$C$6:$C$532,$E$198,'参考值-平台费用率分析'!$D$6:$D$532,$F$198,'参考值-平台费用率分析'!$E$6:$E$532,$G$198,'参考值-平台费用率分析'!$AN$6:$AN$532,"已导入实际")/SUMIFS('参考值-平台费用率分析'!$AL$6:$AL$532,'参考值-平台费用率分析'!$A$6:$A$532,"分销",'参考值-平台费用率分析'!$C$6:$C$532,$E$198,'参考值-平台费用率分析'!$D$6:$D$532,$F$198,'参考值-平台费用率分析'!$E$6:$E$532,$G$198,'参考值-平台费用率分析'!$AN$6:$AN$532,"已导入实际"),$J198)))</f>
        <v>0</v>
      </c>
      <c r="T198" s="354">
        <f>IF(AI198&lt;&gt;"",AI198,IF(COUNTIFS('参考值-平台费用率分析'!$A$6:$A$532,"分销",'参考值-平台费用率分析'!$C$6:$C$532,$E$198,'参考值-平台费用率分析'!$D$6:$D$532,$F$198,'参考值-平台费用率分析'!$E$6:$E$532,$G$198,'参考值-平台费用率分析'!$AR$6:$AR$532,"已导入实际")=0,$J198,IFERROR(SUMIFS('参考值-平台费用率分析'!$AO$6:$AO$532,'参考值-平台费用率分析'!$A$6:$A$532,"分销",'参考值-平台费用率分析'!$C$6:$C$532,$E$198,'参考值-平台费用率分析'!$D$6:$D$532,$F$198,'参考值-平台费用率分析'!$E$6:$E$532,$G$198,'参考值-平台费用率分析'!$AR$6:$AR$532,"已导入实际")/SUMIFS('参考值-平台费用率分析'!$AP$6:$AP$532,'参考值-平台费用率分析'!$A$6:$A$532,"分销",'参考值-平台费用率分析'!$C$6:$C$532,$E$198,'参考值-平台费用率分析'!$D$6:$D$532,$F$198,'参考值-平台费用率分析'!$E$6:$E$532,$G$198,'参考值-平台费用率分析'!$AR$6:$AR$532,"已导入实际"),$J198)))</f>
        <v>0</v>
      </c>
      <c r="U198" s="354">
        <f>IF(AJ198&lt;&gt;"",AJ198,IF(COUNTIFS('参考值-平台费用率分析'!$A$6:$A$532,"分销",'参考值-平台费用率分析'!$C$6:$C$532,$E$198,'参考值-平台费用率分析'!$D$6:$D$532,$F$198,'参考值-平台费用率分析'!$E$6:$E$532,$G$198,'参考值-平台费用率分析'!$AV$6:$AV$532,"已导入实际")=0,$J198,IFERROR(SUMIFS('参考值-平台费用率分析'!$AS$6:$AS$532,'参考值-平台费用率分析'!$A$6:$A$532,"分销",'参考值-平台费用率分析'!$C$6:$C$532,$E$198,'参考值-平台费用率分析'!$D$6:$D$532,$F$198,'参考值-平台费用率分析'!$E$6:$E$532,$G$198,'参考值-平台费用率分析'!$AV$6:$AV$532,"已导入实际")/SUMIFS('参考值-平台费用率分析'!$AT$6:$AT$532,'参考值-平台费用率分析'!$A$6:$A$532,"分销",'参考值-平台费用率分析'!$C$6:$C$532,$E$198,'参考值-平台费用率分析'!$D$6:$D$532,$F$198,'参考值-平台费用率分析'!$E$6:$E$532,$G$198,'参考值-平台费用率分析'!$AV$6:$AV$532,"已导入实际"),$J198)))</f>
        <v>0</v>
      </c>
      <c r="V198" s="354">
        <f>IF(AK198&lt;&gt;"",AK198,IF(COUNTIFS('参考值-平台费用率分析'!$A$6:$A$532,"分销",'参考值-平台费用率分析'!$C$6:$C$532,$E$198,'参考值-平台费用率分析'!$D$6:$D$532,$F$198,'参考值-平台费用率分析'!$E$6:$E$532,$G$198,'参考值-平台费用率分析'!$AZ$6:$AZ$532,"已导入实际")=0,$J198,IFERROR(SUMIFS('参考值-平台费用率分析'!$AW$6:$AW$532,'参考值-平台费用率分析'!$A$6:$A$532,"分销",'参考值-平台费用率分析'!$C$6:$C$532,$E$198,'参考值-平台费用率分析'!$D$6:$D$532,$F$198,'参考值-平台费用率分析'!$E$6:$E$532,$G$198,'参考值-平台费用率分析'!$AZ$6:$AZ$532,"已导入实际")/SUMIFS('参考值-平台费用率分析'!$AX$6:$AX$532,'参考值-平台费用率分析'!$A$6:$A$532,"分销",'参考值-平台费用率分析'!$C$6:$C$532,$E$198,'参考值-平台费用率分析'!$D$6:$D$532,$F$198,'参考值-平台费用率分析'!$E$6:$E$532,$G$198,'参考值-平台费用率分析'!$AZ$6:$AZ$532,"已导入实际"),$J198)))</f>
        <v>0</v>
      </c>
      <c r="W198" s="354">
        <f t="shared" si="29"/>
        <v>0</v>
      </c>
      <c r="Z198" s="155"/>
      <c r="AA198" s="155"/>
      <c r="AB198" s="155"/>
      <c r="AC198" s="155"/>
      <c r="AD198" s="155"/>
      <c r="AE198" s="155"/>
      <c r="AF198" s="155"/>
      <c r="AG198" s="155"/>
      <c r="AH198" s="155"/>
      <c r="AI198" s="155"/>
      <c r="AJ198" s="155"/>
      <c r="AK198" s="155"/>
    </row>
    <row r="199" spans="4:37">
      <c r="E199" s="336" t="s">
        <v>52</v>
      </c>
      <c r="F199" s="336" t="s">
        <v>65</v>
      </c>
      <c r="G199" s="336" t="s">
        <v>67</v>
      </c>
      <c r="J199" s="354">
        <f>IF(COUNTIFS('参考值-平台费用率分析'!$A$6:$A$532,"分销",'参考值-平台费用率分析'!$C$6:$C$532,$E$199,'参考值-平台费用率分析'!$D$6:$D$532,$F$199,'参考值-平台费用率分析'!$E$6:$E$532,$G$199,'参考值-平台费用率分析'!$Z$6:$Z$532,"&lt;&gt;")=0,"",IFERROR(SUMIFS('参考值-平台费用率分析'!$Z$6:$Z$532,'参考值-平台费用率分析'!$A$6:$A$532,"分销",'参考值-平台费用率分析'!$C$6:$C$532,$E$199,'参考值-平台费用率分析'!$D$6:$D$532,$F$199,'参考值-平台费用率分析'!$E$6:$E$532,$G$199)/SUMIFS('参考值-平台费用率分析'!$AA$6:$AA$532,'参考值-平台费用率分析'!$A$6:$A$532,"分销",'参考值-平台费用率分析'!$C$6:$C$532,$E$199,'参考值-平台费用率分析'!$D$6:$D$532,$F$199,'参考值-平台费用率分析'!$E$6:$E$532,$G$199),""))</f>
        <v>0</v>
      </c>
      <c r="K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H$6:$H$532,"&lt;&gt;")=0,"",IFERROR(SUMIFS('参考值-平台费用率分析'!$H$6:$H$532,'参考值-平台费用率分析'!$A$6:$A$532,"分销",'参考值-平台费用率分析'!$C$6:$C$532,$E$199,'参考值-平台费用率分析'!$D$6:$D$532,$F$199,'参考值-平台费用率分析'!$E$6:$E$532,$G$199)/SUMIFS('参考值-平台费用率分析'!$I$6:$I$532,'参考值-平台费用率分析'!$A$6:$A$532,"分销",'参考值-平台费用率分析'!$C$6:$C$532,$E$199,'参考值-平台费用率分析'!$D$6:$D$532,$F$199,'参考值-平台费用率分析'!$E$6:$E$532,$G$199),""))</f>
        <v/>
      </c>
      <c r="L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K$6:$K$532,"&lt;&gt;")=0,"",IFERROR(SUMIFS('参考值-平台费用率分析'!$K$6:$K$532,'参考值-平台费用率分析'!$A$6:$A$532,"分销",'参考值-平台费用率分析'!$C$6:$C$532,$E$199,'参考值-平台费用率分析'!$D$6:$D$532,$F$199,'参考值-平台费用率分析'!$E$6:$E$532,$G$199)/SUMIFS('参考值-平台费用率分析'!$L$6:$L$532,'参考值-平台费用率分析'!$A$6:$A$532,"分销",'参考值-平台费用率分析'!$C$6:$C$532,$E$199,'参考值-平台费用率分析'!$D$6:$D$532,$F$199,'参考值-平台费用率分析'!$E$6:$E$532,$G$199),""))</f>
        <v/>
      </c>
      <c r="M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N$6:$N$532,"&lt;&gt;")=0,"",IFERROR(SUMIFS('参考值-平台费用率分析'!$N$6:$N$532,'参考值-平台费用率分析'!$A$6:$A$532,"分销",'参考值-平台费用率分析'!$C$6:$C$532,$E$199,'参考值-平台费用率分析'!$D$6:$D$532,$F$199,'参考值-平台费用率分析'!$E$6:$E$532,$G$199)/SUMIFS('参考值-平台费用率分析'!$O$6:$O$532,'参考值-平台费用率分析'!$A$6:$A$532,"分销",'参考值-平台费用率分析'!$C$6:$C$532,$E$199,'参考值-平台费用率分析'!$D$6:$D$532,$F$199,'参考值-平台费用率分析'!$E$6:$E$532,$G$199),""))</f>
        <v/>
      </c>
      <c r="N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Q$6:$Q$532,"&lt;&gt;")=0,"",IFERROR(SUMIFS('参考值-平台费用率分析'!$Q$6:$Q$532,'参考值-平台费用率分析'!$A$6:$A$532,"分销",'参考值-平台费用率分析'!$C$6:$C$532,$E$199,'参考值-平台费用率分析'!$D$6:$D$532,$F$199,'参考值-平台费用率分析'!$E$6:$E$532,$G$199)/SUMIFS('参考值-平台费用率分析'!$R$6:$R$532,'参考值-平台费用率分析'!$A$6:$A$532,"分销",'参考值-平台费用率分析'!$C$6:$C$532,$E$199,'参考值-平台费用率分析'!$D$6:$D$532,$F$199,'参考值-平台费用率分析'!$E$6:$E$532,$G$199),""))</f>
        <v/>
      </c>
      <c r="O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T$6:$T$532,"&lt;&gt;")=0,"",IFERROR(SUMIFS('参考值-平台费用率分析'!$T$6:$T$532,'参考值-平台费用率分析'!$A$6:$A$532,"分销",'参考值-平台费用率分析'!$C$6:$C$532,$E$199,'参考值-平台费用率分析'!$D$6:$D$532,$F$199,'参考值-平台费用率分析'!$E$6:$E$532,$G$199)/SUMIFS('参考值-平台费用率分析'!$U$6:$U$532,'参考值-平台费用率分析'!$A$6:$A$532,"分销",'参考值-平台费用率分析'!$C$6:$C$532,$E$199,'参考值-平台费用率分析'!$D$6:$D$532,$F$199,'参考值-平台费用率分析'!$E$6:$E$532,$G$199),""))</f>
        <v/>
      </c>
      <c r="P199" s="354" t="str">
        <f>IF(COUNTIFS('参考值-平台费用率分析'!$A$6:$A$532,"分销",'参考值-平台费用率分析'!$C$6:$C$532,$E$199,'参考值-平台费用率分析'!$D$6:$D$532,$F$199,'参考值-平台费用率分析'!$E$6:$E$532,$G$199,'参考值-平台费用率分析'!$W$6:$W$532,"&lt;&gt;")=0,"",IFERROR(SUMIFS('参考值-平台费用率分析'!$W$6:$W$532,'参考值-平台费用率分析'!$A$6:$A$532,"分销",'参考值-平台费用率分析'!$C$6:$C$532,$E$199,'参考值-平台费用率分析'!$D$6:$D$532,$F$199,'参考值-平台费用率分析'!$E$6:$E$532,$G$199)/SUMIFS('参考值-平台费用率分析'!$X$6:$X$532,'参考值-平台费用率分析'!$A$6:$A$532,"分销",'参考值-平台费用率分析'!$C$6:$C$532,$E$199,'参考值-平台费用率分析'!$D$6:$D$532,$F$199,'参考值-平台费用率分析'!$E$6:$E$532,$G$199),""))</f>
        <v/>
      </c>
      <c r="Q199" s="354">
        <f>IF(AF199&lt;&gt;"",AF199,IF(COUNTIFS('参考值-平台费用率分析'!$A$6:$A$532,"分销",'参考值-平台费用率分析'!$C$6:$C$532,$E$199,'参考值-平台费用率分析'!$D$6:$D$532,$F$199,'参考值-平台费用率分析'!$E$6:$E$532,$G$199,'参考值-平台费用率分析'!$AF$6:$AF$532,"已导入实际")=0,$J199,IFERROR(SUMIFS('参考值-平台费用率分析'!$AC$6:$AC$532,'参考值-平台费用率分析'!$A$6:$A$532,"分销",'参考值-平台费用率分析'!$C$6:$C$532,$E$199,'参考值-平台费用率分析'!$D$6:$D$532,$F$199,'参考值-平台费用率分析'!$E$6:$E$532,$G$199,'参考值-平台费用率分析'!$AF$6:$AF$532,"已导入实际")/SUMIFS('参考值-平台费用率分析'!$AD$6:$AD$532,'参考值-平台费用率分析'!$A$6:$A$532,"分销",'参考值-平台费用率分析'!$C$6:$C$532,$E$199,'参考值-平台费用率分析'!$D$6:$D$532,$F$199,'参考值-平台费用率分析'!$E$6:$E$532,$G$199,'参考值-平台费用率分析'!$AF$6:$AF$532,"已导入实际"),$J199)))</f>
        <v>0</v>
      </c>
      <c r="R199" s="354">
        <f>IF(AG199&lt;&gt;"",AG199,IF(COUNTIFS('参考值-平台费用率分析'!$A$6:$A$532,"分销",'参考值-平台费用率分析'!$C$6:$C$532,$E$199,'参考值-平台费用率分析'!$D$6:$D$532,$F$199,'参考值-平台费用率分析'!$E$6:$E$532,$G$199,'参考值-平台费用率分析'!$AJ$6:$AJ$532,"已导入实际")=0,$J199,IFERROR(SUMIFS('参考值-平台费用率分析'!$AG$6:$AG$532,'参考值-平台费用率分析'!$A$6:$A$532,"分销",'参考值-平台费用率分析'!$C$6:$C$532,$E$199,'参考值-平台费用率分析'!$D$6:$D$532,$F$199,'参考值-平台费用率分析'!$E$6:$E$532,$G$199,'参考值-平台费用率分析'!$AJ$6:$AJ$532,"已导入实际")/SUMIFS('参考值-平台费用率分析'!$AH$6:$AH$532,'参考值-平台费用率分析'!$A$6:$A$532,"分销",'参考值-平台费用率分析'!$C$6:$C$532,$E$199,'参考值-平台费用率分析'!$D$6:$D$532,$F$199,'参考值-平台费用率分析'!$E$6:$E$532,$G$199,'参考值-平台费用率分析'!$AJ$6:$AJ$532,"已导入实际"),$J199)))</f>
        <v>0</v>
      </c>
      <c r="S199" s="354">
        <f>IF(AH199&lt;&gt;"",AH199,IF(COUNTIFS('参考值-平台费用率分析'!$A$6:$A$532,"分销",'参考值-平台费用率分析'!$C$6:$C$532,$E$199,'参考值-平台费用率分析'!$D$6:$D$532,$F$199,'参考值-平台费用率分析'!$E$6:$E$532,$G$199,'参考值-平台费用率分析'!$AN$6:$AN$532,"已导入实际")=0,$J199,IFERROR(SUMIFS('参考值-平台费用率分析'!$AK$6:$AK$532,'参考值-平台费用率分析'!$A$6:$A$532,"分销",'参考值-平台费用率分析'!$C$6:$C$532,$E$199,'参考值-平台费用率分析'!$D$6:$D$532,$F$199,'参考值-平台费用率分析'!$E$6:$E$532,$G$199,'参考值-平台费用率分析'!$AN$6:$AN$532,"已导入实际")/SUMIFS('参考值-平台费用率分析'!$AL$6:$AL$532,'参考值-平台费用率分析'!$A$6:$A$532,"分销",'参考值-平台费用率分析'!$C$6:$C$532,$E$199,'参考值-平台费用率分析'!$D$6:$D$532,$F$199,'参考值-平台费用率分析'!$E$6:$E$532,$G$199,'参考值-平台费用率分析'!$AN$6:$AN$532,"已导入实际"),$J199)))</f>
        <v>0</v>
      </c>
      <c r="T199" s="354">
        <f>IF(AI199&lt;&gt;"",AI199,IF(COUNTIFS('参考值-平台费用率分析'!$A$6:$A$532,"分销",'参考值-平台费用率分析'!$C$6:$C$532,$E$199,'参考值-平台费用率分析'!$D$6:$D$532,$F$199,'参考值-平台费用率分析'!$E$6:$E$532,$G$199,'参考值-平台费用率分析'!$AR$6:$AR$532,"已导入实际")=0,$J199,IFERROR(SUMIFS('参考值-平台费用率分析'!$AO$6:$AO$532,'参考值-平台费用率分析'!$A$6:$A$532,"分销",'参考值-平台费用率分析'!$C$6:$C$532,$E$199,'参考值-平台费用率分析'!$D$6:$D$532,$F$199,'参考值-平台费用率分析'!$E$6:$E$532,$G$199,'参考值-平台费用率分析'!$AR$6:$AR$532,"已导入实际")/SUMIFS('参考值-平台费用率分析'!$AP$6:$AP$532,'参考值-平台费用率分析'!$A$6:$A$532,"分销",'参考值-平台费用率分析'!$C$6:$C$532,$E$199,'参考值-平台费用率分析'!$D$6:$D$532,$F$199,'参考值-平台费用率分析'!$E$6:$E$532,$G$199,'参考值-平台费用率分析'!$AR$6:$AR$532,"已导入实际"),$J199)))</f>
        <v>0</v>
      </c>
      <c r="U199" s="354">
        <f>IF(AJ199&lt;&gt;"",AJ199,IF(COUNTIFS('参考值-平台费用率分析'!$A$6:$A$532,"分销",'参考值-平台费用率分析'!$C$6:$C$532,$E$199,'参考值-平台费用率分析'!$D$6:$D$532,$F$199,'参考值-平台费用率分析'!$E$6:$E$532,$G$199,'参考值-平台费用率分析'!$AV$6:$AV$532,"已导入实际")=0,$J199,IFERROR(SUMIFS('参考值-平台费用率分析'!$AS$6:$AS$532,'参考值-平台费用率分析'!$A$6:$A$532,"分销",'参考值-平台费用率分析'!$C$6:$C$532,$E$199,'参考值-平台费用率分析'!$D$6:$D$532,$F$199,'参考值-平台费用率分析'!$E$6:$E$532,$G$199,'参考值-平台费用率分析'!$AV$6:$AV$532,"已导入实际")/SUMIFS('参考值-平台费用率分析'!$AT$6:$AT$532,'参考值-平台费用率分析'!$A$6:$A$532,"分销",'参考值-平台费用率分析'!$C$6:$C$532,$E$199,'参考值-平台费用率分析'!$D$6:$D$532,$F$199,'参考值-平台费用率分析'!$E$6:$E$532,$G$199,'参考值-平台费用率分析'!$AV$6:$AV$532,"已导入实际"),$J199)))</f>
        <v>0</v>
      </c>
      <c r="V199" s="354">
        <f>IF(AK199&lt;&gt;"",AK199,IF(COUNTIFS('参考值-平台费用率分析'!$A$6:$A$532,"分销",'参考值-平台费用率分析'!$C$6:$C$532,$E$199,'参考值-平台费用率分析'!$D$6:$D$532,$F$199,'参考值-平台费用率分析'!$E$6:$E$532,$G$199,'参考值-平台费用率分析'!$AZ$6:$AZ$532,"已导入实际")=0,$J199,IFERROR(SUMIFS('参考值-平台费用率分析'!$AW$6:$AW$532,'参考值-平台费用率分析'!$A$6:$A$532,"分销",'参考值-平台费用率分析'!$C$6:$C$532,$E$199,'参考值-平台费用率分析'!$D$6:$D$532,$F$199,'参考值-平台费用率分析'!$E$6:$E$532,$G$199,'参考值-平台费用率分析'!$AZ$6:$AZ$532,"已导入实际")/SUMIFS('参考值-平台费用率分析'!$AX$6:$AX$532,'参考值-平台费用率分析'!$A$6:$A$532,"分销",'参考值-平台费用率分析'!$C$6:$C$532,$E$199,'参考值-平台费用率分析'!$D$6:$D$532,$F$199,'参考值-平台费用率分析'!$E$6:$E$532,$G$199,'参考值-平台费用率分析'!$AZ$6:$AZ$532,"已导入实际"),$J199)))</f>
        <v>0</v>
      </c>
      <c r="W199" s="354">
        <f t="shared" si="29"/>
        <v>0</v>
      </c>
      <c r="Z199" s="155"/>
      <c r="AA199" s="155"/>
      <c r="AB199" s="155"/>
      <c r="AC199" s="155"/>
      <c r="AD199" s="155"/>
      <c r="AE199" s="155"/>
      <c r="AF199" s="155"/>
      <c r="AG199" s="155"/>
      <c r="AH199" s="155"/>
      <c r="AI199" s="155"/>
      <c r="AJ199" s="155"/>
      <c r="AK199" s="155"/>
    </row>
    <row r="200" spans="4:37">
      <c r="E200" s="336" t="s">
        <v>52</v>
      </c>
      <c r="F200" s="336" t="s">
        <v>65</v>
      </c>
      <c r="G200" s="336" t="s">
        <v>68</v>
      </c>
      <c r="J200" s="354">
        <f>IF(COUNTIFS('参考值-平台费用率分析'!$A$6:$A$532,"分销",'参考值-平台费用率分析'!$C$6:$C$532,$E$200,'参考值-平台费用率分析'!$D$6:$D$532,$F$200,'参考值-平台费用率分析'!$E$6:$E$532,$G$200,'参考值-平台费用率分析'!$Z$6:$Z$532,"&lt;&gt;")=0,"",IFERROR(SUMIFS('参考值-平台费用率分析'!$Z$6:$Z$532,'参考值-平台费用率分析'!$A$6:$A$532,"分销",'参考值-平台费用率分析'!$C$6:$C$532,$E$200,'参考值-平台费用率分析'!$D$6:$D$532,$F$200,'参考值-平台费用率分析'!$E$6:$E$532,$G$200)/SUMIFS('参考值-平台费用率分析'!$AA$6:$AA$532,'参考值-平台费用率分析'!$A$6:$A$532,"分销",'参考值-平台费用率分析'!$C$6:$C$532,$E$200,'参考值-平台费用率分析'!$D$6:$D$532,$F$200,'参考值-平台费用率分析'!$E$6:$E$532,$G$200),""))</f>
        <v>0</v>
      </c>
      <c r="K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H$6:$H$532,"&lt;&gt;")=0,"",IFERROR(SUMIFS('参考值-平台费用率分析'!$H$6:$H$532,'参考值-平台费用率分析'!$A$6:$A$532,"分销",'参考值-平台费用率分析'!$C$6:$C$532,$E$200,'参考值-平台费用率分析'!$D$6:$D$532,$F$200,'参考值-平台费用率分析'!$E$6:$E$532,$G$200)/SUMIFS('参考值-平台费用率分析'!$I$6:$I$532,'参考值-平台费用率分析'!$A$6:$A$532,"分销",'参考值-平台费用率分析'!$C$6:$C$532,$E$200,'参考值-平台费用率分析'!$D$6:$D$532,$F$200,'参考值-平台费用率分析'!$E$6:$E$532,$G$200),""))</f>
        <v/>
      </c>
      <c r="L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K$6:$K$532,"&lt;&gt;")=0,"",IFERROR(SUMIFS('参考值-平台费用率分析'!$K$6:$K$532,'参考值-平台费用率分析'!$A$6:$A$532,"分销",'参考值-平台费用率分析'!$C$6:$C$532,$E$200,'参考值-平台费用率分析'!$D$6:$D$532,$F$200,'参考值-平台费用率分析'!$E$6:$E$532,$G$200)/SUMIFS('参考值-平台费用率分析'!$L$6:$L$532,'参考值-平台费用率分析'!$A$6:$A$532,"分销",'参考值-平台费用率分析'!$C$6:$C$532,$E$200,'参考值-平台费用率分析'!$D$6:$D$532,$F$200,'参考值-平台费用率分析'!$E$6:$E$532,$G$200),""))</f>
        <v/>
      </c>
      <c r="M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N$6:$N$532,"&lt;&gt;")=0,"",IFERROR(SUMIFS('参考值-平台费用率分析'!$N$6:$N$532,'参考值-平台费用率分析'!$A$6:$A$532,"分销",'参考值-平台费用率分析'!$C$6:$C$532,$E$200,'参考值-平台费用率分析'!$D$6:$D$532,$F$200,'参考值-平台费用率分析'!$E$6:$E$532,$G$200)/SUMIFS('参考值-平台费用率分析'!$O$6:$O$532,'参考值-平台费用率分析'!$A$6:$A$532,"分销",'参考值-平台费用率分析'!$C$6:$C$532,$E$200,'参考值-平台费用率分析'!$D$6:$D$532,$F$200,'参考值-平台费用率分析'!$E$6:$E$532,$G$200),""))</f>
        <v/>
      </c>
      <c r="N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Q$6:$Q$532,"&lt;&gt;")=0,"",IFERROR(SUMIFS('参考值-平台费用率分析'!$Q$6:$Q$532,'参考值-平台费用率分析'!$A$6:$A$532,"分销",'参考值-平台费用率分析'!$C$6:$C$532,$E$200,'参考值-平台费用率分析'!$D$6:$D$532,$F$200,'参考值-平台费用率分析'!$E$6:$E$532,$G$200)/SUMIFS('参考值-平台费用率分析'!$R$6:$R$532,'参考值-平台费用率分析'!$A$6:$A$532,"分销",'参考值-平台费用率分析'!$C$6:$C$532,$E$200,'参考值-平台费用率分析'!$D$6:$D$532,$F$200,'参考值-平台费用率分析'!$E$6:$E$532,$G$200),""))</f>
        <v/>
      </c>
      <c r="O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T$6:$T$532,"&lt;&gt;")=0,"",IFERROR(SUMIFS('参考值-平台费用率分析'!$T$6:$T$532,'参考值-平台费用率分析'!$A$6:$A$532,"分销",'参考值-平台费用率分析'!$C$6:$C$532,$E$200,'参考值-平台费用率分析'!$D$6:$D$532,$F$200,'参考值-平台费用率分析'!$E$6:$E$532,$G$200)/SUMIFS('参考值-平台费用率分析'!$U$6:$U$532,'参考值-平台费用率分析'!$A$6:$A$532,"分销",'参考值-平台费用率分析'!$C$6:$C$532,$E$200,'参考值-平台费用率分析'!$D$6:$D$532,$F$200,'参考值-平台费用率分析'!$E$6:$E$532,$G$200),""))</f>
        <v/>
      </c>
      <c r="P200" s="354" t="str">
        <f>IF(COUNTIFS('参考值-平台费用率分析'!$A$6:$A$532,"分销",'参考值-平台费用率分析'!$C$6:$C$532,$E$200,'参考值-平台费用率分析'!$D$6:$D$532,$F$200,'参考值-平台费用率分析'!$E$6:$E$532,$G$200,'参考值-平台费用率分析'!$W$6:$W$532,"&lt;&gt;")=0,"",IFERROR(SUMIFS('参考值-平台费用率分析'!$W$6:$W$532,'参考值-平台费用率分析'!$A$6:$A$532,"分销",'参考值-平台费用率分析'!$C$6:$C$532,$E$200,'参考值-平台费用率分析'!$D$6:$D$532,$F$200,'参考值-平台费用率分析'!$E$6:$E$532,$G$200)/SUMIFS('参考值-平台费用率分析'!$X$6:$X$532,'参考值-平台费用率分析'!$A$6:$A$532,"分销",'参考值-平台费用率分析'!$C$6:$C$532,$E$200,'参考值-平台费用率分析'!$D$6:$D$532,$F$200,'参考值-平台费用率分析'!$E$6:$E$532,$G$200),""))</f>
        <v/>
      </c>
      <c r="Q200" s="354">
        <f>IF(AF200&lt;&gt;"",AF200,IF(COUNTIFS('参考值-平台费用率分析'!$A$6:$A$532,"分销",'参考值-平台费用率分析'!$C$6:$C$532,$E$200,'参考值-平台费用率分析'!$D$6:$D$532,$F$200,'参考值-平台费用率分析'!$E$6:$E$532,$G$200,'参考值-平台费用率分析'!$AF$6:$AF$532,"已导入实际")=0,$J200,IFERROR(SUMIFS('参考值-平台费用率分析'!$AC$6:$AC$532,'参考值-平台费用率分析'!$A$6:$A$532,"分销",'参考值-平台费用率分析'!$C$6:$C$532,$E$200,'参考值-平台费用率分析'!$D$6:$D$532,$F$200,'参考值-平台费用率分析'!$E$6:$E$532,$G$200,'参考值-平台费用率分析'!$AF$6:$AF$532,"已导入实际")/SUMIFS('参考值-平台费用率分析'!$AD$6:$AD$532,'参考值-平台费用率分析'!$A$6:$A$532,"分销",'参考值-平台费用率分析'!$C$6:$C$532,$E$200,'参考值-平台费用率分析'!$D$6:$D$532,$F$200,'参考值-平台费用率分析'!$E$6:$E$532,$G$200,'参考值-平台费用率分析'!$AF$6:$AF$532,"已导入实际"),$J200)))</f>
        <v>0</v>
      </c>
      <c r="R200" s="354">
        <f>IF(AG200&lt;&gt;"",AG200,IF(COUNTIFS('参考值-平台费用率分析'!$A$6:$A$532,"分销",'参考值-平台费用率分析'!$C$6:$C$532,$E$200,'参考值-平台费用率分析'!$D$6:$D$532,$F$200,'参考值-平台费用率分析'!$E$6:$E$532,$G$200,'参考值-平台费用率分析'!$AJ$6:$AJ$532,"已导入实际")=0,$J200,IFERROR(SUMIFS('参考值-平台费用率分析'!$AG$6:$AG$532,'参考值-平台费用率分析'!$A$6:$A$532,"分销",'参考值-平台费用率分析'!$C$6:$C$532,$E$200,'参考值-平台费用率分析'!$D$6:$D$532,$F$200,'参考值-平台费用率分析'!$E$6:$E$532,$G$200,'参考值-平台费用率分析'!$AJ$6:$AJ$532,"已导入实际")/SUMIFS('参考值-平台费用率分析'!$AH$6:$AH$532,'参考值-平台费用率分析'!$A$6:$A$532,"分销",'参考值-平台费用率分析'!$C$6:$C$532,$E$200,'参考值-平台费用率分析'!$D$6:$D$532,$F$200,'参考值-平台费用率分析'!$E$6:$E$532,$G$200,'参考值-平台费用率分析'!$AJ$6:$AJ$532,"已导入实际"),$J200)))</f>
        <v>0</v>
      </c>
      <c r="S200" s="354">
        <f>IF(AH200&lt;&gt;"",AH200,IF(COUNTIFS('参考值-平台费用率分析'!$A$6:$A$532,"分销",'参考值-平台费用率分析'!$C$6:$C$532,$E$200,'参考值-平台费用率分析'!$D$6:$D$532,$F$200,'参考值-平台费用率分析'!$E$6:$E$532,$G$200,'参考值-平台费用率分析'!$AN$6:$AN$532,"已导入实际")=0,$J200,IFERROR(SUMIFS('参考值-平台费用率分析'!$AK$6:$AK$532,'参考值-平台费用率分析'!$A$6:$A$532,"分销",'参考值-平台费用率分析'!$C$6:$C$532,$E$200,'参考值-平台费用率分析'!$D$6:$D$532,$F$200,'参考值-平台费用率分析'!$E$6:$E$532,$G$200,'参考值-平台费用率分析'!$AN$6:$AN$532,"已导入实际")/SUMIFS('参考值-平台费用率分析'!$AL$6:$AL$532,'参考值-平台费用率分析'!$A$6:$A$532,"分销",'参考值-平台费用率分析'!$C$6:$C$532,$E$200,'参考值-平台费用率分析'!$D$6:$D$532,$F$200,'参考值-平台费用率分析'!$E$6:$E$532,$G$200,'参考值-平台费用率分析'!$AN$6:$AN$532,"已导入实际"),$J200)))</f>
        <v>0</v>
      </c>
      <c r="T200" s="354">
        <f>IF(AI200&lt;&gt;"",AI200,IF(COUNTIFS('参考值-平台费用率分析'!$A$6:$A$532,"分销",'参考值-平台费用率分析'!$C$6:$C$532,$E$200,'参考值-平台费用率分析'!$D$6:$D$532,$F$200,'参考值-平台费用率分析'!$E$6:$E$532,$G$200,'参考值-平台费用率分析'!$AR$6:$AR$532,"已导入实际")=0,$J200,IFERROR(SUMIFS('参考值-平台费用率分析'!$AO$6:$AO$532,'参考值-平台费用率分析'!$A$6:$A$532,"分销",'参考值-平台费用率分析'!$C$6:$C$532,$E$200,'参考值-平台费用率分析'!$D$6:$D$532,$F$200,'参考值-平台费用率分析'!$E$6:$E$532,$G$200,'参考值-平台费用率分析'!$AR$6:$AR$532,"已导入实际")/SUMIFS('参考值-平台费用率分析'!$AP$6:$AP$532,'参考值-平台费用率分析'!$A$6:$A$532,"分销",'参考值-平台费用率分析'!$C$6:$C$532,$E$200,'参考值-平台费用率分析'!$D$6:$D$532,$F$200,'参考值-平台费用率分析'!$E$6:$E$532,$G$200,'参考值-平台费用率分析'!$AR$6:$AR$532,"已导入实际"),$J200)))</f>
        <v>0</v>
      </c>
      <c r="U200" s="354">
        <f>IF(AJ200&lt;&gt;"",AJ200,IF(COUNTIFS('参考值-平台费用率分析'!$A$6:$A$532,"分销",'参考值-平台费用率分析'!$C$6:$C$532,$E$200,'参考值-平台费用率分析'!$D$6:$D$532,$F$200,'参考值-平台费用率分析'!$E$6:$E$532,$G$200,'参考值-平台费用率分析'!$AV$6:$AV$532,"已导入实际")=0,$J200,IFERROR(SUMIFS('参考值-平台费用率分析'!$AS$6:$AS$532,'参考值-平台费用率分析'!$A$6:$A$532,"分销",'参考值-平台费用率分析'!$C$6:$C$532,$E$200,'参考值-平台费用率分析'!$D$6:$D$532,$F$200,'参考值-平台费用率分析'!$E$6:$E$532,$G$200,'参考值-平台费用率分析'!$AV$6:$AV$532,"已导入实际")/SUMIFS('参考值-平台费用率分析'!$AT$6:$AT$532,'参考值-平台费用率分析'!$A$6:$A$532,"分销",'参考值-平台费用率分析'!$C$6:$C$532,$E$200,'参考值-平台费用率分析'!$D$6:$D$532,$F$200,'参考值-平台费用率分析'!$E$6:$E$532,$G$200,'参考值-平台费用率分析'!$AV$6:$AV$532,"已导入实际"),$J200)))</f>
        <v>0</v>
      </c>
      <c r="V200" s="354">
        <f>IF(AK200&lt;&gt;"",AK200,IF(COUNTIFS('参考值-平台费用率分析'!$A$6:$A$532,"分销",'参考值-平台费用率分析'!$C$6:$C$532,$E$200,'参考值-平台费用率分析'!$D$6:$D$532,$F$200,'参考值-平台费用率分析'!$E$6:$E$532,$G$200,'参考值-平台费用率分析'!$AZ$6:$AZ$532,"已导入实际")=0,$J200,IFERROR(SUMIFS('参考值-平台费用率分析'!$AW$6:$AW$532,'参考值-平台费用率分析'!$A$6:$A$532,"分销",'参考值-平台费用率分析'!$C$6:$C$532,$E$200,'参考值-平台费用率分析'!$D$6:$D$532,$F$200,'参考值-平台费用率分析'!$E$6:$E$532,$G$200,'参考值-平台费用率分析'!$AZ$6:$AZ$532,"已导入实际")/SUMIFS('参考值-平台费用率分析'!$AX$6:$AX$532,'参考值-平台费用率分析'!$A$6:$A$532,"分销",'参考值-平台费用率分析'!$C$6:$C$532,$E$200,'参考值-平台费用率分析'!$D$6:$D$532,$F$200,'参考值-平台费用率分析'!$E$6:$E$532,$G$200,'参考值-平台费用率分析'!$AZ$6:$AZ$532,"已导入实际"),$J200)))</f>
        <v>0</v>
      </c>
      <c r="W200" s="354">
        <f t="shared" si="29"/>
        <v>0</v>
      </c>
      <c r="Z200" s="155"/>
      <c r="AA200" s="155"/>
      <c r="AB200" s="155"/>
      <c r="AC200" s="155"/>
      <c r="AD200" s="155"/>
      <c r="AE200" s="155"/>
      <c r="AF200" s="155"/>
      <c r="AG200" s="155"/>
      <c r="AH200" s="155"/>
      <c r="AI200" s="155"/>
      <c r="AJ200" s="155"/>
      <c r="AK200" s="155"/>
    </row>
    <row r="201" spans="4:37">
      <c r="D201" s="67" t="s">
        <v>70</v>
      </c>
      <c r="E201" s="336" t="s">
        <v>52</v>
      </c>
      <c r="F201" s="336" t="s">
        <v>65</v>
      </c>
      <c r="G201" s="336" t="s">
        <v>69</v>
      </c>
      <c r="J201" s="354">
        <f>IF(COUNTIFS('参考值-平台费用率分析'!$A$6:$A$532,"分销",'参考值-平台费用率分析'!$C$6:$C$532,$E$201,'参考值-平台费用率分析'!$D$6:$D$532,$F$201,'参考值-平台费用率分析'!$E$6:$E$532,$G$201,'参考值-平台费用率分析'!$Z$6:$Z$532,"&lt;&gt;")=0,"",IFERROR(SUMIFS('参考值-平台费用率分析'!$Z$6:$Z$532,'参考值-平台费用率分析'!$A$6:$A$532,"分销",'参考值-平台费用率分析'!$C$6:$C$532,$E$201,'参考值-平台费用率分析'!$D$6:$D$532,$F$201,'参考值-平台费用率分析'!$E$6:$E$532,$G$201)/SUMIFS('参考值-平台费用率分析'!$AA$6:$AA$532,'参考值-平台费用率分析'!$A$6:$A$532,"分销",'参考值-平台费用率分析'!$C$6:$C$532,$E$201,'参考值-平台费用率分析'!$D$6:$D$532,$F$201,'参考值-平台费用率分析'!$E$6:$E$532,$G$201),""))</f>
        <v>0</v>
      </c>
      <c r="K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H$6:$H$532,"&lt;&gt;")=0,"",IFERROR(SUMIFS('参考值-平台费用率分析'!$H$6:$H$532,'参考值-平台费用率分析'!$A$6:$A$532,"分销",'参考值-平台费用率分析'!$C$6:$C$532,$E$201,'参考值-平台费用率分析'!$D$6:$D$532,$F$201,'参考值-平台费用率分析'!$E$6:$E$532,$G$201)/SUMIFS('参考值-平台费用率分析'!$I$6:$I$532,'参考值-平台费用率分析'!$A$6:$A$532,"分销",'参考值-平台费用率分析'!$C$6:$C$532,$E$201,'参考值-平台费用率分析'!$D$6:$D$532,$F$201,'参考值-平台费用率分析'!$E$6:$E$532,$G$201),""))</f>
        <v/>
      </c>
      <c r="L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K$6:$K$532,"&lt;&gt;")=0,"",IFERROR(SUMIFS('参考值-平台费用率分析'!$K$6:$K$532,'参考值-平台费用率分析'!$A$6:$A$532,"分销",'参考值-平台费用率分析'!$C$6:$C$532,$E$201,'参考值-平台费用率分析'!$D$6:$D$532,$F$201,'参考值-平台费用率分析'!$E$6:$E$532,$G$201)/SUMIFS('参考值-平台费用率分析'!$L$6:$L$532,'参考值-平台费用率分析'!$A$6:$A$532,"分销",'参考值-平台费用率分析'!$C$6:$C$532,$E$201,'参考值-平台费用率分析'!$D$6:$D$532,$F$201,'参考值-平台费用率分析'!$E$6:$E$532,$G$201),""))</f>
        <v/>
      </c>
      <c r="M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N$6:$N$532,"&lt;&gt;")=0,"",IFERROR(SUMIFS('参考值-平台费用率分析'!$N$6:$N$532,'参考值-平台费用率分析'!$A$6:$A$532,"分销",'参考值-平台费用率分析'!$C$6:$C$532,$E$201,'参考值-平台费用率分析'!$D$6:$D$532,$F$201,'参考值-平台费用率分析'!$E$6:$E$532,$G$201)/SUMIFS('参考值-平台费用率分析'!$O$6:$O$532,'参考值-平台费用率分析'!$A$6:$A$532,"分销",'参考值-平台费用率分析'!$C$6:$C$532,$E$201,'参考值-平台费用率分析'!$D$6:$D$532,$F$201,'参考值-平台费用率分析'!$E$6:$E$532,$G$201),""))</f>
        <v/>
      </c>
      <c r="N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Q$6:$Q$532,"&lt;&gt;")=0,"",IFERROR(SUMIFS('参考值-平台费用率分析'!$Q$6:$Q$532,'参考值-平台费用率分析'!$A$6:$A$532,"分销",'参考值-平台费用率分析'!$C$6:$C$532,$E$201,'参考值-平台费用率分析'!$D$6:$D$532,$F$201,'参考值-平台费用率分析'!$E$6:$E$532,$G$201)/SUMIFS('参考值-平台费用率分析'!$R$6:$R$532,'参考值-平台费用率分析'!$A$6:$A$532,"分销",'参考值-平台费用率分析'!$C$6:$C$532,$E$201,'参考值-平台费用率分析'!$D$6:$D$532,$F$201,'参考值-平台费用率分析'!$E$6:$E$532,$G$201),""))</f>
        <v/>
      </c>
      <c r="O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T$6:$T$532,"&lt;&gt;")=0,"",IFERROR(SUMIFS('参考值-平台费用率分析'!$T$6:$T$532,'参考值-平台费用率分析'!$A$6:$A$532,"分销",'参考值-平台费用率分析'!$C$6:$C$532,$E$201,'参考值-平台费用率分析'!$D$6:$D$532,$F$201,'参考值-平台费用率分析'!$E$6:$E$532,$G$201)/SUMIFS('参考值-平台费用率分析'!$U$6:$U$532,'参考值-平台费用率分析'!$A$6:$A$532,"分销",'参考值-平台费用率分析'!$C$6:$C$532,$E$201,'参考值-平台费用率分析'!$D$6:$D$532,$F$201,'参考值-平台费用率分析'!$E$6:$E$532,$G$201),""))</f>
        <v/>
      </c>
      <c r="P201" s="354" t="str">
        <f>IF(COUNTIFS('参考值-平台费用率分析'!$A$6:$A$532,"分销",'参考值-平台费用率分析'!$C$6:$C$532,$E$201,'参考值-平台费用率分析'!$D$6:$D$532,$F$201,'参考值-平台费用率分析'!$E$6:$E$532,$G$201,'参考值-平台费用率分析'!$W$6:$W$532,"&lt;&gt;")=0,"",IFERROR(SUMIFS('参考值-平台费用率分析'!$W$6:$W$532,'参考值-平台费用率分析'!$A$6:$A$532,"分销",'参考值-平台费用率分析'!$C$6:$C$532,$E$201,'参考值-平台费用率分析'!$D$6:$D$532,$F$201,'参考值-平台费用率分析'!$E$6:$E$532,$G$201)/SUMIFS('参考值-平台费用率分析'!$X$6:$X$532,'参考值-平台费用率分析'!$A$6:$A$532,"分销",'参考值-平台费用率分析'!$C$6:$C$532,$E$201,'参考值-平台费用率分析'!$D$6:$D$532,$F$201,'参考值-平台费用率分析'!$E$6:$E$532,$G$201),""))</f>
        <v/>
      </c>
      <c r="Q201" s="354">
        <f>IF(AF201&lt;&gt;"",AF201,IF(COUNTIFS('参考值-平台费用率分析'!$A$6:$A$532,"分销",'参考值-平台费用率分析'!$C$6:$C$532,$E$201,'参考值-平台费用率分析'!$D$6:$D$532,$F$201,'参考值-平台费用率分析'!$E$6:$E$532,$G$201,'参考值-平台费用率分析'!$AF$6:$AF$532,"已导入实际")=0,$J201,IFERROR(SUMIFS('参考值-平台费用率分析'!$AC$6:$AC$532,'参考值-平台费用率分析'!$A$6:$A$532,"分销",'参考值-平台费用率分析'!$C$6:$C$532,$E$201,'参考值-平台费用率分析'!$D$6:$D$532,$F$201,'参考值-平台费用率分析'!$E$6:$E$532,$G$201,'参考值-平台费用率分析'!$AF$6:$AF$532,"已导入实际")/SUMIFS('参考值-平台费用率分析'!$AD$6:$AD$532,'参考值-平台费用率分析'!$A$6:$A$532,"分销",'参考值-平台费用率分析'!$C$6:$C$532,$E$201,'参考值-平台费用率分析'!$D$6:$D$532,$F$201,'参考值-平台费用率分析'!$E$6:$E$532,$G$201,'参考值-平台费用率分析'!$AF$6:$AF$532,"已导入实际"),$J201)))</f>
        <v>0</v>
      </c>
      <c r="R201" s="354">
        <f>IF(AG201&lt;&gt;"",AG201,IF(COUNTIFS('参考值-平台费用率分析'!$A$6:$A$532,"分销",'参考值-平台费用率分析'!$C$6:$C$532,$E$201,'参考值-平台费用率分析'!$D$6:$D$532,$F$201,'参考值-平台费用率分析'!$E$6:$E$532,$G$201,'参考值-平台费用率分析'!$AJ$6:$AJ$532,"已导入实际")=0,$J201,IFERROR(SUMIFS('参考值-平台费用率分析'!$AG$6:$AG$532,'参考值-平台费用率分析'!$A$6:$A$532,"分销",'参考值-平台费用率分析'!$C$6:$C$532,$E$201,'参考值-平台费用率分析'!$D$6:$D$532,$F$201,'参考值-平台费用率分析'!$E$6:$E$532,$G$201,'参考值-平台费用率分析'!$AJ$6:$AJ$532,"已导入实际")/SUMIFS('参考值-平台费用率分析'!$AH$6:$AH$532,'参考值-平台费用率分析'!$A$6:$A$532,"分销",'参考值-平台费用率分析'!$C$6:$C$532,$E$201,'参考值-平台费用率分析'!$D$6:$D$532,$F$201,'参考值-平台费用率分析'!$E$6:$E$532,$G$201,'参考值-平台费用率分析'!$AJ$6:$AJ$532,"已导入实际"),$J201)))</f>
        <v>0</v>
      </c>
      <c r="S201" s="354">
        <f>IF(AH201&lt;&gt;"",AH201,IF(COUNTIFS('参考值-平台费用率分析'!$A$6:$A$532,"分销",'参考值-平台费用率分析'!$C$6:$C$532,$E$201,'参考值-平台费用率分析'!$D$6:$D$532,$F$201,'参考值-平台费用率分析'!$E$6:$E$532,$G$201,'参考值-平台费用率分析'!$AN$6:$AN$532,"已导入实际")=0,$J201,IFERROR(SUMIFS('参考值-平台费用率分析'!$AK$6:$AK$532,'参考值-平台费用率分析'!$A$6:$A$532,"分销",'参考值-平台费用率分析'!$C$6:$C$532,$E$201,'参考值-平台费用率分析'!$D$6:$D$532,$F$201,'参考值-平台费用率分析'!$E$6:$E$532,$G$201,'参考值-平台费用率分析'!$AN$6:$AN$532,"已导入实际")/SUMIFS('参考值-平台费用率分析'!$AL$6:$AL$532,'参考值-平台费用率分析'!$A$6:$A$532,"分销",'参考值-平台费用率分析'!$C$6:$C$532,$E$201,'参考值-平台费用率分析'!$D$6:$D$532,$F$201,'参考值-平台费用率分析'!$E$6:$E$532,$G$201,'参考值-平台费用率分析'!$AN$6:$AN$532,"已导入实际"),$J201)))</f>
        <v>0</v>
      </c>
      <c r="T201" s="354">
        <f>IF(AI201&lt;&gt;"",AI201,IF(COUNTIFS('参考值-平台费用率分析'!$A$6:$A$532,"分销",'参考值-平台费用率分析'!$C$6:$C$532,$E$201,'参考值-平台费用率分析'!$D$6:$D$532,$F$201,'参考值-平台费用率分析'!$E$6:$E$532,$G$201,'参考值-平台费用率分析'!$AR$6:$AR$532,"已导入实际")=0,$J201,IFERROR(SUMIFS('参考值-平台费用率分析'!$AO$6:$AO$532,'参考值-平台费用率分析'!$A$6:$A$532,"分销",'参考值-平台费用率分析'!$C$6:$C$532,$E$201,'参考值-平台费用率分析'!$D$6:$D$532,$F$201,'参考值-平台费用率分析'!$E$6:$E$532,$G$201,'参考值-平台费用率分析'!$AR$6:$AR$532,"已导入实际")/SUMIFS('参考值-平台费用率分析'!$AP$6:$AP$532,'参考值-平台费用率分析'!$A$6:$A$532,"分销",'参考值-平台费用率分析'!$C$6:$C$532,$E$201,'参考值-平台费用率分析'!$D$6:$D$532,$F$201,'参考值-平台费用率分析'!$E$6:$E$532,$G$201,'参考值-平台费用率分析'!$AR$6:$AR$532,"已导入实际"),$J201)))</f>
        <v>0</v>
      </c>
      <c r="U201" s="354">
        <f>IF(AJ201&lt;&gt;"",AJ201,IF(COUNTIFS('参考值-平台费用率分析'!$A$6:$A$532,"分销",'参考值-平台费用率分析'!$C$6:$C$532,$E$201,'参考值-平台费用率分析'!$D$6:$D$532,$F$201,'参考值-平台费用率分析'!$E$6:$E$532,$G$201,'参考值-平台费用率分析'!$AV$6:$AV$532,"已导入实际")=0,$J201,IFERROR(SUMIFS('参考值-平台费用率分析'!$AS$6:$AS$532,'参考值-平台费用率分析'!$A$6:$A$532,"分销",'参考值-平台费用率分析'!$C$6:$C$532,$E$201,'参考值-平台费用率分析'!$D$6:$D$532,$F$201,'参考值-平台费用率分析'!$E$6:$E$532,$G$201,'参考值-平台费用率分析'!$AV$6:$AV$532,"已导入实际")/SUMIFS('参考值-平台费用率分析'!$AT$6:$AT$532,'参考值-平台费用率分析'!$A$6:$A$532,"分销",'参考值-平台费用率分析'!$C$6:$C$532,$E$201,'参考值-平台费用率分析'!$D$6:$D$532,$F$201,'参考值-平台费用率分析'!$E$6:$E$532,$G$201,'参考值-平台费用率分析'!$AV$6:$AV$532,"已导入实际"),$J201)))</f>
        <v>0</v>
      </c>
      <c r="V201" s="354">
        <f>IF(AK201&lt;&gt;"",AK201,IF(COUNTIFS('参考值-平台费用率分析'!$A$6:$A$532,"分销",'参考值-平台费用率分析'!$C$6:$C$532,$E$201,'参考值-平台费用率分析'!$D$6:$D$532,$F$201,'参考值-平台费用率分析'!$E$6:$E$532,$G$201,'参考值-平台费用率分析'!$AZ$6:$AZ$532,"已导入实际")=0,$J201,IFERROR(SUMIFS('参考值-平台费用率分析'!$AW$6:$AW$532,'参考值-平台费用率分析'!$A$6:$A$532,"分销",'参考值-平台费用率分析'!$C$6:$C$532,$E$201,'参考值-平台费用率分析'!$D$6:$D$532,$F$201,'参考值-平台费用率分析'!$E$6:$E$532,$G$201,'参考值-平台费用率分析'!$AZ$6:$AZ$532,"已导入实际")/SUMIFS('参考值-平台费用率分析'!$AX$6:$AX$532,'参考值-平台费用率分析'!$A$6:$A$532,"分销",'参考值-平台费用率分析'!$C$6:$C$532,$E$201,'参考值-平台费用率分析'!$D$6:$D$532,$F$201,'参考值-平台费用率分析'!$E$6:$E$532,$G$201,'参考值-平台费用率分析'!$AZ$6:$AZ$532,"已导入实际"),$J201)))</f>
        <v>0</v>
      </c>
      <c r="W201" s="354">
        <f t="shared" si="29"/>
        <v>0</v>
      </c>
      <c r="Z201" s="155"/>
      <c r="AA201" s="155"/>
      <c r="AB201" s="155"/>
      <c r="AC201" s="155"/>
      <c r="AD201" s="155"/>
      <c r="AE201" s="155"/>
      <c r="AF201" s="155"/>
      <c r="AG201" s="155"/>
      <c r="AH201" s="155"/>
      <c r="AI201" s="155"/>
      <c r="AJ201" s="155"/>
      <c r="AK201" s="155"/>
    </row>
    <row r="202" spans="4:37">
      <c r="D202" s="67" t="s">
        <v>70</v>
      </c>
      <c r="E202" s="336" t="s">
        <v>52</v>
      </c>
      <c r="F202" s="336" t="s">
        <v>70</v>
      </c>
      <c r="G202" s="336" t="s">
        <v>71</v>
      </c>
      <c r="J202" s="354">
        <f t="shared" ref="J202:V202" si="31">SUM(J203:J205)</f>
        <v>2.9158098845365889E-2</v>
      </c>
      <c r="K202" s="354">
        <f t="shared" si="31"/>
        <v>2.522828765128169E-2</v>
      </c>
      <c r="L202" s="354">
        <f t="shared" si="31"/>
        <v>3.0697022012462379E-2</v>
      </c>
      <c r="M202" s="354">
        <f t="shared" si="31"/>
        <v>2.6779077675800279E-2</v>
      </c>
      <c r="N202" s="354">
        <f t="shared" si="31"/>
        <v>3.3117892740494349E-2</v>
      </c>
      <c r="O202" s="354">
        <f t="shared" si="31"/>
        <v>2.7355345889915686E-2</v>
      </c>
      <c r="P202" s="354">
        <f t="shared" si="31"/>
        <v>3.425898381634656E-2</v>
      </c>
      <c r="Q202" s="354">
        <f t="shared" si="31"/>
        <v>2.9158098845365889E-2</v>
      </c>
      <c r="R202" s="354">
        <f t="shared" si="31"/>
        <v>2.9158098845365889E-2</v>
      </c>
      <c r="S202" s="354">
        <f t="shared" si="31"/>
        <v>2.9158098845365889E-2</v>
      </c>
      <c r="T202" s="354">
        <f t="shared" si="31"/>
        <v>2.9158098845365889E-2</v>
      </c>
      <c r="U202" s="354">
        <f t="shared" si="31"/>
        <v>2.9158098845365889E-2</v>
      </c>
      <c r="V202" s="354">
        <f t="shared" si="31"/>
        <v>2.9158098845365889E-2</v>
      </c>
      <c r="W202" s="354">
        <f t="shared" si="29"/>
        <v>2.9158098845365889E-2</v>
      </c>
      <c r="Z202" s="155"/>
      <c r="AA202" s="155"/>
      <c r="AB202" s="155"/>
      <c r="AC202" s="155"/>
      <c r="AD202" s="155"/>
      <c r="AE202" s="155"/>
      <c r="AF202" s="155"/>
      <c r="AG202" s="155"/>
      <c r="AH202" s="155"/>
      <c r="AI202" s="155"/>
      <c r="AJ202" s="155"/>
      <c r="AK202" s="155"/>
    </row>
    <row r="203" spans="4:37">
      <c r="E203" s="336" t="s">
        <v>52</v>
      </c>
      <c r="F203" s="336" t="s">
        <v>70</v>
      </c>
      <c r="G203" s="336" t="s">
        <v>71</v>
      </c>
      <c r="J203" s="354">
        <f>IF(COUNTIFS('参考值-平台费用率分析'!$A$6:$A$532,"分销",'参考值-平台费用率分析'!$C$6:$C$532,$E$203,'参考值-平台费用率分析'!$D$6:$D$532,$F$203,'参考值-平台费用率分析'!$E$6:$E$532,$G$203,'参考值-平台费用率分析'!$Z$6:$Z$532,"&lt;&gt;")=0,"",IFERROR(SUMIFS('参考值-平台费用率分析'!$Z$6:$Z$532,'参考值-平台费用率分析'!$A$6:$A$532,"分销",'参考值-平台费用率分析'!$C$6:$C$532,$E$203,'参考值-平台费用率分析'!$D$6:$D$532,$F$203,'参考值-平台费用率分析'!$E$6:$E$532,$G$203)/SUMIFS('参考值-平台费用率分析'!$AA$6:$AA$532,'参考值-平台费用率分析'!$A$6:$A$532,"分销",'参考值-平台费用率分析'!$C$6:$C$532,$E$203,'参考值-平台费用率分析'!$D$6:$D$532,$F$203,'参考值-平台费用率分析'!$E$6:$E$532,$G$203),""))</f>
        <v>0</v>
      </c>
      <c r="K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H$6:$H$532,"&lt;&gt;")=0,"",IFERROR(SUMIFS('参考值-平台费用率分析'!$H$6:$H$532,'参考值-平台费用率分析'!$A$6:$A$532,"分销",'参考值-平台费用率分析'!$C$6:$C$532,$E$203,'参考值-平台费用率分析'!$D$6:$D$532,$F$203,'参考值-平台费用率分析'!$E$6:$E$532,$G$203)/SUMIFS('参考值-平台费用率分析'!$I$6:$I$532,'参考值-平台费用率分析'!$A$6:$A$532,"分销",'参考值-平台费用率分析'!$C$6:$C$532,$E$203,'参考值-平台费用率分析'!$D$6:$D$532,$F$203,'参考值-平台费用率分析'!$E$6:$E$532,$G$203),""))</f>
        <v/>
      </c>
      <c r="L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K$6:$K$532,"&lt;&gt;")=0,"",IFERROR(SUMIFS('参考值-平台费用率分析'!$K$6:$K$532,'参考值-平台费用率分析'!$A$6:$A$532,"分销",'参考值-平台费用率分析'!$C$6:$C$532,$E$203,'参考值-平台费用率分析'!$D$6:$D$532,$F$203,'参考值-平台费用率分析'!$E$6:$E$532,$G$203)/SUMIFS('参考值-平台费用率分析'!$L$6:$L$532,'参考值-平台费用率分析'!$A$6:$A$532,"分销",'参考值-平台费用率分析'!$C$6:$C$532,$E$203,'参考值-平台费用率分析'!$D$6:$D$532,$F$203,'参考值-平台费用率分析'!$E$6:$E$532,$G$203),""))</f>
        <v/>
      </c>
      <c r="M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N$6:$N$532,"&lt;&gt;")=0,"",IFERROR(SUMIFS('参考值-平台费用率分析'!$N$6:$N$532,'参考值-平台费用率分析'!$A$6:$A$532,"分销",'参考值-平台费用率分析'!$C$6:$C$532,$E$203,'参考值-平台费用率分析'!$D$6:$D$532,$F$203,'参考值-平台费用率分析'!$E$6:$E$532,$G$203)/SUMIFS('参考值-平台费用率分析'!$O$6:$O$532,'参考值-平台费用率分析'!$A$6:$A$532,"分销",'参考值-平台费用率分析'!$C$6:$C$532,$E$203,'参考值-平台费用率分析'!$D$6:$D$532,$F$203,'参考值-平台费用率分析'!$E$6:$E$532,$G$203),""))</f>
        <v/>
      </c>
      <c r="N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Q$6:$Q$532,"&lt;&gt;")=0,"",IFERROR(SUMIFS('参考值-平台费用率分析'!$Q$6:$Q$532,'参考值-平台费用率分析'!$A$6:$A$532,"分销",'参考值-平台费用率分析'!$C$6:$C$532,$E$203,'参考值-平台费用率分析'!$D$6:$D$532,$F$203,'参考值-平台费用率分析'!$E$6:$E$532,$G$203)/SUMIFS('参考值-平台费用率分析'!$R$6:$R$532,'参考值-平台费用率分析'!$A$6:$A$532,"分销",'参考值-平台费用率分析'!$C$6:$C$532,$E$203,'参考值-平台费用率分析'!$D$6:$D$532,$F$203,'参考值-平台费用率分析'!$E$6:$E$532,$G$203),""))</f>
        <v/>
      </c>
      <c r="O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T$6:$T$532,"&lt;&gt;")=0,"",IFERROR(SUMIFS('参考值-平台费用率分析'!$T$6:$T$532,'参考值-平台费用率分析'!$A$6:$A$532,"分销",'参考值-平台费用率分析'!$C$6:$C$532,$E$203,'参考值-平台费用率分析'!$D$6:$D$532,$F$203,'参考值-平台费用率分析'!$E$6:$E$532,$G$203)/SUMIFS('参考值-平台费用率分析'!$U$6:$U$532,'参考值-平台费用率分析'!$A$6:$A$532,"分销",'参考值-平台费用率分析'!$C$6:$C$532,$E$203,'参考值-平台费用率分析'!$D$6:$D$532,$F$203,'参考值-平台费用率分析'!$E$6:$E$532,$G$203),""))</f>
        <v/>
      </c>
      <c r="P203" s="354" t="str">
        <f>IF(COUNTIFS('参考值-平台费用率分析'!$A$6:$A$532,"分销",'参考值-平台费用率分析'!$C$6:$C$532,$E$203,'参考值-平台费用率分析'!$D$6:$D$532,$F$203,'参考值-平台费用率分析'!$E$6:$E$532,$G$203,'参考值-平台费用率分析'!$W$6:$W$532,"&lt;&gt;")=0,"",IFERROR(SUMIFS('参考值-平台费用率分析'!$W$6:$W$532,'参考值-平台费用率分析'!$A$6:$A$532,"分销",'参考值-平台费用率分析'!$C$6:$C$532,$E$203,'参考值-平台费用率分析'!$D$6:$D$532,$F$203,'参考值-平台费用率分析'!$E$6:$E$532,$G$203)/SUMIFS('参考值-平台费用率分析'!$X$6:$X$532,'参考值-平台费用率分析'!$A$6:$A$532,"分销",'参考值-平台费用率分析'!$C$6:$C$532,$E$203,'参考值-平台费用率分析'!$D$6:$D$532,$F$203,'参考值-平台费用率分析'!$E$6:$E$532,$G$203),""))</f>
        <v/>
      </c>
      <c r="Q203" s="354">
        <f>IF(AF203&lt;&gt;"",AF203,IF(COUNTIFS('参考值-平台费用率分析'!$A$6:$A$532,"分销",'参考值-平台费用率分析'!$C$6:$C$532,$E$203,'参考值-平台费用率分析'!$D$6:$D$532,$F$203,'参考值-平台费用率分析'!$E$6:$E$532,$G$203,'参考值-平台费用率分析'!$AF$6:$AF$532,"已导入实际")=0,$J203,IFERROR(SUMIFS('参考值-平台费用率分析'!$AC$6:$AC$532,'参考值-平台费用率分析'!$A$6:$A$532,"分销",'参考值-平台费用率分析'!$C$6:$C$532,$E$203,'参考值-平台费用率分析'!$D$6:$D$532,$F$203,'参考值-平台费用率分析'!$E$6:$E$532,$G$203,'参考值-平台费用率分析'!$AF$6:$AF$532,"已导入实际")/SUMIFS('参考值-平台费用率分析'!$AD$6:$AD$532,'参考值-平台费用率分析'!$A$6:$A$532,"分销",'参考值-平台费用率分析'!$C$6:$C$532,$E$203,'参考值-平台费用率分析'!$D$6:$D$532,$F$203,'参考值-平台费用率分析'!$E$6:$E$532,$G$203,'参考值-平台费用率分析'!$AF$6:$AF$532,"已导入实际"),$J203)))</f>
        <v>0</v>
      </c>
      <c r="R203" s="354">
        <f>IF(AG203&lt;&gt;"",AG203,IF(COUNTIFS('参考值-平台费用率分析'!$A$6:$A$532,"分销",'参考值-平台费用率分析'!$C$6:$C$532,$E$203,'参考值-平台费用率分析'!$D$6:$D$532,$F$203,'参考值-平台费用率分析'!$E$6:$E$532,$G$203,'参考值-平台费用率分析'!$AJ$6:$AJ$532,"已导入实际")=0,$J203,IFERROR(SUMIFS('参考值-平台费用率分析'!$AG$6:$AG$532,'参考值-平台费用率分析'!$A$6:$A$532,"分销",'参考值-平台费用率分析'!$C$6:$C$532,$E$203,'参考值-平台费用率分析'!$D$6:$D$532,$F$203,'参考值-平台费用率分析'!$E$6:$E$532,$G$203,'参考值-平台费用率分析'!$AJ$6:$AJ$532,"已导入实际")/SUMIFS('参考值-平台费用率分析'!$AH$6:$AH$532,'参考值-平台费用率分析'!$A$6:$A$532,"分销",'参考值-平台费用率分析'!$C$6:$C$532,$E$203,'参考值-平台费用率分析'!$D$6:$D$532,$F$203,'参考值-平台费用率分析'!$E$6:$E$532,$G$203,'参考值-平台费用率分析'!$AJ$6:$AJ$532,"已导入实际"),$J203)))</f>
        <v>0</v>
      </c>
      <c r="S203" s="354">
        <f>IF(AH203&lt;&gt;"",AH203,IF(COUNTIFS('参考值-平台费用率分析'!$A$6:$A$532,"分销",'参考值-平台费用率分析'!$C$6:$C$532,$E$203,'参考值-平台费用率分析'!$D$6:$D$532,$F$203,'参考值-平台费用率分析'!$E$6:$E$532,$G$203,'参考值-平台费用率分析'!$AN$6:$AN$532,"已导入实际")=0,$J203,IFERROR(SUMIFS('参考值-平台费用率分析'!$AK$6:$AK$532,'参考值-平台费用率分析'!$A$6:$A$532,"分销",'参考值-平台费用率分析'!$C$6:$C$532,$E$203,'参考值-平台费用率分析'!$D$6:$D$532,$F$203,'参考值-平台费用率分析'!$E$6:$E$532,$G$203,'参考值-平台费用率分析'!$AN$6:$AN$532,"已导入实际")/SUMIFS('参考值-平台费用率分析'!$AL$6:$AL$532,'参考值-平台费用率分析'!$A$6:$A$532,"分销",'参考值-平台费用率分析'!$C$6:$C$532,$E$203,'参考值-平台费用率分析'!$D$6:$D$532,$F$203,'参考值-平台费用率分析'!$E$6:$E$532,$G$203,'参考值-平台费用率分析'!$AN$6:$AN$532,"已导入实际"),$J203)))</f>
        <v>0</v>
      </c>
      <c r="T203" s="354">
        <f>IF(AI203&lt;&gt;"",AI203,IF(COUNTIFS('参考值-平台费用率分析'!$A$6:$A$532,"分销",'参考值-平台费用率分析'!$C$6:$C$532,$E$203,'参考值-平台费用率分析'!$D$6:$D$532,$F$203,'参考值-平台费用率分析'!$E$6:$E$532,$G$203,'参考值-平台费用率分析'!$AR$6:$AR$532,"已导入实际")=0,$J203,IFERROR(SUMIFS('参考值-平台费用率分析'!$AO$6:$AO$532,'参考值-平台费用率分析'!$A$6:$A$532,"分销",'参考值-平台费用率分析'!$C$6:$C$532,$E$203,'参考值-平台费用率分析'!$D$6:$D$532,$F$203,'参考值-平台费用率分析'!$E$6:$E$532,$G$203,'参考值-平台费用率分析'!$AR$6:$AR$532,"已导入实际")/SUMIFS('参考值-平台费用率分析'!$AP$6:$AP$532,'参考值-平台费用率分析'!$A$6:$A$532,"分销",'参考值-平台费用率分析'!$C$6:$C$532,$E$203,'参考值-平台费用率分析'!$D$6:$D$532,$F$203,'参考值-平台费用率分析'!$E$6:$E$532,$G$203,'参考值-平台费用率分析'!$AR$6:$AR$532,"已导入实际"),$J203)))</f>
        <v>0</v>
      </c>
      <c r="U203" s="354">
        <f>IF(AJ203&lt;&gt;"",AJ203,IF(COUNTIFS('参考值-平台费用率分析'!$A$6:$A$532,"分销",'参考值-平台费用率分析'!$C$6:$C$532,$E$203,'参考值-平台费用率分析'!$D$6:$D$532,$F$203,'参考值-平台费用率分析'!$E$6:$E$532,$G$203,'参考值-平台费用率分析'!$AV$6:$AV$532,"已导入实际")=0,$J203,IFERROR(SUMIFS('参考值-平台费用率分析'!$AS$6:$AS$532,'参考值-平台费用率分析'!$A$6:$A$532,"分销",'参考值-平台费用率分析'!$C$6:$C$532,$E$203,'参考值-平台费用率分析'!$D$6:$D$532,$F$203,'参考值-平台费用率分析'!$E$6:$E$532,$G$203,'参考值-平台费用率分析'!$AV$6:$AV$532,"已导入实际")/SUMIFS('参考值-平台费用率分析'!$AT$6:$AT$532,'参考值-平台费用率分析'!$A$6:$A$532,"分销",'参考值-平台费用率分析'!$C$6:$C$532,$E$203,'参考值-平台费用率分析'!$D$6:$D$532,$F$203,'参考值-平台费用率分析'!$E$6:$E$532,$G$203,'参考值-平台费用率分析'!$AV$6:$AV$532,"已导入实际"),$J203)))</f>
        <v>0</v>
      </c>
      <c r="V203" s="354">
        <f>IF(AK203&lt;&gt;"",AK203,IF(COUNTIFS('参考值-平台费用率分析'!$A$6:$A$532,"分销",'参考值-平台费用率分析'!$C$6:$C$532,$E$203,'参考值-平台费用率分析'!$D$6:$D$532,$F$203,'参考值-平台费用率分析'!$E$6:$E$532,$G$203,'参考值-平台费用率分析'!$AZ$6:$AZ$532,"已导入实际")=0,$J203,IFERROR(SUMIFS('参考值-平台费用率分析'!$AW$6:$AW$532,'参考值-平台费用率分析'!$A$6:$A$532,"分销",'参考值-平台费用率分析'!$C$6:$C$532,$E$203,'参考值-平台费用率分析'!$D$6:$D$532,$F$203,'参考值-平台费用率分析'!$E$6:$E$532,$G$203,'参考值-平台费用率分析'!$AZ$6:$AZ$532,"已导入实际")/SUMIFS('参考值-平台费用率分析'!$AX$6:$AX$532,'参考值-平台费用率分析'!$A$6:$A$532,"分销",'参考值-平台费用率分析'!$C$6:$C$532,$E$203,'参考值-平台费用率分析'!$D$6:$D$532,$F$203,'参考值-平台费用率分析'!$E$6:$E$532,$G$203,'参考值-平台费用率分析'!$AZ$6:$AZ$532,"已导入实际"),$J203)))</f>
        <v>0</v>
      </c>
      <c r="W203" s="354">
        <f t="shared" si="29"/>
        <v>0</v>
      </c>
      <c r="Z203" s="155"/>
      <c r="AA203" s="155"/>
      <c r="AB203" s="155"/>
      <c r="AC203" s="155"/>
      <c r="AD203" s="155"/>
      <c r="AE203" s="155"/>
      <c r="AF203" s="155"/>
      <c r="AG203" s="155"/>
      <c r="AH203" s="155"/>
      <c r="AI203" s="155"/>
      <c r="AJ203" s="155"/>
      <c r="AK203" s="155"/>
    </row>
    <row r="204" spans="4:37">
      <c r="E204" s="336" t="s">
        <v>52</v>
      </c>
      <c r="F204" s="336" t="s">
        <v>70</v>
      </c>
      <c r="G204" s="336" t="s">
        <v>72</v>
      </c>
      <c r="J204" s="354">
        <f>IF(COUNTIFS('参考值-平台费用率分析'!$A$6:$A$532,"分销",'参考值-平台费用率分析'!$C$6:$C$532,$E$204,'参考值-平台费用率分析'!$D$6:$D$532,$F$204,'参考值-平台费用率分析'!$E$6:$E$532,$G$204,'参考值-平台费用率分析'!$Z$6:$Z$532,"&lt;&gt;")=0,"",IFERROR(SUMIFS('参考值-平台费用率分析'!$Z$6:$Z$532,'参考值-平台费用率分析'!$A$6:$A$532,"分销",'参考值-平台费用率分析'!$C$6:$C$532,$E$204,'参考值-平台费用率分析'!$D$6:$D$532,$F$204,'参考值-平台费用率分析'!$E$6:$E$532,$G$204)/SUMIFS('参考值-平台费用率分析'!$AA$6:$AA$532,'参考值-平台费用率分析'!$A$6:$A$532,"分销",'参考值-平台费用率分析'!$C$6:$C$532,$E$204,'参考值-平台费用率分析'!$D$6:$D$532,$F$204,'参考值-平台费用率分析'!$E$6:$E$532,$G$204),""))</f>
        <v>0</v>
      </c>
      <c r="K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H$6:$H$532,"&lt;&gt;")=0,"",IFERROR(SUMIFS('参考值-平台费用率分析'!$H$6:$H$532,'参考值-平台费用率分析'!$A$6:$A$532,"分销",'参考值-平台费用率分析'!$C$6:$C$532,$E$204,'参考值-平台费用率分析'!$D$6:$D$532,$F$204,'参考值-平台费用率分析'!$E$6:$E$532,$G$204)/SUMIFS('参考值-平台费用率分析'!$I$6:$I$532,'参考值-平台费用率分析'!$A$6:$A$532,"分销",'参考值-平台费用率分析'!$C$6:$C$532,$E$204,'参考值-平台费用率分析'!$D$6:$D$532,$F$204,'参考值-平台费用率分析'!$E$6:$E$532,$G$204),""))</f>
        <v/>
      </c>
      <c r="L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K$6:$K$532,"&lt;&gt;")=0,"",IFERROR(SUMIFS('参考值-平台费用率分析'!$K$6:$K$532,'参考值-平台费用率分析'!$A$6:$A$532,"分销",'参考值-平台费用率分析'!$C$6:$C$532,$E$204,'参考值-平台费用率分析'!$D$6:$D$532,$F$204,'参考值-平台费用率分析'!$E$6:$E$532,$G$204)/SUMIFS('参考值-平台费用率分析'!$L$6:$L$532,'参考值-平台费用率分析'!$A$6:$A$532,"分销",'参考值-平台费用率分析'!$C$6:$C$532,$E$204,'参考值-平台费用率分析'!$D$6:$D$532,$F$204,'参考值-平台费用率分析'!$E$6:$E$532,$G$204),""))</f>
        <v/>
      </c>
      <c r="M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N$6:$N$532,"&lt;&gt;")=0,"",IFERROR(SUMIFS('参考值-平台费用率分析'!$N$6:$N$532,'参考值-平台费用率分析'!$A$6:$A$532,"分销",'参考值-平台费用率分析'!$C$6:$C$532,$E$204,'参考值-平台费用率分析'!$D$6:$D$532,$F$204,'参考值-平台费用率分析'!$E$6:$E$532,$G$204)/SUMIFS('参考值-平台费用率分析'!$O$6:$O$532,'参考值-平台费用率分析'!$A$6:$A$532,"分销",'参考值-平台费用率分析'!$C$6:$C$532,$E$204,'参考值-平台费用率分析'!$D$6:$D$532,$F$204,'参考值-平台费用率分析'!$E$6:$E$532,$G$204),""))</f>
        <v/>
      </c>
      <c r="N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Q$6:$Q$532,"&lt;&gt;")=0,"",IFERROR(SUMIFS('参考值-平台费用率分析'!$Q$6:$Q$532,'参考值-平台费用率分析'!$A$6:$A$532,"分销",'参考值-平台费用率分析'!$C$6:$C$532,$E$204,'参考值-平台费用率分析'!$D$6:$D$532,$F$204,'参考值-平台费用率分析'!$E$6:$E$532,$G$204)/SUMIFS('参考值-平台费用率分析'!$R$6:$R$532,'参考值-平台费用率分析'!$A$6:$A$532,"分销",'参考值-平台费用率分析'!$C$6:$C$532,$E$204,'参考值-平台费用率分析'!$D$6:$D$532,$F$204,'参考值-平台费用率分析'!$E$6:$E$532,$G$204),""))</f>
        <v/>
      </c>
      <c r="O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T$6:$T$532,"&lt;&gt;")=0,"",IFERROR(SUMIFS('参考值-平台费用率分析'!$T$6:$T$532,'参考值-平台费用率分析'!$A$6:$A$532,"分销",'参考值-平台费用率分析'!$C$6:$C$532,$E$204,'参考值-平台费用率分析'!$D$6:$D$532,$F$204,'参考值-平台费用率分析'!$E$6:$E$532,$G$204)/SUMIFS('参考值-平台费用率分析'!$U$6:$U$532,'参考值-平台费用率分析'!$A$6:$A$532,"分销",'参考值-平台费用率分析'!$C$6:$C$532,$E$204,'参考值-平台费用率分析'!$D$6:$D$532,$F$204,'参考值-平台费用率分析'!$E$6:$E$532,$G$204),""))</f>
        <v/>
      </c>
      <c r="P204" s="354" t="str">
        <f>IF(COUNTIFS('参考值-平台费用率分析'!$A$6:$A$532,"分销",'参考值-平台费用率分析'!$C$6:$C$532,$E$204,'参考值-平台费用率分析'!$D$6:$D$532,$F$204,'参考值-平台费用率分析'!$E$6:$E$532,$G$204,'参考值-平台费用率分析'!$W$6:$W$532,"&lt;&gt;")=0,"",IFERROR(SUMIFS('参考值-平台费用率分析'!$W$6:$W$532,'参考值-平台费用率分析'!$A$6:$A$532,"分销",'参考值-平台费用率分析'!$C$6:$C$532,$E$204,'参考值-平台费用率分析'!$D$6:$D$532,$F$204,'参考值-平台费用率分析'!$E$6:$E$532,$G$204)/SUMIFS('参考值-平台费用率分析'!$X$6:$X$532,'参考值-平台费用率分析'!$A$6:$A$532,"分销",'参考值-平台费用率分析'!$C$6:$C$532,$E$204,'参考值-平台费用率分析'!$D$6:$D$532,$F$204,'参考值-平台费用率分析'!$E$6:$E$532,$G$204),""))</f>
        <v/>
      </c>
      <c r="Q204" s="354">
        <f>IF(AF204&lt;&gt;"",AF204,IF(COUNTIFS('参考值-平台费用率分析'!$A$6:$A$532,"分销",'参考值-平台费用率分析'!$C$6:$C$532,$E$204,'参考值-平台费用率分析'!$D$6:$D$532,$F$204,'参考值-平台费用率分析'!$E$6:$E$532,$G$204,'参考值-平台费用率分析'!$AF$6:$AF$532,"已导入实际")=0,$J204,IFERROR(SUMIFS('参考值-平台费用率分析'!$AC$6:$AC$532,'参考值-平台费用率分析'!$A$6:$A$532,"分销",'参考值-平台费用率分析'!$C$6:$C$532,$E$204,'参考值-平台费用率分析'!$D$6:$D$532,$F$204,'参考值-平台费用率分析'!$E$6:$E$532,$G$204,'参考值-平台费用率分析'!$AF$6:$AF$532,"已导入实际")/SUMIFS('参考值-平台费用率分析'!$AD$6:$AD$532,'参考值-平台费用率分析'!$A$6:$A$532,"分销",'参考值-平台费用率分析'!$C$6:$C$532,$E$204,'参考值-平台费用率分析'!$D$6:$D$532,$F$204,'参考值-平台费用率分析'!$E$6:$E$532,$G$204,'参考值-平台费用率分析'!$AF$6:$AF$532,"已导入实际"),$J204)))</f>
        <v>0</v>
      </c>
      <c r="R204" s="354">
        <f>IF(AG204&lt;&gt;"",AG204,IF(COUNTIFS('参考值-平台费用率分析'!$A$6:$A$532,"分销",'参考值-平台费用率分析'!$C$6:$C$532,$E$204,'参考值-平台费用率分析'!$D$6:$D$532,$F$204,'参考值-平台费用率分析'!$E$6:$E$532,$G$204,'参考值-平台费用率分析'!$AJ$6:$AJ$532,"已导入实际")=0,$J204,IFERROR(SUMIFS('参考值-平台费用率分析'!$AG$6:$AG$532,'参考值-平台费用率分析'!$A$6:$A$532,"分销",'参考值-平台费用率分析'!$C$6:$C$532,$E$204,'参考值-平台费用率分析'!$D$6:$D$532,$F$204,'参考值-平台费用率分析'!$E$6:$E$532,$G$204,'参考值-平台费用率分析'!$AJ$6:$AJ$532,"已导入实际")/SUMIFS('参考值-平台费用率分析'!$AH$6:$AH$532,'参考值-平台费用率分析'!$A$6:$A$532,"分销",'参考值-平台费用率分析'!$C$6:$C$532,$E$204,'参考值-平台费用率分析'!$D$6:$D$532,$F$204,'参考值-平台费用率分析'!$E$6:$E$532,$G$204,'参考值-平台费用率分析'!$AJ$6:$AJ$532,"已导入实际"),$J204)))</f>
        <v>0</v>
      </c>
      <c r="S204" s="354">
        <f>IF(AH204&lt;&gt;"",AH204,IF(COUNTIFS('参考值-平台费用率分析'!$A$6:$A$532,"分销",'参考值-平台费用率分析'!$C$6:$C$532,$E$204,'参考值-平台费用率分析'!$D$6:$D$532,$F$204,'参考值-平台费用率分析'!$E$6:$E$532,$G$204,'参考值-平台费用率分析'!$AN$6:$AN$532,"已导入实际")=0,$J204,IFERROR(SUMIFS('参考值-平台费用率分析'!$AK$6:$AK$532,'参考值-平台费用率分析'!$A$6:$A$532,"分销",'参考值-平台费用率分析'!$C$6:$C$532,$E$204,'参考值-平台费用率分析'!$D$6:$D$532,$F$204,'参考值-平台费用率分析'!$E$6:$E$532,$G$204,'参考值-平台费用率分析'!$AN$6:$AN$532,"已导入实际")/SUMIFS('参考值-平台费用率分析'!$AL$6:$AL$532,'参考值-平台费用率分析'!$A$6:$A$532,"分销",'参考值-平台费用率分析'!$C$6:$C$532,$E$204,'参考值-平台费用率分析'!$D$6:$D$532,$F$204,'参考值-平台费用率分析'!$E$6:$E$532,$G$204,'参考值-平台费用率分析'!$AN$6:$AN$532,"已导入实际"),$J204)))</f>
        <v>0</v>
      </c>
      <c r="T204" s="354">
        <f>IF(AI204&lt;&gt;"",AI204,IF(COUNTIFS('参考值-平台费用率分析'!$A$6:$A$532,"分销",'参考值-平台费用率分析'!$C$6:$C$532,$E$204,'参考值-平台费用率分析'!$D$6:$D$532,$F$204,'参考值-平台费用率分析'!$E$6:$E$532,$G$204,'参考值-平台费用率分析'!$AR$6:$AR$532,"已导入实际")=0,$J204,IFERROR(SUMIFS('参考值-平台费用率分析'!$AO$6:$AO$532,'参考值-平台费用率分析'!$A$6:$A$532,"分销",'参考值-平台费用率分析'!$C$6:$C$532,$E$204,'参考值-平台费用率分析'!$D$6:$D$532,$F$204,'参考值-平台费用率分析'!$E$6:$E$532,$G$204,'参考值-平台费用率分析'!$AR$6:$AR$532,"已导入实际")/SUMIFS('参考值-平台费用率分析'!$AP$6:$AP$532,'参考值-平台费用率分析'!$A$6:$A$532,"分销",'参考值-平台费用率分析'!$C$6:$C$532,$E$204,'参考值-平台费用率分析'!$D$6:$D$532,$F$204,'参考值-平台费用率分析'!$E$6:$E$532,$G$204,'参考值-平台费用率分析'!$AR$6:$AR$532,"已导入实际"),$J204)))</f>
        <v>0</v>
      </c>
      <c r="U204" s="354">
        <f>IF(AJ204&lt;&gt;"",AJ204,IF(COUNTIFS('参考值-平台费用率分析'!$A$6:$A$532,"分销",'参考值-平台费用率分析'!$C$6:$C$532,$E$204,'参考值-平台费用率分析'!$D$6:$D$532,$F$204,'参考值-平台费用率分析'!$E$6:$E$532,$G$204,'参考值-平台费用率分析'!$AV$6:$AV$532,"已导入实际")=0,$J204,IFERROR(SUMIFS('参考值-平台费用率分析'!$AS$6:$AS$532,'参考值-平台费用率分析'!$A$6:$A$532,"分销",'参考值-平台费用率分析'!$C$6:$C$532,$E$204,'参考值-平台费用率分析'!$D$6:$D$532,$F$204,'参考值-平台费用率分析'!$E$6:$E$532,$G$204,'参考值-平台费用率分析'!$AV$6:$AV$532,"已导入实际")/SUMIFS('参考值-平台费用率分析'!$AT$6:$AT$532,'参考值-平台费用率分析'!$A$6:$A$532,"分销",'参考值-平台费用率分析'!$C$6:$C$532,$E$204,'参考值-平台费用率分析'!$D$6:$D$532,$F$204,'参考值-平台费用率分析'!$E$6:$E$532,$G$204,'参考值-平台费用率分析'!$AV$6:$AV$532,"已导入实际"),$J204)))</f>
        <v>0</v>
      </c>
      <c r="V204" s="354">
        <f>IF(AK204&lt;&gt;"",AK204,IF(COUNTIFS('参考值-平台费用率分析'!$A$6:$A$532,"分销",'参考值-平台费用率分析'!$C$6:$C$532,$E$204,'参考值-平台费用率分析'!$D$6:$D$532,$F$204,'参考值-平台费用率分析'!$E$6:$E$532,$G$204,'参考值-平台费用率分析'!$AZ$6:$AZ$532,"已导入实际")=0,$J204,IFERROR(SUMIFS('参考值-平台费用率分析'!$AW$6:$AW$532,'参考值-平台费用率分析'!$A$6:$A$532,"分销",'参考值-平台费用率分析'!$C$6:$C$532,$E$204,'参考值-平台费用率分析'!$D$6:$D$532,$F$204,'参考值-平台费用率分析'!$E$6:$E$532,$G$204,'参考值-平台费用率分析'!$AZ$6:$AZ$532,"已导入实际")/SUMIFS('参考值-平台费用率分析'!$AX$6:$AX$532,'参考值-平台费用率分析'!$A$6:$A$532,"分销",'参考值-平台费用率分析'!$C$6:$C$532,$E$204,'参考值-平台费用率分析'!$D$6:$D$532,$F$204,'参考值-平台费用率分析'!$E$6:$E$532,$G$204,'参考值-平台费用率分析'!$AZ$6:$AZ$532,"已导入实际"),$J204)))</f>
        <v>0</v>
      </c>
      <c r="W204" s="354">
        <f t="shared" si="29"/>
        <v>0</v>
      </c>
      <c r="Z204" s="155"/>
      <c r="AA204" s="155"/>
      <c r="AB204" s="155"/>
      <c r="AC204" s="155"/>
      <c r="AD204" s="155"/>
      <c r="AE204" s="155"/>
      <c r="AF204" s="155"/>
      <c r="AG204" s="155"/>
      <c r="AH204" s="155"/>
      <c r="AI204" s="155"/>
      <c r="AJ204" s="155"/>
      <c r="AK204" s="155"/>
    </row>
    <row r="205" spans="4:37">
      <c r="D205" s="67" t="s">
        <v>74</v>
      </c>
      <c r="E205" s="336" t="s">
        <v>52</v>
      </c>
      <c r="F205" s="336" t="s">
        <v>70</v>
      </c>
      <c r="G205" s="336" t="s">
        <v>73</v>
      </c>
      <c r="J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Z$6:$Z$532,"&lt;&gt;")=0,"",IFERROR(SUMIFS('参考值-平台费用率分析'!$Z$6:$Z$532,'参考值-平台费用率分析'!$A$6:$A$532,"分销",'参考值-平台费用率分析'!$C$6:$C$532,$E$205,'参考值-平台费用率分析'!$D$6:$D$532,$F$205,'参考值-平台费用率分析'!$E$6:$E$532,$G$205)/SUMIFS('参考值-平台费用率分析'!$AA$6:$AA$532,'参考值-平台费用率分析'!$A$6:$A$532,"分销",'参考值-平台费用率分析'!$C$6:$C$532,$E$205,'参考值-平台费用率分析'!$D$6:$D$532,$F$205,'参考值-平台费用率分析'!$E$6:$E$532,$G$205),""))</f>
        <v>2.9158098845365889E-2</v>
      </c>
      <c r="K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H$6:$H$532,"&lt;&gt;")=0,"",IFERROR(SUMIFS('参考值-平台费用率分析'!$H$6:$H$532,'参考值-平台费用率分析'!$A$6:$A$532,"分销",'参考值-平台费用率分析'!$C$6:$C$532,$E$205,'参考值-平台费用率分析'!$D$6:$D$532,$F$205,'参考值-平台费用率分析'!$E$6:$E$532,$G$205)/SUMIFS('参考值-平台费用率分析'!$I$6:$I$532,'参考值-平台费用率分析'!$A$6:$A$532,"分销",'参考值-平台费用率分析'!$C$6:$C$532,$E$205,'参考值-平台费用率分析'!$D$6:$D$532,$F$205,'参考值-平台费用率分析'!$E$6:$E$532,$G$205),""))</f>
        <v>2.522828765128169E-2</v>
      </c>
      <c r="L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K$6:$K$532,"&lt;&gt;")=0,"",IFERROR(SUMIFS('参考值-平台费用率分析'!$K$6:$K$532,'参考值-平台费用率分析'!$A$6:$A$532,"分销",'参考值-平台费用率分析'!$C$6:$C$532,$E$205,'参考值-平台费用率分析'!$D$6:$D$532,$F$205,'参考值-平台费用率分析'!$E$6:$E$532,$G$205)/SUMIFS('参考值-平台费用率分析'!$L$6:$L$532,'参考值-平台费用率分析'!$A$6:$A$532,"分销",'参考值-平台费用率分析'!$C$6:$C$532,$E$205,'参考值-平台费用率分析'!$D$6:$D$532,$F$205,'参考值-平台费用率分析'!$E$6:$E$532,$G$205),""))</f>
        <v>3.0697022012462379E-2</v>
      </c>
      <c r="M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N$6:$N$532,"&lt;&gt;")=0,"",IFERROR(SUMIFS('参考值-平台费用率分析'!$N$6:$N$532,'参考值-平台费用率分析'!$A$6:$A$532,"分销",'参考值-平台费用率分析'!$C$6:$C$532,$E$205,'参考值-平台费用率分析'!$D$6:$D$532,$F$205,'参考值-平台费用率分析'!$E$6:$E$532,$G$205)/SUMIFS('参考值-平台费用率分析'!$O$6:$O$532,'参考值-平台费用率分析'!$A$6:$A$532,"分销",'参考值-平台费用率分析'!$C$6:$C$532,$E$205,'参考值-平台费用率分析'!$D$6:$D$532,$F$205,'参考值-平台费用率分析'!$E$6:$E$532,$G$205),""))</f>
        <v>2.6779077675800279E-2</v>
      </c>
      <c r="N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Q$6:$Q$532,"&lt;&gt;")=0,"",IFERROR(SUMIFS('参考值-平台费用率分析'!$Q$6:$Q$532,'参考值-平台费用率分析'!$A$6:$A$532,"分销",'参考值-平台费用率分析'!$C$6:$C$532,$E$205,'参考值-平台费用率分析'!$D$6:$D$532,$F$205,'参考值-平台费用率分析'!$E$6:$E$532,$G$205)/SUMIFS('参考值-平台费用率分析'!$R$6:$R$532,'参考值-平台费用率分析'!$A$6:$A$532,"分销",'参考值-平台费用率分析'!$C$6:$C$532,$E$205,'参考值-平台费用率分析'!$D$6:$D$532,$F$205,'参考值-平台费用率分析'!$E$6:$E$532,$G$205),""))</f>
        <v>3.3117892740494349E-2</v>
      </c>
      <c r="O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T$6:$T$532,"&lt;&gt;")=0,"",IFERROR(SUMIFS('参考值-平台费用率分析'!$T$6:$T$532,'参考值-平台费用率分析'!$A$6:$A$532,"分销",'参考值-平台费用率分析'!$C$6:$C$532,$E$205,'参考值-平台费用率分析'!$D$6:$D$532,$F$205,'参考值-平台费用率分析'!$E$6:$E$532,$G$205)/SUMIFS('参考值-平台费用率分析'!$U$6:$U$532,'参考值-平台费用率分析'!$A$6:$A$532,"分销",'参考值-平台费用率分析'!$C$6:$C$532,$E$205,'参考值-平台费用率分析'!$D$6:$D$532,$F$205,'参考值-平台费用率分析'!$E$6:$E$532,$G$205),""))</f>
        <v>2.7355345889915686E-2</v>
      </c>
      <c r="P205" s="354">
        <f>IF(COUNTIFS('参考值-平台费用率分析'!$A$6:$A$532,"分销",'参考值-平台费用率分析'!$C$6:$C$532,$E$205,'参考值-平台费用率分析'!$D$6:$D$532,$F$205,'参考值-平台费用率分析'!$E$6:$E$532,$G$205,'参考值-平台费用率分析'!$W$6:$W$532,"&lt;&gt;")=0,"",IFERROR(SUMIFS('参考值-平台费用率分析'!$W$6:$W$532,'参考值-平台费用率分析'!$A$6:$A$532,"分销",'参考值-平台费用率分析'!$C$6:$C$532,$E$205,'参考值-平台费用率分析'!$D$6:$D$532,$F$205,'参考值-平台费用率分析'!$E$6:$E$532,$G$205)/SUMIFS('参考值-平台费用率分析'!$X$6:$X$532,'参考值-平台费用率分析'!$A$6:$A$532,"分销",'参考值-平台费用率分析'!$C$6:$C$532,$E$205,'参考值-平台费用率分析'!$D$6:$D$532,$F$205,'参考值-平台费用率分析'!$E$6:$E$532,$G$205),""))</f>
        <v>3.425898381634656E-2</v>
      </c>
      <c r="Q205" s="354">
        <f>IF(AF205&lt;&gt;"",AF205,IF(COUNTIFS('参考值-平台费用率分析'!$A$6:$A$532,"分销",'参考值-平台费用率分析'!$C$6:$C$532,$E$205,'参考值-平台费用率分析'!$D$6:$D$532,$F$205,'参考值-平台费用率分析'!$E$6:$E$532,$G$205,'参考值-平台费用率分析'!$AF$6:$AF$532,"已导入实际")=0,$J205,IFERROR(SUMIFS('参考值-平台费用率分析'!$AC$6:$AC$532,'参考值-平台费用率分析'!$A$6:$A$532,"分销",'参考值-平台费用率分析'!$C$6:$C$532,$E$205,'参考值-平台费用率分析'!$D$6:$D$532,$F$205,'参考值-平台费用率分析'!$E$6:$E$532,$G$205,'参考值-平台费用率分析'!$AF$6:$AF$532,"已导入实际")/SUMIFS('参考值-平台费用率分析'!$AD$6:$AD$532,'参考值-平台费用率分析'!$A$6:$A$532,"分销",'参考值-平台费用率分析'!$C$6:$C$532,$E$205,'参考值-平台费用率分析'!$D$6:$D$532,$F$205,'参考值-平台费用率分析'!$E$6:$E$532,$G$205,'参考值-平台费用率分析'!$AF$6:$AF$532,"已导入实际"),$J205)))</f>
        <v>2.9158098845365889E-2</v>
      </c>
      <c r="R205" s="354">
        <f>IF(AG205&lt;&gt;"",AG205,IF(COUNTIFS('参考值-平台费用率分析'!$A$6:$A$532,"分销",'参考值-平台费用率分析'!$C$6:$C$532,$E$205,'参考值-平台费用率分析'!$D$6:$D$532,$F$205,'参考值-平台费用率分析'!$E$6:$E$532,$G$205,'参考值-平台费用率分析'!$AJ$6:$AJ$532,"已导入实际")=0,$J205,IFERROR(SUMIFS('参考值-平台费用率分析'!$AG$6:$AG$532,'参考值-平台费用率分析'!$A$6:$A$532,"分销",'参考值-平台费用率分析'!$C$6:$C$532,$E$205,'参考值-平台费用率分析'!$D$6:$D$532,$F$205,'参考值-平台费用率分析'!$E$6:$E$532,$G$205,'参考值-平台费用率分析'!$AJ$6:$AJ$532,"已导入实际")/SUMIFS('参考值-平台费用率分析'!$AH$6:$AH$532,'参考值-平台费用率分析'!$A$6:$A$532,"分销",'参考值-平台费用率分析'!$C$6:$C$532,$E$205,'参考值-平台费用率分析'!$D$6:$D$532,$F$205,'参考值-平台费用率分析'!$E$6:$E$532,$G$205,'参考值-平台费用率分析'!$AJ$6:$AJ$532,"已导入实际"),$J205)))</f>
        <v>2.9158098845365889E-2</v>
      </c>
      <c r="S205" s="354">
        <f>IF(AH205&lt;&gt;"",AH205,IF(COUNTIFS('参考值-平台费用率分析'!$A$6:$A$532,"分销",'参考值-平台费用率分析'!$C$6:$C$532,$E$205,'参考值-平台费用率分析'!$D$6:$D$532,$F$205,'参考值-平台费用率分析'!$E$6:$E$532,$G$205,'参考值-平台费用率分析'!$AN$6:$AN$532,"已导入实际")=0,$J205,IFERROR(SUMIFS('参考值-平台费用率分析'!$AK$6:$AK$532,'参考值-平台费用率分析'!$A$6:$A$532,"分销",'参考值-平台费用率分析'!$C$6:$C$532,$E$205,'参考值-平台费用率分析'!$D$6:$D$532,$F$205,'参考值-平台费用率分析'!$E$6:$E$532,$G$205,'参考值-平台费用率分析'!$AN$6:$AN$532,"已导入实际")/SUMIFS('参考值-平台费用率分析'!$AL$6:$AL$532,'参考值-平台费用率分析'!$A$6:$A$532,"分销",'参考值-平台费用率分析'!$C$6:$C$532,$E$205,'参考值-平台费用率分析'!$D$6:$D$532,$F$205,'参考值-平台费用率分析'!$E$6:$E$532,$G$205,'参考值-平台费用率分析'!$AN$6:$AN$532,"已导入实际"),$J205)))</f>
        <v>2.9158098845365889E-2</v>
      </c>
      <c r="T205" s="354">
        <f>IF(AI205&lt;&gt;"",AI205,IF(COUNTIFS('参考值-平台费用率分析'!$A$6:$A$532,"分销",'参考值-平台费用率分析'!$C$6:$C$532,$E$205,'参考值-平台费用率分析'!$D$6:$D$532,$F$205,'参考值-平台费用率分析'!$E$6:$E$532,$G$205,'参考值-平台费用率分析'!$AR$6:$AR$532,"已导入实际")=0,$J205,IFERROR(SUMIFS('参考值-平台费用率分析'!$AO$6:$AO$532,'参考值-平台费用率分析'!$A$6:$A$532,"分销",'参考值-平台费用率分析'!$C$6:$C$532,$E$205,'参考值-平台费用率分析'!$D$6:$D$532,$F$205,'参考值-平台费用率分析'!$E$6:$E$532,$G$205,'参考值-平台费用率分析'!$AR$6:$AR$532,"已导入实际")/SUMIFS('参考值-平台费用率分析'!$AP$6:$AP$532,'参考值-平台费用率分析'!$A$6:$A$532,"分销",'参考值-平台费用率分析'!$C$6:$C$532,$E$205,'参考值-平台费用率分析'!$D$6:$D$532,$F$205,'参考值-平台费用率分析'!$E$6:$E$532,$G$205,'参考值-平台费用率分析'!$AR$6:$AR$532,"已导入实际"),$J205)))</f>
        <v>2.9158098845365889E-2</v>
      </c>
      <c r="U205" s="354">
        <f>IF(AJ205&lt;&gt;"",AJ205,IF(COUNTIFS('参考值-平台费用率分析'!$A$6:$A$532,"分销",'参考值-平台费用率分析'!$C$6:$C$532,$E$205,'参考值-平台费用率分析'!$D$6:$D$532,$F$205,'参考值-平台费用率分析'!$E$6:$E$532,$G$205,'参考值-平台费用率分析'!$AV$6:$AV$532,"已导入实际")=0,$J205,IFERROR(SUMIFS('参考值-平台费用率分析'!$AS$6:$AS$532,'参考值-平台费用率分析'!$A$6:$A$532,"分销",'参考值-平台费用率分析'!$C$6:$C$532,$E$205,'参考值-平台费用率分析'!$D$6:$D$532,$F$205,'参考值-平台费用率分析'!$E$6:$E$532,$G$205,'参考值-平台费用率分析'!$AV$6:$AV$532,"已导入实际")/SUMIFS('参考值-平台费用率分析'!$AT$6:$AT$532,'参考值-平台费用率分析'!$A$6:$A$532,"分销",'参考值-平台费用率分析'!$C$6:$C$532,$E$205,'参考值-平台费用率分析'!$D$6:$D$532,$F$205,'参考值-平台费用率分析'!$E$6:$E$532,$G$205,'参考值-平台费用率分析'!$AV$6:$AV$532,"已导入实际"),$J205)))</f>
        <v>2.9158098845365889E-2</v>
      </c>
      <c r="V205" s="354">
        <f>IF(AK205&lt;&gt;"",AK205,IF(COUNTIFS('参考值-平台费用率分析'!$A$6:$A$532,"分销",'参考值-平台费用率分析'!$C$6:$C$532,$E$205,'参考值-平台费用率分析'!$D$6:$D$532,$F$205,'参考值-平台费用率分析'!$E$6:$E$532,$G$205,'参考值-平台费用率分析'!$AZ$6:$AZ$532,"已导入实际")=0,$J205,IFERROR(SUMIFS('参考值-平台费用率分析'!$AW$6:$AW$532,'参考值-平台费用率分析'!$A$6:$A$532,"分销",'参考值-平台费用率分析'!$C$6:$C$532,$E$205,'参考值-平台费用率分析'!$D$6:$D$532,$F$205,'参考值-平台费用率分析'!$E$6:$E$532,$G$205,'参考值-平台费用率分析'!$AZ$6:$AZ$532,"已导入实际")/SUMIFS('参考值-平台费用率分析'!$AX$6:$AX$532,'参考值-平台费用率分析'!$A$6:$A$532,"分销",'参考值-平台费用率分析'!$C$6:$C$532,$E$205,'参考值-平台费用率分析'!$D$6:$D$532,$F$205,'参考值-平台费用率分析'!$E$6:$E$532,$G$205,'参考值-平台费用率分析'!$AZ$6:$AZ$532,"已导入实际"),$J205)))</f>
        <v>2.9158098845365889E-2</v>
      </c>
      <c r="W205" s="354">
        <f t="shared" si="29"/>
        <v>2.9158098845365889E-2</v>
      </c>
      <c r="Z205" s="155"/>
      <c r="AA205" s="155"/>
      <c r="AB205" s="155"/>
      <c r="AC205" s="155"/>
      <c r="AD205" s="155"/>
      <c r="AE205" s="155"/>
      <c r="AF205" s="155"/>
      <c r="AG205" s="155"/>
      <c r="AH205" s="155"/>
      <c r="AI205" s="155"/>
      <c r="AJ205" s="155"/>
      <c r="AK205" s="155"/>
    </row>
    <row r="206" spans="4:37">
      <c r="D206" s="67" t="s">
        <v>74</v>
      </c>
      <c r="E206" s="336" t="s">
        <v>52</v>
      </c>
      <c r="F206" s="336" t="s">
        <v>74</v>
      </c>
      <c r="G206" s="336" t="s">
        <v>75</v>
      </c>
      <c r="J206" s="354">
        <f t="shared" ref="J206:V206" si="32">SUM(J207:J210)</f>
        <v>3.4415944264446746E-2</v>
      </c>
      <c r="K206" s="354">
        <f t="shared" si="32"/>
        <v>2.9079521835889695E-2</v>
      </c>
      <c r="L206" s="354">
        <f t="shared" si="32"/>
        <v>4.1167228636588574E-2</v>
      </c>
      <c r="M206" s="354">
        <f t="shared" si="32"/>
        <v>3.1617259766585304E-2</v>
      </c>
      <c r="N206" s="354">
        <f t="shared" si="32"/>
        <v>3.9739366619637888E-2</v>
      </c>
      <c r="O206" s="354">
        <f t="shared" si="32"/>
        <v>3.240905093393745E-2</v>
      </c>
      <c r="P206" s="354">
        <f t="shared" si="32"/>
        <v>3.7385044585129132E-2</v>
      </c>
      <c r="Q206" s="354">
        <f t="shared" si="32"/>
        <v>3.6810330540271899E-2</v>
      </c>
      <c r="R206" s="354">
        <f t="shared" si="32"/>
        <v>3.6810330540271899E-2</v>
      </c>
      <c r="S206" s="354">
        <f t="shared" si="32"/>
        <v>3.6810330540271899E-2</v>
      </c>
      <c r="T206" s="354">
        <f t="shared" si="32"/>
        <v>3.6810330540271899E-2</v>
      </c>
      <c r="U206" s="354">
        <f t="shared" si="32"/>
        <v>3.6810330540271899E-2</v>
      </c>
      <c r="V206" s="354">
        <f t="shared" si="32"/>
        <v>3.6810330540271899E-2</v>
      </c>
      <c r="W206" s="354">
        <f t="shared" si="29"/>
        <v>3.4415944264446746E-2</v>
      </c>
    </row>
    <row r="207" spans="4:37">
      <c r="E207" s="336" t="s">
        <v>52</v>
      </c>
      <c r="F207" s="336" t="s">
        <v>74</v>
      </c>
      <c r="G207" s="336" t="s">
        <v>75</v>
      </c>
      <c r="J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Z$6:$Z$532,"&lt;&gt;")=0,"",IFERROR(SUMIFS('参考值-平台费用率分析'!$Z$6:$Z$532,'参考值-平台费用率分析'!$A$6:$A$532,"分销",'参考值-平台费用率分析'!$C$6:$C$532,$E$207,'参考值-平台费用率分析'!$D$6:$D$532,$F$207,'参考值-平台费用率分析'!$E$6:$E$532,$G$207)/SUMIFS('参考值-平台费用率分析'!$AA$6:$AA$532,'参考值-平台费用率分析'!$A$6:$A$532,"分销",'参考值-平台费用率分析'!$C$6:$C$532,$E$207,'参考值-平台费用率分析'!$D$6:$D$532,$F$207,'参考值-平台费用率分析'!$E$6:$E$532,$G$207),""))</f>
        <v>2.5210330540271896E-2</v>
      </c>
      <c r="K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H$6:$H$532,"&lt;&gt;")=0,"",IFERROR(SUMIFS('参考值-平台费用率分析'!$H$6:$H$532,'参考值-平台费用率分析'!$A$6:$A$532,"分销",'参考值-平台费用率分析'!$C$6:$C$532,$E$207,'参考值-平台费用率分析'!$D$6:$D$532,$F$207,'参考值-平台费用率分析'!$E$6:$E$532,$G$207)/SUMIFS('参考值-平台费用率分析'!$I$6:$I$532,'参考值-平台费用率分析'!$A$6:$A$532,"分销",'参考值-平台费用率分析'!$C$6:$C$532,$E$207,'参考值-平台费用率分析'!$D$6:$D$532,$F$207,'参考值-平台费用率分析'!$E$6:$E$532,$G$207),""))</f>
        <v>2.0659893003467707E-2</v>
      </c>
      <c r="L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K$6:$K$532,"&lt;&gt;")=0,"",IFERROR(SUMIFS('参考值-平台费用率分析'!$K$6:$K$532,'参考值-平台费用率分析'!$A$6:$A$532,"分销",'参考值-平台费用率分析'!$C$6:$C$532,$E$207,'参考值-平台费用率分析'!$D$6:$D$532,$F$207,'参考值-平台费用率分析'!$E$6:$E$532,$G$207)/SUMIFS('参考值-平台费用率分析'!$L$6:$L$532,'参考值-平台费用率分析'!$A$6:$A$532,"分销",'参考值-平台费用率分析'!$C$6:$C$532,$E$207,'参考值-平台费用率分析'!$D$6:$D$532,$F$207,'参考值-平台费用率分析'!$E$6:$E$532,$G$207),""))</f>
        <v>3.0775414742511973E-2</v>
      </c>
      <c r="M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N$6:$N$532,"&lt;&gt;")=0,"",IFERROR(SUMIFS('参考值-平台费用率分析'!$N$6:$N$532,'参考值-平台费用率分析'!$A$6:$A$532,"分销",'参考值-平台费用率分析'!$C$6:$C$532,$E$207,'参考值-平台费用率分析'!$D$6:$D$532,$F$207,'参考值-平台费用率分析'!$E$6:$E$532,$G$207)/SUMIFS('参考值-平台费用率分析'!$O$6:$O$532,'参考值-平台费用率分析'!$A$6:$A$532,"分销",'参考值-平台费用率分析'!$C$6:$C$532,$E$207,'参考值-平台费用率分析'!$D$6:$D$532,$F$207,'参考值-平台费用率分析'!$E$6:$E$532,$G$207),""))</f>
        <v>2.339946858749933E-2</v>
      </c>
      <c r="N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Q$6:$Q$532,"&lt;&gt;")=0,"",IFERROR(SUMIFS('参考值-平台费用率分析'!$Q$6:$Q$532,'参考值-平台费用率分析'!$A$6:$A$532,"分销",'参考值-平台费用率分析'!$C$6:$C$532,$E$207,'参考值-平台费用率分析'!$D$6:$D$532,$F$207,'参考值-平台费用率分析'!$E$6:$E$532,$G$207)/SUMIFS('参考值-平台费用率分析'!$R$6:$R$532,'参考值-平台费用率分析'!$A$6:$A$532,"分销",'参考值-平台费用率分析'!$C$6:$C$532,$E$207,'参考值-平台费用率分析'!$D$6:$D$532,$F$207,'参考值-平台费用率分析'!$E$6:$E$532,$G$207),""))</f>
        <v>2.933916948537597E-2</v>
      </c>
      <c r="O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T$6:$T$532,"&lt;&gt;")=0,"",IFERROR(SUMIFS('参考值-平台费用率分析'!$T$6:$T$532,'参考值-平台费用率分析'!$A$6:$A$532,"分销",'参考值-平台费用率分析'!$C$6:$C$532,$E$207,'参考值-平台费用率分析'!$D$6:$D$532,$F$207,'参考值-平台费用率分析'!$E$6:$E$532,$G$207)/SUMIFS('参考值-平台费用率分析'!$U$6:$U$532,'参考值-平台费用率分析'!$A$6:$A$532,"分销",'参考值-平台费用率分析'!$C$6:$C$532,$E$207,'参考值-平台费用率分析'!$D$6:$D$532,$F$207,'参考值-平台费用率分析'!$E$6:$E$532,$G$207),""))</f>
        <v>2.3634077602747609E-2</v>
      </c>
      <c r="P207" s="354">
        <f>IF(COUNTIFS('参考值-平台费用率分析'!$A$6:$A$532,"分销",'参考值-平台费用率分析'!$C$6:$C$532,$E$207,'参考值-平台费用率分析'!$D$6:$D$532,$F$207,'参考值-平台费用率分析'!$E$6:$E$532,$G$207,'参考值-平台费用率分析'!$W$6:$W$532,"&lt;&gt;")=0,"",IFERROR(SUMIFS('参考值-平台费用率分析'!$W$6:$W$532,'参考值-平台费用率分析'!$A$6:$A$532,"分销",'参考值-平台费用率分析'!$C$6:$C$532,$E$207,'参考值-平台费用率分析'!$D$6:$D$532,$F$207,'参考值-平台费用率分析'!$E$6:$E$532,$G$207)/SUMIFS('参考值-平台费用率分析'!$X$6:$X$532,'参考值-平台费用率分析'!$A$6:$A$532,"分销",'参考值-平台费用率分析'!$C$6:$C$532,$E$207,'参考值-平台费用率分析'!$D$6:$D$532,$F$207,'参考值-平台费用率分析'!$E$6:$E$532,$G$207),""))</f>
        <v>2.7252504817726713E-2</v>
      </c>
      <c r="Q207" s="354">
        <f>IF(AF207&lt;&gt;"",AF207,IF(COUNTIFS('参考值-平台费用率分析'!$A$6:$A$532,"分销",'参考值-平台费用率分析'!$C$6:$C$532,$E$207,'参考值-平台费用率分析'!$D$6:$D$532,$F$207,'参考值-平台费用率分析'!$E$6:$E$532,$G$207,'参考值-平台费用率分析'!$AF$6:$AF$532,"已导入实际")=0,$J207,IFERROR(SUMIFS('参考值-平台费用率分析'!$AC$6:$AC$532,'参考值-平台费用率分析'!$A$6:$A$532,"分销",'参考值-平台费用率分析'!$C$6:$C$532,$E$207,'参考值-平台费用率分析'!$D$6:$D$532,$F$207,'参考值-平台费用率分析'!$E$6:$E$532,$G$207,'参考值-平台费用率分析'!$AF$6:$AF$532,"已导入实际")/SUMIFS('参考值-平台费用率分析'!$AD$6:$AD$532,'参考值-平台费用率分析'!$A$6:$A$532,"分销",'参考值-平台费用率分析'!$C$6:$C$532,$E$207,'参考值-平台费用率分析'!$D$6:$D$532,$F$207,'参考值-平台费用率分析'!$E$6:$E$532,$G$207,'参考值-平台费用率分析'!$AF$6:$AF$532,"已导入实际"),$J207)))</f>
        <v>2.5210330540271896E-2</v>
      </c>
      <c r="R207" s="354">
        <f>IF(AG207&lt;&gt;"",AG207,IF(COUNTIFS('参考值-平台费用率分析'!$A$6:$A$532,"分销",'参考值-平台费用率分析'!$C$6:$C$532,$E$207,'参考值-平台费用率分析'!$D$6:$D$532,$F$207,'参考值-平台费用率分析'!$E$6:$E$532,$G$207,'参考值-平台费用率分析'!$AJ$6:$AJ$532,"已导入实际")=0,$J207,IFERROR(SUMIFS('参考值-平台费用率分析'!$AG$6:$AG$532,'参考值-平台费用率分析'!$A$6:$A$532,"分销",'参考值-平台费用率分析'!$C$6:$C$532,$E$207,'参考值-平台费用率分析'!$D$6:$D$532,$F$207,'参考值-平台费用率分析'!$E$6:$E$532,$G$207,'参考值-平台费用率分析'!$AJ$6:$AJ$532,"已导入实际")/SUMIFS('参考值-平台费用率分析'!$AH$6:$AH$532,'参考值-平台费用率分析'!$A$6:$A$532,"分销",'参考值-平台费用率分析'!$C$6:$C$532,$E$207,'参考值-平台费用率分析'!$D$6:$D$532,$F$207,'参考值-平台费用率分析'!$E$6:$E$532,$G$207,'参考值-平台费用率分析'!$AJ$6:$AJ$532,"已导入实际"),$J207)))</f>
        <v>2.5210330540271896E-2</v>
      </c>
      <c r="S207" s="354">
        <f>IF(AH207&lt;&gt;"",AH207,IF(COUNTIFS('参考值-平台费用率分析'!$A$6:$A$532,"分销",'参考值-平台费用率分析'!$C$6:$C$532,$E$207,'参考值-平台费用率分析'!$D$6:$D$532,$F$207,'参考值-平台费用率分析'!$E$6:$E$532,$G$207,'参考值-平台费用率分析'!$AN$6:$AN$532,"已导入实际")=0,$J207,IFERROR(SUMIFS('参考值-平台费用率分析'!$AK$6:$AK$532,'参考值-平台费用率分析'!$A$6:$A$532,"分销",'参考值-平台费用率分析'!$C$6:$C$532,$E$207,'参考值-平台费用率分析'!$D$6:$D$532,$F$207,'参考值-平台费用率分析'!$E$6:$E$532,$G$207,'参考值-平台费用率分析'!$AN$6:$AN$532,"已导入实际")/SUMIFS('参考值-平台费用率分析'!$AL$6:$AL$532,'参考值-平台费用率分析'!$A$6:$A$532,"分销",'参考值-平台费用率分析'!$C$6:$C$532,$E$207,'参考值-平台费用率分析'!$D$6:$D$532,$F$207,'参考值-平台费用率分析'!$E$6:$E$532,$G$207,'参考值-平台费用率分析'!$AN$6:$AN$532,"已导入实际"),$J207)))</f>
        <v>2.5210330540271896E-2</v>
      </c>
      <c r="T207" s="354">
        <f>IF(AI207&lt;&gt;"",AI207,IF(COUNTIFS('参考值-平台费用率分析'!$A$6:$A$532,"分销",'参考值-平台费用率分析'!$C$6:$C$532,$E$207,'参考值-平台费用率分析'!$D$6:$D$532,$F$207,'参考值-平台费用率分析'!$E$6:$E$532,$G$207,'参考值-平台费用率分析'!$AR$6:$AR$532,"已导入实际")=0,$J207,IFERROR(SUMIFS('参考值-平台费用率分析'!$AO$6:$AO$532,'参考值-平台费用率分析'!$A$6:$A$532,"分销",'参考值-平台费用率分析'!$C$6:$C$532,$E$207,'参考值-平台费用率分析'!$D$6:$D$532,$F$207,'参考值-平台费用率分析'!$E$6:$E$532,$G$207,'参考值-平台费用率分析'!$AR$6:$AR$532,"已导入实际")/SUMIFS('参考值-平台费用率分析'!$AP$6:$AP$532,'参考值-平台费用率分析'!$A$6:$A$532,"分销",'参考值-平台费用率分析'!$C$6:$C$532,$E$207,'参考值-平台费用率分析'!$D$6:$D$532,$F$207,'参考值-平台费用率分析'!$E$6:$E$532,$G$207,'参考值-平台费用率分析'!$AR$6:$AR$532,"已导入实际"),$J207)))</f>
        <v>2.5210330540271896E-2</v>
      </c>
      <c r="U207" s="354">
        <f>IF(AJ207&lt;&gt;"",AJ207,IF(COUNTIFS('参考值-平台费用率分析'!$A$6:$A$532,"分销",'参考值-平台费用率分析'!$C$6:$C$532,$E$207,'参考值-平台费用率分析'!$D$6:$D$532,$F$207,'参考值-平台费用率分析'!$E$6:$E$532,$G$207,'参考值-平台费用率分析'!$AV$6:$AV$532,"已导入实际")=0,$J207,IFERROR(SUMIFS('参考值-平台费用率分析'!$AS$6:$AS$532,'参考值-平台费用率分析'!$A$6:$A$532,"分销",'参考值-平台费用率分析'!$C$6:$C$532,$E$207,'参考值-平台费用率分析'!$D$6:$D$532,$F$207,'参考值-平台费用率分析'!$E$6:$E$532,$G$207,'参考值-平台费用率分析'!$AV$6:$AV$532,"已导入实际")/SUMIFS('参考值-平台费用率分析'!$AT$6:$AT$532,'参考值-平台费用率分析'!$A$6:$A$532,"分销",'参考值-平台费用率分析'!$C$6:$C$532,$E$207,'参考值-平台费用率分析'!$D$6:$D$532,$F$207,'参考值-平台费用率分析'!$E$6:$E$532,$G$207,'参考值-平台费用率分析'!$AV$6:$AV$532,"已导入实际"),$J207)))</f>
        <v>2.5210330540271896E-2</v>
      </c>
      <c r="V207" s="354">
        <f>IF(AK207&lt;&gt;"",AK207,IF(COUNTIFS('参考值-平台费用率分析'!$A$6:$A$532,"分销",'参考值-平台费用率分析'!$C$6:$C$532,$E$207,'参考值-平台费用率分析'!$D$6:$D$532,$F$207,'参考值-平台费用率分析'!$E$6:$E$532,$G$207,'参考值-平台费用率分析'!$AZ$6:$AZ$532,"已导入实际")=0,$J207,IFERROR(SUMIFS('参考值-平台费用率分析'!$AW$6:$AW$532,'参考值-平台费用率分析'!$A$6:$A$532,"分销",'参考值-平台费用率分析'!$C$6:$C$532,$E$207,'参考值-平台费用率分析'!$D$6:$D$532,$F$207,'参考值-平台费用率分析'!$E$6:$E$532,$G$207,'参考值-平台费用率分析'!$AZ$6:$AZ$532,"已导入实际")/SUMIFS('参考值-平台费用率分析'!$AX$6:$AX$532,'参考值-平台费用率分析'!$A$6:$A$532,"分销",'参考值-平台费用率分析'!$C$6:$C$532,$E$207,'参考值-平台费用率分析'!$D$6:$D$532,$F$207,'参考值-平台费用率分析'!$E$6:$E$532,$G$207,'参考值-平台费用率分析'!$AZ$6:$AZ$532,"已导入实际"),$J207)))</f>
        <v>2.5210330540271896E-2</v>
      </c>
      <c r="W207" s="354">
        <f t="shared" si="29"/>
        <v>2.5210330540271896E-2</v>
      </c>
    </row>
    <row r="208" spans="4:37">
      <c r="E208" s="336" t="s">
        <v>52</v>
      </c>
      <c r="F208" s="336" t="s">
        <v>74</v>
      </c>
      <c r="G208" s="336" t="s">
        <v>76</v>
      </c>
      <c r="J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Z$6:$Z$532,"&lt;&gt;")=0,"",IFERROR(SUMIFS('参考值-平台费用率分析'!$Z$6:$Z$532,'参考值-平台费用率分析'!$A$6:$A$532,"分销",'参考值-平台费用率分析'!$C$6:$C$532,$E$208,'参考值-平台费用率分析'!$D$6:$D$532,$F$208,'参考值-平台费用率分析'!$E$6:$E$532,$G$208)/SUMIFS('参考值-平台费用率分析'!$AA$6:$AA$532,'参考值-平台费用率分析'!$A$6:$A$532,"分销",'参考值-平台费用率分析'!$C$6:$C$532,$E$208,'参考值-平台费用率分析'!$D$6:$D$532,$F$208,'参考值-平台费用率分析'!$E$6:$E$532,$G$208),""))</f>
        <v>9.2056137241748499E-3</v>
      </c>
      <c r="K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H$6:$H$532,"&lt;&gt;")=0,"",IFERROR(SUMIFS('参考值-平台费用率分析'!$H$6:$H$532,'参考值-平台费用率分析'!$A$6:$A$532,"分销",'参考值-平台费用率分析'!$C$6:$C$532,$E$208,'参考值-平台费用率分析'!$D$6:$D$532,$F$208,'参考值-平台费用率分析'!$E$6:$E$532,$G$208)/SUMIFS('参考值-平台费用率分析'!$I$6:$I$532,'参考值-平台费用率分析'!$A$6:$A$532,"分销",'参考值-平台费用率分析'!$C$6:$C$532,$E$208,'参考值-平台费用率分析'!$D$6:$D$532,$F$208,'参考值-平台费用率分析'!$E$6:$E$532,$G$208),""))</f>
        <v>8.4196288324219892E-3</v>
      </c>
      <c r="L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K$6:$K$532,"&lt;&gt;")=0,"",IFERROR(SUMIFS('参考值-平台费用率分析'!$K$6:$K$532,'参考值-平台费用率分析'!$A$6:$A$532,"分销",'参考值-平台费用率分析'!$C$6:$C$532,$E$208,'参考值-平台费用率分析'!$D$6:$D$532,$F$208,'参考值-平台费用率分析'!$E$6:$E$532,$G$208)/SUMIFS('参考值-平台费用率分析'!$L$6:$L$532,'参考值-平台费用率分析'!$A$6:$A$532,"分销",'参考值-平台费用率分析'!$C$6:$C$532,$E$208,'参考值-平台费用率分析'!$D$6:$D$532,$F$208,'参考值-平台费用率分析'!$E$6:$E$532,$G$208),""))</f>
        <v>1.0391813894076602E-2</v>
      </c>
      <c r="M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N$6:$N$532,"&lt;&gt;")=0,"",IFERROR(SUMIFS('参考值-平台费用率分析'!$N$6:$N$532,'参考值-平台费用率分析'!$A$6:$A$532,"分销",'参考值-平台费用率分析'!$C$6:$C$532,$E$208,'参考值-平台费用率分析'!$D$6:$D$532,$F$208,'参考值-平台费用率分析'!$E$6:$E$532,$G$208)/SUMIFS('参考值-平台费用率分析'!$O$6:$O$532,'参考值-平台费用率分析'!$A$6:$A$532,"分销",'参考值-平台费用率分析'!$C$6:$C$532,$E$208,'参考值-平台费用率分析'!$D$6:$D$532,$F$208,'参考值-平台费用率分析'!$E$6:$E$532,$G$208),""))</f>
        <v>8.2177911790859738E-3</v>
      </c>
      <c r="N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Q$6:$Q$532,"&lt;&gt;")=0,"",IFERROR(SUMIFS('参考值-平台费用率分析'!$Q$6:$Q$532,'参考值-平台费用率分析'!$A$6:$A$532,"分销",'参考值-平台费用率分析'!$C$6:$C$532,$E$208,'参考值-平台费用率分析'!$D$6:$D$532,$F$208,'参考值-平台费用率分析'!$E$6:$E$532,$G$208)/SUMIFS('参考值-平台费用率分析'!$R$6:$R$532,'参考值-平台费用率分析'!$A$6:$A$532,"分销",'参考值-平台费用率分析'!$C$6:$C$532,$E$208,'参考值-平台费用率分析'!$D$6:$D$532,$F$208,'参考值-平台费用率分析'!$E$6:$E$532,$G$208),""))</f>
        <v>1.0400197134261917E-2</v>
      </c>
      <c r="O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T$6:$T$532,"&lt;&gt;")=0,"",IFERROR(SUMIFS('参考值-平台费用率分析'!$T$6:$T$532,'参考值-平台费用率分析'!$A$6:$A$532,"分销",'参考值-平台费用率分析'!$C$6:$C$532,$E$208,'参考值-平台费用率分析'!$D$6:$D$532,$F$208,'参考值-平台费用率分析'!$E$6:$E$532,$G$208)/SUMIFS('参考值-平台费用率分析'!$U$6:$U$532,'参考值-平台费用率分析'!$A$6:$A$532,"分销",'参考值-平台费用率分析'!$C$6:$C$532,$E$208,'参考值-平台费用率分析'!$D$6:$D$532,$F$208,'参考值-平台费用率分析'!$E$6:$E$532,$G$208),""))</f>
        <v>8.7749733311898431E-3</v>
      </c>
      <c r="P208" s="354">
        <f>IF(COUNTIFS('参考值-平台费用率分析'!$A$6:$A$532,"分销",'参考值-平台费用率分析'!$C$6:$C$532,$E$208,'参考值-平台费用率分析'!$D$6:$D$532,$F$208,'参考值-平台费用率分析'!$E$6:$E$532,$G$208,'参考值-平台费用率分析'!$W$6:$W$532,"&lt;&gt;")=0,"",IFERROR(SUMIFS('参考值-平台费用率分析'!$W$6:$W$532,'参考值-平台费用率分析'!$A$6:$A$532,"分销",'参考值-平台费用率分析'!$C$6:$C$532,$E$208,'参考值-平台费用率分析'!$D$6:$D$532,$F$208,'参考值-平台费用率分析'!$E$6:$E$532,$G$208)/SUMIFS('参考值-平台费用率分析'!$X$6:$X$532,'参考值-平台费用率分析'!$A$6:$A$532,"分销",'参考值-平台费用率分析'!$C$6:$C$532,$E$208,'参考值-平台费用率分析'!$D$6:$D$532,$F$208,'参考值-平台费用率分析'!$E$6:$E$532,$G$208),""))</f>
        <v>1.0132539767402419E-2</v>
      </c>
      <c r="Q208" s="354">
        <f>IF(AF208&lt;&gt;"",AF208,IF(COUNTIFS('参考值-平台费用率分析'!$A$6:$A$532,"分销",'参考值-平台费用率分析'!$C$6:$C$532,$E$208,'参考值-平台费用率分析'!$D$6:$D$532,$F$208,'参考值-平台费用率分析'!$E$6:$E$532,$G$208,'参考值-平台费用率分析'!$AF$6:$AF$532,"已导入实际")=0,$J208,IFERROR(SUMIFS('参考值-平台费用率分析'!$AC$6:$AC$532,'参考值-平台费用率分析'!$A$6:$A$532,"分销",'参考值-平台费用率分析'!$C$6:$C$532,$E$208,'参考值-平台费用率分析'!$D$6:$D$532,$F$208,'参考值-平台费用率分析'!$E$6:$E$532,$G$208,'参考值-平台费用率分析'!$AF$6:$AF$532,"已导入实际")/SUMIFS('参考值-平台费用率分析'!$AD$6:$AD$532,'参考值-平台费用率分析'!$A$6:$A$532,"分销",'参考值-平台费用率分析'!$C$6:$C$532,$E$208,'参考值-平台费用率分析'!$D$6:$D$532,$F$208,'参考值-平台费用率分析'!$E$6:$E$532,$G$208,'参考值-平台费用率分析'!$AF$6:$AF$532,"已导入实际"),$J208)))</f>
        <v>1.6000000000000001E-3</v>
      </c>
      <c r="R208" s="354">
        <f>IF(AG208&lt;&gt;"",AG208,IF(COUNTIFS('参考值-平台费用率分析'!$A$6:$A$532,"分销",'参考值-平台费用率分析'!$C$6:$C$532,$E$208,'参考值-平台费用率分析'!$D$6:$D$532,$F$208,'参考值-平台费用率分析'!$E$6:$E$532,$G$208,'参考值-平台费用率分析'!$AJ$6:$AJ$532,"已导入实际")=0,$J208,IFERROR(SUMIFS('参考值-平台费用率分析'!$AG$6:$AG$532,'参考值-平台费用率分析'!$A$6:$A$532,"分销",'参考值-平台费用率分析'!$C$6:$C$532,$E$208,'参考值-平台费用率分析'!$D$6:$D$532,$F$208,'参考值-平台费用率分析'!$E$6:$E$532,$G$208,'参考值-平台费用率分析'!$AJ$6:$AJ$532,"已导入实际")/SUMIFS('参考值-平台费用率分析'!$AH$6:$AH$532,'参考值-平台费用率分析'!$A$6:$A$532,"分销",'参考值-平台费用率分析'!$C$6:$C$532,$E$208,'参考值-平台费用率分析'!$D$6:$D$532,$F$208,'参考值-平台费用率分析'!$E$6:$E$532,$G$208,'参考值-平台费用率分析'!$AJ$6:$AJ$532,"已导入实际"),$J208)))</f>
        <v>1.6000000000000001E-3</v>
      </c>
      <c r="S208" s="354">
        <f>IF(AH208&lt;&gt;"",AH208,IF(COUNTIFS('参考值-平台费用率分析'!$A$6:$A$532,"分销",'参考值-平台费用率分析'!$C$6:$C$532,$E$208,'参考值-平台费用率分析'!$D$6:$D$532,$F$208,'参考值-平台费用率分析'!$E$6:$E$532,$G$208,'参考值-平台费用率分析'!$AN$6:$AN$532,"已导入实际")=0,$J208,IFERROR(SUMIFS('参考值-平台费用率分析'!$AK$6:$AK$532,'参考值-平台费用率分析'!$A$6:$A$532,"分销",'参考值-平台费用率分析'!$C$6:$C$532,$E$208,'参考值-平台费用率分析'!$D$6:$D$532,$F$208,'参考值-平台费用率分析'!$E$6:$E$532,$G$208,'参考值-平台费用率分析'!$AN$6:$AN$532,"已导入实际")/SUMIFS('参考值-平台费用率分析'!$AL$6:$AL$532,'参考值-平台费用率分析'!$A$6:$A$532,"分销",'参考值-平台费用率分析'!$C$6:$C$532,$E$208,'参考值-平台费用率分析'!$D$6:$D$532,$F$208,'参考值-平台费用率分析'!$E$6:$E$532,$G$208,'参考值-平台费用率分析'!$AN$6:$AN$532,"已导入实际"),$J208)))</f>
        <v>1.6000000000000001E-3</v>
      </c>
      <c r="T208" s="354">
        <f>IF(AI208&lt;&gt;"",AI208,IF(COUNTIFS('参考值-平台费用率分析'!$A$6:$A$532,"分销",'参考值-平台费用率分析'!$C$6:$C$532,$E$208,'参考值-平台费用率分析'!$D$6:$D$532,$F$208,'参考值-平台费用率分析'!$E$6:$E$532,$G$208,'参考值-平台费用率分析'!$AR$6:$AR$532,"已导入实际")=0,$J208,IFERROR(SUMIFS('参考值-平台费用率分析'!$AO$6:$AO$532,'参考值-平台费用率分析'!$A$6:$A$532,"分销",'参考值-平台费用率分析'!$C$6:$C$532,$E$208,'参考值-平台费用率分析'!$D$6:$D$532,$F$208,'参考值-平台费用率分析'!$E$6:$E$532,$G$208,'参考值-平台费用率分析'!$AR$6:$AR$532,"已导入实际")/SUMIFS('参考值-平台费用率分析'!$AP$6:$AP$532,'参考值-平台费用率分析'!$A$6:$A$532,"分销",'参考值-平台费用率分析'!$C$6:$C$532,$E$208,'参考值-平台费用率分析'!$D$6:$D$532,$F$208,'参考值-平台费用率分析'!$E$6:$E$532,$G$208,'参考值-平台费用率分析'!$AR$6:$AR$532,"已导入实际"),$J208)))</f>
        <v>1.6000000000000001E-3</v>
      </c>
      <c r="U208" s="354">
        <f>IF(AJ208&lt;&gt;"",AJ208,IF(COUNTIFS('参考值-平台费用率分析'!$A$6:$A$532,"分销",'参考值-平台费用率分析'!$C$6:$C$532,$E$208,'参考值-平台费用率分析'!$D$6:$D$532,$F$208,'参考值-平台费用率分析'!$E$6:$E$532,$G$208,'参考值-平台费用率分析'!$AV$6:$AV$532,"已导入实际")=0,$J208,IFERROR(SUMIFS('参考值-平台费用率分析'!$AS$6:$AS$532,'参考值-平台费用率分析'!$A$6:$A$532,"分销",'参考值-平台费用率分析'!$C$6:$C$532,$E$208,'参考值-平台费用率分析'!$D$6:$D$532,$F$208,'参考值-平台费用率分析'!$E$6:$E$532,$G$208,'参考值-平台费用率分析'!$AV$6:$AV$532,"已导入实际")/SUMIFS('参考值-平台费用率分析'!$AT$6:$AT$532,'参考值-平台费用率分析'!$A$6:$A$532,"分销",'参考值-平台费用率分析'!$C$6:$C$532,$E$208,'参考值-平台费用率分析'!$D$6:$D$532,$F$208,'参考值-平台费用率分析'!$E$6:$E$532,$G$208,'参考值-平台费用率分析'!$AV$6:$AV$532,"已导入实际"),$J208)))</f>
        <v>1.6000000000000001E-3</v>
      </c>
      <c r="V208" s="354">
        <f>IF(AK208&lt;&gt;"",AK208,IF(COUNTIFS('参考值-平台费用率分析'!$A$6:$A$532,"分销",'参考值-平台费用率分析'!$C$6:$C$532,$E$208,'参考值-平台费用率分析'!$D$6:$D$532,$F$208,'参考值-平台费用率分析'!$E$6:$E$532,$G$208,'参考值-平台费用率分析'!$AZ$6:$AZ$532,"已导入实际")=0,$J208,IFERROR(SUMIFS('参考值-平台费用率分析'!$AW$6:$AW$532,'参考值-平台费用率分析'!$A$6:$A$532,"分销",'参考值-平台费用率分析'!$C$6:$C$532,$E$208,'参考值-平台费用率分析'!$D$6:$D$532,$F$208,'参考值-平台费用率分析'!$E$6:$E$532,$G$208,'参考值-平台费用率分析'!$AZ$6:$AZ$532,"已导入实际")/SUMIFS('参考值-平台费用率分析'!$AX$6:$AX$532,'参考值-平台费用率分析'!$A$6:$A$532,"分销",'参考值-平台费用率分析'!$C$6:$C$532,$E$208,'参考值-平台费用率分析'!$D$6:$D$532,$F$208,'参考值-平台费用率分析'!$E$6:$E$532,$G$208,'参考值-平台费用率分析'!$AZ$6:$AZ$532,"已导入实际"),$J208)))</f>
        <v>1.6000000000000001E-3</v>
      </c>
      <c r="W208" s="354">
        <f t="shared" si="29"/>
        <v>9.2056137241748499E-3</v>
      </c>
      <c r="AF208" s="338">
        <v>1.6000000000000001E-3</v>
      </c>
      <c r="AG208" s="338">
        <v>1.6000000000000001E-3</v>
      </c>
      <c r="AH208" s="338">
        <v>1.6000000000000001E-3</v>
      </c>
      <c r="AI208" s="338">
        <v>1.6000000000000001E-3</v>
      </c>
      <c r="AJ208" s="338">
        <v>1.6000000000000001E-3</v>
      </c>
      <c r="AK208" s="338">
        <v>1.6000000000000001E-3</v>
      </c>
    </row>
    <row r="209" spans="4:37">
      <c r="E209" s="336" t="s">
        <v>52</v>
      </c>
      <c r="F209" s="336" t="s">
        <v>74</v>
      </c>
      <c r="G209" s="336" t="s">
        <v>77</v>
      </c>
      <c r="J209" s="354">
        <f>IF(COUNTIFS('参考值-平台费用率分析'!$A$6:$A$532,"分销",'参考值-平台费用率分析'!$C$6:$C$532,$E$209,'参考值-平台费用率分析'!$D$6:$D$532,$F$209,'参考值-平台费用率分析'!$E$6:$E$532,$G$209,'参考值-平台费用率分析'!$Z$6:$Z$532,"&lt;&gt;")=0,"",IFERROR(SUMIFS('参考值-平台费用率分析'!$Z$6:$Z$532,'参考值-平台费用率分析'!$A$6:$A$532,"分销",'参考值-平台费用率分析'!$C$6:$C$532,$E$209,'参考值-平台费用率分析'!$D$6:$D$532,$F$209,'参考值-平台费用率分析'!$E$6:$E$532,$G$209)/SUMIFS('参考值-平台费用率分析'!$AA$6:$AA$532,'参考值-平台费用率分析'!$A$6:$A$532,"分销",'参考值-平台费用率分析'!$C$6:$C$532,$E$209,'参考值-平台费用率分析'!$D$6:$D$532,$F$209,'参考值-平台费用率分析'!$E$6:$E$532,$G$209),""))</f>
        <v>0</v>
      </c>
      <c r="K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H$6:$H$532,"&lt;&gt;")=0,"",IFERROR(SUMIFS('参考值-平台费用率分析'!$H$6:$H$532,'参考值-平台费用率分析'!$A$6:$A$532,"分销",'参考值-平台费用率分析'!$C$6:$C$532,$E$209,'参考值-平台费用率分析'!$D$6:$D$532,$F$209,'参考值-平台费用率分析'!$E$6:$E$532,$G$209)/SUMIFS('参考值-平台费用率分析'!$I$6:$I$532,'参考值-平台费用率分析'!$A$6:$A$532,"分销",'参考值-平台费用率分析'!$C$6:$C$532,$E$209,'参考值-平台费用率分析'!$D$6:$D$532,$F$209,'参考值-平台费用率分析'!$E$6:$E$532,$G$209),""))</f>
        <v/>
      </c>
      <c r="L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K$6:$K$532,"&lt;&gt;")=0,"",IFERROR(SUMIFS('参考值-平台费用率分析'!$K$6:$K$532,'参考值-平台费用率分析'!$A$6:$A$532,"分销",'参考值-平台费用率分析'!$C$6:$C$532,$E$209,'参考值-平台费用率分析'!$D$6:$D$532,$F$209,'参考值-平台费用率分析'!$E$6:$E$532,$G$209)/SUMIFS('参考值-平台费用率分析'!$L$6:$L$532,'参考值-平台费用率分析'!$A$6:$A$532,"分销",'参考值-平台费用率分析'!$C$6:$C$532,$E$209,'参考值-平台费用率分析'!$D$6:$D$532,$F$209,'参考值-平台费用率分析'!$E$6:$E$532,$G$209),""))</f>
        <v/>
      </c>
      <c r="M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N$6:$N$532,"&lt;&gt;")=0,"",IFERROR(SUMIFS('参考值-平台费用率分析'!$N$6:$N$532,'参考值-平台费用率分析'!$A$6:$A$532,"分销",'参考值-平台费用率分析'!$C$6:$C$532,$E$209,'参考值-平台费用率分析'!$D$6:$D$532,$F$209,'参考值-平台费用率分析'!$E$6:$E$532,$G$209)/SUMIFS('参考值-平台费用率分析'!$O$6:$O$532,'参考值-平台费用率分析'!$A$6:$A$532,"分销",'参考值-平台费用率分析'!$C$6:$C$532,$E$209,'参考值-平台费用率分析'!$D$6:$D$532,$F$209,'参考值-平台费用率分析'!$E$6:$E$532,$G$209),""))</f>
        <v/>
      </c>
      <c r="N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Q$6:$Q$532,"&lt;&gt;")=0,"",IFERROR(SUMIFS('参考值-平台费用率分析'!$Q$6:$Q$532,'参考值-平台费用率分析'!$A$6:$A$532,"分销",'参考值-平台费用率分析'!$C$6:$C$532,$E$209,'参考值-平台费用率分析'!$D$6:$D$532,$F$209,'参考值-平台费用率分析'!$E$6:$E$532,$G$209)/SUMIFS('参考值-平台费用率分析'!$R$6:$R$532,'参考值-平台费用率分析'!$A$6:$A$532,"分销",'参考值-平台费用率分析'!$C$6:$C$532,$E$209,'参考值-平台费用率分析'!$D$6:$D$532,$F$209,'参考值-平台费用率分析'!$E$6:$E$532,$G$209),""))</f>
        <v/>
      </c>
      <c r="O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T$6:$T$532,"&lt;&gt;")=0,"",IFERROR(SUMIFS('参考值-平台费用率分析'!$T$6:$T$532,'参考值-平台费用率分析'!$A$6:$A$532,"分销",'参考值-平台费用率分析'!$C$6:$C$532,$E$209,'参考值-平台费用率分析'!$D$6:$D$532,$F$209,'参考值-平台费用率分析'!$E$6:$E$532,$G$209)/SUMIFS('参考值-平台费用率分析'!$U$6:$U$532,'参考值-平台费用率分析'!$A$6:$A$532,"分销",'参考值-平台费用率分析'!$C$6:$C$532,$E$209,'参考值-平台费用率分析'!$D$6:$D$532,$F$209,'参考值-平台费用率分析'!$E$6:$E$532,$G$209),""))</f>
        <v/>
      </c>
      <c r="P209" s="354" t="str">
        <f>IF(COUNTIFS('参考值-平台费用率分析'!$A$6:$A$532,"分销",'参考值-平台费用率分析'!$C$6:$C$532,$E$209,'参考值-平台费用率分析'!$D$6:$D$532,$F$209,'参考值-平台费用率分析'!$E$6:$E$532,$G$209,'参考值-平台费用率分析'!$W$6:$W$532,"&lt;&gt;")=0,"",IFERROR(SUMIFS('参考值-平台费用率分析'!$W$6:$W$532,'参考值-平台费用率分析'!$A$6:$A$532,"分销",'参考值-平台费用率分析'!$C$6:$C$532,$E$209,'参考值-平台费用率分析'!$D$6:$D$532,$F$209,'参考值-平台费用率分析'!$E$6:$E$532,$G$209)/SUMIFS('参考值-平台费用率分析'!$X$6:$X$532,'参考值-平台费用率分析'!$A$6:$A$532,"分销",'参考值-平台费用率分析'!$C$6:$C$532,$E$209,'参考值-平台费用率分析'!$D$6:$D$532,$F$209,'参考值-平台费用率分析'!$E$6:$E$532,$G$209),""))</f>
        <v/>
      </c>
      <c r="Q209" s="354">
        <f>IF(AF209&lt;&gt;"",AF209,IF(COUNTIFS('参考值-平台费用率分析'!$A$6:$A$532,"分销",'参考值-平台费用率分析'!$C$6:$C$532,$E$209,'参考值-平台费用率分析'!$D$6:$D$532,$F$209,'参考值-平台费用率分析'!$E$6:$E$532,$G$209,'参考值-平台费用率分析'!$AF$6:$AF$532,"已导入实际")=0,$J209,IFERROR(SUMIFS('参考值-平台费用率分析'!$AC$6:$AC$532,'参考值-平台费用率分析'!$A$6:$A$532,"分销",'参考值-平台费用率分析'!$C$6:$C$532,$E$209,'参考值-平台费用率分析'!$D$6:$D$532,$F$209,'参考值-平台费用率分析'!$E$6:$E$532,$G$209,'参考值-平台费用率分析'!$AF$6:$AF$532,"已导入实际")/SUMIFS('参考值-平台费用率分析'!$AD$6:$AD$532,'参考值-平台费用率分析'!$A$6:$A$532,"分销",'参考值-平台费用率分析'!$C$6:$C$532,$E$209,'参考值-平台费用率分析'!$D$6:$D$532,$F$209,'参考值-平台费用率分析'!$E$6:$E$532,$G$209,'参考值-平台费用率分析'!$AF$6:$AF$532,"已导入实际"),$J209)))</f>
        <v>0.01</v>
      </c>
      <c r="R209" s="354">
        <f>IF(AG209&lt;&gt;"",AG209,IF(COUNTIFS('参考值-平台费用率分析'!$A$6:$A$532,"分销",'参考值-平台费用率分析'!$C$6:$C$532,$E$209,'参考值-平台费用率分析'!$D$6:$D$532,$F$209,'参考值-平台费用率分析'!$E$6:$E$532,$G$209,'参考值-平台费用率分析'!$AJ$6:$AJ$532,"已导入实际")=0,$J209,IFERROR(SUMIFS('参考值-平台费用率分析'!$AG$6:$AG$532,'参考值-平台费用率分析'!$A$6:$A$532,"分销",'参考值-平台费用率分析'!$C$6:$C$532,$E$209,'参考值-平台费用率分析'!$D$6:$D$532,$F$209,'参考值-平台费用率分析'!$E$6:$E$532,$G$209,'参考值-平台费用率分析'!$AJ$6:$AJ$532,"已导入实际")/SUMIFS('参考值-平台费用率分析'!$AH$6:$AH$532,'参考值-平台费用率分析'!$A$6:$A$532,"分销",'参考值-平台费用率分析'!$C$6:$C$532,$E$209,'参考值-平台费用率分析'!$D$6:$D$532,$F$209,'参考值-平台费用率分析'!$E$6:$E$532,$G$209,'参考值-平台费用率分析'!$AJ$6:$AJ$532,"已导入实际"),$J209)))</f>
        <v>0.01</v>
      </c>
      <c r="S209" s="354">
        <f>IF(AH209&lt;&gt;"",AH209,IF(COUNTIFS('参考值-平台费用率分析'!$A$6:$A$532,"分销",'参考值-平台费用率分析'!$C$6:$C$532,$E$209,'参考值-平台费用率分析'!$D$6:$D$532,$F$209,'参考值-平台费用率分析'!$E$6:$E$532,$G$209,'参考值-平台费用率分析'!$AN$6:$AN$532,"已导入实际")=0,$J209,IFERROR(SUMIFS('参考值-平台费用率分析'!$AK$6:$AK$532,'参考值-平台费用率分析'!$A$6:$A$532,"分销",'参考值-平台费用率分析'!$C$6:$C$532,$E$209,'参考值-平台费用率分析'!$D$6:$D$532,$F$209,'参考值-平台费用率分析'!$E$6:$E$532,$G$209,'参考值-平台费用率分析'!$AN$6:$AN$532,"已导入实际")/SUMIFS('参考值-平台费用率分析'!$AL$6:$AL$532,'参考值-平台费用率分析'!$A$6:$A$532,"分销",'参考值-平台费用率分析'!$C$6:$C$532,$E$209,'参考值-平台费用率分析'!$D$6:$D$532,$F$209,'参考值-平台费用率分析'!$E$6:$E$532,$G$209,'参考值-平台费用率分析'!$AN$6:$AN$532,"已导入实际"),$J209)))</f>
        <v>0.01</v>
      </c>
      <c r="T209" s="354">
        <f>IF(AI209&lt;&gt;"",AI209,IF(COUNTIFS('参考值-平台费用率分析'!$A$6:$A$532,"分销",'参考值-平台费用率分析'!$C$6:$C$532,$E$209,'参考值-平台费用率分析'!$D$6:$D$532,$F$209,'参考值-平台费用率分析'!$E$6:$E$532,$G$209,'参考值-平台费用率分析'!$AR$6:$AR$532,"已导入实际")=0,$J209,IFERROR(SUMIFS('参考值-平台费用率分析'!$AO$6:$AO$532,'参考值-平台费用率分析'!$A$6:$A$532,"分销",'参考值-平台费用率分析'!$C$6:$C$532,$E$209,'参考值-平台费用率分析'!$D$6:$D$532,$F$209,'参考值-平台费用率分析'!$E$6:$E$532,$G$209,'参考值-平台费用率分析'!$AR$6:$AR$532,"已导入实际")/SUMIFS('参考值-平台费用率分析'!$AP$6:$AP$532,'参考值-平台费用率分析'!$A$6:$A$532,"分销",'参考值-平台费用率分析'!$C$6:$C$532,$E$209,'参考值-平台费用率分析'!$D$6:$D$532,$F$209,'参考值-平台费用率分析'!$E$6:$E$532,$G$209,'参考值-平台费用率分析'!$AR$6:$AR$532,"已导入实际"),$J209)))</f>
        <v>0.01</v>
      </c>
      <c r="U209" s="354">
        <f>IF(AJ209&lt;&gt;"",AJ209,IF(COUNTIFS('参考值-平台费用率分析'!$A$6:$A$532,"分销",'参考值-平台费用率分析'!$C$6:$C$532,$E$209,'参考值-平台费用率分析'!$D$6:$D$532,$F$209,'参考值-平台费用率分析'!$E$6:$E$532,$G$209,'参考值-平台费用率分析'!$AV$6:$AV$532,"已导入实际")=0,$J209,IFERROR(SUMIFS('参考值-平台费用率分析'!$AS$6:$AS$532,'参考值-平台费用率分析'!$A$6:$A$532,"分销",'参考值-平台费用率分析'!$C$6:$C$532,$E$209,'参考值-平台费用率分析'!$D$6:$D$532,$F$209,'参考值-平台费用率分析'!$E$6:$E$532,$G$209,'参考值-平台费用率分析'!$AV$6:$AV$532,"已导入实际")/SUMIFS('参考值-平台费用率分析'!$AT$6:$AT$532,'参考值-平台费用率分析'!$A$6:$A$532,"分销",'参考值-平台费用率分析'!$C$6:$C$532,$E$209,'参考值-平台费用率分析'!$D$6:$D$532,$F$209,'参考值-平台费用率分析'!$E$6:$E$532,$G$209,'参考值-平台费用率分析'!$AV$6:$AV$532,"已导入实际"),$J209)))</f>
        <v>0.01</v>
      </c>
      <c r="V209" s="354">
        <f>IF(AK209&lt;&gt;"",AK209,IF(COUNTIFS('参考值-平台费用率分析'!$A$6:$A$532,"分销",'参考值-平台费用率分析'!$C$6:$C$532,$E$209,'参考值-平台费用率分析'!$D$6:$D$532,$F$209,'参考值-平台费用率分析'!$E$6:$E$532,$G$209,'参考值-平台费用率分析'!$AZ$6:$AZ$532,"已导入实际")=0,$J209,IFERROR(SUMIFS('参考值-平台费用率分析'!$AW$6:$AW$532,'参考值-平台费用率分析'!$A$6:$A$532,"分销",'参考值-平台费用率分析'!$C$6:$C$532,$E$209,'参考值-平台费用率分析'!$D$6:$D$532,$F$209,'参考值-平台费用率分析'!$E$6:$E$532,$G$209,'参考值-平台费用率分析'!$AZ$6:$AZ$532,"已导入实际")/SUMIFS('参考值-平台费用率分析'!$AX$6:$AX$532,'参考值-平台费用率分析'!$A$6:$A$532,"分销",'参考值-平台费用率分析'!$C$6:$C$532,$E$209,'参考值-平台费用率分析'!$D$6:$D$532,$F$209,'参考值-平台费用率分析'!$E$6:$E$532,$G$209,'参考值-平台费用率分析'!$AZ$6:$AZ$532,"已导入实际"),$J209)))</f>
        <v>0.01</v>
      </c>
      <c r="W209" s="354">
        <f t="shared" si="29"/>
        <v>0</v>
      </c>
      <c r="AF209" s="338">
        <v>0.01</v>
      </c>
      <c r="AG209" s="338">
        <v>0.01</v>
      </c>
      <c r="AH209" s="338">
        <v>0.01</v>
      </c>
      <c r="AI209" s="338">
        <v>0.01</v>
      </c>
      <c r="AJ209" s="338">
        <v>0.01</v>
      </c>
      <c r="AK209" s="338">
        <v>0.01</v>
      </c>
    </row>
    <row r="210" spans="4:37">
      <c r="D210" s="67" t="s">
        <v>79</v>
      </c>
      <c r="E210" s="336" t="s">
        <v>52</v>
      </c>
      <c r="F210" s="336" t="s">
        <v>74</v>
      </c>
      <c r="G210" s="336" t="s">
        <v>78</v>
      </c>
      <c r="J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Z$6:$Z$532,"&lt;&gt;")=0,"",IFERROR(SUMIFS('参考值-平台费用率分析'!$Z$6:$Z$532,'参考值-平台费用率分析'!$A$6:$A$532,"分销",'参考值-平台费用率分析'!$C$6:$C$532,$E$210,'参考值-平台费用率分析'!$D$6:$D$532,$F$210,'参考值-平台费用率分析'!$E$6:$E$532,$G$210)/SUMIFS('参考值-平台费用率分析'!$AA$6:$AA$532,'参考值-平台费用率分析'!$A$6:$A$532,"分销",'参考值-平台费用率分析'!$C$6:$C$532,$E$210,'参考值-平台费用率分析'!$D$6:$D$532,$F$210,'参考值-平台费用率分析'!$E$6:$E$532,$G$210),""))</f>
        <v>0</v>
      </c>
      <c r="K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H$6:$H$532,"&lt;&gt;")=0,"",IFERROR(SUMIFS('参考值-平台费用率分析'!$H$6:$H$532,'参考值-平台费用率分析'!$A$6:$A$532,"分销",'参考值-平台费用率分析'!$C$6:$C$532,$E$210,'参考值-平台费用率分析'!$D$6:$D$532,$F$210,'参考值-平台费用率分析'!$E$6:$E$532,$G$210)/SUMIFS('参考值-平台费用率分析'!$I$6:$I$532,'参考值-平台费用率分析'!$A$6:$A$532,"分销",'参考值-平台费用率分析'!$C$6:$C$532,$E$210,'参考值-平台费用率分析'!$D$6:$D$532,$F$210,'参考值-平台费用率分析'!$E$6:$E$532,$G$210),""))</f>
        <v>0</v>
      </c>
      <c r="L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K$6:$K$532,"&lt;&gt;")=0,"",IFERROR(SUMIFS('参考值-平台费用率分析'!$K$6:$K$532,'参考值-平台费用率分析'!$A$6:$A$532,"分销",'参考值-平台费用率分析'!$C$6:$C$532,$E$210,'参考值-平台费用率分析'!$D$6:$D$532,$F$210,'参考值-平台费用率分析'!$E$6:$E$532,$G$210)/SUMIFS('参考值-平台费用率分析'!$L$6:$L$532,'参考值-平台费用率分析'!$A$6:$A$532,"分销",'参考值-平台费用率分析'!$C$6:$C$532,$E$210,'参考值-平台费用率分析'!$D$6:$D$532,$F$210,'参考值-平台费用率分析'!$E$6:$E$532,$G$210),""))</f>
        <v>0</v>
      </c>
      <c r="M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N$6:$N$532,"&lt;&gt;")=0,"",IFERROR(SUMIFS('参考值-平台费用率分析'!$N$6:$N$532,'参考值-平台费用率分析'!$A$6:$A$532,"分销",'参考值-平台费用率分析'!$C$6:$C$532,$E$210,'参考值-平台费用率分析'!$D$6:$D$532,$F$210,'参考值-平台费用率分析'!$E$6:$E$532,$G$210)/SUMIFS('参考值-平台费用率分析'!$O$6:$O$532,'参考值-平台费用率分析'!$A$6:$A$532,"分销",'参考值-平台费用率分析'!$C$6:$C$532,$E$210,'参考值-平台费用率分析'!$D$6:$D$532,$F$210,'参考值-平台费用率分析'!$E$6:$E$532,$G$210),""))</f>
        <v>0</v>
      </c>
      <c r="N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Q$6:$Q$532,"&lt;&gt;")=0,"",IFERROR(SUMIFS('参考值-平台费用率分析'!$Q$6:$Q$532,'参考值-平台费用率分析'!$A$6:$A$532,"分销",'参考值-平台费用率分析'!$C$6:$C$532,$E$210,'参考值-平台费用率分析'!$D$6:$D$532,$F$210,'参考值-平台费用率分析'!$E$6:$E$532,$G$210)/SUMIFS('参考值-平台费用率分析'!$R$6:$R$532,'参考值-平台费用率分析'!$A$6:$A$532,"分销",'参考值-平台费用率分析'!$C$6:$C$532,$E$210,'参考值-平台费用率分析'!$D$6:$D$532,$F$210,'参考值-平台费用率分析'!$E$6:$E$532,$G$210),""))</f>
        <v>0</v>
      </c>
      <c r="O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T$6:$T$532,"&lt;&gt;")=0,"",IFERROR(SUMIFS('参考值-平台费用率分析'!$T$6:$T$532,'参考值-平台费用率分析'!$A$6:$A$532,"分销",'参考值-平台费用率分析'!$C$6:$C$532,$E$210,'参考值-平台费用率分析'!$D$6:$D$532,$F$210,'参考值-平台费用率分析'!$E$6:$E$532,$G$210)/SUMIFS('参考值-平台费用率分析'!$U$6:$U$532,'参考值-平台费用率分析'!$A$6:$A$532,"分销",'参考值-平台费用率分析'!$C$6:$C$532,$E$210,'参考值-平台费用率分析'!$D$6:$D$532,$F$210,'参考值-平台费用率分析'!$E$6:$E$532,$G$210),""))</f>
        <v>0</v>
      </c>
      <c r="P210" s="354">
        <f>IF(COUNTIFS('参考值-平台费用率分析'!$A$6:$A$532,"分销",'参考值-平台费用率分析'!$C$6:$C$532,$E$210,'参考值-平台费用率分析'!$D$6:$D$532,$F$210,'参考值-平台费用率分析'!$E$6:$E$532,$G$210,'参考值-平台费用率分析'!$W$6:$W$532,"&lt;&gt;")=0,"",IFERROR(SUMIFS('参考值-平台费用率分析'!$W$6:$W$532,'参考值-平台费用率分析'!$A$6:$A$532,"分销",'参考值-平台费用率分析'!$C$6:$C$532,$E$210,'参考值-平台费用率分析'!$D$6:$D$532,$F$210,'参考值-平台费用率分析'!$E$6:$E$532,$G$210)/SUMIFS('参考值-平台费用率分析'!$X$6:$X$532,'参考值-平台费用率分析'!$A$6:$A$532,"分销",'参考值-平台费用率分析'!$C$6:$C$532,$E$210,'参考值-平台费用率分析'!$D$6:$D$532,$F$210,'参考值-平台费用率分析'!$E$6:$E$532,$G$210),""))</f>
        <v>0</v>
      </c>
      <c r="Q210" s="354">
        <f>IF(AF210&lt;&gt;"",AF210,IF(COUNTIFS('参考值-平台费用率分析'!$A$6:$A$532,"分销",'参考值-平台费用率分析'!$C$6:$C$532,$E$210,'参考值-平台费用率分析'!$D$6:$D$532,$F$210,'参考值-平台费用率分析'!$E$6:$E$532,$G$210,'参考值-平台费用率分析'!$AF$6:$AF$532,"已导入实际")=0,$J210,IFERROR(SUMIFS('参考值-平台费用率分析'!$AC$6:$AC$532,'参考值-平台费用率分析'!$A$6:$A$532,"分销",'参考值-平台费用率分析'!$C$6:$C$532,$E$210,'参考值-平台费用率分析'!$D$6:$D$532,$F$210,'参考值-平台费用率分析'!$E$6:$E$532,$G$210,'参考值-平台费用率分析'!$AF$6:$AF$532,"已导入实际")/SUMIFS('参考值-平台费用率分析'!$AD$6:$AD$532,'参考值-平台费用率分析'!$A$6:$A$532,"分销",'参考值-平台费用率分析'!$C$6:$C$532,$E$210,'参考值-平台费用率分析'!$D$6:$D$532,$F$210,'参考值-平台费用率分析'!$E$6:$E$532,$G$210,'参考值-平台费用率分析'!$AF$6:$AF$532,"已导入实际"),$J210)))</f>
        <v>0</v>
      </c>
      <c r="R210" s="354">
        <f>IF(AG210&lt;&gt;"",AG210,IF(COUNTIFS('参考值-平台费用率分析'!$A$6:$A$532,"分销",'参考值-平台费用率分析'!$C$6:$C$532,$E$210,'参考值-平台费用率分析'!$D$6:$D$532,$F$210,'参考值-平台费用率分析'!$E$6:$E$532,$G$210,'参考值-平台费用率分析'!$AJ$6:$AJ$532,"已导入实际")=0,$J210,IFERROR(SUMIFS('参考值-平台费用率分析'!$AG$6:$AG$532,'参考值-平台费用率分析'!$A$6:$A$532,"分销",'参考值-平台费用率分析'!$C$6:$C$532,$E$210,'参考值-平台费用率分析'!$D$6:$D$532,$F$210,'参考值-平台费用率分析'!$E$6:$E$532,$G$210,'参考值-平台费用率分析'!$AJ$6:$AJ$532,"已导入实际")/SUMIFS('参考值-平台费用率分析'!$AH$6:$AH$532,'参考值-平台费用率分析'!$A$6:$A$532,"分销",'参考值-平台费用率分析'!$C$6:$C$532,$E$210,'参考值-平台费用率分析'!$D$6:$D$532,$F$210,'参考值-平台费用率分析'!$E$6:$E$532,$G$210,'参考值-平台费用率分析'!$AJ$6:$AJ$532,"已导入实际"),$J210)))</f>
        <v>0</v>
      </c>
      <c r="S210" s="354">
        <f>IF(AH210&lt;&gt;"",AH210,IF(COUNTIFS('参考值-平台费用率分析'!$A$6:$A$532,"分销",'参考值-平台费用率分析'!$C$6:$C$532,$E$210,'参考值-平台费用率分析'!$D$6:$D$532,$F$210,'参考值-平台费用率分析'!$E$6:$E$532,$G$210,'参考值-平台费用率分析'!$AN$6:$AN$532,"已导入实际")=0,$J210,IFERROR(SUMIFS('参考值-平台费用率分析'!$AK$6:$AK$532,'参考值-平台费用率分析'!$A$6:$A$532,"分销",'参考值-平台费用率分析'!$C$6:$C$532,$E$210,'参考值-平台费用率分析'!$D$6:$D$532,$F$210,'参考值-平台费用率分析'!$E$6:$E$532,$G$210,'参考值-平台费用率分析'!$AN$6:$AN$532,"已导入实际")/SUMIFS('参考值-平台费用率分析'!$AL$6:$AL$532,'参考值-平台费用率分析'!$A$6:$A$532,"分销",'参考值-平台费用率分析'!$C$6:$C$532,$E$210,'参考值-平台费用率分析'!$D$6:$D$532,$F$210,'参考值-平台费用率分析'!$E$6:$E$532,$G$210,'参考值-平台费用率分析'!$AN$6:$AN$532,"已导入实际"),$J210)))</f>
        <v>0</v>
      </c>
      <c r="T210" s="354">
        <f>IF(AI210&lt;&gt;"",AI210,IF(COUNTIFS('参考值-平台费用率分析'!$A$6:$A$532,"分销",'参考值-平台费用率分析'!$C$6:$C$532,$E$210,'参考值-平台费用率分析'!$D$6:$D$532,$F$210,'参考值-平台费用率分析'!$E$6:$E$532,$G$210,'参考值-平台费用率分析'!$AR$6:$AR$532,"已导入实际")=0,$J210,IFERROR(SUMIFS('参考值-平台费用率分析'!$AO$6:$AO$532,'参考值-平台费用率分析'!$A$6:$A$532,"分销",'参考值-平台费用率分析'!$C$6:$C$532,$E$210,'参考值-平台费用率分析'!$D$6:$D$532,$F$210,'参考值-平台费用率分析'!$E$6:$E$532,$G$210,'参考值-平台费用率分析'!$AR$6:$AR$532,"已导入实际")/SUMIFS('参考值-平台费用率分析'!$AP$6:$AP$532,'参考值-平台费用率分析'!$A$6:$A$532,"分销",'参考值-平台费用率分析'!$C$6:$C$532,$E$210,'参考值-平台费用率分析'!$D$6:$D$532,$F$210,'参考值-平台费用率分析'!$E$6:$E$532,$G$210,'参考值-平台费用率分析'!$AR$6:$AR$532,"已导入实际"),$J210)))</f>
        <v>0</v>
      </c>
      <c r="U210" s="354">
        <f>IF(AJ210&lt;&gt;"",AJ210,IF(COUNTIFS('参考值-平台费用率分析'!$A$6:$A$532,"分销",'参考值-平台费用率分析'!$C$6:$C$532,$E$210,'参考值-平台费用率分析'!$D$6:$D$532,$F$210,'参考值-平台费用率分析'!$E$6:$E$532,$G$210,'参考值-平台费用率分析'!$AV$6:$AV$532,"已导入实际")=0,$J210,IFERROR(SUMIFS('参考值-平台费用率分析'!$AS$6:$AS$532,'参考值-平台费用率分析'!$A$6:$A$532,"分销",'参考值-平台费用率分析'!$C$6:$C$532,$E$210,'参考值-平台费用率分析'!$D$6:$D$532,$F$210,'参考值-平台费用率分析'!$E$6:$E$532,$G$210,'参考值-平台费用率分析'!$AV$6:$AV$532,"已导入实际")/SUMIFS('参考值-平台费用率分析'!$AT$6:$AT$532,'参考值-平台费用率分析'!$A$6:$A$532,"分销",'参考值-平台费用率分析'!$C$6:$C$532,$E$210,'参考值-平台费用率分析'!$D$6:$D$532,$F$210,'参考值-平台费用率分析'!$E$6:$E$532,$G$210,'参考值-平台费用率分析'!$AV$6:$AV$532,"已导入实际"),$J210)))</f>
        <v>0</v>
      </c>
      <c r="V210" s="354">
        <f>IF(AK210&lt;&gt;"",AK210,IF(COUNTIFS('参考值-平台费用率分析'!$A$6:$A$532,"分销",'参考值-平台费用率分析'!$C$6:$C$532,$E$210,'参考值-平台费用率分析'!$D$6:$D$532,$F$210,'参考值-平台费用率分析'!$E$6:$E$532,$G$210,'参考值-平台费用率分析'!$AZ$6:$AZ$532,"已导入实际")=0,$J210,IFERROR(SUMIFS('参考值-平台费用率分析'!$AW$6:$AW$532,'参考值-平台费用率分析'!$A$6:$A$532,"分销",'参考值-平台费用率分析'!$C$6:$C$532,$E$210,'参考值-平台费用率分析'!$D$6:$D$532,$F$210,'参考值-平台费用率分析'!$E$6:$E$532,$G$210,'参考值-平台费用率分析'!$AZ$6:$AZ$532,"已导入实际")/SUMIFS('参考值-平台费用率分析'!$AX$6:$AX$532,'参考值-平台费用率分析'!$A$6:$A$532,"分销",'参考值-平台费用率分析'!$C$6:$C$532,$E$210,'参考值-平台费用率分析'!$D$6:$D$532,$F$210,'参考值-平台费用率分析'!$E$6:$E$532,$G$210,'参考值-平台费用率分析'!$AZ$6:$AZ$532,"已导入实际"),$J210)))</f>
        <v>0</v>
      </c>
      <c r="W210" s="354">
        <f t="shared" si="29"/>
        <v>0</v>
      </c>
    </row>
    <row r="211" spans="4:37">
      <c r="D211" s="67" t="s">
        <v>79</v>
      </c>
      <c r="E211" s="336" t="s">
        <v>52</v>
      </c>
      <c r="F211" s="336" t="s">
        <v>79</v>
      </c>
      <c r="G211" s="336" t="s">
        <v>80</v>
      </c>
      <c r="J211" s="354">
        <f t="shared" ref="J211:V211" si="33">SUM(J212:J215)</f>
        <v>-1.78835387908917E-16</v>
      </c>
      <c r="K211" s="354">
        <f t="shared" si="33"/>
        <v>-3.5034527421095344E-16</v>
      </c>
      <c r="L211" s="354">
        <f t="shared" si="33"/>
        <v>-1.2050327769739172E-15</v>
      </c>
      <c r="M211" s="354">
        <f t="shared" si="33"/>
        <v>0</v>
      </c>
      <c r="N211" s="354">
        <f t="shared" si="33"/>
        <v>0</v>
      </c>
      <c r="O211" s="354">
        <f t="shared" si="33"/>
        <v>0</v>
      </c>
      <c r="P211" s="354">
        <f t="shared" si="33"/>
        <v>0</v>
      </c>
      <c r="Q211" s="354">
        <f t="shared" si="33"/>
        <v>-1.78835387908917E-16</v>
      </c>
      <c r="R211" s="354">
        <f t="shared" si="33"/>
        <v>-1.78835387908917E-16</v>
      </c>
      <c r="S211" s="354">
        <f t="shared" si="33"/>
        <v>-1.78835387908917E-16</v>
      </c>
      <c r="T211" s="354">
        <f t="shared" si="33"/>
        <v>-1.78835387908917E-16</v>
      </c>
      <c r="U211" s="354">
        <f t="shared" si="33"/>
        <v>-1.78835387908917E-16</v>
      </c>
      <c r="V211" s="354">
        <f t="shared" si="33"/>
        <v>-1.78835387908917E-16</v>
      </c>
      <c r="W211" s="354">
        <f t="shared" si="29"/>
        <v>-1.78835387908917E-16</v>
      </c>
    </row>
    <row r="212" spans="4:37">
      <c r="E212" s="336" t="s">
        <v>52</v>
      </c>
      <c r="F212" s="336" t="s">
        <v>79</v>
      </c>
      <c r="G212" s="336" t="s">
        <v>80</v>
      </c>
      <c r="J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Z$6:$Z$532,"&lt;&gt;")=0,"",IFERROR(SUMIFS('参考值-平台费用率分析'!$Z$6:$Z$532,'参考值-平台费用率分析'!$A$6:$A$532,"分销",'参考值-平台费用率分析'!$C$6:$C$532,$E$212,'参考值-平台费用率分析'!$D$6:$D$532,$F$212,'参考值-平台费用率分析'!$E$6:$E$532,$G$212)/SUMIFS('参考值-平台费用率分析'!$AA$6:$AA$532,'参考值-平台费用率分析'!$A$6:$A$532,"分销",'参考值-平台费用率分析'!$C$6:$C$532,$E$212,'参考值-平台费用率分析'!$D$6:$D$532,$F$212,'参考值-平台费用率分析'!$E$6:$E$532,$G$212),""))</f>
        <v>-1.78835387908917E-16</v>
      </c>
      <c r="K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H$6:$H$532,"&lt;&gt;")=0,"",IFERROR(SUMIFS('参考值-平台费用率分析'!$H$6:$H$532,'参考值-平台费用率分析'!$A$6:$A$532,"分销",'参考值-平台费用率分析'!$C$6:$C$532,$E$212,'参考值-平台费用率分析'!$D$6:$D$532,$F$212,'参考值-平台费用率分析'!$E$6:$E$532,$G$212)/SUMIFS('参考值-平台费用率分析'!$I$6:$I$532,'参考值-平台费用率分析'!$A$6:$A$532,"分销",'参考值-平台费用率分析'!$C$6:$C$532,$E$212,'参考值-平台费用率分析'!$D$6:$D$532,$F$212,'参考值-平台费用率分析'!$E$6:$E$532,$G$212),""))</f>
        <v>-3.5034527421095344E-16</v>
      </c>
      <c r="L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K$6:$K$532,"&lt;&gt;")=0,"",IFERROR(SUMIFS('参考值-平台费用率分析'!$K$6:$K$532,'参考值-平台费用率分析'!$A$6:$A$532,"分销",'参考值-平台费用率分析'!$C$6:$C$532,$E$212,'参考值-平台费用率分析'!$D$6:$D$532,$F$212,'参考值-平台费用率分析'!$E$6:$E$532,$G$212)/SUMIFS('参考值-平台费用率分析'!$L$6:$L$532,'参考值-平台费用率分析'!$A$6:$A$532,"分销",'参考值-平台费用率分析'!$C$6:$C$532,$E$212,'参考值-平台费用率分析'!$D$6:$D$532,$F$212,'参考值-平台费用率分析'!$E$6:$E$532,$G$212),""))</f>
        <v>-1.2050327769739172E-15</v>
      </c>
      <c r="M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N$6:$N$532,"&lt;&gt;")=0,"",IFERROR(SUMIFS('参考值-平台费用率分析'!$N$6:$N$532,'参考值-平台费用率分析'!$A$6:$A$532,"分销",'参考值-平台费用率分析'!$C$6:$C$532,$E$212,'参考值-平台费用率分析'!$D$6:$D$532,$F$212,'参考值-平台费用率分析'!$E$6:$E$532,$G$212)/SUMIFS('参考值-平台费用率分析'!$O$6:$O$532,'参考值-平台费用率分析'!$A$6:$A$532,"分销",'参考值-平台费用率分析'!$C$6:$C$532,$E$212,'参考值-平台费用率分析'!$D$6:$D$532,$F$212,'参考值-平台费用率分析'!$E$6:$E$532,$G$212),""))</f>
        <v>0</v>
      </c>
      <c r="N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Q$6:$Q$532,"&lt;&gt;")=0,"",IFERROR(SUMIFS('参考值-平台费用率分析'!$Q$6:$Q$532,'参考值-平台费用率分析'!$A$6:$A$532,"分销",'参考值-平台费用率分析'!$C$6:$C$532,$E$212,'参考值-平台费用率分析'!$D$6:$D$532,$F$212,'参考值-平台费用率分析'!$E$6:$E$532,$G$212)/SUMIFS('参考值-平台费用率分析'!$R$6:$R$532,'参考值-平台费用率分析'!$A$6:$A$532,"分销",'参考值-平台费用率分析'!$C$6:$C$532,$E$212,'参考值-平台费用率分析'!$D$6:$D$532,$F$212,'参考值-平台费用率分析'!$E$6:$E$532,$G$212),""))</f>
        <v>0</v>
      </c>
      <c r="O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T$6:$T$532,"&lt;&gt;")=0,"",IFERROR(SUMIFS('参考值-平台费用率分析'!$T$6:$T$532,'参考值-平台费用率分析'!$A$6:$A$532,"分销",'参考值-平台费用率分析'!$C$6:$C$532,$E$212,'参考值-平台费用率分析'!$D$6:$D$532,$F$212,'参考值-平台费用率分析'!$E$6:$E$532,$G$212)/SUMIFS('参考值-平台费用率分析'!$U$6:$U$532,'参考值-平台费用率分析'!$A$6:$A$532,"分销",'参考值-平台费用率分析'!$C$6:$C$532,$E$212,'参考值-平台费用率分析'!$D$6:$D$532,$F$212,'参考值-平台费用率分析'!$E$6:$E$532,$G$212),""))</f>
        <v>0</v>
      </c>
      <c r="P212" s="354">
        <f>IF(COUNTIFS('参考值-平台费用率分析'!$A$6:$A$532,"分销",'参考值-平台费用率分析'!$C$6:$C$532,$E$212,'参考值-平台费用率分析'!$D$6:$D$532,$F$212,'参考值-平台费用率分析'!$E$6:$E$532,$G$212,'参考值-平台费用率分析'!$W$6:$W$532,"&lt;&gt;")=0,"",IFERROR(SUMIFS('参考值-平台费用率分析'!$W$6:$W$532,'参考值-平台费用率分析'!$A$6:$A$532,"分销",'参考值-平台费用率分析'!$C$6:$C$532,$E$212,'参考值-平台费用率分析'!$D$6:$D$532,$F$212,'参考值-平台费用率分析'!$E$6:$E$532,$G$212)/SUMIFS('参考值-平台费用率分析'!$X$6:$X$532,'参考值-平台费用率分析'!$A$6:$A$532,"分销",'参考值-平台费用率分析'!$C$6:$C$532,$E$212,'参考值-平台费用率分析'!$D$6:$D$532,$F$212,'参考值-平台费用率分析'!$E$6:$E$532,$G$212),""))</f>
        <v>0</v>
      </c>
      <c r="Q212" s="354">
        <f>IF(AF212&lt;&gt;"",AF212,IF(COUNTIFS('参考值-平台费用率分析'!$A$6:$A$532,"分销",'参考值-平台费用率分析'!$C$6:$C$532,$E$212,'参考值-平台费用率分析'!$D$6:$D$532,$F$212,'参考值-平台费用率分析'!$E$6:$E$532,$G$212,'参考值-平台费用率分析'!$AF$6:$AF$532,"已导入实际")=0,$J212,IFERROR(SUMIFS('参考值-平台费用率分析'!$AC$6:$AC$532,'参考值-平台费用率分析'!$A$6:$A$532,"分销",'参考值-平台费用率分析'!$C$6:$C$532,$E$212,'参考值-平台费用率分析'!$D$6:$D$532,$F$212,'参考值-平台费用率分析'!$E$6:$E$532,$G$212,'参考值-平台费用率分析'!$AF$6:$AF$532,"已导入实际")/SUMIFS('参考值-平台费用率分析'!$AD$6:$AD$532,'参考值-平台费用率分析'!$A$6:$A$532,"分销",'参考值-平台费用率分析'!$C$6:$C$532,$E$212,'参考值-平台费用率分析'!$D$6:$D$532,$F$212,'参考值-平台费用率分析'!$E$6:$E$532,$G$212,'参考值-平台费用率分析'!$AF$6:$AF$532,"已导入实际"),$J212)))</f>
        <v>-1.78835387908917E-16</v>
      </c>
      <c r="R212" s="354">
        <f>IF(AG212&lt;&gt;"",AG212,IF(COUNTIFS('参考值-平台费用率分析'!$A$6:$A$532,"分销",'参考值-平台费用率分析'!$C$6:$C$532,$E$212,'参考值-平台费用率分析'!$D$6:$D$532,$F$212,'参考值-平台费用率分析'!$E$6:$E$532,$G$212,'参考值-平台费用率分析'!$AJ$6:$AJ$532,"已导入实际")=0,$J212,IFERROR(SUMIFS('参考值-平台费用率分析'!$AG$6:$AG$532,'参考值-平台费用率分析'!$A$6:$A$532,"分销",'参考值-平台费用率分析'!$C$6:$C$532,$E$212,'参考值-平台费用率分析'!$D$6:$D$532,$F$212,'参考值-平台费用率分析'!$E$6:$E$532,$G$212,'参考值-平台费用率分析'!$AJ$6:$AJ$532,"已导入实际")/SUMIFS('参考值-平台费用率分析'!$AH$6:$AH$532,'参考值-平台费用率分析'!$A$6:$A$532,"分销",'参考值-平台费用率分析'!$C$6:$C$532,$E$212,'参考值-平台费用率分析'!$D$6:$D$532,$F$212,'参考值-平台费用率分析'!$E$6:$E$532,$G$212,'参考值-平台费用率分析'!$AJ$6:$AJ$532,"已导入实际"),$J212)))</f>
        <v>-1.78835387908917E-16</v>
      </c>
      <c r="S212" s="354">
        <f>IF(AH212&lt;&gt;"",AH212,IF(COUNTIFS('参考值-平台费用率分析'!$A$6:$A$532,"分销",'参考值-平台费用率分析'!$C$6:$C$532,$E$212,'参考值-平台费用率分析'!$D$6:$D$532,$F$212,'参考值-平台费用率分析'!$E$6:$E$532,$G$212,'参考值-平台费用率分析'!$AN$6:$AN$532,"已导入实际")=0,$J212,IFERROR(SUMIFS('参考值-平台费用率分析'!$AK$6:$AK$532,'参考值-平台费用率分析'!$A$6:$A$532,"分销",'参考值-平台费用率分析'!$C$6:$C$532,$E$212,'参考值-平台费用率分析'!$D$6:$D$532,$F$212,'参考值-平台费用率分析'!$E$6:$E$532,$G$212,'参考值-平台费用率分析'!$AN$6:$AN$532,"已导入实际")/SUMIFS('参考值-平台费用率分析'!$AL$6:$AL$532,'参考值-平台费用率分析'!$A$6:$A$532,"分销",'参考值-平台费用率分析'!$C$6:$C$532,$E$212,'参考值-平台费用率分析'!$D$6:$D$532,$F$212,'参考值-平台费用率分析'!$E$6:$E$532,$G$212,'参考值-平台费用率分析'!$AN$6:$AN$532,"已导入实际"),$J212)))</f>
        <v>-1.78835387908917E-16</v>
      </c>
      <c r="T212" s="354">
        <f>IF(AI212&lt;&gt;"",AI212,IF(COUNTIFS('参考值-平台费用率分析'!$A$6:$A$532,"分销",'参考值-平台费用率分析'!$C$6:$C$532,$E$212,'参考值-平台费用率分析'!$D$6:$D$532,$F$212,'参考值-平台费用率分析'!$E$6:$E$532,$G$212,'参考值-平台费用率分析'!$AR$6:$AR$532,"已导入实际")=0,$J212,IFERROR(SUMIFS('参考值-平台费用率分析'!$AO$6:$AO$532,'参考值-平台费用率分析'!$A$6:$A$532,"分销",'参考值-平台费用率分析'!$C$6:$C$532,$E$212,'参考值-平台费用率分析'!$D$6:$D$532,$F$212,'参考值-平台费用率分析'!$E$6:$E$532,$G$212,'参考值-平台费用率分析'!$AR$6:$AR$532,"已导入实际")/SUMIFS('参考值-平台费用率分析'!$AP$6:$AP$532,'参考值-平台费用率分析'!$A$6:$A$532,"分销",'参考值-平台费用率分析'!$C$6:$C$532,$E$212,'参考值-平台费用率分析'!$D$6:$D$532,$F$212,'参考值-平台费用率分析'!$E$6:$E$532,$G$212,'参考值-平台费用率分析'!$AR$6:$AR$532,"已导入实际"),$J212)))</f>
        <v>-1.78835387908917E-16</v>
      </c>
      <c r="U212" s="354">
        <f>IF(AJ212&lt;&gt;"",AJ212,IF(COUNTIFS('参考值-平台费用率分析'!$A$6:$A$532,"分销",'参考值-平台费用率分析'!$C$6:$C$532,$E$212,'参考值-平台费用率分析'!$D$6:$D$532,$F$212,'参考值-平台费用率分析'!$E$6:$E$532,$G$212,'参考值-平台费用率分析'!$AV$6:$AV$532,"已导入实际")=0,$J212,IFERROR(SUMIFS('参考值-平台费用率分析'!$AS$6:$AS$532,'参考值-平台费用率分析'!$A$6:$A$532,"分销",'参考值-平台费用率分析'!$C$6:$C$532,$E$212,'参考值-平台费用率分析'!$D$6:$D$532,$F$212,'参考值-平台费用率分析'!$E$6:$E$532,$G$212,'参考值-平台费用率分析'!$AV$6:$AV$532,"已导入实际")/SUMIFS('参考值-平台费用率分析'!$AT$6:$AT$532,'参考值-平台费用率分析'!$A$6:$A$532,"分销",'参考值-平台费用率分析'!$C$6:$C$532,$E$212,'参考值-平台费用率分析'!$D$6:$D$532,$F$212,'参考值-平台费用率分析'!$E$6:$E$532,$G$212,'参考值-平台费用率分析'!$AV$6:$AV$532,"已导入实际"),$J212)))</f>
        <v>-1.78835387908917E-16</v>
      </c>
      <c r="V212" s="354">
        <f>IF(AK212&lt;&gt;"",AK212,IF(COUNTIFS('参考值-平台费用率分析'!$A$6:$A$532,"分销",'参考值-平台费用率分析'!$C$6:$C$532,$E$212,'参考值-平台费用率分析'!$D$6:$D$532,$F$212,'参考值-平台费用率分析'!$E$6:$E$532,$G$212,'参考值-平台费用率分析'!$AZ$6:$AZ$532,"已导入实际")=0,$J212,IFERROR(SUMIFS('参考值-平台费用率分析'!$AW$6:$AW$532,'参考值-平台费用率分析'!$A$6:$A$532,"分销",'参考值-平台费用率分析'!$C$6:$C$532,$E$212,'参考值-平台费用率分析'!$D$6:$D$532,$F$212,'参考值-平台费用率分析'!$E$6:$E$532,$G$212,'参考值-平台费用率分析'!$AZ$6:$AZ$532,"已导入实际")/SUMIFS('参考值-平台费用率分析'!$AX$6:$AX$532,'参考值-平台费用率分析'!$A$6:$A$532,"分销",'参考值-平台费用率分析'!$C$6:$C$532,$E$212,'参考值-平台费用率分析'!$D$6:$D$532,$F$212,'参考值-平台费用率分析'!$E$6:$E$532,$G$212,'参考值-平台费用率分析'!$AZ$6:$AZ$532,"已导入实际"),$J212)))</f>
        <v>-1.78835387908917E-16</v>
      </c>
      <c r="W212" s="354">
        <f t="shared" si="29"/>
        <v>-1.78835387908917E-16</v>
      </c>
    </row>
    <row r="213" spans="4:37">
      <c r="E213" s="336" t="s">
        <v>52</v>
      </c>
      <c r="F213" s="336" t="s">
        <v>79</v>
      </c>
      <c r="G213" s="336" t="s">
        <v>147</v>
      </c>
      <c r="J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Z$6:$Z$532,"&lt;&gt;")=0,"",IFERROR(SUMIFS('参考值-平台费用率分析'!$Z$6:$Z$532,'参考值-平台费用率分析'!$A$6:$A$532,"分销",'参考值-平台费用率分析'!$C$6:$C$532,$E$213,'参考值-平台费用率分析'!$D$6:$D$532,$F$213,'参考值-平台费用率分析'!$E$6:$E$532,$G$213)/SUMIFS('参考值-平台费用率分析'!$AA$6:$AA$532,'参考值-平台费用率分析'!$A$6:$A$532,"分销",'参考值-平台费用率分析'!$C$6:$C$532,$E$213,'参考值-平台费用率分析'!$D$6:$D$532,$F$213,'参考值-平台费用率分析'!$E$6:$E$532,$G$213),""))</f>
        <v/>
      </c>
      <c r="K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H$6:$H$532,"&lt;&gt;")=0,"",IFERROR(SUMIFS('参考值-平台费用率分析'!$H$6:$H$532,'参考值-平台费用率分析'!$A$6:$A$532,"分销",'参考值-平台费用率分析'!$C$6:$C$532,$E$213,'参考值-平台费用率分析'!$D$6:$D$532,$F$213,'参考值-平台费用率分析'!$E$6:$E$532,$G$213)/SUMIFS('参考值-平台费用率分析'!$I$6:$I$532,'参考值-平台费用率分析'!$A$6:$A$532,"分销",'参考值-平台费用率分析'!$C$6:$C$532,$E$213,'参考值-平台费用率分析'!$D$6:$D$532,$F$213,'参考值-平台费用率分析'!$E$6:$E$532,$G$213),""))</f>
        <v/>
      </c>
      <c r="L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K$6:$K$532,"&lt;&gt;")=0,"",IFERROR(SUMIFS('参考值-平台费用率分析'!$K$6:$K$532,'参考值-平台费用率分析'!$A$6:$A$532,"分销",'参考值-平台费用率分析'!$C$6:$C$532,$E$213,'参考值-平台费用率分析'!$D$6:$D$532,$F$213,'参考值-平台费用率分析'!$E$6:$E$532,$G$213)/SUMIFS('参考值-平台费用率分析'!$L$6:$L$532,'参考值-平台费用率分析'!$A$6:$A$532,"分销",'参考值-平台费用率分析'!$C$6:$C$532,$E$213,'参考值-平台费用率分析'!$D$6:$D$532,$F$213,'参考值-平台费用率分析'!$E$6:$E$532,$G$213),""))</f>
        <v/>
      </c>
      <c r="M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N$6:$N$532,"&lt;&gt;")=0,"",IFERROR(SUMIFS('参考值-平台费用率分析'!$N$6:$N$532,'参考值-平台费用率分析'!$A$6:$A$532,"分销",'参考值-平台费用率分析'!$C$6:$C$532,$E$213,'参考值-平台费用率分析'!$D$6:$D$532,$F$213,'参考值-平台费用率分析'!$E$6:$E$532,$G$213)/SUMIFS('参考值-平台费用率分析'!$O$6:$O$532,'参考值-平台费用率分析'!$A$6:$A$532,"分销",'参考值-平台费用率分析'!$C$6:$C$532,$E$213,'参考值-平台费用率分析'!$D$6:$D$532,$F$213,'参考值-平台费用率分析'!$E$6:$E$532,$G$213),""))</f>
        <v/>
      </c>
      <c r="N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Q$6:$Q$532,"&lt;&gt;")=0,"",IFERROR(SUMIFS('参考值-平台费用率分析'!$Q$6:$Q$532,'参考值-平台费用率分析'!$A$6:$A$532,"分销",'参考值-平台费用率分析'!$C$6:$C$532,$E$213,'参考值-平台费用率分析'!$D$6:$D$532,$F$213,'参考值-平台费用率分析'!$E$6:$E$532,$G$213)/SUMIFS('参考值-平台费用率分析'!$R$6:$R$532,'参考值-平台费用率分析'!$A$6:$A$532,"分销",'参考值-平台费用率分析'!$C$6:$C$532,$E$213,'参考值-平台费用率分析'!$D$6:$D$532,$F$213,'参考值-平台费用率分析'!$E$6:$E$532,$G$213),""))</f>
        <v/>
      </c>
      <c r="O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T$6:$T$532,"&lt;&gt;")=0,"",IFERROR(SUMIFS('参考值-平台费用率分析'!$T$6:$T$532,'参考值-平台费用率分析'!$A$6:$A$532,"分销",'参考值-平台费用率分析'!$C$6:$C$532,$E$213,'参考值-平台费用率分析'!$D$6:$D$532,$F$213,'参考值-平台费用率分析'!$E$6:$E$532,$G$213)/SUMIFS('参考值-平台费用率分析'!$U$6:$U$532,'参考值-平台费用率分析'!$A$6:$A$532,"分销",'参考值-平台费用率分析'!$C$6:$C$532,$E$213,'参考值-平台费用率分析'!$D$6:$D$532,$F$213,'参考值-平台费用率分析'!$E$6:$E$532,$G$213),""))</f>
        <v/>
      </c>
      <c r="P213" s="354" t="str">
        <f>IF(COUNTIFS('参考值-平台费用率分析'!$A$6:$A$532,"分销",'参考值-平台费用率分析'!$C$6:$C$532,$E$213,'参考值-平台费用率分析'!$D$6:$D$532,$F$213,'参考值-平台费用率分析'!$E$6:$E$532,$G$213,'参考值-平台费用率分析'!$W$6:$W$532,"&lt;&gt;")=0,"",IFERROR(SUMIFS('参考值-平台费用率分析'!$W$6:$W$532,'参考值-平台费用率分析'!$A$6:$A$532,"分销",'参考值-平台费用率分析'!$C$6:$C$532,$E$213,'参考值-平台费用率分析'!$D$6:$D$532,$F$213,'参考值-平台费用率分析'!$E$6:$E$532,$G$213)/SUMIFS('参考值-平台费用率分析'!$X$6:$X$532,'参考值-平台费用率分析'!$A$6:$A$532,"分销",'参考值-平台费用率分析'!$C$6:$C$532,$E$213,'参考值-平台费用率分析'!$D$6:$D$532,$F$213,'参考值-平台费用率分析'!$E$6:$E$532,$G$213),""))</f>
        <v/>
      </c>
      <c r="Q213" s="354" t="str">
        <f>IF(AF213&lt;&gt;"",AF213,IF(COUNTIFS('参考值-平台费用率分析'!$A$6:$A$532,"分销",'参考值-平台费用率分析'!$C$6:$C$532,$E$213,'参考值-平台费用率分析'!$D$6:$D$532,$F$213,'参考值-平台费用率分析'!$E$6:$E$532,$G$213,'参考值-平台费用率分析'!$AF$6:$AF$532,"已导入实际")=0,$J213,IFERROR(SUMIFS('参考值-平台费用率分析'!$AC$6:$AC$532,'参考值-平台费用率分析'!$A$6:$A$532,"分销",'参考值-平台费用率分析'!$C$6:$C$532,$E$213,'参考值-平台费用率分析'!$D$6:$D$532,$F$213,'参考值-平台费用率分析'!$E$6:$E$532,$G$213,'参考值-平台费用率分析'!$AF$6:$AF$532,"已导入实际")/SUMIFS('参考值-平台费用率分析'!$AD$6:$AD$532,'参考值-平台费用率分析'!$A$6:$A$532,"分销",'参考值-平台费用率分析'!$C$6:$C$532,$E$213,'参考值-平台费用率分析'!$D$6:$D$532,$F$213,'参考值-平台费用率分析'!$E$6:$E$532,$G$213,'参考值-平台费用率分析'!$AF$6:$AF$532,"已导入实际"),$J213)))</f>
        <v/>
      </c>
      <c r="R213" s="354" t="str">
        <f>IF(AG213&lt;&gt;"",AG213,IF(COUNTIFS('参考值-平台费用率分析'!$A$6:$A$532,"分销",'参考值-平台费用率分析'!$C$6:$C$532,$E$213,'参考值-平台费用率分析'!$D$6:$D$532,$F$213,'参考值-平台费用率分析'!$E$6:$E$532,$G$213,'参考值-平台费用率分析'!$AJ$6:$AJ$532,"已导入实际")=0,$J213,IFERROR(SUMIFS('参考值-平台费用率分析'!$AG$6:$AG$532,'参考值-平台费用率分析'!$A$6:$A$532,"分销",'参考值-平台费用率分析'!$C$6:$C$532,$E$213,'参考值-平台费用率分析'!$D$6:$D$532,$F$213,'参考值-平台费用率分析'!$E$6:$E$532,$G$213,'参考值-平台费用率分析'!$AJ$6:$AJ$532,"已导入实际")/SUMIFS('参考值-平台费用率分析'!$AH$6:$AH$532,'参考值-平台费用率分析'!$A$6:$A$532,"分销",'参考值-平台费用率分析'!$C$6:$C$532,$E$213,'参考值-平台费用率分析'!$D$6:$D$532,$F$213,'参考值-平台费用率分析'!$E$6:$E$532,$G$213,'参考值-平台费用率分析'!$AJ$6:$AJ$532,"已导入实际"),$J213)))</f>
        <v/>
      </c>
      <c r="S213" s="354" t="str">
        <f>IF(AH213&lt;&gt;"",AH213,IF(COUNTIFS('参考值-平台费用率分析'!$A$6:$A$532,"分销",'参考值-平台费用率分析'!$C$6:$C$532,$E$213,'参考值-平台费用率分析'!$D$6:$D$532,$F$213,'参考值-平台费用率分析'!$E$6:$E$532,$G$213,'参考值-平台费用率分析'!$AN$6:$AN$532,"已导入实际")=0,$J213,IFERROR(SUMIFS('参考值-平台费用率分析'!$AK$6:$AK$532,'参考值-平台费用率分析'!$A$6:$A$532,"分销",'参考值-平台费用率分析'!$C$6:$C$532,$E$213,'参考值-平台费用率分析'!$D$6:$D$532,$F$213,'参考值-平台费用率分析'!$E$6:$E$532,$G$213,'参考值-平台费用率分析'!$AN$6:$AN$532,"已导入实际")/SUMIFS('参考值-平台费用率分析'!$AL$6:$AL$532,'参考值-平台费用率分析'!$A$6:$A$532,"分销",'参考值-平台费用率分析'!$C$6:$C$532,$E$213,'参考值-平台费用率分析'!$D$6:$D$532,$F$213,'参考值-平台费用率分析'!$E$6:$E$532,$G$213,'参考值-平台费用率分析'!$AN$6:$AN$532,"已导入实际"),$J213)))</f>
        <v/>
      </c>
      <c r="T213" s="354" t="str">
        <f>IF(AI213&lt;&gt;"",AI213,IF(COUNTIFS('参考值-平台费用率分析'!$A$6:$A$532,"分销",'参考值-平台费用率分析'!$C$6:$C$532,$E$213,'参考值-平台费用率分析'!$D$6:$D$532,$F$213,'参考值-平台费用率分析'!$E$6:$E$532,$G$213,'参考值-平台费用率分析'!$AR$6:$AR$532,"已导入实际")=0,$J213,IFERROR(SUMIFS('参考值-平台费用率分析'!$AO$6:$AO$532,'参考值-平台费用率分析'!$A$6:$A$532,"分销",'参考值-平台费用率分析'!$C$6:$C$532,$E$213,'参考值-平台费用率分析'!$D$6:$D$532,$F$213,'参考值-平台费用率分析'!$E$6:$E$532,$G$213,'参考值-平台费用率分析'!$AR$6:$AR$532,"已导入实际")/SUMIFS('参考值-平台费用率分析'!$AP$6:$AP$532,'参考值-平台费用率分析'!$A$6:$A$532,"分销",'参考值-平台费用率分析'!$C$6:$C$532,$E$213,'参考值-平台费用率分析'!$D$6:$D$532,$F$213,'参考值-平台费用率分析'!$E$6:$E$532,$G$213,'参考值-平台费用率分析'!$AR$6:$AR$532,"已导入实际"),$J213)))</f>
        <v/>
      </c>
      <c r="U213" s="354" t="str">
        <f>IF(AJ213&lt;&gt;"",AJ213,IF(COUNTIFS('参考值-平台费用率分析'!$A$6:$A$532,"分销",'参考值-平台费用率分析'!$C$6:$C$532,$E$213,'参考值-平台费用率分析'!$D$6:$D$532,$F$213,'参考值-平台费用率分析'!$E$6:$E$532,$G$213,'参考值-平台费用率分析'!$AV$6:$AV$532,"已导入实际")=0,$J213,IFERROR(SUMIFS('参考值-平台费用率分析'!$AS$6:$AS$532,'参考值-平台费用率分析'!$A$6:$A$532,"分销",'参考值-平台费用率分析'!$C$6:$C$532,$E$213,'参考值-平台费用率分析'!$D$6:$D$532,$F$213,'参考值-平台费用率分析'!$E$6:$E$532,$G$213,'参考值-平台费用率分析'!$AV$6:$AV$532,"已导入实际")/SUMIFS('参考值-平台费用率分析'!$AT$6:$AT$532,'参考值-平台费用率分析'!$A$6:$A$532,"分销",'参考值-平台费用率分析'!$C$6:$C$532,$E$213,'参考值-平台费用率分析'!$D$6:$D$532,$F$213,'参考值-平台费用率分析'!$E$6:$E$532,$G$213,'参考值-平台费用率分析'!$AV$6:$AV$532,"已导入实际"),$J213)))</f>
        <v/>
      </c>
      <c r="V213" s="354" t="str">
        <f>IF(AK213&lt;&gt;"",AK213,IF(COUNTIFS('参考值-平台费用率分析'!$A$6:$A$532,"分销",'参考值-平台费用率分析'!$C$6:$C$532,$E$213,'参考值-平台费用率分析'!$D$6:$D$532,$F$213,'参考值-平台费用率分析'!$E$6:$E$532,$G$213,'参考值-平台费用率分析'!$AZ$6:$AZ$532,"已导入实际")=0,$J213,IFERROR(SUMIFS('参考值-平台费用率分析'!$AW$6:$AW$532,'参考值-平台费用率分析'!$A$6:$A$532,"分销",'参考值-平台费用率分析'!$C$6:$C$532,$E$213,'参考值-平台费用率分析'!$D$6:$D$532,$F$213,'参考值-平台费用率分析'!$E$6:$E$532,$G$213,'参考值-平台费用率分析'!$AZ$6:$AZ$532,"已导入实际")/SUMIFS('参考值-平台费用率分析'!$AX$6:$AX$532,'参考值-平台费用率分析'!$A$6:$A$532,"分销",'参考值-平台费用率分析'!$C$6:$C$532,$E$213,'参考值-平台费用率分析'!$D$6:$D$532,$F$213,'参考值-平台费用率分析'!$E$6:$E$532,$G$213,'参考值-平台费用率分析'!$AZ$6:$AZ$532,"已导入实际"),$J213)))</f>
        <v/>
      </c>
      <c r="W213" s="354" t="str">
        <f t="shared" si="29"/>
        <v/>
      </c>
    </row>
    <row r="214" spans="4:37">
      <c r="E214" s="336" t="s">
        <v>52</v>
      </c>
      <c r="F214" s="336" t="s">
        <v>79</v>
      </c>
      <c r="G214" s="336" t="s">
        <v>148</v>
      </c>
      <c r="J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Z$6:$Z$532,"&lt;&gt;")=0,"",IFERROR(SUMIFS('参考值-平台费用率分析'!$Z$6:$Z$532,'参考值-平台费用率分析'!$A$6:$A$532,"分销",'参考值-平台费用率分析'!$C$6:$C$532,$E$214,'参考值-平台费用率分析'!$D$6:$D$532,$F$214,'参考值-平台费用率分析'!$E$6:$E$532,$G$214)/SUMIFS('参考值-平台费用率分析'!$AA$6:$AA$532,'参考值-平台费用率分析'!$A$6:$A$532,"分销",'参考值-平台费用率分析'!$C$6:$C$532,$E$214,'参考值-平台费用率分析'!$D$6:$D$532,$F$214,'参考值-平台费用率分析'!$E$6:$E$532,$G$214),""))</f>
        <v/>
      </c>
      <c r="K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H$6:$H$532,"&lt;&gt;")=0,"",IFERROR(SUMIFS('参考值-平台费用率分析'!$H$6:$H$532,'参考值-平台费用率分析'!$A$6:$A$532,"分销",'参考值-平台费用率分析'!$C$6:$C$532,$E$214,'参考值-平台费用率分析'!$D$6:$D$532,$F$214,'参考值-平台费用率分析'!$E$6:$E$532,$G$214)/SUMIFS('参考值-平台费用率分析'!$I$6:$I$532,'参考值-平台费用率分析'!$A$6:$A$532,"分销",'参考值-平台费用率分析'!$C$6:$C$532,$E$214,'参考值-平台费用率分析'!$D$6:$D$532,$F$214,'参考值-平台费用率分析'!$E$6:$E$532,$G$214),""))</f>
        <v/>
      </c>
      <c r="L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K$6:$K$532,"&lt;&gt;")=0,"",IFERROR(SUMIFS('参考值-平台费用率分析'!$K$6:$K$532,'参考值-平台费用率分析'!$A$6:$A$532,"分销",'参考值-平台费用率分析'!$C$6:$C$532,$E$214,'参考值-平台费用率分析'!$D$6:$D$532,$F$214,'参考值-平台费用率分析'!$E$6:$E$532,$G$214)/SUMIFS('参考值-平台费用率分析'!$L$6:$L$532,'参考值-平台费用率分析'!$A$6:$A$532,"分销",'参考值-平台费用率分析'!$C$6:$C$532,$E$214,'参考值-平台费用率分析'!$D$6:$D$532,$F$214,'参考值-平台费用率分析'!$E$6:$E$532,$G$214),""))</f>
        <v/>
      </c>
      <c r="M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N$6:$N$532,"&lt;&gt;")=0,"",IFERROR(SUMIFS('参考值-平台费用率分析'!$N$6:$N$532,'参考值-平台费用率分析'!$A$6:$A$532,"分销",'参考值-平台费用率分析'!$C$6:$C$532,$E$214,'参考值-平台费用率分析'!$D$6:$D$532,$F$214,'参考值-平台费用率分析'!$E$6:$E$532,$G$214)/SUMIFS('参考值-平台费用率分析'!$O$6:$O$532,'参考值-平台费用率分析'!$A$6:$A$532,"分销",'参考值-平台费用率分析'!$C$6:$C$532,$E$214,'参考值-平台费用率分析'!$D$6:$D$532,$F$214,'参考值-平台费用率分析'!$E$6:$E$532,$G$214),""))</f>
        <v/>
      </c>
      <c r="N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Q$6:$Q$532,"&lt;&gt;")=0,"",IFERROR(SUMIFS('参考值-平台费用率分析'!$Q$6:$Q$532,'参考值-平台费用率分析'!$A$6:$A$532,"分销",'参考值-平台费用率分析'!$C$6:$C$532,$E$214,'参考值-平台费用率分析'!$D$6:$D$532,$F$214,'参考值-平台费用率分析'!$E$6:$E$532,$G$214)/SUMIFS('参考值-平台费用率分析'!$R$6:$R$532,'参考值-平台费用率分析'!$A$6:$A$532,"分销",'参考值-平台费用率分析'!$C$6:$C$532,$E$214,'参考值-平台费用率分析'!$D$6:$D$532,$F$214,'参考值-平台费用率分析'!$E$6:$E$532,$G$214),""))</f>
        <v/>
      </c>
      <c r="O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T$6:$T$532,"&lt;&gt;")=0,"",IFERROR(SUMIFS('参考值-平台费用率分析'!$T$6:$T$532,'参考值-平台费用率分析'!$A$6:$A$532,"分销",'参考值-平台费用率分析'!$C$6:$C$532,$E$214,'参考值-平台费用率分析'!$D$6:$D$532,$F$214,'参考值-平台费用率分析'!$E$6:$E$532,$G$214)/SUMIFS('参考值-平台费用率分析'!$U$6:$U$532,'参考值-平台费用率分析'!$A$6:$A$532,"分销",'参考值-平台费用率分析'!$C$6:$C$532,$E$214,'参考值-平台费用率分析'!$D$6:$D$532,$F$214,'参考值-平台费用率分析'!$E$6:$E$532,$G$214),""))</f>
        <v/>
      </c>
      <c r="P214" s="354" t="str">
        <f>IF(COUNTIFS('参考值-平台费用率分析'!$A$6:$A$532,"分销",'参考值-平台费用率分析'!$C$6:$C$532,$E$214,'参考值-平台费用率分析'!$D$6:$D$532,$F$214,'参考值-平台费用率分析'!$E$6:$E$532,$G$214,'参考值-平台费用率分析'!$W$6:$W$532,"&lt;&gt;")=0,"",IFERROR(SUMIFS('参考值-平台费用率分析'!$W$6:$W$532,'参考值-平台费用率分析'!$A$6:$A$532,"分销",'参考值-平台费用率分析'!$C$6:$C$532,$E$214,'参考值-平台费用率分析'!$D$6:$D$532,$F$214,'参考值-平台费用率分析'!$E$6:$E$532,$G$214)/SUMIFS('参考值-平台费用率分析'!$X$6:$X$532,'参考值-平台费用率分析'!$A$6:$A$532,"分销",'参考值-平台费用率分析'!$C$6:$C$532,$E$214,'参考值-平台费用率分析'!$D$6:$D$532,$F$214,'参考值-平台费用率分析'!$E$6:$E$532,$G$214),""))</f>
        <v/>
      </c>
      <c r="Q214" s="354" t="str">
        <f>IF(AF214&lt;&gt;"",AF214,IF(COUNTIFS('参考值-平台费用率分析'!$A$6:$A$532,"分销",'参考值-平台费用率分析'!$C$6:$C$532,$E$214,'参考值-平台费用率分析'!$D$6:$D$532,$F$214,'参考值-平台费用率分析'!$E$6:$E$532,$G$214,'参考值-平台费用率分析'!$AF$6:$AF$532,"已导入实际")=0,$J214,IFERROR(SUMIFS('参考值-平台费用率分析'!$AC$6:$AC$532,'参考值-平台费用率分析'!$A$6:$A$532,"分销",'参考值-平台费用率分析'!$C$6:$C$532,$E$214,'参考值-平台费用率分析'!$D$6:$D$532,$F$214,'参考值-平台费用率分析'!$E$6:$E$532,$G$214,'参考值-平台费用率分析'!$AF$6:$AF$532,"已导入实际")/SUMIFS('参考值-平台费用率分析'!$AD$6:$AD$532,'参考值-平台费用率分析'!$A$6:$A$532,"分销",'参考值-平台费用率分析'!$C$6:$C$532,$E$214,'参考值-平台费用率分析'!$D$6:$D$532,$F$214,'参考值-平台费用率分析'!$E$6:$E$532,$G$214,'参考值-平台费用率分析'!$AF$6:$AF$532,"已导入实际"),$J214)))</f>
        <v/>
      </c>
      <c r="R214" s="354" t="str">
        <f>IF(AG214&lt;&gt;"",AG214,IF(COUNTIFS('参考值-平台费用率分析'!$A$6:$A$532,"分销",'参考值-平台费用率分析'!$C$6:$C$532,$E$214,'参考值-平台费用率分析'!$D$6:$D$532,$F$214,'参考值-平台费用率分析'!$E$6:$E$532,$G$214,'参考值-平台费用率分析'!$AJ$6:$AJ$532,"已导入实际")=0,$J214,IFERROR(SUMIFS('参考值-平台费用率分析'!$AG$6:$AG$532,'参考值-平台费用率分析'!$A$6:$A$532,"分销",'参考值-平台费用率分析'!$C$6:$C$532,$E$214,'参考值-平台费用率分析'!$D$6:$D$532,$F$214,'参考值-平台费用率分析'!$E$6:$E$532,$G$214,'参考值-平台费用率分析'!$AJ$6:$AJ$532,"已导入实际")/SUMIFS('参考值-平台费用率分析'!$AH$6:$AH$532,'参考值-平台费用率分析'!$A$6:$A$532,"分销",'参考值-平台费用率分析'!$C$6:$C$532,$E$214,'参考值-平台费用率分析'!$D$6:$D$532,$F$214,'参考值-平台费用率分析'!$E$6:$E$532,$G$214,'参考值-平台费用率分析'!$AJ$6:$AJ$532,"已导入实际"),$J214)))</f>
        <v/>
      </c>
      <c r="S214" s="354" t="str">
        <f>IF(AH214&lt;&gt;"",AH214,IF(COUNTIFS('参考值-平台费用率分析'!$A$6:$A$532,"分销",'参考值-平台费用率分析'!$C$6:$C$532,$E$214,'参考值-平台费用率分析'!$D$6:$D$532,$F$214,'参考值-平台费用率分析'!$E$6:$E$532,$G$214,'参考值-平台费用率分析'!$AN$6:$AN$532,"已导入实际")=0,$J214,IFERROR(SUMIFS('参考值-平台费用率分析'!$AK$6:$AK$532,'参考值-平台费用率分析'!$A$6:$A$532,"分销",'参考值-平台费用率分析'!$C$6:$C$532,$E$214,'参考值-平台费用率分析'!$D$6:$D$532,$F$214,'参考值-平台费用率分析'!$E$6:$E$532,$G$214,'参考值-平台费用率分析'!$AN$6:$AN$532,"已导入实际")/SUMIFS('参考值-平台费用率分析'!$AL$6:$AL$532,'参考值-平台费用率分析'!$A$6:$A$532,"分销",'参考值-平台费用率分析'!$C$6:$C$532,$E$214,'参考值-平台费用率分析'!$D$6:$D$532,$F$214,'参考值-平台费用率分析'!$E$6:$E$532,$G$214,'参考值-平台费用率分析'!$AN$6:$AN$532,"已导入实际"),$J214)))</f>
        <v/>
      </c>
      <c r="T214" s="354" t="str">
        <f>IF(AI214&lt;&gt;"",AI214,IF(COUNTIFS('参考值-平台费用率分析'!$A$6:$A$532,"分销",'参考值-平台费用率分析'!$C$6:$C$532,$E$214,'参考值-平台费用率分析'!$D$6:$D$532,$F$214,'参考值-平台费用率分析'!$E$6:$E$532,$G$214,'参考值-平台费用率分析'!$AR$6:$AR$532,"已导入实际")=0,$J214,IFERROR(SUMIFS('参考值-平台费用率分析'!$AO$6:$AO$532,'参考值-平台费用率分析'!$A$6:$A$532,"分销",'参考值-平台费用率分析'!$C$6:$C$532,$E$214,'参考值-平台费用率分析'!$D$6:$D$532,$F$214,'参考值-平台费用率分析'!$E$6:$E$532,$G$214,'参考值-平台费用率分析'!$AR$6:$AR$532,"已导入实际")/SUMIFS('参考值-平台费用率分析'!$AP$6:$AP$532,'参考值-平台费用率分析'!$A$6:$A$532,"分销",'参考值-平台费用率分析'!$C$6:$C$532,$E$214,'参考值-平台费用率分析'!$D$6:$D$532,$F$214,'参考值-平台费用率分析'!$E$6:$E$532,$G$214,'参考值-平台费用率分析'!$AR$6:$AR$532,"已导入实际"),$J214)))</f>
        <v/>
      </c>
      <c r="U214" s="354" t="str">
        <f>IF(AJ214&lt;&gt;"",AJ214,IF(COUNTIFS('参考值-平台费用率分析'!$A$6:$A$532,"分销",'参考值-平台费用率分析'!$C$6:$C$532,$E$214,'参考值-平台费用率分析'!$D$6:$D$532,$F$214,'参考值-平台费用率分析'!$E$6:$E$532,$G$214,'参考值-平台费用率分析'!$AV$6:$AV$532,"已导入实际")=0,$J214,IFERROR(SUMIFS('参考值-平台费用率分析'!$AS$6:$AS$532,'参考值-平台费用率分析'!$A$6:$A$532,"分销",'参考值-平台费用率分析'!$C$6:$C$532,$E$214,'参考值-平台费用率分析'!$D$6:$D$532,$F$214,'参考值-平台费用率分析'!$E$6:$E$532,$G$214,'参考值-平台费用率分析'!$AV$6:$AV$532,"已导入实际")/SUMIFS('参考值-平台费用率分析'!$AT$6:$AT$532,'参考值-平台费用率分析'!$A$6:$A$532,"分销",'参考值-平台费用率分析'!$C$6:$C$532,$E$214,'参考值-平台费用率分析'!$D$6:$D$532,$F$214,'参考值-平台费用率分析'!$E$6:$E$532,$G$214,'参考值-平台费用率分析'!$AV$6:$AV$532,"已导入实际"),$J214)))</f>
        <v/>
      </c>
      <c r="V214" s="354" t="str">
        <f>IF(AK214&lt;&gt;"",AK214,IF(COUNTIFS('参考值-平台费用率分析'!$A$6:$A$532,"分销",'参考值-平台费用率分析'!$C$6:$C$532,$E$214,'参考值-平台费用率分析'!$D$6:$D$532,$F$214,'参考值-平台费用率分析'!$E$6:$E$532,$G$214,'参考值-平台费用率分析'!$AZ$6:$AZ$532,"已导入实际")=0,$J214,IFERROR(SUMIFS('参考值-平台费用率分析'!$AW$6:$AW$532,'参考值-平台费用率分析'!$A$6:$A$532,"分销",'参考值-平台费用率分析'!$C$6:$C$532,$E$214,'参考值-平台费用率分析'!$D$6:$D$532,$F$214,'参考值-平台费用率分析'!$E$6:$E$532,$G$214,'参考值-平台费用率分析'!$AZ$6:$AZ$532,"已导入实际")/SUMIFS('参考值-平台费用率分析'!$AX$6:$AX$532,'参考值-平台费用率分析'!$A$6:$A$532,"分销",'参考值-平台费用率分析'!$C$6:$C$532,$E$214,'参考值-平台费用率分析'!$D$6:$D$532,$F$214,'参考值-平台费用率分析'!$E$6:$E$532,$G$214,'参考值-平台费用率分析'!$AZ$6:$AZ$532,"已导入实际"),$J214)))</f>
        <v/>
      </c>
      <c r="W214" s="354" t="str">
        <f t="shared" si="29"/>
        <v/>
      </c>
    </row>
    <row r="215" spans="4:37">
      <c r="E215" s="336" t="s">
        <v>52</v>
      </c>
      <c r="F215" s="336" t="s">
        <v>79</v>
      </c>
      <c r="G215" s="336" t="s">
        <v>82</v>
      </c>
      <c r="J215" s="354">
        <f>IF(COUNTIFS('参考值-平台费用率分析'!$A$6:$A$532,"分销",'参考值-平台费用率分析'!$C$6:$C$532,$E$215,'参考值-平台费用率分析'!$D$6:$D$532,$F$215,'参考值-平台费用率分析'!$E$6:$E$532,$G$215,'参考值-平台费用率分析'!$Z$6:$Z$532,"&lt;&gt;")=0,"",IFERROR(SUMIFS('参考值-平台费用率分析'!$Z$6:$Z$532,'参考值-平台费用率分析'!$A$6:$A$532,"分销",'参考值-平台费用率分析'!$C$6:$C$532,$E$215,'参考值-平台费用率分析'!$D$6:$D$532,$F$215,'参考值-平台费用率分析'!$E$6:$E$532,$G$215)/SUMIFS('参考值-平台费用率分析'!$AA$6:$AA$532,'参考值-平台费用率分析'!$A$6:$A$532,"分销",'参考值-平台费用率分析'!$C$6:$C$532,$E$215,'参考值-平台费用率分析'!$D$6:$D$532,$F$215,'参考值-平台费用率分析'!$E$6:$E$532,$G$215),""))</f>
        <v>0</v>
      </c>
      <c r="K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H$6:$H$532,"&lt;&gt;")=0,"",IFERROR(SUMIFS('参考值-平台费用率分析'!$H$6:$H$532,'参考值-平台费用率分析'!$A$6:$A$532,"分销",'参考值-平台费用率分析'!$C$6:$C$532,$E$215,'参考值-平台费用率分析'!$D$6:$D$532,$F$215,'参考值-平台费用率分析'!$E$6:$E$532,$G$215)/SUMIFS('参考值-平台费用率分析'!$I$6:$I$532,'参考值-平台费用率分析'!$A$6:$A$532,"分销",'参考值-平台费用率分析'!$C$6:$C$532,$E$215,'参考值-平台费用率分析'!$D$6:$D$532,$F$215,'参考值-平台费用率分析'!$E$6:$E$532,$G$215),""))</f>
        <v/>
      </c>
      <c r="L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K$6:$K$532,"&lt;&gt;")=0,"",IFERROR(SUMIFS('参考值-平台费用率分析'!$K$6:$K$532,'参考值-平台费用率分析'!$A$6:$A$532,"分销",'参考值-平台费用率分析'!$C$6:$C$532,$E$215,'参考值-平台费用率分析'!$D$6:$D$532,$F$215,'参考值-平台费用率分析'!$E$6:$E$532,$G$215)/SUMIFS('参考值-平台费用率分析'!$L$6:$L$532,'参考值-平台费用率分析'!$A$6:$A$532,"分销",'参考值-平台费用率分析'!$C$6:$C$532,$E$215,'参考值-平台费用率分析'!$D$6:$D$532,$F$215,'参考值-平台费用率分析'!$E$6:$E$532,$G$215),""))</f>
        <v/>
      </c>
      <c r="M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N$6:$N$532,"&lt;&gt;")=0,"",IFERROR(SUMIFS('参考值-平台费用率分析'!$N$6:$N$532,'参考值-平台费用率分析'!$A$6:$A$532,"分销",'参考值-平台费用率分析'!$C$6:$C$532,$E$215,'参考值-平台费用率分析'!$D$6:$D$532,$F$215,'参考值-平台费用率分析'!$E$6:$E$532,$G$215)/SUMIFS('参考值-平台费用率分析'!$O$6:$O$532,'参考值-平台费用率分析'!$A$6:$A$532,"分销",'参考值-平台费用率分析'!$C$6:$C$532,$E$215,'参考值-平台费用率分析'!$D$6:$D$532,$F$215,'参考值-平台费用率分析'!$E$6:$E$532,$G$215),""))</f>
        <v/>
      </c>
      <c r="N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Q$6:$Q$532,"&lt;&gt;")=0,"",IFERROR(SUMIFS('参考值-平台费用率分析'!$Q$6:$Q$532,'参考值-平台费用率分析'!$A$6:$A$532,"分销",'参考值-平台费用率分析'!$C$6:$C$532,$E$215,'参考值-平台费用率分析'!$D$6:$D$532,$F$215,'参考值-平台费用率分析'!$E$6:$E$532,$G$215)/SUMIFS('参考值-平台费用率分析'!$R$6:$R$532,'参考值-平台费用率分析'!$A$6:$A$532,"分销",'参考值-平台费用率分析'!$C$6:$C$532,$E$215,'参考值-平台费用率分析'!$D$6:$D$532,$F$215,'参考值-平台费用率分析'!$E$6:$E$532,$G$215),""))</f>
        <v/>
      </c>
      <c r="O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T$6:$T$532,"&lt;&gt;")=0,"",IFERROR(SUMIFS('参考值-平台费用率分析'!$T$6:$T$532,'参考值-平台费用率分析'!$A$6:$A$532,"分销",'参考值-平台费用率分析'!$C$6:$C$532,$E$215,'参考值-平台费用率分析'!$D$6:$D$532,$F$215,'参考值-平台费用率分析'!$E$6:$E$532,$G$215)/SUMIFS('参考值-平台费用率分析'!$U$6:$U$532,'参考值-平台费用率分析'!$A$6:$A$532,"分销",'参考值-平台费用率分析'!$C$6:$C$532,$E$215,'参考值-平台费用率分析'!$D$6:$D$532,$F$215,'参考值-平台费用率分析'!$E$6:$E$532,$G$215),""))</f>
        <v/>
      </c>
      <c r="P215" s="354" t="str">
        <f>IF(COUNTIFS('参考值-平台费用率分析'!$A$6:$A$532,"分销",'参考值-平台费用率分析'!$C$6:$C$532,$E$215,'参考值-平台费用率分析'!$D$6:$D$532,$F$215,'参考值-平台费用率分析'!$E$6:$E$532,$G$215,'参考值-平台费用率分析'!$W$6:$W$532,"&lt;&gt;")=0,"",IFERROR(SUMIFS('参考值-平台费用率分析'!$W$6:$W$532,'参考值-平台费用率分析'!$A$6:$A$532,"分销",'参考值-平台费用率分析'!$C$6:$C$532,$E$215,'参考值-平台费用率分析'!$D$6:$D$532,$F$215,'参考值-平台费用率分析'!$E$6:$E$532,$G$215)/SUMIFS('参考值-平台费用率分析'!$X$6:$X$532,'参考值-平台费用率分析'!$A$6:$A$532,"分销",'参考值-平台费用率分析'!$C$6:$C$532,$E$215,'参考值-平台费用率分析'!$D$6:$D$532,$F$215,'参考值-平台费用率分析'!$E$6:$E$532,$G$215),""))</f>
        <v/>
      </c>
      <c r="Q215" s="354">
        <f>IF(AF215&lt;&gt;"",AF215,IF(COUNTIFS('参考值-平台费用率分析'!$A$6:$A$532,"分销",'参考值-平台费用率分析'!$C$6:$C$532,$E$215,'参考值-平台费用率分析'!$D$6:$D$532,$F$215,'参考值-平台费用率分析'!$E$6:$E$532,$G$215,'参考值-平台费用率分析'!$AF$6:$AF$532,"已导入实际")=0,$J215,IFERROR(SUMIFS('参考值-平台费用率分析'!$AC$6:$AC$532,'参考值-平台费用率分析'!$A$6:$A$532,"分销",'参考值-平台费用率分析'!$C$6:$C$532,$E$215,'参考值-平台费用率分析'!$D$6:$D$532,$F$215,'参考值-平台费用率分析'!$E$6:$E$532,$G$215,'参考值-平台费用率分析'!$AF$6:$AF$532,"已导入实际")/SUMIFS('参考值-平台费用率分析'!$AD$6:$AD$532,'参考值-平台费用率分析'!$A$6:$A$532,"分销",'参考值-平台费用率分析'!$C$6:$C$532,$E$215,'参考值-平台费用率分析'!$D$6:$D$532,$F$215,'参考值-平台费用率分析'!$E$6:$E$532,$G$215,'参考值-平台费用率分析'!$AF$6:$AF$532,"已导入实际"),$J215)))</f>
        <v>0</v>
      </c>
      <c r="R215" s="354">
        <f>IF(AG215&lt;&gt;"",AG215,IF(COUNTIFS('参考值-平台费用率分析'!$A$6:$A$532,"分销",'参考值-平台费用率分析'!$C$6:$C$532,$E$215,'参考值-平台费用率分析'!$D$6:$D$532,$F$215,'参考值-平台费用率分析'!$E$6:$E$532,$G$215,'参考值-平台费用率分析'!$AJ$6:$AJ$532,"已导入实际")=0,$J215,IFERROR(SUMIFS('参考值-平台费用率分析'!$AG$6:$AG$532,'参考值-平台费用率分析'!$A$6:$A$532,"分销",'参考值-平台费用率分析'!$C$6:$C$532,$E$215,'参考值-平台费用率分析'!$D$6:$D$532,$F$215,'参考值-平台费用率分析'!$E$6:$E$532,$G$215,'参考值-平台费用率分析'!$AJ$6:$AJ$532,"已导入实际")/SUMIFS('参考值-平台费用率分析'!$AH$6:$AH$532,'参考值-平台费用率分析'!$A$6:$A$532,"分销",'参考值-平台费用率分析'!$C$6:$C$532,$E$215,'参考值-平台费用率分析'!$D$6:$D$532,$F$215,'参考值-平台费用率分析'!$E$6:$E$532,$G$215,'参考值-平台费用率分析'!$AJ$6:$AJ$532,"已导入实际"),$J215)))</f>
        <v>0</v>
      </c>
      <c r="S215" s="354">
        <f>IF(AH215&lt;&gt;"",AH215,IF(COUNTIFS('参考值-平台费用率分析'!$A$6:$A$532,"分销",'参考值-平台费用率分析'!$C$6:$C$532,$E$215,'参考值-平台费用率分析'!$D$6:$D$532,$F$215,'参考值-平台费用率分析'!$E$6:$E$532,$G$215,'参考值-平台费用率分析'!$AN$6:$AN$532,"已导入实际")=0,$J215,IFERROR(SUMIFS('参考值-平台费用率分析'!$AK$6:$AK$532,'参考值-平台费用率分析'!$A$6:$A$532,"分销",'参考值-平台费用率分析'!$C$6:$C$532,$E$215,'参考值-平台费用率分析'!$D$6:$D$532,$F$215,'参考值-平台费用率分析'!$E$6:$E$532,$G$215,'参考值-平台费用率分析'!$AN$6:$AN$532,"已导入实际")/SUMIFS('参考值-平台费用率分析'!$AL$6:$AL$532,'参考值-平台费用率分析'!$A$6:$A$532,"分销",'参考值-平台费用率分析'!$C$6:$C$532,$E$215,'参考值-平台费用率分析'!$D$6:$D$532,$F$215,'参考值-平台费用率分析'!$E$6:$E$532,$G$215,'参考值-平台费用率分析'!$AN$6:$AN$532,"已导入实际"),$J215)))</f>
        <v>0</v>
      </c>
      <c r="T215" s="354">
        <f>IF(AI215&lt;&gt;"",AI215,IF(COUNTIFS('参考值-平台费用率分析'!$A$6:$A$532,"分销",'参考值-平台费用率分析'!$C$6:$C$532,$E$215,'参考值-平台费用率分析'!$D$6:$D$532,$F$215,'参考值-平台费用率分析'!$E$6:$E$532,$G$215,'参考值-平台费用率分析'!$AR$6:$AR$532,"已导入实际")=0,$J215,IFERROR(SUMIFS('参考值-平台费用率分析'!$AO$6:$AO$532,'参考值-平台费用率分析'!$A$6:$A$532,"分销",'参考值-平台费用率分析'!$C$6:$C$532,$E$215,'参考值-平台费用率分析'!$D$6:$D$532,$F$215,'参考值-平台费用率分析'!$E$6:$E$532,$G$215,'参考值-平台费用率分析'!$AR$6:$AR$532,"已导入实际")/SUMIFS('参考值-平台费用率分析'!$AP$6:$AP$532,'参考值-平台费用率分析'!$A$6:$A$532,"分销",'参考值-平台费用率分析'!$C$6:$C$532,$E$215,'参考值-平台费用率分析'!$D$6:$D$532,$F$215,'参考值-平台费用率分析'!$E$6:$E$532,$G$215,'参考值-平台费用率分析'!$AR$6:$AR$532,"已导入实际"),$J215)))</f>
        <v>0</v>
      </c>
      <c r="U215" s="354">
        <f>IF(AJ215&lt;&gt;"",AJ215,IF(COUNTIFS('参考值-平台费用率分析'!$A$6:$A$532,"分销",'参考值-平台费用率分析'!$C$6:$C$532,$E$215,'参考值-平台费用率分析'!$D$6:$D$532,$F$215,'参考值-平台费用率分析'!$E$6:$E$532,$G$215,'参考值-平台费用率分析'!$AV$6:$AV$532,"已导入实际")=0,$J215,IFERROR(SUMIFS('参考值-平台费用率分析'!$AS$6:$AS$532,'参考值-平台费用率分析'!$A$6:$A$532,"分销",'参考值-平台费用率分析'!$C$6:$C$532,$E$215,'参考值-平台费用率分析'!$D$6:$D$532,$F$215,'参考值-平台费用率分析'!$E$6:$E$532,$G$215,'参考值-平台费用率分析'!$AV$6:$AV$532,"已导入实际")/SUMIFS('参考值-平台费用率分析'!$AT$6:$AT$532,'参考值-平台费用率分析'!$A$6:$A$532,"分销",'参考值-平台费用率分析'!$C$6:$C$532,$E$215,'参考值-平台费用率分析'!$D$6:$D$532,$F$215,'参考值-平台费用率分析'!$E$6:$E$532,$G$215,'参考值-平台费用率分析'!$AV$6:$AV$532,"已导入实际"),$J215)))</f>
        <v>0</v>
      </c>
      <c r="V215" s="354">
        <f>IF(AK215&lt;&gt;"",AK215,IF(COUNTIFS('参考值-平台费用率分析'!$A$6:$A$532,"分销",'参考值-平台费用率分析'!$C$6:$C$532,$E$215,'参考值-平台费用率分析'!$D$6:$D$532,$F$215,'参考值-平台费用率分析'!$E$6:$E$532,$G$215,'参考值-平台费用率分析'!$AZ$6:$AZ$532,"已导入实际")=0,$J215,IFERROR(SUMIFS('参考值-平台费用率分析'!$AW$6:$AW$532,'参考值-平台费用率分析'!$A$6:$A$532,"分销",'参考值-平台费用率分析'!$C$6:$C$532,$E$215,'参考值-平台费用率分析'!$D$6:$D$532,$F$215,'参考值-平台费用率分析'!$E$6:$E$532,$G$215,'参考值-平台费用率分析'!$AZ$6:$AZ$532,"已导入实际")/SUMIFS('参考值-平台费用率分析'!$AX$6:$AX$532,'参考值-平台费用率分析'!$A$6:$A$532,"分销",'参考值-平台费用率分析'!$C$6:$C$532,$E$215,'参考值-平台费用率分析'!$D$6:$D$532,$F$215,'参考值-平台费用率分析'!$E$6:$E$532,$G$215,'参考值-平台费用率分析'!$AZ$6:$AZ$532,"已导入实际"),$J215)))</f>
        <v>0</v>
      </c>
      <c r="W215" s="354">
        <f t="shared" si="29"/>
        <v>0</v>
      </c>
    </row>
  </sheetData>
  <mergeCells count="2">
    <mergeCell ref="Y1:AL1"/>
    <mergeCell ref="Z2:AK2"/>
  </mergeCells>
  <phoneticPr fontId="14" type="noConversion"/>
  <conditionalFormatting sqref="D8:W163 D164:F164 H164:W164 D199:W1002">
    <cfRule type="expression" dxfId="3" priority="3">
      <formula>$D8&lt;&gt;""</formula>
    </cfRule>
  </conditionalFormatting>
  <conditionalFormatting sqref="D165:W184">
    <cfRule type="expression" dxfId="2" priority="1">
      <formula>$D165&lt;&gt;""</formula>
    </cfRule>
  </conditionalFormatting>
  <conditionalFormatting sqref="J8:J166">
    <cfRule type="cellIs" dxfId="1" priority="4" operator="greaterThan">
      <formula>0</formula>
    </cfRule>
  </conditionalFormatting>
  <hyperlinks>
    <hyperlink ref="A1" location="'目录及说明'!A1" display="返回目录" xr:uid="{00000000-0004-0000-0D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V16"/>
  <sheetViews>
    <sheetView showGridLines="0" topLeftCell="E1" zoomScale="141" zoomScaleNormal="100" workbookViewId="0">
      <selection activeCell="Q20" sqref="Q20"/>
    </sheetView>
  </sheetViews>
  <sheetFormatPr baseColWidth="10" defaultColWidth="10.796875" defaultRowHeight="13"/>
  <cols>
    <col min="1" max="1" width="4.3984375" customWidth="1"/>
    <col min="3" max="3" width="20.3984375" customWidth="1"/>
    <col min="6" max="6" width="12.796875" customWidth="1"/>
    <col min="7" max="7" width="22.19921875" customWidth="1"/>
    <col min="8" max="8" width="23.59765625" customWidth="1"/>
    <col min="9" max="9" width="11.19921875" customWidth="1"/>
    <col min="10" max="18" width="14.3984375" customWidth="1"/>
    <col min="19" max="21" width="15.59765625" customWidth="1"/>
    <col min="22" max="22" width="11.3984375" customWidth="1"/>
  </cols>
  <sheetData>
    <row r="2" spans="2:22" ht="18" customHeight="1">
      <c r="B2" s="200" t="s">
        <v>795</v>
      </c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</row>
    <row r="3" spans="2:22" ht="16" customHeight="1">
      <c r="B3" s="202" t="s">
        <v>796</v>
      </c>
      <c r="C3" s="67"/>
      <c r="D3" s="59"/>
      <c r="E3" s="59"/>
      <c r="F3" s="59"/>
      <c r="G3" s="67"/>
      <c r="H3" s="155"/>
      <c r="I3" s="67"/>
      <c r="J3" s="67"/>
      <c r="K3" s="67"/>
      <c r="L3" s="59"/>
      <c r="M3" s="59"/>
      <c r="N3" s="59"/>
      <c r="O3" s="59"/>
      <c r="P3" s="59"/>
      <c r="Q3" s="59"/>
      <c r="R3" s="59"/>
      <c r="S3" s="59"/>
      <c r="T3" s="59"/>
      <c r="U3" s="59"/>
      <c r="V3" s="59"/>
    </row>
    <row r="4" spans="2:22" ht="38" customHeight="1">
      <c r="B4" s="203" t="s">
        <v>361</v>
      </c>
      <c r="C4" s="203" t="s">
        <v>362</v>
      </c>
      <c r="D4" s="203" t="s">
        <v>110</v>
      </c>
      <c r="E4" s="203" t="s">
        <v>111</v>
      </c>
      <c r="F4" s="203" t="s">
        <v>112</v>
      </c>
      <c r="G4" s="203" t="s">
        <v>363</v>
      </c>
      <c r="H4" s="203" t="s">
        <v>364</v>
      </c>
      <c r="I4" s="204" t="s">
        <v>797</v>
      </c>
      <c r="J4" s="205">
        <v>46023</v>
      </c>
      <c r="K4" s="205">
        <v>46054</v>
      </c>
      <c r="L4" s="205">
        <v>46082</v>
      </c>
      <c r="M4" s="205">
        <v>46113</v>
      </c>
      <c r="N4" s="205">
        <v>46143</v>
      </c>
      <c r="O4" s="205">
        <v>46174</v>
      </c>
      <c r="P4" s="205">
        <v>46204</v>
      </c>
      <c r="Q4" s="205">
        <v>46235</v>
      </c>
      <c r="R4" s="205">
        <v>46266</v>
      </c>
      <c r="S4" s="205">
        <v>46296</v>
      </c>
      <c r="T4" s="205">
        <v>46327</v>
      </c>
      <c r="U4" s="205">
        <v>46357</v>
      </c>
      <c r="V4" s="203" t="s">
        <v>356</v>
      </c>
    </row>
    <row r="5" spans="2:22" ht="14" customHeight="1">
      <c r="B5" s="206" t="s">
        <v>223</v>
      </c>
      <c r="C5" s="207" t="s">
        <v>13</v>
      </c>
      <c r="D5" s="207" t="s">
        <v>365</v>
      </c>
      <c r="E5" s="207" t="s">
        <v>798</v>
      </c>
      <c r="F5" s="206" t="s">
        <v>799</v>
      </c>
      <c r="G5" s="207" t="s">
        <v>800</v>
      </c>
      <c r="H5" s="207" t="s">
        <v>801</v>
      </c>
      <c r="I5" s="208">
        <v>2.1227067301941198</v>
      </c>
      <c r="J5" s="208">
        <v>2.19166049058075</v>
      </c>
      <c r="K5" s="208">
        <v>2.04940920211346</v>
      </c>
      <c r="L5" s="208">
        <v>2.0719887802182702</v>
      </c>
      <c r="M5" s="208">
        <v>2.1770516420381001</v>
      </c>
      <c r="N5" s="208">
        <v>2.1257129554505001</v>
      </c>
      <c r="O5" s="208">
        <f>IFERROR(SUMIFS('参考值-平台费用率分析'!$X$6:$X$532,'参考值-平台费用率分析'!$B$6:$B$532,"抖音",'参考值-平台费用率分析'!$C$6:$C$532,"主营业务收入",'参考值-平台费用率分析'!$E$6:$E$532,"主营业务收入")/SUMIFS('参考值-平台费用率分析'!$W$6:$W$532,'参考值-平台费用率分析'!$B$6:$B$532,"抖音",'参考值-平台费用率分析'!$C$6:$C$532,"销售费用",'参考值-平台费用率分析'!$E$6:$E$532,"广告投流费"),0)</f>
        <v>2.7098992721184629</v>
      </c>
      <c r="P5" s="209">
        <v>2.75</v>
      </c>
      <c r="Q5" s="209">
        <v>2.64</v>
      </c>
      <c r="R5" s="209">
        <v>2.64</v>
      </c>
      <c r="S5" s="209">
        <v>2.64</v>
      </c>
      <c r="T5" s="209">
        <v>2.64</v>
      </c>
      <c r="U5" s="209">
        <v>2.64</v>
      </c>
      <c r="V5" s="210">
        <f t="shared" ref="V5:V16" si="0">IFERROR(AVERAGE(J5:U5),0)</f>
        <v>2.4396435285432956</v>
      </c>
    </row>
    <row r="6" spans="2:22" ht="14" customHeight="1">
      <c r="B6" s="206" t="s">
        <v>223</v>
      </c>
      <c r="C6" s="207" t="s">
        <v>13</v>
      </c>
      <c r="D6" s="207" t="s">
        <v>52</v>
      </c>
      <c r="E6" s="207" t="s">
        <v>54</v>
      </c>
      <c r="F6" s="206" t="s">
        <v>55</v>
      </c>
      <c r="G6" s="207" t="s">
        <v>802</v>
      </c>
      <c r="H6" s="207" t="s">
        <v>803</v>
      </c>
      <c r="I6" s="211">
        <v>0.47109663608997498</v>
      </c>
      <c r="J6" s="211">
        <v>0.45627505003524399</v>
      </c>
      <c r="K6" s="211">
        <v>0.48794550105891399</v>
      </c>
      <c r="L6" s="211">
        <v>0.48262809603373302</v>
      </c>
      <c r="M6" s="211">
        <v>0.459336829999965</v>
      </c>
      <c r="N6" s="211">
        <v>0.47043040192040902</v>
      </c>
      <c r="O6" s="211">
        <f t="shared" ref="O6:U6" si="1">IFERROR(1/O5,0)</f>
        <v>0.36901740603009586</v>
      </c>
      <c r="P6" s="212">
        <f t="shared" si="1"/>
        <v>0.36363636363636365</v>
      </c>
      <c r="Q6" s="212">
        <f t="shared" si="1"/>
        <v>0.37878787878787878</v>
      </c>
      <c r="R6" s="212">
        <f t="shared" si="1"/>
        <v>0.37878787878787878</v>
      </c>
      <c r="S6" s="212">
        <f t="shared" si="1"/>
        <v>0.37878787878787878</v>
      </c>
      <c r="T6" s="212">
        <f t="shared" si="1"/>
        <v>0.37878787878787878</v>
      </c>
      <c r="U6" s="212">
        <f t="shared" si="1"/>
        <v>0.37878787878787878</v>
      </c>
      <c r="V6" s="213">
        <f t="shared" si="0"/>
        <v>0.41526742022117658</v>
      </c>
    </row>
    <row r="7" spans="2:22" ht="14" customHeight="1">
      <c r="B7" s="206" t="s">
        <v>224</v>
      </c>
      <c r="C7" s="207" t="s">
        <v>15</v>
      </c>
      <c r="D7" s="207" t="s">
        <v>365</v>
      </c>
      <c r="E7" s="207" t="s">
        <v>798</v>
      </c>
      <c r="F7" s="206" t="s">
        <v>799</v>
      </c>
      <c r="G7" s="207" t="s">
        <v>800</v>
      </c>
      <c r="H7" s="207" t="s">
        <v>801</v>
      </c>
      <c r="I7" s="208">
        <v>1.4037678637772999</v>
      </c>
      <c r="J7" s="208">
        <v>3.3704299382968901</v>
      </c>
      <c r="K7" s="208">
        <v>3.88877960643747</v>
      </c>
      <c r="L7" s="208">
        <v>2.5132771674429502</v>
      </c>
      <c r="M7" s="208">
        <v>1.1621166250936901</v>
      </c>
      <c r="N7" s="208">
        <v>1.1343951468842599</v>
      </c>
      <c r="O7" s="208">
        <v>1.65</v>
      </c>
      <c r="P7" s="209">
        <v>1.72</v>
      </c>
      <c r="Q7" s="209">
        <v>1.77</v>
      </c>
      <c r="R7" s="209">
        <v>1.8</v>
      </c>
      <c r="S7" s="209">
        <v>1.8</v>
      </c>
      <c r="T7" s="209">
        <v>1.8</v>
      </c>
      <c r="U7" s="209">
        <v>1.8</v>
      </c>
      <c r="V7" s="210">
        <f t="shared" si="0"/>
        <v>2.0340832070129387</v>
      </c>
    </row>
    <row r="8" spans="2:22" ht="14" customHeight="1">
      <c r="B8" s="206" t="s">
        <v>224</v>
      </c>
      <c r="C8" s="207" t="s">
        <v>15</v>
      </c>
      <c r="D8" s="207" t="s">
        <v>52</v>
      </c>
      <c r="E8" s="207" t="s">
        <v>54</v>
      </c>
      <c r="F8" s="206" t="s">
        <v>55</v>
      </c>
      <c r="G8" s="207" t="s">
        <v>802</v>
      </c>
      <c r="H8" s="207" t="s">
        <v>803</v>
      </c>
      <c r="I8" s="211">
        <v>0.71236849468057395</v>
      </c>
      <c r="J8" s="211">
        <v>0.29669805286185802</v>
      </c>
      <c r="K8" s="211">
        <v>0.257150083369241</v>
      </c>
      <c r="L8" s="211">
        <v>0.39788687573102599</v>
      </c>
      <c r="M8" s="211">
        <v>0.86049883325554999</v>
      </c>
      <c r="N8" s="211">
        <v>0.88152704350561395</v>
      </c>
      <c r="O8" s="211">
        <f t="shared" ref="O8:U8" si="2">IFERROR(1/O7,0)</f>
        <v>0.60606060606060608</v>
      </c>
      <c r="P8" s="212">
        <f t="shared" si="2"/>
        <v>0.58139534883720934</v>
      </c>
      <c r="Q8" s="212">
        <f t="shared" si="2"/>
        <v>0.56497175141242939</v>
      </c>
      <c r="R8" s="212">
        <f t="shared" si="2"/>
        <v>0.55555555555555558</v>
      </c>
      <c r="S8" s="212">
        <f t="shared" si="2"/>
        <v>0.55555555555555558</v>
      </c>
      <c r="T8" s="212">
        <f t="shared" si="2"/>
        <v>0.55555555555555558</v>
      </c>
      <c r="U8" s="212">
        <f t="shared" si="2"/>
        <v>0.55555555555555558</v>
      </c>
      <c r="V8" s="213">
        <f t="shared" si="0"/>
        <v>0.55570090143797957</v>
      </c>
    </row>
    <row r="9" spans="2:22" ht="14" customHeight="1">
      <c r="B9" s="206" t="s">
        <v>728</v>
      </c>
      <c r="C9" s="207" t="s">
        <v>16</v>
      </c>
      <c r="D9" s="207" t="s">
        <v>365</v>
      </c>
      <c r="E9" s="207" t="s">
        <v>798</v>
      </c>
      <c r="F9" s="206" t="s">
        <v>799</v>
      </c>
      <c r="G9" s="207" t="s">
        <v>800</v>
      </c>
      <c r="H9" s="207" t="s">
        <v>801</v>
      </c>
      <c r="I9" s="208">
        <v>3.5949287934483598</v>
      </c>
      <c r="J9" s="208">
        <v>4.52806077872496</v>
      </c>
      <c r="K9" s="208">
        <v>3.5387133595661</v>
      </c>
      <c r="L9" s="208">
        <v>3.95871977782036</v>
      </c>
      <c r="M9" s="208">
        <v>2.8453159025103498</v>
      </c>
      <c r="N9" s="208">
        <v>3.6563946410646802</v>
      </c>
      <c r="O9" s="208">
        <f>IFERROR(SUMIFS('参考值-平台费用率分析'!$X$6:$X$532,'参考值-平台费用率分析'!$B$6:$B$532,"天猫淘宝",'参考值-平台费用率分析'!$C$6:$C$532,"主营业务收入",'参考值-平台费用率分析'!$E$6:$E$532,"主营业务收入")/SUMIFS('参考值-平台费用率分析'!$W$6:$W$532,'参考值-平台费用率分析'!$B$6:$B$532,"天猫淘宝",'参考值-平台费用率分析'!$C$6:$C$532,"销售费用",'参考值-平台费用率分析'!$E$6:$E$532,"广告投流费"),0)</f>
        <v>3.0452248573802758</v>
      </c>
      <c r="P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Q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R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S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T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U9" s="209">
        <f>IFERROR(SUMIFS('参考值-平台费用率分析'!$AA$6:$AA$532,'参考值-平台费用率分析'!$B$6:$B$532,"天猫淘宝",'参考值-平台费用率分析'!$C$6:$C$532,"主营业务收入",'参考值-平台费用率分析'!$E$6:$E$532,"主营业务收入")/SUMIFS('参考值-平台费用率分析'!$Z$6:$Z$532,'参考值-平台费用率分析'!$B$6:$B$532,"天猫淘宝",'参考值-平台费用率分析'!$C$6:$C$532,"销售费用",'参考值-平台费用率分析'!$E$6:$E$532,"广告投流费"),0)</f>
        <v>3.496129411337038</v>
      </c>
      <c r="V9" s="210">
        <f t="shared" si="0"/>
        <v>3.5457671487574127</v>
      </c>
    </row>
    <row r="10" spans="2:22" ht="14" customHeight="1">
      <c r="B10" s="206" t="s">
        <v>728</v>
      </c>
      <c r="C10" s="207" t="s">
        <v>16</v>
      </c>
      <c r="D10" s="207" t="s">
        <v>52</v>
      </c>
      <c r="E10" s="207" t="s">
        <v>54</v>
      </c>
      <c r="F10" s="206" t="s">
        <v>55</v>
      </c>
      <c r="G10" s="207" t="s">
        <v>802</v>
      </c>
      <c r="H10" s="207" t="s">
        <v>803</v>
      </c>
      <c r="I10" s="211">
        <v>0.27816962656464</v>
      </c>
      <c r="J10" s="211">
        <v>0.220845092163623</v>
      </c>
      <c r="K10" s="211">
        <v>0.28258858471730403</v>
      </c>
      <c r="L10" s="211">
        <v>0.25260691741879099</v>
      </c>
      <c r="M10" s="211">
        <v>0.35145482409096401</v>
      </c>
      <c r="N10" s="211">
        <v>0.27349345411709097</v>
      </c>
      <c r="O10" s="211">
        <f t="shared" ref="O10:U10" si="3">IFERROR(1/O9,0)</f>
        <v>0.32838297558764606</v>
      </c>
      <c r="P10" s="212">
        <f t="shared" si="3"/>
        <v>0.28603060194432739</v>
      </c>
      <c r="Q10" s="212">
        <f t="shared" si="3"/>
        <v>0.28603060194432739</v>
      </c>
      <c r="R10" s="212">
        <f t="shared" si="3"/>
        <v>0.28603060194432739</v>
      </c>
      <c r="S10" s="212">
        <f t="shared" si="3"/>
        <v>0.28603060194432739</v>
      </c>
      <c r="T10" s="212">
        <f t="shared" si="3"/>
        <v>0.28603060194432739</v>
      </c>
      <c r="U10" s="212">
        <f t="shared" si="3"/>
        <v>0.28603060194432739</v>
      </c>
      <c r="V10" s="213">
        <f t="shared" si="0"/>
        <v>0.28546295498011537</v>
      </c>
    </row>
    <row r="11" spans="2:22" ht="14" customHeight="1">
      <c r="B11" s="206" t="s">
        <v>226</v>
      </c>
      <c r="C11" s="207" t="s">
        <v>20</v>
      </c>
      <c r="D11" s="207" t="s">
        <v>365</v>
      </c>
      <c r="E11" s="207" t="s">
        <v>798</v>
      </c>
      <c r="F11" s="206" t="s">
        <v>799</v>
      </c>
      <c r="G11" s="207" t="s">
        <v>800</v>
      </c>
      <c r="H11" s="207" t="s">
        <v>801</v>
      </c>
      <c r="I11" s="208">
        <v>117.522611867664</v>
      </c>
      <c r="J11" s="208">
        <v>0</v>
      </c>
      <c r="K11" s="208">
        <v>0</v>
      </c>
      <c r="L11" s="208">
        <v>2767.5275322216598</v>
      </c>
      <c r="M11" s="208">
        <v>12.4736812414267</v>
      </c>
      <c r="N11" s="208">
        <v>16270.0948466012</v>
      </c>
      <c r="O11" s="208">
        <f>IFERROR(SUMIFS('参考值-平台费用率分析'!$X$6:$X$532,'参考值-平台费用率分析'!$B$6:$B$532,"达播",'参考值-平台费用率分析'!$C$6:$C$532,"主营业务收入",'参考值-平台费用率分析'!$E$6:$E$532,"主营业务收入")/SUMIFS('参考值-平台费用率分析'!$W$6:$W$532,'参考值-平台费用率分析'!$B$6:$B$532,"达播",'参考值-平台费用率分析'!$C$6:$C$532,"销售费用",'参考值-平台费用率分析'!$E$6:$E$532,"广告投流费"),0)</f>
        <v>3347.0156460090448</v>
      </c>
      <c r="P11" s="209">
        <v>10</v>
      </c>
      <c r="Q11" s="209">
        <v>10</v>
      </c>
      <c r="R11" s="209">
        <v>10</v>
      </c>
      <c r="S11" s="209">
        <v>10</v>
      </c>
      <c r="T11" s="209">
        <v>10</v>
      </c>
      <c r="U11" s="209">
        <v>10</v>
      </c>
      <c r="V11" s="210">
        <f t="shared" si="0"/>
        <v>1871.4259755061109</v>
      </c>
    </row>
    <row r="12" spans="2:22" ht="14" customHeight="1">
      <c r="B12" s="206" t="s">
        <v>226</v>
      </c>
      <c r="C12" s="207" t="s">
        <v>20</v>
      </c>
      <c r="D12" s="207" t="s">
        <v>52</v>
      </c>
      <c r="E12" s="207" t="s">
        <v>54</v>
      </c>
      <c r="F12" s="206" t="s">
        <v>55</v>
      </c>
      <c r="G12" s="207" t="s">
        <v>802</v>
      </c>
      <c r="H12" s="207" t="s">
        <v>803</v>
      </c>
      <c r="I12" s="211">
        <v>8.5090008136140694E-3</v>
      </c>
      <c r="J12" s="211">
        <v>0</v>
      </c>
      <c r="K12" s="211">
        <v>0</v>
      </c>
      <c r="L12" s="211">
        <v>3.6133335201086201E-4</v>
      </c>
      <c r="M12" s="211">
        <v>8.0168795453812697E-2</v>
      </c>
      <c r="N12" s="211">
        <v>6.1462456699132304E-5</v>
      </c>
      <c r="O12" s="211">
        <f t="shared" ref="O12:U12" si="4">IFERROR(1/O11,0)</f>
        <v>2.9877362574996986E-4</v>
      </c>
      <c r="P12" s="212">
        <f t="shared" si="4"/>
        <v>0.1</v>
      </c>
      <c r="Q12" s="212">
        <f t="shared" si="4"/>
        <v>0.1</v>
      </c>
      <c r="R12" s="212">
        <f t="shared" si="4"/>
        <v>0.1</v>
      </c>
      <c r="S12" s="212">
        <f t="shared" si="4"/>
        <v>0.1</v>
      </c>
      <c r="T12" s="212">
        <f t="shared" si="4"/>
        <v>0.1</v>
      </c>
      <c r="U12" s="212">
        <f t="shared" si="4"/>
        <v>0.1</v>
      </c>
      <c r="V12" s="213">
        <f t="shared" si="0"/>
        <v>5.674086374068938E-2</v>
      </c>
    </row>
    <row r="13" spans="2:22" ht="14" customHeight="1">
      <c r="B13" s="206" t="s">
        <v>227</v>
      </c>
      <c r="C13" s="207" t="s">
        <v>17</v>
      </c>
      <c r="D13" s="207" t="s">
        <v>365</v>
      </c>
      <c r="E13" s="207" t="s">
        <v>798</v>
      </c>
      <c r="F13" s="206" t="s">
        <v>799</v>
      </c>
      <c r="G13" s="207" t="s">
        <v>800</v>
      </c>
      <c r="H13" s="207" t="s">
        <v>801</v>
      </c>
      <c r="I13" s="208">
        <v>2.6007965722740201</v>
      </c>
      <c r="J13" s="208">
        <v>4.4569365164464401</v>
      </c>
      <c r="K13" s="208">
        <v>2.4602806170243801</v>
      </c>
      <c r="L13" s="208">
        <v>3.7855710139979499</v>
      </c>
      <c r="M13" s="208">
        <v>5.5295297744287302</v>
      </c>
      <c r="N13" s="208">
        <v>1.7485534041455599</v>
      </c>
      <c r="O13" s="208">
        <v>3.33</v>
      </c>
      <c r="P13" s="209">
        <v>3.33</v>
      </c>
      <c r="Q13" s="209">
        <v>3.33</v>
      </c>
      <c r="R13" s="209">
        <v>3.33</v>
      </c>
      <c r="S13" s="209">
        <v>3.33</v>
      </c>
      <c r="T13" s="209">
        <v>3.33</v>
      </c>
      <c r="U13" s="209">
        <v>3.33</v>
      </c>
      <c r="V13" s="210">
        <f t="shared" si="0"/>
        <v>3.4409059438369209</v>
      </c>
    </row>
    <row r="14" spans="2:22" ht="14" customHeight="1">
      <c r="B14" s="206" t="s">
        <v>227</v>
      </c>
      <c r="C14" s="207" t="s">
        <v>17</v>
      </c>
      <c r="D14" s="207" t="s">
        <v>52</v>
      </c>
      <c r="E14" s="207" t="s">
        <v>54</v>
      </c>
      <c r="F14" s="206" t="s">
        <v>55</v>
      </c>
      <c r="G14" s="207" t="s">
        <v>802</v>
      </c>
      <c r="H14" s="207" t="s">
        <v>803</v>
      </c>
      <c r="I14" s="211">
        <v>0.38449758457104</v>
      </c>
      <c r="J14" s="211">
        <v>0.22436936140102601</v>
      </c>
      <c r="K14" s="211">
        <v>0.40645769961374001</v>
      </c>
      <c r="L14" s="211">
        <v>0.26416094066186802</v>
      </c>
      <c r="M14" s="211">
        <v>0.18084720415549499</v>
      </c>
      <c r="N14" s="211">
        <v>0.57190132004498595</v>
      </c>
      <c r="O14" s="211">
        <f t="shared" ref="O14:U14" si="5">IFERROR(1/O13,0)</f>
        <v>0.3003003003003003</v>
      </c>
      <c r="P14" s="212">
        <f t="shared" si="5"/>
        <v>0.3003003003003003</v>
      </c>
      <c r="Q14" s="212">
        <f t="shared" si="5"/>
        <v>0.3003003003003003</v>
      </c>
      <c r="R14" s="212">
        <f t="shared" si="5"/>
        <v>0.3003003003003003</v>
      </c>
      <c r="S14" s="212">
        <f t="shared" si="5"/>
        <v>0.3003003003003003</v>
      </c>
      <c r="T14" s="212">
        <f t="shared" si="5"/>
        <v>0.3003003003003003</v>
      </c>
      <c r="U14" s="212">
        <f t="shared" si="5"/>
        <v>0.3003003003003003</v>
      </c>
      <c r="V14" s="213">
        <f t="shared" si="0"/>
        <v>0.31248655233160133</v>
      </c>
    </row>
    <row r="15" spans="2:22" ht="14" customHeight="1">
      <c r="B15" s="206" t="s">
        <v>517</v>
      </c>
      <c r="C15" s="207" t="s">
        <v>18</v>
      </c>
      <c r="D15" s="207" t="s">
        <v>365</v>
      </c>
      <c r="E15" s="207" t="s">
        <v>798</v>
      </c>
      <c r="F15" s="206" t="s">
        <v>799</v>
      </c>
      <c r="G15" s="207" t="s">
        <v>800</v>
      </c>
      <c r="H15" s="207" t="s">
        <v>801</v>
      </c>
      <c r="I15" s="208">
        <v>4.3033796820576198</v>
      </c>
      <c r="J15" s="208">
        <v>3.9267433485948899</v>
      </c>
      <c r="K15" s="208">
        <v>3.9940938618617801</v>
      </c>
      <c r="L15" s="208">
        <v>4.7464670577688803</v>
      </c>
      <c r="M15" s="208">
        <v>4.7583660627964202</v>
      </c>
      <c r="N15" s="208">
        <v>3.8864281941760801</v>
      </c>
      <c r="O15" s="208">
        <f>IFERROR(SUMIFS('参考值-平台费用率分析'!$X$6:$X$532,'参考值-平台费用率分析'!$B$6:$B$532,"京东",'参考值-平台费用率分析'!$C$6:$C$532,"主营业务收入",'参考值-平台费用率分析'!$E$6:$E$532,"主营业务收入")/SUMIFS('参考值-平台费用率分析'!$W$6:$W$532,'参考值-平台费用率分析'!$B$6:$B$532,"京东",'参考值-平台费用率分析'!$C$6:$C$532,"销售费用",'参考值-平台费用率分析'!$E$6:$E$532,"广告投流费"),0)</f>
        <v>3.4759682969008741</v>
      </c>
      <c r="P15" s="209">
        <v>3.48</v>
      </c>
      <c r="Q15" s="209">
        <v>3.48</v>
      </c>
      <c r="R15" s="209">
        <v>3.48</v>
      </c>
      <c r="S15" s="209">
        <v>3.48</v>
      </c>
      <c r="T15" s="209">
        <v>3.48</v>
      </c>
      <c r="U15" s="209">
        <v>3.48</v>
      </c>
      <c r="V15" s="210">
        <f t="shared" si="0"/>
        <v>3.8056722351749097</v>
      </c>
    </row>
    <row r="16" spans="2:22" ht="14" customHeight="1">
      <c r="B16" s="206" t="s">
        <v>517</v>
      </c>
      <c r="C16" s="207" t="s">
        <v>18</v>
      </c>
      <c r="D16" s="207" t="s">
        <v>52</v>
      </c>
      <c r="E16" s="207" t="s">
        <v>54</v>
      </c>
      <c r="F16" s="206" t="s">
        <v>55</v>
      </c>
      <c r="G16" s="207" t="s">
        <v>802</v>
      </c>
      <c r="H16" s="207" t="s">
        <v>803</v>
      </c>
      <c r="I16" s="211">
        <v>0.232375498766555</v>
      </c>
      <c r="J16" s="211">
        <v>0.25466395718422302</v>
      </c>
      <c r="K16" s="211">
        <v>0.25036967947815503</v>
      </c>
      <c r="L16" s="211">
        <v>0.21068301703753101</v>
      </c>
      <c r="M16" s="211">
        <v>0.21015617268678899</v>
      </c>
      <c r="N16" s="211">
        <v>0.25730566732161098</v>
      </c>
      <c r="O16" s="211">
        <f t="shared" ref="O16:U16" si="6">IFERROR(1/O15,0)</f>
        <v>0.28768962044089597</v>
      </c>
      <c r="P16" s="212">
        <f t="shared" si="6"/>
        <v>0.28735632183908044</v>
      </c>
      <c r="Q16" s="212">
        <f t="shared" si="6"/>
        <v>0.28735632183908044</v>
      </c>
      <c r="R16" s="212">
        <f t="shared" si="6"/>
        <v>0.28735632183908044</v>
      </c>
      <c r="S16" s="212">
        <f t="shared" si="6"/>
        <v>0.28735632183908044</v>
      </c>
      <c r="T16" s="212">
        <f t="shared" si="6"/>
        <v>0.28735632183908044</v>
      </c>
      <c r="U16" s="212">
        <f t="shared" si="6"/>
        <v>0.28735632183908044</v>
      </c>
      <c r="V16" s="213">
        <f t="shared" si="0"/>
        <v>0.26625050376530734</v>
      </c>
    </row>
  </sheetData>
  <phoneticPr fontId="14" type="noConversion"/>
  <conditionalFormatting sqref="C2:V16">
    <cfRule type="expression" dxfId="0" priority="2">
      <formula>$AA2&lt;&gt;""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57"/>
  <sheetViews>
    <sheetView showGridLines="0" topLeftCell="A22" zoomScale="120" zoomScaleNormal="100" workbookViewId="0">
      <selection activeCell="O42" sqref="O42"/>
    </sheetView>
  </sheetViews>
  <sheetFormatPr baseColWidth="10" defaultColWidth="13.19921875" defaultRowHeight="16"/>
  <cols>
    <col min="1" max="3" width="4.3984375" style="16" customWidth="1"/>
    <col min="4" max="5" width="12.796875" style="16" customWidth="1"/>
    <col min="6" max="6" width="29.59765625" style="16" bestFit="1" customWidth="1"/>
    <col min="7" max="7" width="12.796875" style="16" customWidth="1"/>
    <col min="8" max="8" width="4.3984375" style="16" customWidth="1"/>
    <col min="9" max="9" width="14.19921875" style="16" bestFit="1" customWidth="1"/>
    <col min="10" max="11" width="14.19921875" bestFit="1" customWidth="1"/>
    <col min="12" max="12" width="14.19921875" style="16" bestFit="1" customWidth="1"/>
    <col min="13" max="14" width="14.19921875" bestFit="1" customWidth="1"/>
    <col min="15" max="17" width="14.19921875" style="16" bestFit="1" customWidth="1"/>
    <col min="18" max="20" width="15.59765625" style="16" bestFit="1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>
        <v>46023</v>
      </c>
      <c r="J2" s="153">
        <v>46054</v>
      </c>
      <c r="K2" s="153">
        <v>46082</v>
      </c>
      <c r="L2" s="153">
        <v>46113</v>
      </c>
      <c r="M2" s="153">
        <v>46143</v>
      </c>
      <c r="N2" s="153">
        <v>46174</v>
      </c>
      <c r="O2" s="153">
        <v>46204</v>
      </c>
      <c r="P2" s="153">
        <v>46235</v>
      </c>
      <c r="Q2" s="153">
        <v>46266</v>
      </c>
      <c r="R2" s="153">
        <v>46296</v>
      </c>
      <c r="S2" s="153">
        <v>46327</v>
      </c>
      <c r="T2" s="153">
        <v>46357</v>
      </c>
      <c r="U2" s="165"/>
      <c r="V2" s="171" t="s">
        <v>799</v>
      </c>
      <c r="W2" s="171"/>
    </row>
    <row r="3" spans="1:23">
      <c r="A3" s="67"/>
      <c r="B3" s="67" t="s">
        <v>367</v>
      </c>
      <c r="C3" s="67"/>
      <c r="D3" s="67"/>
      <c r="E3" s="214">
        <f>'假设-产品价值链定价'!L7</f>
        <v>2.1842009464870764</v>
      </c>
      <c r="F3" s="67"/>
      <c r="G3" s="67"/>
      <c r="H3" s="67"/>
      <c r="I3" s="214">
        <f>'假设-ROI月度滚动'!J5</f>
        <v>2.19166049058075</v>
      </c>
      <c r="J3" s="214">
        <f>'假设-ROI月度滚动'!K5</f>
        <v>2.04940920211346</v>
      </c>
      <c r="K3" s="214">
        <f>'假设-ROI月度滚动'!L5</f>
        <v>2.0719887802182702</v>
      </c>
      <c r="L3" s="214">
        <f>'假设-ROI月度滚动'!M5</f>
        <v>2.1770516420381001</v>
      </c>
      <c r="M3" s="214">
        <f>'假设-ROI月度滚动'!N5</f>
        <v>2.1257129554505001</v>
      </c>
      <c r="N3" s="214">
        <f>'假设-ROI月度滚动'!O5</f>
        <v>2.7098992721184629</v>
      </c>
      <c r="O3" s="214">
        <f>'假设-ROI月度滚动'!P5</f>
        <v>2.75</v>
      </c>
      <c r="P3" s="214">
        <f>'假设-ROI月度滚动'!Q5</f>
        <v>2.64</v>
      </c>
      <c r="Q3" s="214">
        <f>'假设-ROI月度滚动'!R5</f>
        <v>2.64</v>
      </c>
      <c r="R3" s="214">
        <f>'假设-ROI月度滚动'!S5</f>
        <v>2.64</v>
      </c>
      <c r="S3" s="214">
        <f>'假设-ROI月度滚动'!T5</f>
        <v>2.64</v>
      </c>
      <c r="T3" s="214">
        <f>'假设-ROI月度滚动'!U5</f>
        <v>2.64</v>
      </c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67"/>
      <c r="B7" s="192" t="s">
        <v>110</v>
      </c>
      <c r="C7" s="129"/>
      <c r="D7" s="130"/>
      <c r="E7" s="215" t="s">
        <v>111</v>
      </c>
      <c r="F7" s="216" t="s">
        <v>112</v>
      </c>
      <c r="G7" s="192" t="s">
        <v>368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102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412.736088</v>
      </c>
      <c r="J8" s="218">
        <f t="shared" si="0"/>
        <v>236.30884399999999</v>
      </c>
      <c r="K8" s="218">
        <f t="shared" si="0"/>
        <v>480.96784500000001</v>
      </c>
      <c r="L8" s="218">
        <f t="shared" si="0"/>
        <v>290.197382</v>
      </c>
      <c r="M8" s="218">
        <f t="shared" si="0"/>
        <v>383.28089</v>
      </c>
      <c r="N8" s="218">
        <f t="shared" si="0"/>
        <v>271.526498</v>
      </c>
      <c r="O8" s="218">
        <f t="shared" si="0"/>
        <v>187.83605584574326</v>
      </c>
      <c r="P8" s="218">
        <f t="shared" si="0"/>
        <v>251.22106234512992</v>
      </c>
      <c r="Q8" s="218">
        <f t="shared" si="0"/>
        <v>317.6980203810719</v>
      </c>
      <c r="R8" s="218">
        <f t="shared" si="0"/>
        <v>343.59311449972392</v>
      </c>
      <c r="S8" s="218">
        <f t="shared" si="0"/>
        <v>417.41345743498516</v>
      </c>
      <c r="T8" s="218">
        <f t="shared" si="0"/>
        <v>355.5744267038761</v>
      </c>
      <c r="U8" s="165"/>
      <c r="V8" s="218">
        <f t="shared" ref="V8:V46" si="1">SUM(I8:T8)</f>
        <v>3948.3536842105304</v>
      </c>
      <c r="W8" s="218">
        <f t="shared" ref="W8:W46" si="2">SUM(O8:T8)</f>
        <v>1873.3361372105303</v>
      </c>
    </row>
    <row r="9" spans="1:23">
      <c r="A9" s="67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>I10</f>
        <v>412.736088</v>
      </c>
      <c r="J9" s="165">
        <f t="shared" ref="J9:T9" si="3">J10</f>
        <v>236.30884399999999</v>
      </c>
      <c r="K9" s="165">
        <f t="shared" si="3"/>
        <v>480.96784500000001</v>
      </c>
      <c r="L9" s="165">
        <f t="shared" si="3"/>
        <v>290.197382</v>
      </c>
      <c r="M9" s="165">
        <f t="shared" si="3"/>
        <v>383.28089</v>
      </c>
      <c r="N9" s="165">
        <f t="shared" si="3"/>
        <v>271.526498</v>
      </c>
      <c r="O9" s="165">
        <f t="shared" si="3"/>
        <v>187.83605584574326</v>
      </c>
      <c r="P9" s="165">
        <f t="shared" si="3"/>
        <v>251.22106234512992</v>
      </c>
      <c r="Q9" s="165">
        <f t="shared" si="3"/>
        <v>317.6980203810719</v>
      </c>
      <c r="R9" s="165">
        <f t="shared" si="3"/>
        <v>343.59311449972392</v>
      </c>
      <c r="S9" s="165">
        <f t="shared" si="3"/>
        <v>417.41345743498516</v>
      </c>
      <c r="T9" s="165">
        <f t="shared" si="3"/>
        <v>355.5744267038761</v>
      </c>
      <c r="U9" s="165"/>
      <c r="V9" s="165">
        <f t="shared" si="1"/>
        <v>3948.3536842105304</v>
      </c>
      <c r="W9" s="165">
        <f t="shared" si="2"/>
        <v>1873.3361372105303</v>
      </c>
    </row>
    <row r="10" spans="1:23" hidden="1">
      <c r="A10" s="67"/>
      <c r="B10" s="102"/>
      <c r="C10" s="102"/>
      <c r="D10" s="67"/>
      <c r="E10" s="67"/>
      <c r="F10" s="67" t="s">
        <v>369</v>
      </c>
      <c r="G10" s="178"/>
      <c r="H10" s="67"/>
      <c r="I10" s="165">
        <f>I17</f>
        <v>412.736088</v>
      </c>
      <c r="J10" s="165">
        <f t="shared" ref="J10:T10" si="4">J17</f>
        <v>236.30884399999999</v>
      </c>
      <c r="K10" s="165">
        <f t="shared" si="4"/>
        <v>480.96784500000001</v>
      </c>
      <c r="L10" s="165">
        <f t="shared" si="4"/>
        <v>290.197382</v>
      </c>
      <c r="M10" s="165">
        <f t="shared" si="4"/>
        <v>383.28089</v>
      </c>
      <c r="N10" s="165">
        <f t="shared" si="4"/>
        <v>271.526498</v>
      </c>
      <c r="O10" s="165">
        <f t="shared" si="4"/>
        <v>187.83605584574326</v>
      </c>
      <c r="P10" s="165">
        <f t="shared" si="4"/>
        <v>251.22106234512992</v>
      </c>
      <c r="Q10" s="165">
        <f t="shared" si="4"/>
        <v>317.6980203810719</v>
      </c>
      <c r="R10" s="165">
        <f t="shared" si="4"/>
        <v>343.59311449972392</v>
      </c>
      <c r="S10" s="165">
        <f t="shared" si="4"/>
        <v>417.41345743498516</v>
      </c>
      <c r="T10" s="165">
        <f t="shared" si="4"/>
        <v>355.5744267038761</v>
      </c>
      <c r="U10" s="165"/>
      <c r="V10" s="165">
        <f t="shared" si="1"/>
        <v>3948.3536842105304</v>
      </c>
      <c r="W10" s="165">
        <f t="shared" si="2"/>
        <v>1873.3361372105303</v>
      </c>
    </row>
    <row r="11" spans="1:23" hidden="1">
      <c r="A11" s="67"/>
      <c r="B11" s="102"/>
      <c r="C11" s="102"/>
      <c r="D11" s="67"/>
      <c r="E11" s="67"/>
      <c r="F11" s="67" t="s">
        <v>805</v>
      </c>
      <c r="G11" s="178"/>
      <c r="H11" s="67"/>
      <c r="I11" s="386">
        <f>'测算-达播'!I11</f>
        <v>10.3347128</v>
      </c>
      <c r="J11" s="386">
        <f>'测算-达播'!J11</f>
        <v>0.84751999999999994</v>
      </c>
      <c r="K11" s="386">
        <f>'测算-达播'!K11</f>
        <v>38.006455600000002</v>
      </c>
      <c r="L11" s="386">
        <f>'测算-达播'!L11</f>
        <v>7.5620994000000001</v>
      </c>
      <c r="M11" s="386">
        <f>'测算-达播'!M11</f>
        <v>16.227792600000001</v>
      </c>
      <c r="N11" s="386">
        <f>'测算-达播'!N11</f>
        <v>5.4763869999999999</v>
      </c>
      <c r="O11" s="386">
        <f>'测算-达播'!O11</f>
        <v>17.334219084122708</v>
      </c>
      <c r="P11" s="386">
        <f>'测算-达播'!P11</f>
        <v>23.183626347077702</v>
      </c>
      <c r="Q11" s="386">
        <f>'测算-达播'!Q11</f>
        <v>29.318370549689025</v>
      </c>
      <c r="R11" s="386">
        <f>'测算-达播'!R11</f>
        <v>31.708067419310893</v>
      </c>
      <c r="S11" s="386">
        <f>'测算-达播'!S11</f>
        <v>38.52048685360603</v>
      </c>
      <c r="T11" s="386">
        <f>'测算-达播'!T11</f>
        <v>32.813748060479206</v>
      </c>
      <c r="U11" s="165"/>
      <c r="V11" s="165">
        <f t="shared" si="1"/>
        <v>251.33348571428559</v>
      </c>
      <c r="W11" s="165">
        <f t="shared" si="2"/>
        <v>172.87851831428557</v>
      </c>
    </row>
    <row r="12" spans="1:23" hidden="1">
      <c r="A12" s="67"/>
      <c r="B12" s="102"/>
      <c r="C12" s="102"/>
      <c r="D12" s="67"/>
      <c r="E12" s="67"/>
      <c r="F12" s="67" t="s">
        <v>806</v>
      </c>
      <c r="G12" s="178"/>
      <c r="H12" s="67"/>
      <c r="I12" s="386">
        <v>0</v>
      </c>
      <c r="J12" s="386">
        <v>0</v>
      </c>
      <c r="K12" s="386">
        <v>0</v>
      </c>
      <c r="L12" s="386">
        <v>0</v>
      </c>
      <c r="M12" s="386">
        <v>0</v>
      </c>
      <c r="N12" s="386">
        <v>0</v>
      </c>
      <c r="O12" s="386">
        <v>0</v>
      </c>
      <c r="P12" s="386">
        <v>0</v>
      </c>
      <c r="Q12" s="386">
        <v>0</v>
      </c>
      <c r="R12" s="386">
        <v>0</v>
      </c>
      <c r="S12" s="386">
        <v>0</v>
      </c>
      <c r="T12" s="386">
        <v>0</v>
      </c>
      <c r="U12" s="165"/>
      <c r="V12" s="165">
        <f t="shared" si="1"/>
        <v>0</v>
      </c>
      <c r="W12" s="165">
        <f t="shared" si="2"/>
        <v>0</v>
      </c>
    </row>
    <row r="13" spans="1:23" s="13" customFormat="1">
      <c r="A13" s="102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387">
        <f>IFERROR(SUMPRODUCT(('辅助-机制测算'!$A$2:$A$200="抖音平台")*'辅助-机制测算'!$F$2:$F$200*IFERROR('辅助-机制测算'!$G$2:$G$200/'辅助-机制测算'!$H$2:$H$200,0))*'假设-目标渠道分解'!L$5,0)</f>
        <v>289.40481094736867</v>
      </c>
      <c r="J13" s="387">
        <f>IFERROR(SUMPRODUCT(('辅助-机制测算'!$A$2:$A$200="抖音平台")*'辅助-机制测算'!$F$2:$F$200*IFERROR('辅助-机制测算'!$G$2:$G$200/'辅助-机制测算'!$H$2:$H$200,0))*'假设-目标渠道分解'!M$5,0)</f>
        <v>276.2468033684213</v>
      </c>
      <c r="K13" s="387">
        <f>IFERROR(SUMPRODUCT(('辅助-机制测算'!$A$2:$A$200="抖音平台")*'辅助-机制测算'!$F$2:$F$200*IFERROR('辅助-机制测算'!$G$2:$G$200/'辅助-机制测算'!$H$2:$H$200,0))*'假设-目标渠道分解'!N$5,0)</f>
        <v>392.79649566315828</v>
      </c>
      <c r="L13" s="387">
        <f>IFERROR(SUMPRODUCT(('辅助-机制测算'!$A$2:$A$200="抖音平台")*'辅助-机制测算'!$F$2:$F$200*IFERROR('辅助-机制测算'!$G$2:$G$200/'辅助-机制测算'!$H$2:$H$200,0))*'假设-目标渠道分解'!O$5,0)</f>
        <v>436.70599427368461</v>
      </c>
      <c r="M13" s="387">
        <f>IFERROR(SUMPRODUCT(('辅助-机制测算'!$A$2:$A$200="抖音平台")*'辅助-机制测算'!$F$2:$F$200*IFERROR('辅助-机制测算'!$G$2:$G$200/'辅助-机制测算'!$H$2:$H$200,0))*'假设-目标渠道分解'!P$5,0)</f>
        <v>507.76779789473733</v>
      </c>
      <c r="N13" s="387">
        <f>IFERROR(SUMPRODUCT(('辅助-机制测算'!$A$2:$A$200="抖音平台")*'辅助-机制测算'!$F$2:$F$200*IFERROR('辅助-机制测算'!$G$2:$G$200/'辅助-机制测算'!$H$2:$H$200,0))*'假设-目标渠道分解'!Q$5,0)</f>
        <v>348.37463593852175</v>
      </c>
      <c r="O13" s="387">
        <f>IFERROR(SUMPRODUCT(('辅助-机制测算'!$A$2:$A$200="抖音平台")*'辅助-机制测算'!$F$2:$F$200*IFERROR('辅助-机制测算'!$G$2:$G$200/'辅助-机制测算'!$H$2:$H$200,0))*'假设-目标渠道分解'!R$5,0)</f>
        <v>170.16087745338851</v>
      </c>
      <c r="P13" s="387">
        <f>IFERROR(SUMPRODUCT(('辅助-机制测算'!$A$2:$A$200="抖音平台")*'辅助-机制测算'!$F$2:$F$200*IFERROR('辅助-机制测算'!$G$2:$G$200/'辅助-机制测算'!$H$2:$H$200,0))*'假设-目标渠道分解'!S$5,0)</f>
        <v>227.58142046235093</v>
      </c>
      <c r="Q13" s="387">
        <f>IFERROR(SUMPRODUCT(('辅助-机制测算'!$A$2:$A$200="抖音平台")*'辅助-机制测算'!$F$2:$F$200*IFERROR('辅助-机制测算'!$G$2:$G$200/'辅助-机制测算'!$H$2:$H$200,0))*'假设-目标渠道分解'!T$5,0)</f>
        <v>287.80296556931143</v>
      </c>
      <c r="R13" s="387">
        <f>IFERROR(SUMPRODUCT(('辅助-机制测算'!$A$2:$A$200="抖音平台")*'辅助-机制测算'!$F$2:$F$200*IFERROR('辅助-机制测算'!$G$2:$G$200/'辅助-机制测算'!$H$2:$H$200,0))*'假设-目标渠道分解'!U$5,0)</f>
        <v>311.26135814004618</v>
      </c>
      <c r="S13" s="387">
        <f>IFERROR(SUMPRODUCT(('辅助-机制测算'!$A$2:$A$200="抖音平台")*'辅助-机制测算'!$F$2:$F$200*IFERROR('辅助-机制测算'!$G$2:$G$200/'辅助-机制测算'!$H$2:$H$200,0))*'假设-目标渠道分解'!V$5,0)</f>
        <v>378.13528322975236</v>
      </c>
      <c r="T13" s="387">
        <f>IFERROR(SUMPRODUCT(('辅助-机制测算'!$A$2:$A$200="抖音平台")*'辅助-机制测算'!$F$2:$F$200*IFERROR('辅助-机制测算'!$G$2:$G$200/'辅助-机制测算'!$H$2:$H$200,0))*'假设-目标渠道分解'!W$5,0)</f>
        <v>322.11524126978895</v>
      </c>
      <c r="U13" s="219"/>
      <c r="V13" s="219">
        <f t="shared" si="1"/>
        <v>3948.35368421053</v>
      </c>
      <c r="W13" s="219">
        <f t="shared" si="2"/>
        <v>1697.0571461246382</v>
      </c>
    </row>
    <row r="14" spans="1:23">
      <c r="A14" s="67"/>
      <c r="B14" s="102"/>
      <c r="C14" s="102"/>
      <c r="D14" s="67"/>
      <c r="E14" s="79"/>
      <c r="F14" s="67" t="s">
        <v>371</v>
      </c>
      <c r="G14" s="67"/>
      <c r="H14" s="67"/>
      <c r="I14" s="220">
        <f t="shared" ref="I14:T14" si="5">IFERROR(I$13/$V$13,0)</f>
        <v>7.3297590361445786E-2</v>
      </c>
      <c r="J14" s="220">
        <f t="shared" si="5"/>
        <v>6.9965060240963856E-2</v>
      </c>
      <c r="K14" s="220">
        <f t="shared" si="5"/>
        <v>9.9483614457831326E-2</v>
      </c>
      <c r="L14" s="220">
        <f t="shared" si="5"/>
        <v>0.11060457831325302</v>
      </c>
      <c r="M14" s="220">
        <f t="shared" si="5"/>
        <v>0.12860240963855421</v>
      </c>
      <c r="N14" s="220">
        <f t="shared" si="5"/>
        <v>8.8232884843035278E-2</v>
      </c>
      <c r="O14" s="220">
        <f t="shared" si="5"/>
        <v>4.3096665360517733E-2</v>
      </c>
      <c r="P14" s="220">
        <f t="shared" si="5"/>
        <v>5.7639573013038126E-2</v>
      </c>
      <c r="Q14" s="220">
        <f t="shared" si="5"/>
        <v>7.2891890794949746E-2</v>
      </c>
      <c r="R14" s="220">
        <f t="shared" si="5"/>
        <v>7.8833200628601399E-2</v>
      </c>
      <c r="S14" s="220">
        <f t="shared" si="5"/>
        <v>9.5770367467817211E-2</v>
      </c>
      <c r="T14" s="220">
        <f t="shared" si="5"/>
        <v>8.1582164879992411E-2</v>
      </c>
      <c r="U14" s="155"/>
      <c r="V14" s="220">
        <f t="shared" si="1"/>
        <v>1</v>
      </c>
      <c r="W14" s="220">
        <f t="shared" si="2"/>
        <v>0.42981386214491663</v>
      </c>
    </row>
    <row r="15" spans="1:23">
      <c r="A15" s="67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B$6:$B$532,"抖音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抖音",'参考值-平台费用率分析'!$C$6:$C$532,"主营业务收入",'参考值-平台费用率分析'!$E$6:$E$532,"主营业务收入")/10000)</f>
        <v>412.736088</v>
      </c>
      <c r="J15" s="165">
        <f>IF(COUNTIFS('参考值-平台费用率分析'!$B$6:$B$532,"抖音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抖音",'参考值-平台费用率分析'!$C$6:$C$532,"主营业务收入",'参考值-平台费用率分析'!$E$6:$E$532,"主营业务收入")/10000)</f>
        <v>236.30884399999999</v>
      </c>
      <c r="K15" s="165">
        <f>IF(COUNTIFS('参考值-平台费用率分析'!$B$6:$B$532,"抖音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抖音",'参考值-平台费用率分析'!$C$6:$C$532,"主营业务收入",'参考值-平台费用率分析'!$E$6:$E$532,"主营业务收入")/10000)</f>
        <v>480.96784500000001</v>
      </c>
      <c r="L15" s="165">
        <f>IF(COUNTIFS('参考值-平台费用率分析'!$B$6:$B$532,"抖音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抖音",'参考值-平台费用率分析'!$C$6:$C$532,"主营业务收入",'参考值-平台费用率分析'!$E$6:$E$532,"主营业务收入")/10000)</f>
        <v>290.197382</v>
      </c>
      <c r="M15" s="165">
        <f>IF(COUNTIFS('参考值-平台费用率分析'!$B$6:$B$532,"抖音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抖音",'参考值-平台费用率分析'!$C$6:$C$532,"主营业务收入",'参考值-平台费用率分析'!$E$6:$E$532,"主营业务收入")/10000)</f>
        <v>383.28089</v>
      </c>
      <c r="N15" s="165">
        <f>IF(COUNTIFS('参考值-平台费用率分析'!$B$6:$B$532,"抖音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抖音",'参考值-平台费用率分析'!$C$6:$C$532,"主营业务收入",'参考值-平台费用率分析'!$E$6:$E$532,"主营业务收入")/10000)</f>
        <v>271.526498</v>
      </c>
      <c r="O15" s="165" t="str">
        <f>IF(COUNTIFS('参考值-平台费用率分析'!$B$6:$B$532,"抖音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抖音",'参考值-平台费用率分析'!$C$6:$C$532,"主营业务收入",'参考值-平台费用率分析'!$E$6:$E$532,"主营业务收入")/10000)</f>
        <v/>
      </c>
      <c r="P15" s="165" t="str">
        <f>IF(COUNTIFS('参考值-平台费用率分析'!$B$6:$B$532,"抖音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抖音",'参考值-平台费用率分析'!$C$6:$C$532,"主营业务收入",'参考值-平台费用率分析'!$E$6:$E$532,"主营业务收入")/10000)</f>
        <v/>
      </c>
      <c r="Q15" s="165" t="str">
        <f>IF(COUNTIFS('参考值-平台费用率分析'!$B$6:$B$532,"抖音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抖音",'参考值-平台费用率分析'!$C$6:$C$532,"主营业务收入",'参考值-平台费用率分析'!$E$6:$E$532,"主营业务收入")/10000)</f>
        <v/>
      </c>
      <c r="R15" s="165" t="str">
        <f>IF(COUNTIFS('参考值-平台费用率分析'!$B$6:$B$532,"抖音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抖音",'参考值-平台费用率分析'!$C$6:$C$532,"主营业务收入",'参考值-平台费用率分析'!$E$6:$E$532,"主营业务收入")/10000)</f>
        <v/>
      </c>
      <c r="S15" s="165" t="str">
        <f>IF(COUNTIFS('参考值-平台费用率分析'!$B$6:$B$532,"抖音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抖音",'参考值-平台费用率分析'!$C$6:$C$532,"主营业务收入",'参考值-平台费用率分析'!$E$6:$E$532,"主营业务收入")/10000)</f>
        <v/>
      </c>
      <c r="T15" s="165" t="str">
        <f>IF(COUNTIFS('参考值-平台费用率分析'!$B$6:$B$532,"抖音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抖音",'参考值-平台费用率分析'!$C$6:$C$532,"主营业务收入",'参考值-平台费用率分析'!$E$6:$E$532,"主营业务收入")/10000)</f>
        <v/>
      </c>
      <c r="U15" s="165"/>
      <c r="V15" s="165">
        <f t="shared" si="1"/>
        <v>2075.0175469999999</v>
      </c>
      <c r="W15" s="165">
        <f t="shared" si="2"/>
        <v>0</v>
      </c>
    </row>
    <row r="16" spans="1:23" s="13" customFormat="1" hidden="1">
      <c r="A16" s="102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21">
        <f t="shared" ref="I16:T16" si="6">IF(ISNUMBER(I$15),I$15,I$13*IFERROR(SUM($I$15:$T$15)/SUMPRODUCT(($I$15:$T$15&lt;&gt;"")*$I$13:$T$13),1))</f>
        <v>412.736088</v>
      </c>
      <c r="J16" s="221">
        <f t="shared" si="6"/>
        <v>236.30884399999999</v>
      </c>
      <c r="K16" s="221">
        <f t="shared" si="6"/>
        <v>480.96784500000001</v>
      </c>
      <c r="L16" s="221">
        <f t="shared" si="6"/>
        <v>290.197382</v>
      </c>
      <c r="M16" s="221">
        <f t="shared" si="6"/>
        <v>383.28089</v>
      </c>
      <c r="N16" s="221">
        <f t="shared" si="6"/>
        <v>271.526498</v>
      </c>
      <c r="O16" s="221">
        <f t="shared" si="6"/>
        <v>156.83709389474785</v>
      </c>
      <c r="P16" s="221">
        <f t="shared" si="6"/>
        <v>209.76154533248175</v>
      </c>
      <c r="Q16" s="221">
        <f t="shared" si="6"/>
        <v>265.26767732815381</v>
      </c>
      <c r="R16" s="221">
        <f t="shared" si="6"/>
        <v>286.88925200088664</v>
      </c>
      <c r="S16" s="221">
        <f t="shared" si="6"/>
        <v>348.52687532166203</v>
      </c>
      <c r="T16" s="221">
        <f t="shared" si="6"/>
        <v>296.8932641628972</v>
      </c>
      <c r="U16" s="219"/>
      <c r="V16" s="219">
        <f t="shared" si="1"/>
        <v>3639.1932550408287</v>
      </c>
      <c r="W16" s="219">
        <f t="shared" si="2"/>
        <v>1564.1757080408292</v>
      </c>
    </row>
    <row r="17" spans="1:23">
      <c r="A17" s="67"/>
      <c r="B17" s="102"/>
      <c r="C17" s="102"/>
      <c r="D17" s="67"/>
      <c r="E17" s="79" t="s">
        <v>165</v>
      </c>
      <c r="F17" s="67" t="s">
        <v>808</v>
      </c>
      <c r="G17" s="67"/>
      <c r="H17" s="67"/>
      <c r="I17" s="221">
        <f t="shared" ref="I17:T17" si="7">IF(ISNUMBER(I$15),I$15,IFERROR(I$13+(SUMPRODUCT(($I$15:$T$15&lt;&gt;"")*$I$13:$T$13)-SUM($I$15:$T$15))*(I$14/(SUMPRODUCT(($I$15:$T$15="")*$I$14:$T$14))),I$13))</f>
        <v>412.736088</v>
      </c>
      <c r="J17" s="221">
        <f t="shared" si="7"/>
        <v>236.30884399999999</v>
      </c>
      <c r="K17" s="221">
        <f t="shared" si="7"/>
        <v>480.96784500000001</v>
      </c>
      <c r="L17" s="221">
        <f t="shared" si="7"/>
        <v>290.197382</v>
      </c>
      <c r="M17" s="221">
        <f t="shared" si="7"/>
        <v>383.28089</v>
      </c>
      <c r="N17" s="221">
        <f t="shared" si="7"/>
        <v>271.526498</v>
      </c>
      <c r="O17" s="221">
        <f t="shared" si="7"/>
        <v>187.83605584574326</v>
      </c>
      <c r="P17" s="221">
        <f t="shared" si="7"/>
        <v>251.22106234512992</v>
      </c>
      <c r="Q17" s="221">
        <f t="shared" si="7"/>
        <v>317.6980203810719</v>
      </c>
      <c r="R17" s="221">
        <f t="shared" si="7"/>
        <v>343.59311449972392</v>
      </c>
      <c r="S17" s="221">
        <f t="shared" si="7"/>
        <v>417.41345743498516</v>
      </c>
      <c r="T17" s="221">
        <f t="shared" si="7"/>
        <v>355.5744267038761</v>
      </c>
      <c r="U17" s="165"/>
      <c r="V17" s="165">
        <f t="shared" si="1"/>
        <v>3948.3536842105304</v>
      </c>
      <c r="W17" s="165">
        <f t="shared" si="2"/>
        <v>1873.3361372105303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127.68844210697725</v>
      </c>
      <c r="J18" s="218">
        <f t="shared" si="8"/>
        <v>73.10702655703011</v>
      </c>
      <c r="K18" s="218">
        <f t="shared" si="8"/>
        <v>148.79734682080939</v>
      </c>
      <c r="L18" s="218">
        <f t="shared" si="8"/>
        <v>89.778559928356344</v>
      </c>
      <c r="M18" s="218">
        <f t="shared" si="8"/>
        <v>118.57586762191659</v>
      </c>
      <c r="N18" s="218">
        <f t="shared" si="8"/>
        <v>84.002335943987703</v>
      </c>
      <c r="O18" s="218">
        <f t="shared" si="8"/>
        <v>58.110967370660674</v>
      </c>
      <c r="P18" s="218">
        <f t="shared" si="8"/>
        <v>77.720429610965937</v>
      </c>
      <c r="Q18" s="218">
        <f t="shared" si="8"/>
        <v>98.286450984944594</v>
      </c>
      <c r="R18" s="218">
        <f t="shared" si="8"/>
        <v>106.29763372945959</v>
      </c>
      <c r="S18" s="218">
        <f t="shared" si="8"/>
        <v>129.13548304591265</v>
      </c>
      <c r="T18" s="218">
        <f t="shared" si="8"/>
        <v>110.00430037244406</v>
      </c>
      <c r="U18" s="165"/>
      <c r="V18" s="218">
        <f t="shared" si="1"/>
        <v>1221.5048440934647</v>
      </c>
      <c r="W18" s="218">
        <f t="shared" si="2"/>
        <v>579.55526511438745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IFERROR(I$9*SUMPRODUCT(('辅助-机制测算'!$A$2:$A$200="抖音平台")*'辅助-机制测算'!$F$2:$F$200*IFERROR('辅助-机制测算'!$H$2:$H$200/'辅助-机制测算'!$G$2:$G$200,0)),0)</f>
        <v>127.68844210697725</v>
      </c>
      <c r="J19" s="165">
        <f>IFERROR(J$9*SUMPRODUCT(('辅助-机制测算'!$A$2:$A$200="抖音平台")*'辅助-机制测算'!$F$2:$F$200*IFERROR('辅助-机制测算'!$H$2:$H$200/'辅助-机制测算'!$G$2:$G$200,0)),0)</f>
        <v>73.10702655703011</v>
      </c>
      <c r="K19" s="165">
        <f>IFERROR(K$9*SUMPRODUCT(('辅助-机制测算'!$A$2:$A$200="抖音平台")*'辅助-机制测算'!$F$2:$F$200*IFERROR('辅助-机制测算'!$H$2:$H$200/'辅助-机制测算'!$G$2:$G$200,0)),0)</f>
        <v>148.79734682080939</v>
      </c>
      <c r="L19" s="165">
        <f>IFERROR(L$9*SUMPRODUCT(('辅助-机制测算'!$A$2:$A$200="抖音平台")*'辅助-机制测算'!$F$2:$F$200*IFERROR('辅助-机制测算'!$H$2:$H$200/'辅助-机制测算'!$G$2:$G$200,0)),0)</f>
        <v>89.778559928356344</v>
      </c>
      <c r="M19" s="165">
        <f>IFERROR(M$9*SUMPRODUCT(('辅助-机制测算'!$A$2:$A$200="抖音平台")*'辅助-机制测算'!$F$2:$F$200*IFERROR('辅助-机制测算'!$H$2:$H$200/'辅助-机制测算'!$G$2:$G$200,0)),0)</f>
        <v>118.57586762191659</v>
      </c>
      <c r="N19" s="165">
        <f>IFERROR(N$9*SUMPRODUCT(('辅助-机制测算'!$A$2:$A$200="抖音平台")*'辅助-机制测算'!$F$2:$F$200*IFERROR('辅助-机制测算'!$H$2:$H$200/'辅助-机制测算'!$G$2:$G$200,0)),0)</f>
        <v>84.002335943987703</v>
      </c>
      <c r="O19" s="165">
        <f>IFERROR(O$9*SUMPRODUCT(('辅助-机制测算'!$A$2:$A$200="抖音平台")*'辅助-机制测算'!$F$2:$F$200*IFERROR('辅助-机制测算'!$H$2:$H$200/'辅助-机制测算'!$G$2:$G$200,0)),0)</f>
        <v>58.110967370660674</v>
      </c>
      <c r="P19" s="165">
        <f>IFERROR(P$9*SUMPRODUCT(('辅助-机制测算'!$A$2:$A$200="抖音平台")*'辅助-机制测算'!$F$2:$F$200*IFERROR('辅助-机制测算'!$H$2:$H$200/'辅助-机制测算'!$G$2:$G$200,0)),0)</f>
        <v>77.720429610965937</v>
      </c>
      <c r="Q19" s="165">
        <f>IFERROR(Q$9*SUMPRODUCT(('辅助-机制测算'!$A$2:$A$200="抖音平台")*'辅助-机制测算'!$F$2:$F$200*IFERROR('辅助-机制测算'!$H$2:$H$200/'辅助-机制测算'!$G$2:$G$200,0)),0)</f>
        <v>98.286450984944594</v>
      </c>
      <c r="R19" s="165">
        <f>IFERROR(R$9*SUMPRODUCT(('辅助-机制测算'!$A$2:$A$200="抖音平台")*'辅助-机制测算'!$F$2:$F$200*IFERROR('辅助-机制测算'!$H$2:$H$200/'辅助-机制测算'!$G$2:$G$200,0)),0)</f>
        <v>106.29763372945959</v>
      </c>
      <c r="S19" s="165">
        <f>IFERROR(S$9*SUMPRODUCT(('辅助-机制测算'!$A$2:$A$200="抖音平台")*'辅助-机制测算'!$F$2:$F$200*IFERROR('辅助-机制测算'!$H$2:$H$200/'辅助-机制测算'!$G$2:$G$200,0)),0)</f>
        <v>129.13548304591265</v>
      </c>
      <c r="T19" s="165">
        <f>IFERROR(T$9*SUMPRODUCT(('辅助-机制测算'!$A$2:$A$200="抖音平台")*'辅助-机制测算'!$F$2:$F$200*IFERROR('辅助-机制测算'!$H$2:$H$200/'辅助-机制测算'!$G$2:$G$200,0)),0)</f>
        <v>110.00430037244406</v>
      </c>
      <c r="U19" s="219"/>
      <c r="V19" s="165">
        <f t="shared" si="1"/>
        <v>1221.5048440934647</v>
      </c>
      <c r="W19" s="165">
        <f t="shared" si="2"/>
        <v>579.55526511438745</v>
      </c>
    </row>
    <row r="20" spans="1:23" s="13" customFormat="1">
      <c r="A20" s="102"/>
      <c r="B20" s="217" t="s">
        <v>52</v>
      </c>
      <c r="C20" s="217"/>
      <c r="D20" s="217"/>
      <c r="E20" s="217"/>
      <c r="F20" s="217"/>
      <c r="G20" s="217"/>
      <c r="H20" s="102"/>
      <c r="I20" s="218">
        <f>I21+I32+I36+I41</f>
        <v>237.86509018029867</v>
      </c>
      <c r="J20" s="218">
        <f t="shared" ref="J20:T20" si="9">J21+J32+J36+J41</f>
        <v>151.88622127014935</v>
      </c>
      <c r="K20" s="218">
        <f t="shared" si="9"/>
        <v>287.15879890724932</v>
      </c>
      <c r="L20" s="218">
        <f t="shared" si="9"/>
        <v>177.94863778050384</v>
      </c>
      <c r="M20" s="218">
        <f t="shared" si="9"/>
        <v>225.70136504297102</v>
      </c>
      <c r="N20" s="218">
        <f t="shared" si="9"/>
        <v>143.39233187417415</v>
      </c>
      <c r="O20" s="218">
        <f t="shared" si="9"/>
        <v>105.85769750411708</v>
      </c>
      <c r="P20" s="218">
        <f t="shared" si="9"/>
        <v>137.08181726634137</v>
      </c>
      <c r="Q20" s="218">
        <f t="shared" si="9"/>
        <v>166.83739701394813</v>
      </c>
      <c r="R20" s="218">
        <f t="shared" si="9"/>
        <v>178.42823331098111</v>
      </c>
      <c r="S20" s="218">
        <f t="shared" si="9"/>
        <v>211.47076663535842</v>
      </c>
      <c r="T20" s="218">
        <f t="shared" si="9"/>
        <v>183.79115756781715</v>
      </c>
      <c r="U20" s="165"/>
      <c r="V20" s="218">
        <f t="shared" si="1"/>
        <v>2207.4195143539096</v>
      </c>
      <c r="W20" s="218">
        <f t="shared" si="2"/>
        <v>983.46706929856327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SUM(I22:I26)</f>
        <v>198.58580388145086</v>
      </c>
      <c r="J21" s="223">
        <f t="shared" si="10"/>
        <v>119.78783442173273</v>
      </c>
      <c r="K21" s="223">
        <f t="shared" si="10"/>
        <v>245.56532602619762</v>
      </c>
      <c r="L21" s="223">
        <f t="shared" si="10"/>
        <v>141.0880045922689</v>
      </c>
      <c r="M21" s="223">
        <f t="shared" si="10"/>
        <v>188.31131441411208</v>
      </c>
      <c r="N21" s="223">
        <f t="shared" si="10"/>
        <v>106.64524375662918</v>
      </c>
      <c r="O21" s="223">
        <f t="shared" si="10"/>
        <v>72.764078914479228</v>
      </c>
      <c r="P21" s="223">
        <f t="shared" si="10"/>
        <v>101.12459227244335</v>
      </c>
      <c r="Q21" s="223">
        <f t="shared" si="10"/>
        <v>127.88371515068987</v>
      </c>
      <c r="R21" s="223">
        <f t="shared" si="10"/>
        <v>138.3073269695418</v>
      </c>
      <c r="S21" s="223">
        <f t="shared" si="10"/>
        <v>168.02239946805975</v>
      </c>
      <c r="T21" s="223">
        <f t="shared" si="10"/>
        <v>143.13019213945825</v>
      </c>
      <c r="U21" s="165"/>
      <c r="V21" s="223">
        <f t="shared" si="1"/>
        <v>1751.2158320070635</v>
      </c>
      <c r="W21" s="223">
        <f t="shared" si="2"/>
        <v>751.23230491467223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55</v>
      </c>
      <c r="G22" s="67"/>
      <c r="H22" s="67"/>
      <c r="I22" s="165">
        <f>I$9*'假设-ROI月度滚动'!J6</f>
        <v>188.32117920355086</v>
      </c>
      <c r="J22" s="165">
        <f>J$9*'假设-ROI月度滚动'!K6</f>
        <v>115.30583729023273</v>
      </c>
      <c r="K22" s="165">
        <f>K$9*'假设-ROI月度滚动'!L6</f>
        <v>232.12859528579762</v>
      </c>
      <c r="L22" s="165">
        <f>L$9*'假设-ROI月度滚动'!M6</f>
        <v>133.29834552216892</v>
      </c>
      <c r="M22" s="165">
        <f>M$9*'假设-ROI月度滚动'!N6</f>
        <v>180.30698313111208</v>
      </c>
      <c r="N22" s="165">
        <f>N$9*'假设-ROI月度滚动'!O6</f>
        <v>100.19800396039601</v>
      </c>
      <c r="O22" s="165">
        <f>O$9*'假设-ROI月度滚动'!P6</f>
        <v>68.304020307542999</v>
      </c>
      <c r="P22" s="165">
        <f>P$9*'假设-ROI月度滚动'!Q6</f>
        <v>95.159493312549216</v>
      </c>
      <c r="Q22" s="165">
        <f>Q$9*'假设-ROI月度滚动'!R6</f>
        <v>120.3401592352545</v>
      </c>
      <c r="R22" s="165">
        <f>R$9*'假设-ROI月度滚动'!S6</f>
        <v>130.14890700747119</v>
      </c>
      <c r="S22" s="165">
        <f>S$9*'假设-ROI月度滚动'!T6</f>
        <v>158.11115811931256</v>
      </c>
      <c r="T22" s="165">
        <f>T$9*'假设-ROI月度滚动'!U6</f>
        <v>134.6872828423773</v>
      </c>
      <c r="U22" s="165"/>
      <c r="V22" s="165">
        <f t="shared" si="1"/>
        <v>1656.3099652177659</v>
      </c>
      <c r="W22" s="165">
        <f t="shared" si="2"/>
        <v>706.75102082450769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>
        <f>I$9*'假设-销售费用率'!K9</f>
        <v>0</v>
      </c>
      <c r="J23" s="165">
        <f>J$9*'假设-销售费用率'!L9</f>
        <v>0</v>
      </c>
      <c r="K23" s="165">
        <f>K$9*'假设-销售费用率'!M9</f>
        <v>0</v>
      </c>
      <c r="L23" s="165">
        <f>L$9*'假设-销售费用率'!N9</f>
        <v>0</v>
      </c>
      <c r="M23" s="165">
        <f>M$9*'假设-销售费用率'!O9</f>
        <v>0</v>
      </c>
      <c r="N23" s="165">
        <f>N$9*'假设-销售费用率'!P9</f>
        <v>0</v>
      </c>
      <c r="O23" s="165">
        <f>O$9*'假设-销售费用率'!Q9</f>
        <v>0</v>
      </c>
      <c r="P23" s="165">
        <f>P$9*'假设-销售费用率'!R9</f>
        <v>0</v>
      </c>
      <c r="Q23" s="165">
        <f>Q$9*'假设-销售费用率'!S9</f>
        <v>0</v>
      </c>
      <c r="R23" s="165">
        <f>R$9*'假设-销售费用率'!T9</f>
        <v>0</v>
      </c>
      <c r="S23" s="165">
        <f>S$9*'假设-销售费用率'!U9</f>
        <v>0</v>
      </c>
      <c r="T23" s="165">
        <f>T$9*'假设-销售费用率'!V9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f>I$9*'假设-销售费用率'!K10</f>
        <v>0</v>
      </c>
      <c r="J24" s="165">
        <f>J$9*'假设-销售费用率'!L10</f>
        <v>0</v>
      </c>
      <c r="K24" s="165">
        <f>K$9*'假设-销售费用率'!M10</f>
        <v>0</v>
      </c>
      <c r="L24" s="165">
        <f>L$9*'假设-销售费用率'!N10</f>
        <v>0</v>
      </c>
      <c r="M24" s="165">
        <f>M$9*'假设-销售费用率'!O10</f>
        <v>0</v>
      </c>
      <c r="N24" s="165">
        <f>N$9*'假设-销售费用率'!P10</f>
        <v>0</v>
      </c>
      <c r="O24" s="165">
        <f>O$9*'假设-销售费用率'!Q10</f>
        <v>0</v>
      </c>
      <c r="P24" s="165">
        <f>P$9*'假设-销售费用率'!R10</f>
        <v>0</v>
      </c>
      <c r="Q24" s="165">
        <f>Q$9*'假设-销售费用率'!S10</f>
        <v>0</v>
      </c>
      <c r="R24" s="165">
        <f>R$9*'假设-销售费用率'!T10</f>
        <v>0</v>
      </c>
      <c r="S24" s="165">
        <f>S$9*'假设-销售费用率'!U10</f>
        <v>0</v>
      </c>
      <c r="T24" s="165">
        <f>T$9*'假设-销售费用率'!V10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I$9*'假设-销售费用率'!K11</f>
        <v>0</v>
      </c>
      <c r="J25" s="165">
        <f>J$9*'假设-销售费用率'!L11</f>
        <v>0</v>
      </c>
      <c r="K25" s="165">
        <f>K$9*'假设-销售费用率'!M11</f>
        <v>0</v>
      </c>
      <c r="L25" s="165">
        <f>L$9*'假设-销售费用率'!N11</f>
        <v>0</v>
      </c>
      <c r="M25" s="165">
        <f>M$9*'假设-销售费用率'!O11</f>
        <v>0</v>
      </c>
      <c r="N25" s="165">
        <f>N$9*'假设-销售费用率'!P11</f>
        <v>0</v>
      </c>
      <c r="O25" s="165">
        <f>O$9*'假设-销售费用率'!Q11</f>
        <v>0</v>
      </c>
      <c r="P25" s="165">
        <f>P$9*'假设-销售费用率'!R11</f>
        <v>0</v>
      </c>
      <c r="Q25" s="165">
        <f>Q$9*'假设-销售费用率'!S11</f>
        <v>0</v>
      </c>
      <c r="R25" s="165">
        <f>R$9*'假设-销售费用率'!T11</f>
        <v>0</v>
      </c>
      <c r="S25" s="165">
        <f>S$9*'假设-销售费用率'!U11</f>
        <v>0</v>
      </c>
      <c r="T25" s="165">
        <f>T$9*'假设-销售费用率'!V11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I$9*'假设-销售费用率'!K12</f>
        <v>10.264624677900001</v>
      </c>
      <c r="J26" s="165">
        <f>J$9*'假设-销售费用率'!L12</f>
        <v>4.4819971315</v>
      </c>
      <c r="K26" s="165">
        <f>K$9*'假设-销售费用率'!M12</f>
        <v>13.436730740399998</v>
      </c>
      <c r="L26" s="165">
        <f>L$9*'假设-销售费用率'!N12</f>
        <v>7.7896590700999999</v>
      </c>
      <c r="M26" s="165">
        <f>M$9*'假设-销售费用率'!O12</f>
        <v>8.0043312829999991</v>
      </c>
      <c r="N26" s="165">
        <f>N$9*'假设-销售费用率'!P12</f>
        <v>6.4472397962331822</v>
      </c>
      <c r="O26" s="165">
        <f>O$9*'假设-销售费用率'!Q12</f>
        <v>4.4600586069362347</v>
      </c>
      <c r="P26" s="165">
        <f>P$9*'假设-销售费用率'!R12</f>
        <v>5.9650989598941422</v>
      </c>
      <c r="Q26" s="165">
        <f>Q$9*'假设-销售费用率'!S12</f>
        <v>7.5435559154353591</v>
      </c>
      <c r="R26" s="165">
        <f>R$9*'假设-销售费用率'!T12</f>
        <v>8.1584199620706048</v>
      </c>
      <c r="S26" s="165">
        <f>S$9*'假设-销售费用率'!U12</f>
        <v>9.9112413487471915</v>
      </c>
      <c r="T26" s="165">
        <f>T$9*'假设-销售费用率'!V12</f>
        <v>8.4429092970809378</v>
      </c>
      <c r="U26" s="165"/>
      <c r="V26" s="165">
        <f t="shared" si="1"/>
        <v>94.905866789297676</v>
      </c>
      <c r="W26" s="165">
        <f t="shared" si="2"/>
        <v>44.481284090164465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SUM(I28:I31)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3.4668438168245412</v>
      </c>
      <c r="P27" s="223">
        <f t="shared" si="11"/>
        <v>4.6367252694155408</v>
      </c>
      <c r="Q27" s="223">
        <f t="shared" si="11"/>
        <v>5.8636741099378042</v>
      </c>
      <c r="R27" s="223">
        <f t="shared" si="11"/>
        <v>6.3416134838621785</v>
      </c>
      <c r="S27" s="223">
        <f t="shared" si="11"/>
        <v>7.7040973707212066</v>
      </c>
      <c r="T27" s="223">
        <f t="shared" si="11"/>
        <v>6.5627496120958417</v>
      </c>
      <c r="U27" s="165"/>
      <c r="V27" s="223">
        <f t="shared" si="1"/>
        <v>34.575703662857116</v>
      </c>
      <c r="W27" s="223">
        <f t="shared" si="2"/>
        <v>34.575703662857116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>
        <f>I$9*'假设-销售费用率'!K14</f>
        <v>0</v>
      </c>
      <c r="J28" s="165">
        <f>J$9*'假设-销售费用率'!L14</f>
        <v>0</v>
      </c>
      <c r="K28" s="165">
        <f>K$9*'假设-销售费用率'!M14</f>
        <v>0</v>
      </c>
      <c r="L28" s="165">
        <f>L$9*'假设-销售费用率'!N14</f>
        <v>0</v>
      </c>
      <c r="M28" s="165">
        <f>M$9*'假设-销售费用率'!O14</f>
        <v>0</v>
      </c>
      <c r="N28" s="165">
        <f>N$9*'假设-销售费用率'!P14</f>
        <v>0</v>
      </c>
      <c r="O28" s="165">
        <f>O$11*'假设-销售费用率'!Q14</f>
        <v>0.86671095420613542</v>
      </c>
      <c r="P28" s="165">
        <f>P$11*'假设-销售费用率'!R14</f>
        <v>1.1591813173538852</v>
      </c>
      <c r="Q28" s="165">
        <f>Q$11*'假设-销售费用率'!S14</f>
        <v>1.4659185274844513</v>
      </c>
      <c r="R28" s="165">
        <f>R$11*'假设-销售费用率'!T14</f>
        <v>1.5854033709655448</v>
      </c>
      <c r="S28" s="165">
        <f>S$11*'假设-销售费用率'!U14</f>
        <v>1.9260243426803016</v>
      </c>
      <c r="T28" s="165">
        <f>T$11*'假设-销售费用率'!V14</f>
        <v>1.6406874030239604</v>
      </c>
      <c r="U28" s="165"/>
      <c r="V28" s="165">
        <f t="shared" si="1"/>
        <v>8.6439259157142789</v>
      </c>
      <c r="W28" s="165">
        <f t="shared" si="2"/>
        <v>8.6439259157142789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>
        <f>I$11*'假设-销售费用率'!K15</f>
        <v>0</v>
      </c>
      <c r="J29" s="165">
        <f>J$11*'假设-销售费用率'!L15</f>
        <v>0</v>
      </c>
      <c r="K29" s="165">
        <f>K$11*'假设-销售费用率'!M15</f>
        <v>0</v>
      </c>
      <c r="L29" s="165">
        <f>L$11*'假设-销售费用率'!N15</f>
        <v>0</v>
      </c>
      <c r="M29" s="165">
        <f>M$11*'假设-销售费用率'!O15</f>
        <v>0</v>
      </c>
      <c r="N29" s="165">
        <f>N$11*'假设-销售费用率'!P15</f>
        <v>0</v>
      </c>
      <c r="O29" s="165">
        <f>O$11*'假设-销售费用率'!Q15</f>
        <v>2.6001328626184059</v>
      </c>
      <c r="P29" s="165">
        <f>P$11*'假设-销售费用率'!R15</f>
        <v>3.4775439520616551</v>
      </c>
      <c r="Q29" s="165">
        <f>Q$11*'假设-销售费用率'!S15</f>
        <v>4.3977555824533532</v>
      </c>
      <c r="R29" s="165">
        <f>R$11*'假设-销售费用率'!T15</f>
        <v>4.7562101128966336</v>
      </c>
      <c r="S29" s="165">
        <f>S$11*'假设-销售费用率'!U15</f>
        <v>5.7780730280409047</v>
      </c>
      <c r="T29" s="165">
        <f>T$11*'假设-销售费用率'!V15</f>
        <v>4.9220622090718811</v>
      </c>
      <c r="U29" s="165"/>
      <c r="V29" s="165">
        <f t="shared" si="1"/>
        <v>25.931777747142835</v>
      </c>
      <c r="W29" s="165">
        <f t="shared" si="2"/>
        <v>25.931777747142835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>
        <f>I$12*'假设-销售费用率'!K16</f>
        <v>0</v>
      </c>
      <c r="J30" s="165">
        <f>J$12*'假设-销售费用率'!L16</f>
        <v>0</v>
      </c>
      <c r="K30" s="165">
        <f>K$12*'假设-销售费用率'!M16</f>
        <v>0</v>
      </c>
      <c r="L30" s="165">
        <f>L$12*'假设-销售费用率'!N16</f>
        <v>0</v>
      </c>
      <c r="M30" s="165">
        <f>M$12*'假设-销售费用率'!O16</f>
        <v>0</v>
      </c>
      <c r="N30" s="165">
        <f>N$12*'假设-销售费用率'!P16</f>
        <v>0</v>
      </c>
      <c r="O30" s="165">
        <f>O$12*'假设-销售费用率'!Q16</f>
        <v>0</v>
      </c>
      <c r="P30" s="165">
        <f>P$12*'假设-销售费用率'!R16</f>
        <v>0</v>
      </c>
      <c r="Q30" s="165">
        <f>Q$12*'假设-销售费用率'!S16</f>
        <v>0</v>
      </c>
      <c r="R30" s="165">
        <f>R$12*'假设-销售费用率'!T16</f>
        <v>0</v>
      </c>
      <c r="S30" s="165">
        <f>S$12*'假设-销售费用率'!U16</f>
        <v>0</v>
      </c>
      <c r="T30" s="165">
        <f>T$12*'假设-销售费用率'!V16</f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>
        <f>I$12*'假设-销售费用率'!K17</f>
        <v>0</v>
      </c>
      <c r="J31" s="165">
        <f>J$12*'假设-销售费用率'!L17</f>
        <v>0</v>
      </c>
      <c r="K31" s="165">
        <f>K$12*'假设-销售费用率'!M17</f>
        <v>0</v>
      </c>
      <c r="L31" s="165">
        <f>L$12*'假设-销售费用率'!N17</f>
        <v>0</v>
      </c>
      <c r="M31" s="165">
        <f>M$12*'假设-销售费用率'!O17</f>
        <v>0</v>
      </c>
      <c r="N31" s="165">
        <f>N$12*'假设-销售费用率'!P17</f>
        <v>0</v>
      </c>
      <c r="O31" s="165">
        <f>O$12*'假设-销售费用率'!Q17</f>
        <v>0</v>
      </c>
      <c r="P31" s="165">
        <f>P$12*'假设-销售费用率'!R17</f>
        <v>0</v>
      </c>
      <c r="Q31" s="165">
        <f>Q$12*'假设-销售费用率'!S17</f>
        <v>0</v>
      </c>
      <c r="R31" s="165">
        <f>R$12*'假设-销售费用率'!T17</f>
        <v>0</v>
      </c>
      <c r="S31" s="165">
        <f>S$12*'假设-销售费用率'!U17</f>
        <v>0</v>
      </c>
      <c r="T31" s="165">
        <f>T$12*'假设-销售费用率'!V17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SUM(I33:I35)</f>
        <v>0</v>
      </c>
      <c r="J32" s="223">
        <f t="shared" si="12"/>
        <v>0</v>
      </c>
      <c r="K32" s="223">
        <f t="shared" si="12"/>
        <v>0</v>
      </c>
      <c r="L32" s="223">
        <f t="shared" si="12"/>
        <v>0</v>
      </c>
      <c r="M32" s="223">
        <f t="shared" si="12"/>
        <v>0</v>
      </c>
      <c r="N32" s="223">
        <f t="shared" si="12"/>
        <v>0</v>
      </c>
      <c r="O32" s="223">
        <f t="shared" si="12"/>
        <v>0</v>
      </c>
      <c r="P32" s="223">
        <f t="shared" si="12"/>
        <v>0</v>
      </c>
      <c r="Q32" s="223">
        <f t="shared" si="12"/>
        <v>0</v>
      </c>
      <c r="R32" s="223">
        <f t="shared" si="12"/>
        <v>0</v>
      </c>
      <c r="S32" s="223">
        <f t="shared" si="12"/>
        <v>0</v>
      </c>
      <c r="T32" s="223">
        <f t="shared" si="12"/>
        <v>0</v>
      </c>
      <c r="U32" s="165"/>
      <c r="V32" s="223">
        <f t="shared" si="1"/>
        <v>0</v>
      </c>
      <c r="W32" s="223">
        <f t="shared" si="2"/>
        <v>0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>
        <f>I$9*'假设-销售费用率'!K19</f>
        <v>0</v>
      </c>
      <c r="J33" s="165">
        <f>J$9*'假设-销售费用率'!L19</f>
        <v>0</v>
      </c>
      <c r="K33" s="165">
        <f>K$9*'假设-销售费用率'!M19</f>
        <v>0</v>
      </c>
      <c r="L33" s="165">
        <f>L$9*'假设-销售费用率'!N19</f>
        <v>0</v>
      </c>
      <c r="M33" s="165">
        <f>M$9*'假设-销售费用率'!O19</f>
        <v>0</v>
      </c>
      <c r="N33" s="165">
        <f>N$9*'假设-销售费用率'!P19</f>
        <v>0</v>
      </c>
      <c r="O33" s="165">
        <f>O$9*'假设-销售费用率'!Q19</f>
        <v>0</v>
      </c>
      <c r="P33" s="165">
        <f>P$9*'假设-销售费用率'!R19</f>
        <v>0</v>
      </c>
      <c r="Q33" s="165">
        <f>Q$9*'假设-销售费用率'!S19</f>
        <v>0</v>
      </c>
      <c r="R33" s="165">
        <f>R$9*'假设-销售费用率'!T19</f>
        <v>0</v>
      </c>
      <c r="S33" s="165">
        <f>S$9*'假设-销售费用率'!U19</f>
        <v>0</v>
      </c>
      <c r="T33" s="165">
        <f>T$9*'假设-销售费用率'!V19</f>
        <v>0</v>
      </c>
      <c r="U33" s="165"/>
      <c r="V33" s="165">
        <f t="shared" si="1"/>
        <v>0</v>
      </c>
      <c r="W33" s="165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>
        <f>I$9*'假设-销售费用率'!K20</f>
        <v>0</v>
      </c>
      <c r="J34" s="165">
        <f>J$9*'假设-销售费用率'!L20</f>
        <v>0</v>
      </c>
      <c r="K34" s="165">
        <f>K$9*'假设-销售费用率'!M20</f>
        <v>0</v>
      </c>
      <c r="L34" s="165">
        <f>L$9*'假设-销售费用率'!N20</f>
        <v>0</v>
      </c>
      <c r="M34" s="165">
        <f>M$9*'假设-销售费用率'!O20</f>
        <v>0</v>
      </c>
      <c r="N34" s="165">
        <f>N$9*'假设-销售费用率'!P20</f>
        <v>0</v>
      </c>
      <c r="O34" s="165">
        <f>O$9*'假设-销售费用率'!Q20</f>
        <v>0</v>
      </c>
      <c r="P34" s="165">
        <f>P$9*'假设-销售费用率'!R20</f>
        <v>0</v>
      </c>
      <c r="Q34" s="165">
        <f>Q$9*'假设-销售费用率'!S20</f>
        <v>0</v>
      </c>
      <c r="R34" s="165">
        <f>R$9*'假设-销售费用率'!T20</f>
        <v>0</v>
      </c>
      <c r="S34" s="165">
        <f>S$9*'假设-销售费用率'!U20</f>
        <v>0</v>
      </c>
      <c r="T34" s="165">
        <f>T$9*'假设-销售费用率'!V20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IFERROR(I$9*SUMPRODUCT(('辅助-机制测算'!$A$2:$A$200="抖音平台")*'辅助-机制测算'!$F$2:$F$200*IFERROR('辅助-机制测算'!$I$2:$I$200/'辅助-机制测算'!$G$2:$G$200,0)),0)</f>
        <v>0</v>
      </c>
      <c r="J35" s="165">
        <f>IFERROR(J$9*SUMPRODUCT(('辅助-机制测算'!$A$2:$A$200="抖音平台")*'辅助-机制测算'!$F$2:$F$200*IFERROR('辅助-机制测算'!$I$2:$I$200/'辅助-机制测算'!$G$2:$G$200,0)),0)</f>
        <v>0</v>
      </c>
      <c r="K35" s="165">
        <f>IFERROR(K$9*SUMPRODUCT(('辅助-机制测算'!$A$2:$A$200="抖音平台")*'辅助-机制测算'!$F$2:$F$200*IFERROR('辅助-机制测算'!$I$2:$I$200/'辅助-机制测算'!$G$2:$G$200,0)),0)</f>
        <v>0</v>
      </c>
      <c r="L35" s="165">
        <f>IFERROR(L$9*SUMPRODUCT(('辅助-机制测算'!$A$2:$A$200="抖音平台")*'辅助-机制测算'!$F$2:$F$200*IFERROR('辅助-机制测算'!$I$2:$I$200/'辅助-机制测算'!$G$2:$G$200,0)),0)</f>
        <v>0</v>
      </c>
      <c r="M35" s="165">
        <f>IFERROR(M$9*SUMPRODUCT(('辅助-机制测算'!$A$2:$A$200="抖音平台")*'辅助-机制测算'!$F$2:$F$200*IFERROR('辅助-机制测算'!$I$2:$I$200/'辅助-机制测算'!$G$2:$G$200,0)),0)</f>
        <v>0</v>
      </c>
      <c r="N35" s="165">
        <f>IFERROR(N$9*SUMPRODUCT(('辅助-机制测算'!$A$2:$A$200="抖音平台")*'辅助-机制测算'!$F$2:$F$200*IFERROR('辅助-机制测算'!$I$2:$I$200/'辅助-机制测算'!$G$2:$G$200,0)),0)</f>
        <v>0</v>
      </c>
      <c r="O35" s="165">
        <f>IFERROR(O$9*SUMPRODUCT(('辅助-机制测算'!$A$2:$A$200="抖音平台")*'辅助-机制测算'!$F$2:$F$200*IFERROR('辅助-机制测算'!$I$2:$I$200/'辅助-机制测算'!$G$2:$G$200,0)),0)</f>
        <v>0</v>
      </c>
      <c r="P35" s="165">
        <f>IFERROR(P$9*SUMPRODUCT(('辅助-机制测算'!$A$2:$A$200="抖音平台")*'辅助-机制测算'!$F$2:$F$200*IFERROR('辅助-机制测算'!$I$2:$I$200/'辅助-机制测算'!$G$2:$G$200,0)),0)</f>
        <v>0</v>
      </c>
      <c r="Q35" s="165">
        <f>IFERROR(Q$9*SUMPRODUCT(('辅助-机制测算'!$A$2:$A$200="抖音平台")*'辅助-机制测算'!$F$2:$F$200*IFERROR('辅助-机制测算'!$I$2:$I$200/'辅助-机制测算'!$G$2:$G$200,0)),0)</f>
        <v>0</v>
      </c>
      <c r="R35" s="165">
        <f>IFERROR(R$9*SUMPRODUCT(('辅助-机制测算'!$A$2:$A$200="抖音平台")*'辅助-机制测算'!$F$2:$F$200*IFERROR('辅助-机制测算'!$I$2:$I$200/'辅助-机制测算'!$G$2:$G$200,0)),0)</f>
        <v>0</v>
      </c>
      <c r="S35" s="165">
        <f>IFERROR(S$9*SUMPRODUCT(('辅助-机制测算'!$A$2:$A$200="抖音平台")*'辅助-机制测算'!$F$2:$F$200*IFERROR('辅助-机制测算'!$I$2:$I$200/'辅助-机制测算'!$G$2:$G$200,0)),0)</f>
        <v>0</v>
      </c>
      <c r="T35" s="165">
        <f>IFERROR(T$9*SUMPRODUCT(('辅助-机制测算'!$A$2:$A$200="抖音平台")*'辅助-机制测算'!$F$2:$F$200*IFERROR('辅助-机制测算'!$I$2:$I$200/'辅助-机制测算'!$G$2:$G$200,0)),0)</f>
        <v>0</v>
      </c>
      <c r="U35" s="165"/>
      <c r="V35" s="165">
        <f t="shared" si="1"/>
        <v>0</v>
      </c>
      <c r="W35" s="165">
        <f t="shared" si="2"/>
        <v>0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SUM(I37:I40)</f>
        <v>15.341833925718603</v>
      </c>
      <c r="J36" s="223">
        <f t="shared" si="13"/>
        <v>13.75130750613059</v>
      </c>
      <c r="K36" s="223">
        <f t="shared" si="13"/>
        <v>14.375733696866389</v>
      </c>
      <c r="L36" s="223">
        <f t="shared" si="13"/>
        <v>11.01981243760615</v>
      </c>
      <c r="M36" s="223">
        <f t="shared" si="13"/>
        <v>10.660791899141849</v>
      </c>
      <c r="N36" s="223">
        <f t="shared" si="13"/>
        <v>9.838483475365333</v>
      </c>
      <c r="O36" s="223">
        <f t="shared" si="13"/>
        <v>6.8060463532223849</v>
      </c>
      <c r="P36" s="223">
        <f t="shared" si="13"/>
        <v>9.1027368921698564</v>
      </c>
      <c r="Q36" s="223">
        <f t="shared" si="13"/>
        <v>11.51146111594403</v>
      </c>
      <c r="R36" s="223">
        <f t="shared" si="13"/>
        <v>12.449743226367698</v>
      </c>
      <c r="S36" s="223">
        <f t="shared" si="13"/>
        <v>15.124547451605302</v>
      </c>
      <c r="T36" s="223">
        <f t="shared" si="13"/>
        <v>12.883873755071178</v>
      </c>
      <c r="U36" s="165"/>
      <c r="V36" s="223">
        <f t="shared" si="1"/>
        <v>142.86637173520938</v>
      </c>
      <c r="W36" s="223">
        <f t="shared" si="2"/>
        <v>67.878408794380448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I$9*'假设-销售费用率'!K23</f>
        <v>6.5172500000000007</v>
      </c>
      <c r="J37" s="165">
        <f>J$9*'假设-销售费用率'!L23</f>
        <v>5.0262600000000006</v>
      </c>
      <c r="K37" s="165">
        <f>K$9*'假设-销售费用率'!M23</f>
        <v>8.8800899999999992</v>
      </c>
      <c r="L37" s="165">
        <f>L$9*'假设-销售费用率'!N23</f>
        <v>4.9522000000000004</v>
      </c>
      <c r="M37" s="165">
        <f>M$9*'假设-销售费用率'!O23</f>
        <v>5.6709519999999998</v>
      </c>
      <c r="N37" s="165">
        <f>N$9*'假设-销售费用率'!P23</f>
        <v>4.6395113997160315</v>
      </c>
      <c r="O37" s="165">
        <f>O$9*'假设-销售费用率'!Q23</f>
        <v>3.2095118848180446</v>
      </c>
      <c r="P37" s="165">
        <f>P$9*'假设-销售费用率'!R23</f>
        <v>4.2925570475961505</v>
      </c>
      <c r="Q37" s="165">
        <f>Q$9*'假设-销售费用率'!S23</f>
        <v>5.4284336817292846</v>
      </c>
      <c r="R37" s="165">
        <f>R$9*'假设-销售费用率'!T23</f>
        <v>5.8708972543276596</v>
      </c>
      <c r="S37" s="165">
        <f>S$9*'假设-销售费用率'!U23</f>
        <v>7.1322486329289898</v>
      </c>
      <c r="T37" s="165">
        <f>T$9*'假设-销售费用率'!V23</f>
        <v>6.0756192058283967</v>
      </c>
      <c r="U37" s="165"/>
      <c r="V37" s="165">
        <f t="shared" si="1"/>
        <v>67.695531106944557</v>
      </c>
      <c r="W37" s="165">
        <f t="shared" si="2"/>
        <v>32.009267707228524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I$9*'假设-销售费用率'!K24</f>
        <v>3.2559472665000007</v>
      </c>
      <c r="J38" s="165">
        <f>J$9*'假设-销售费用率'!L24</f>
        <v>1.9615736123835903</v>
      </c>
      <c r="K38" s="165">
        <f>K$9*'假设-销售费用率'!M24</f>
        <v>3.6883519999999996</v>
      </c>
      <c r="L38" s="165">
        <f>L$9*'假设-销售费用率'!N24</f>
        <v>2.1935350000000002</v>
      </c>
      <c r="M38" s="165">
        <f>M$9*'假设-销售费用率'!O24</f>
        <v>2.5830760000000001</v>
      </c>
      <c r="N38" s="165">
        <f>N$9*'假设-销售费用率'!P24</f>
        <v>2.0393681470428562</v>
      </c>
      <c r="O38" s="165">
        <f>O$9*'假设-销售费用率'!Q24</f>
        <v>1.410790003846961</v>
      </c>
      <c r="P38" s="165">
        <f>P$9*'假设-销售费用率'!R24</f>
        <v>1.8868590586430554</v>
      </c>
      <c r="Q38" s="165">
        <f>Q$9*'假设-销售费用率'!S24</f>
        <v>2.3861509941609094</v>
      </c>
      <c r="R38" s="165">
        <f>R$9*'假设-销售费用率'!T24</f>
        <v>2.5806426202056563</v>
      </c>
      <c r="S38" s="165">
        <f>S$9*'假设-销售费用率'!U24</f>
        <v>3.1350888974376923</v>
      </c>
      <c r="T38" s="165">
        <f>T$9*'假设-销售费用率'!V24</f>
        <v>2.6706312830024777</v>
      </c>
      <c r="U38" s="165"/>
      <c r="V38" s="165">
        <f t="shared" si="1"/>
        <v>29.792014883223199</v>
      </c>
      <c r="W38" s="165">
        <f t="shared" si="2"/>
        <v>14.070162857296751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77</v>
      </c>
      <c r="G39" s="67"/>
      <c r="H39" s="67"/>
      <c r="I39" s="165">
        <f>I$9*'假设-销售费用率'!K25</f>
        <v>0</v>
      </c>
      <c r="J39" s="165">
        <f>J$9*'假设-销售费用率'!L25</f>
        <v>0</v>
      </c>
      <c r="K39" s="165">
        <f>K$9*'假设-销售费用率'!M25</f>
        <v>0</v>
      </c>
      <c r="L39" s="165">
        <f>L$9*'假设-销售费用率'!N25</f>
        <v>0</v>
      </c>
      <c r="M39" s="165">
        <f>M$9*'假设-销售费用率'!O25</f>
        <v>0</v>
      </c>
      <c r="N39" s="165">
        <f>N$9*'假设-销售费用率'!P25</f>
        <v>0</v>
      </c>
      <c r="O39" s="165">
        <f>O$9*'假设-销售费用率'!Q25</f>
        <v>0</v>
      </c>
      <c r="P39" s="165">
        <f>P$9*'假设-销售费用率'!R25</f>
        <v>0</v>
      </c>
      <c r="Q39" s="165">
        <f>Q$9*'假设-销售费用率'!S25</f>
        <v>0</v>
      </c>
      <c r="R39" s="165">
        <f>R$9*'假设-销售费用率'!T25</f>
        <v>0</v>
      </c>
      <c r="S39" s="165">
        <f>S$9*'假设-销售费用率'!U25</f>
        <v>0</v>
      </c>
      <c r="T39" s="165">
        <f>T$9*'假设-销售费用率'!V25</f>
        <v>0</v>
      </c>
      <c r="U39" s="165"/>
      <c r="V39" s="165">
        <f t="shared" si="1"/>
        <v>0</v>
      </c>
      <c r="W39" s="165">
        <f t="shared" si="2"/>
        <v>0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I$9*'假设-销售费用率'!K26</f>
        <v>5.5686366592186003</v>
      </c>
      <c r="J40" s="165">
        <f>J$9*'假设-销售费用率'!L26</f>
        <v>6.7634738937470003</v>
      </c>
      <c r="K40" s="165">
        <f>K$9*'假设-销售费用率'!M26</f>
        <v>1.8072916968663899</v>
      </c>
      <c r="L40" s="165">
        <f>L$9*'假设-销售费用率'!N26</f>
        <v>3.8740774376061502</v>
      </c>
      <c r="M40" s="165">
        <f>M$9*'假设-销售费用率'!O26</f>
        <v>2.4067638991418496</v>
      </c>
      <c r="N40" s="165">
        <f>N$9*'假设-销售费用率'!P26</f>
        <v>3.1596039286064452</v>
      </c>
      <c r="O40" s="165">
        <f>O$9*'假设-销售费用率'!Q26</f>
        <v>2.1857444645573785</v>
      </c>
      <c r="P40" s="165">
        <f>P$9*'假设-销售费用率'!R26</f>
        <v>2.9233207859306507</v>
      </c>
      <c r="Q40" s="165">
        <f>Q$9*'假设-销售费用率'!S26</f>
        <v>3.696876440053837</v>
      </c>
      <c r="R40" s="165">
        <f>R$9*'假设-销售费用率'!T26</f>
        <v>3.9982033518343831</v>
      </c>
      <c r="S40" s="165">
        <f>S$9*'假设-销售费用率'!U26</f>
        <v>4.8572099212386206</v>
      </c>
      <c r="T40" s="165">
        <f>T$9*'假设-销售费用率'!V26</f>
        <v>4.1376232662403041</v>
      </c>
      <c r="U40" s="165"/>
      <c r="V40" s="165">
        <f t="shared" si="1"/>
        <v>45.37882574504161</v>
      </c>
      <c r="W40" s="165">
        <f t="shared" si="2"/>
        <v>21.798978229855173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SUM(I42:I45)</f>
        <v>23.937452373129226</v>
      </c>
      <c r="J41" s="223">
        <f t="shared" si="14"/>
        <v>18.347079342286026</v>
      </c>
      <c r="K41" s="223">
        <f t="shared" si="14"/>
        <v>27.217739184185305</v>
      </c>
      <c r="L41" s="223">
        <f t="shared" si="14"/>
        <v>25.840820750628772</v>
      </c>
      <c r="M41" s="223">
        <f t="shared" si="14"/>
        <v>26.729258729717099</v>
      </c>
      <c r="N41" s="223">
        <f t="shared" si="14"/>
        <v>26.908604642179615</v>
      </c>
      <c r="O41" s="223">
        <f t="shared" si="14"/>
        <v>26.287572236415475</v>
      </c>
      <c r="P41" s="223">
        <f t="shared" si="14"/>
        <v>26.854488101728169</v>
      </c>
      <c r="Q41" s="223">
        <f t="shared" si="14"/>
        <v>27.442220747314245</v>
      </c>
      <c r="R41" s="223">
        <f t="shared" si="14"/>
        <v>27.671163115071611</v>
      </c>
      <c r="S41" s="223">
        <f t="shared" si="14"/>
        <v>28.323819715693361</v>
      </c>
      <c r="T41" s="223">
        <f t="shared" si="14"/>
        <v>27.777091673287707</v>
      </c>
      <c r="U41" s="165"/>
      <c r="V41" s="223">
        <f t="shared" si="1"/>
        <v>313.33731061163667</v>
      </c>
      <c r="W41" s="223">
        <f t="shared" si="2"/>
        <v>164.35635558951057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IFERROR(INDEX('假设-人工成本固定额'!$B$6:$CS$9,MATCH("抖音",'假设-人工成本固定额'!$A$6:$A$16,0),1)/10000,0)</f>
        <v>19.478591439444301</v>
      </c>
      <c r="J42" s="165">
        <f>IFERROR(INDEX('假设-人工成本固定额'!$B$6:$CS$9,MATCH("抖音",'假设-人工成本固定额'!$A$6:$A$16,0),9)/10000,0)</f>
        <v>16.643368543976301</v>
      </c>
      <c r="K42" s="165">
        <f>IFERROR(INDEX('假设-人工成本固定额'!$B$6:$CS$9,MATCH("抖音",'假设-人工成本固定额'!$A$6:$A$16,0),17)/10000,0)</f>
        <v>23.3120713740492</v>
      </c>
      <c r="L42" s="165">
        <f>IFERROR(INDEX('假设-人工成本固定额'!$B$6:$CS$9,MATCH("抖音",'假设-人工成本固定额'!$A$6:$A$16,0),25)/10000,0)</f>
        <v>22.6077212279293</v>
      </c>
      <c r="M42" s="165">
        <f>IFERROR(INDEX('假设-人工成本固定额'!$B$6:$CS$9,MATCH("抖音",'假设-人工成本固定额'!$A$6:$A$16,0),33)/10000,0)</f>
        <v>23.5097553776056</v>
      </c>
      <c r="N42" s="165">
        <f>IFERROR(INDEX('假设-人工成本固定额'!$B$6:$CS$9,MATCH("抖音",'假设-人工成本固定额'!$A$6:$A$16,0),41)/10000,0)</f>
        <v>24.633405429455202</v>
      </c>
      <c r="O42" s="165">
        <f>IFERROR(INDEX('假设-人工成本固定额'!$B$6:$CS$9,MATCH("抖音",'假设-人工成本固定额'!$A$6:$A$16,0),41)/10000,0)</f>
        <v>24.633405429455202</v>
      </c>
      <c r="P42" s="165">
        <f>IFERROR(INDEX('假设-人工成本固定额'!$B$6:$CS$9,MATCH("抖音",'假设-人工成本固定额'!$A$6:$A$16,0),41)/10000,0)</f>
        <v>24.633405429455202</v>
      </c>
      <c r="Q42" s="165">
        <f>IFERROR(INDEX('假设-人工成本固定额'!$B$6:$CS$9,MATCH("抖音",'假设-人工成本固定额'!$A$6:$A$16,0),41)/10000,0)</f>
        <v>24.633405429455202</v>
      </c>
      <c r="R42" s="165">
        <f>IFERROR(INDEX('假设-人工成本固定额'!$B$6:$CS$9,MATCH("抖音",'假设-人工成本固定额'!$A$6:$A$16,0),41)/10000,0)</f>
        <v>24.633405429455202</v>
      </c>
      <c r="S42" s="165">
        <f>IFERROR(INDEX('假设-人工成本固定额'!$B$6:$CS$9,MATCH("抖音",'假设-人工成本固定额'!$A$6:$A$16,0),41)/10000,0)</f>
        <v>24.633405429455202</v>
      </c>
      <c r="T42" s="165">
        <f>IFERROR(INDEX('假设-人工成本固定额'!$B$6:$CS$9,MATCH("抖音",'假设-人工成本固定额'!$A$6:$A$16,0),41)/10000,0)</f>
        <v>24.633405429455202</v>
      </c>
      <c r="U42" s="165"/>
      <c r="V42" s="165">
        <f t="shared" si="1"/>
        <v>277.98534596919109</v>
      </c>
      <c r="W42" s="165">
        <f t="shared" si="2"/>
        <v>147.8004325767312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>
        <f>I$9*'假设-销售费用率'!K29</f>
        <v>3.9370952282222995</v>
      </c>
      <c r="J43" s="165">
        <f>J$9*'假设-销售费用率'!L29</f>
        <v>1.4563270180500008</v>
      </c>
      <c r="K43" s="165">
        <f>K$9*'假设-销售费用率'!M29</f>
        <v>3.4874258305922878</v>
      </c>
      <c r="L43" s="165">
        <f>L$9*'假设-销售费用率'!N29</f>
        <v>2.8649421815761764</v>
      </c>
      <c r="M43" s="165">
        <f>M$9*'假设-销售费用率'!O29</f>
        <v>2.8820380204849729</v>
      </c>
      <c r="N43" s="165">
        <f>N$9*'假设-销售费用率'!P29</f>
        <v>2.0353808881529218</v>
      </c>
      <c r="O43" s="165">
        <f>O$9*'假设-销售费用率'!Q29</f>
        <v>1.4976958826347877</v>
      </c>
      <c r="P43" s="165">
        <f>P$9*'假设-销售费用率'!R29</f>
        <v>2.0030912010547577</v>
      </c>
      <c r="Q43" s="165">
        <f>Q$9*'假设-销售费用率'!S29</f>
        <v>2.5331399496415541</v>
      </c>
      <c r="R43" s="165">
        <f>R$9*'假设-销售费用率'!T29</f>
        <v>2.7396124272887383</v>
      </c>
      <c r="S43" s="165">
        <f>S$9*'假设-销售费用率'!U29</f>
        <v>3.3282130725217516</v>
      </c>
      <c r="T43" s="165">
        <f>T$9*'假设-销售费用率'!V29</f>
        <v>2.8351444691851944</v>
      </c>
      <c r="U43" s="165"/>
      <c r="V43" s="165">
        <f t="shared" si="1"/>
        <v>31.600106169405443</v>
      </c>
      <c r="W43" s="165">
        <f t="shared" si="2"/>
        <v>14.936897002326784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>
        <f>I$22*'假设-销售费用率'!K30</f>
        <v>0.52176570546262369</v>
      </c>
      <c r="J44" s="165">
        <f>J$22*'假设-销售费用率'!L30</f>
        <v>0.24738378025972418</v>
      </c>
      <c r="K44" s="165">
        <f>K$22*'假设-销售费用率'!M30</f>
        <v>0.41824197954381975</v>
      </c>
      <c r="L44" s="165">
        <f>L$22*'假设-销售费用率'!N30</f>
        <v>0.36815734112329657</v>
      </c>
      <c r="M44" s="165">
        <f>M$22*'假设-销售费用率'!O30</f>
        <v>0.33746533162652642</v>
      </c>
      <c r="N44" s="165">
        <f>N$22*'假设-销售费用率'!P30</f>
        <v>0.23981832457149244</v>
      </c>
      <c r="O44" s="165">
        <f>O$22*'假设-销售费用率'!Q30</f>
        <v>0.15647092432548743</v>
      </c>
      <c r="P44" s="165">
        <f>P$22*'假设-销售费用率'!R30</f>
        <v>0.21799147121820742</v>
      </c>
      <c r="Q44" s="165">
        <f>Q$22*'假设-销售费用率'!S30</f>
        <v>0.27567536821748684</v>
      </c>
      <c r="R44" s="165">
        <f>R$22*'假设-销售费用率'!T30</f>
        <v>0.29814525832767147</v>
      </c>
      <c r="S44" s="165">
        <f>S$22*'假设-销售费用率'!U30</f>
        <v>0.36220121371640623</v>
      </c>
      <c r="T44" s="165">
        <f>T$22*'假设-销售费用率'!V30</f>
        <v>0.30854177464730886</v>
      </c>
      <c r="U44" s="165"/>
      <c r="V44" s="165">
        <f t="shared" si="1"/>
        <v>3.7518584730400515</v>
      </c>
      <c r="W44" s="165">
        <f t="shared" si="2"/>
        <v>1.6190260104525684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>
        <f>I$9*'假设-销售费用率'!K31</f>
        <v>0</v>
      </c>
      <c r="J45" s="165">
        <f>J$9*'假设-销售费用率'!L31</f>
        <v>0</v>
      </c>
      <c r="K45" s="165">
        <f>K$9*'假设-销售费用率'!M31</f>
        <v>0</v>
      </c>
      <c r="L45" s="165">
        <f>L$9*'假设-销售费用率'!N31</f>
        <v>0</v>
      </c>
      <c r="M45" s="165">
        <f>M$9*'假设-销售费用率'!O31</f>
        <v>0</v>
      </c>
      <c r="N45" s="165">
        <f>N$9*'假设-销售费用率'!P31</f>
        <v>0</v>
      </c>
      <c r="O45" s="165">
        <f>O$9*'假设-销售费用率'!Q31</f>
        <v>0</v>
      </c>
      <c r="P45" s="165">
        <f>P$9*'假设-销售费用率'!R31</f>
        <v>0</v>
      </c>
      <c r="Q45" s="165">
        <f>Q$9*'假设-销售费用率'!S31</f>
        <v>0</v>
      </c>
      <c r="R45" s="165">
        <f>R$9*'假设-销售费用率'!T31</f>
        <v>0</v>
      </c>
      <c r="S45" s="165">
        <f>S$9*'假设-销售费用率'!U31</f>
        <v>0</v>
      </c>
      <c r="T45" s="165">
        <f>T$9*'假设-销售费用率'!V31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>I9-I19-I21-I32-I36-I41</f>
        <v>47.182555712724032</v>
      </c>
      <c r="J46" s="225">
        <f t="shared" ref="J46:T46" si="15">J9-J19-J21-J32-J36-J41</f>
        <v>11.315596172820541</v>
      </c>
      <c r="K46" s="225">
        <f t="shared" si="15"/>
        <v>45.011699271941325</v>
      </c>
      <c r="L46" s="225">
        <f t="shared" si="15"/>
        <v>22.470184291139837</v>
      </c>
      <c r="M46" s="225">
        <f t="shared" si="15"/>
        <v>39.003657335112379</v>
      </c>
      <c r="N46" s="225">
        <f t="shared" si="15"/>
        <v>44.131830181838168</v>
      </c>
      <c r="O46" s="225">
        <f t="shared" si="15"/>
        <v>23.867390970965513</v>
      </c>
      <c r="P46" s="225">
        <f t="shared" si="15"/>
        <v>36.418815467822611</v>
      </c>
      <c r="Q46" s="225">
        <f t="shared" si="15"/>
        <v>52.574172382179164</v>
      </c>
      <c r="R46" s="225">
        <f t="shared" si="15"/>
        <v>58.86724745928322</v>
      </c>
      <c r="S46" s="225">
        <f t="shared" si="15"/>
        <v>76.807207753714067</v>
      </c>
      <c r="T46" s="225">
        <f t="shared" si="15"/>
        <v>61.77896876361492</v>
      </c>
      <c r="U46" s="165"/>
      <c r="V46" s="225">
        <f t="shared" si="1"/>
        <v>519.4293257631557</v>
      </c>
      <c r="W46" s="225">
        <f t="shared" si="2"/>
        <v>310.31380279757951</v>
      </c>
    </row>
    <row r="47" spans="1:23">
      <c r="B47" s="13"/>
      <c r="C47" s="1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</sheetData>
  <phoneticPr fontId="14" type="noConversion"/>
  <hyperlinks>
    <hyperlink ref="A1" location="'目录及说明'!A1" display="返回目录" xr:uid="{00000000-0004-0000-0F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57"/>
  <sheetViews>
    <sheetView showGridLines="0" topLeftCell="A26" zoomScale="118" zoomScaleNormal="100" workbookViewId="0">
      <selection activeCell="L42" sqref="L42"/>
    </sheetView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5" style="16" customWidth="1"/>
    <col min="10" max="11" width="15" customWidth="1"/>
    <col min="12" max="12" width="15" style="16" customWidth="1"/>
    <col min="13" max="14" width="15" customWidth="1"/>
    <col min="15" max="20" width="15" style="16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>
        <v>46023</v>
      </c>
      <c r="J2" s="153">
        <v>46054</v>
      </c>
      <c r="K2" s="153">
        <v>46082</v>
      </c>
      <c r="L2" s="153">
        <v>46113</v>
      </c>
      <c r="M2" s="153">
        <v>46143</v>
      </c>
      <c r="N2" s="153">
        <v>46174</v>
      </c>
      <c r="O2" s="153">
        <v>46204</v>
      </c>
      <c r="P2" s="153">
        <v>46235</v>
      </c>
      <c r="Q2" s="153">
        <v>46266</v>
      </c>
      <c r="R2" s="153">
        <v>46296</v>
      </c>
      <c r="S2" s="153">
        <v>46327</v>
      </c>
      <c r="T2" s="153">
        <v>46357</v>
      </c>
      <c r="U2" s="165"/>
      <c r="V2" s="171" t="s">
        <v>799</v>
      </c>
      <c r="W2" s="171"/>
    </row>
    <row r="3" spans="1:23">
      <c r="A3" s="67"/>
      <c r="B3" s="67" t="s">
        <v>367</v>
      </c>
      <c r="C3" s="67"/>
      <c r="D3" s="67"/>
      <c r="E3" s="214">
        <f>'假设-产品价值链定价'!L7</f>
        <v>2.1842009464870764</v>
      </c>
      <c r="F3" s="67"/>
      <c r="G3" s="67"/>
      <c r="H3" s="67"/>
      <c r="I3" s="214">
        <f>'假设-ROI月度滚动'!J7</f>
        <v>3.3704299382968901</v>
      </c>
      <c r="J3" s="214">
        <f>'假设-ROI月度滚动'!K7</f>
        <v>3.88877960643747</v>
      </c>
      <c r="K3" s="214">
        <f>'假设-ROI月度滚动'!L7</f>
        <v>2.5132771674429502</v>
      </c>
      <c r="L3" s="214">
        <f>'假设-ROI月度滚动'!M7</f>
        <v>1.1621166250936901</v>
      </c>
      <c r="M3" s="214">
        <f>'假设-ROI月度滚动'!N7</f>
        <v>1.1343951468842599</v>
      </c>
      <c r="N3" s="214">
        <f>'假设-ROI月度滚动'!O7</f>
        <v>1.65</v>
      </c>
      <c r="O3" s="214">
        <f>'假设-ROI月度滚动'!P7</f>
        <v>1.72</v>
      </c>
      <c r="P3" s="214">
        <f>'假设-ROI月度滚动'!Q7</f>
        <v>1.77</v>
      </c>
      <c r="Q3" s="214">
        <f>'假设-ROI月度滚动'!R7</f>
        <v>1.8</v>
      </c>
      <c r="R3" s="214">
        <f>'假设-ROI月度滚动'!S7</f>
        <v>1.8</v>
      </c>
      <c r="S3" s="214">
        <f>'假设-ROI月度滚动'!T7</f>
        <v>1.8</v>
      </c>
      <c r="T3" s="214">
        <f>'假设-ROI月度滚动'!U7</f>
        <v>1.8</v>
      </c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67"/>
      <c r="B7" s="192" t="s">
        <v>110</v>
      </c>
      <c r="C7" s="129"/>
      <c r="D7" s="130"/>
      <c r="E7" s="215" t="s">
        <v>111</v>
      </c>
      <c r="F7" s="216" t="s">
        <v>112</v>
      </c>
      <c r="G7" s="192" t="s">
        <v>368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102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15.6332</v>
      </c>
      <c r="J8" s="218">
        <f t="shared" si="0"/>
        <v>5.3376999999999999</v>
      </c>
      <c r="K8" s="218">
        <f t="shared" si="0"/>
        <v>11.328250000000001</v>
      </c>
      <c r="L8" s="218">
        <f t="shared" si="0"/>
        <v>7.4995000000000003</v>
      </c>
      <c r="M8" s="218">
        <f t="shared" si="0"/>
        <v>67.386525000000006</v>
      </c>
      <c r="N8" s="218">
        <f t="shared" si="0"/>
        <v>70.535852000000006</v>
      </c>
      <c r="O8" s="218">
        <f t="shared" si="0"/>
        <v>52.875650013377793</v>
      </c>
      <c r="P8" s="218">
        <f t="shared" si="0"/>
        <v>70.718461952048486</v>
      </c>
      <c r="Q8" s="218">
        <f t="shared" si="0"/>
        <v>89.431654960898243</v>
      </c>
      <c r="R8" s="218">
        <f t="shared" si="0"/>
        <v>96.721096423647879</v>
      </c>
      <c r="S8" s="218">
        <f t="shared" si="0"/>
        <v>117.5014444741729</v>
      </c>
      <c r="T8" s="218">
        <f t="shared" si="0"/>
        <v>100.0938230705917</v>
      </c>
      <c r="U8" s="165"/>
      <c r="V8" s="218">
        <f t="shared" ref="V8:V46" si="1">SUM(I8:T8)</f>
        <v>705.06315789473706</v>
      </c>
      <c r="W8" s="218">
        <f t="shared" ref="W8:W46" si="2">SUM(O8:T8)</f>
        <v>527.34213089473701</v>
      </c>
    </row>
    <row r="9" spans="1:23">
      <c r="A9" s="67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 t="shared" ref="I9:T9" si="3">I$17</f>
        <v>15.6332</v>
      </c>
      <c r="J9" s="165">
        <f t="shared" si="3"/>
        <v>5.3376999999999999</v>
      </c>
      <c r="K9" s="165">
        <f t="shared" si="3"/>
        <v>11.328250000000001</v>
      </c>
      <c r="L9" s="165">
        <f t="shared" si="3"/>
        <v>7.4995000000000003</v>
      </c>
      <c r="M9" s="165">
        <f t="shared" si="3"/>
        <v>67.386525000000006</v>
      </c>
      <c r="N9" s="165">
        <f t="shared" si="3"/>
        <v>70.535852000000006</v>
      </c>
      <c r="O9" s="165">
        <f t="shared" si="3"/>
        <v>52.875650013377793</v>
      </c>
      <c r="P9" s="165">
        <f t="shared" si="3"/>
        <v>70.718461952048486</v>
      </c>
      <c r="Q9" s="165">
        <f t="shared" si="3"/>
        <v>89.431654960898243</v>
      </c>
      <c r="R9" s="165">
        <f t="shared" si="3"/>
        <v>96.721096423647879</v>
      </c>
      <c r="S9" s="165">
        <f t="shared" si="3"/>
        <v>117.5014444741729</v>
      </c>
      <c r="T9" s="165">
        <f t="shared" si="3"/>
        <v>100.0938230705917</v>
      </c>
      <c r="U9" s="165"/>
      <c r="V9" s="165">
        <f t="shared" si="1"/>
        <v>705.06315789473706</v>
      </c>
      <c r="W9" s="165">
        <f t="shared" si="2"/>
        <v>527.34213089473701</v>
      </c>
    </row>
    <row r="10" spans="1:23" hidden="1">
      <c r="A10" s="67"/>
      <c r="B10" s="102"/>
      <c r="C10" s="102"/>
      <c r="D10" s="67"/>
      <c r="E10" s="67"/>
      <c r="F10" s="67" t="s">
        <v>369</v>
      </c>
      <c r="G10" s="178"/>
      <c r="H10" s="67"/>
      <c r="I10" s="165">
        <f>I17</f>
        <v>15.6332</v>
      </c>
      <c r="J10" s="165">
        <f t="shared" ref="J10:T10" si="4">J17</f>
        <v>5.3376999999999999</v>
      </c>
      <c r="K10" s="165">
        <f t="shared" si="4"/>
        <v>11.328250000000001</v>
      </c>
      <c r="L10" s="165">
        <f t="shared" si="4"/>
        <v>7.4995000000000003</v>
      </c>
      <c r="M10" s="165">
        <f t="shared" si="4"/>
        <v>67.386525000000006</v>
      </c>
      <c r="N10" s="165">
        <f t="shared" si="4"/>
        <v>70.535852000000006</v>
      </c>
      <c r="O10" s="165">
        <f t="shared" si="4"/>
        <v>52.875650013377793</v>
      </c>
      <c r="P10" s="165">
        <f t="shared" si="4"/>
        <v>70.718461952048486</v>
      </c>
      <c r="Q10" s="165">
        <f t="shared" si="4"/>
        <v>89.431654960898243</v>
      </c>
      <c r="R10" s="165">
        <f t="shared" si="4"/>
        <v>96.721096423647879</v>
      </c>
      <c r="S10" s="165">
        <f t="shared" si="4"/>
        <v>117.5014444741729</v>
      </c>
      <c r="T10" s="165">
        <f t="shared" si="4"/>
        <v>100.0938230705917</v>
      </c>
      <c r="U10" s="165"/>
      <c r="V10" s="165">
        <f t="shared" si="1"/>
        <v>705.06315789473706</v>
      </c>
      <c r="W10" s="165">
        <f t="shared" si="2"/>
        <v>527.34213089473701</v>
      </c>
    </row>
    <row r="11" spans="1:23" hidden="1">
      <c r="A11" s="67"/>
      <c r="B11" s="102"/>
      <c r="C11" s="102"/>
      <c r="D11" s="67"/>
      <c r="E11" s="67"/>
      <c r="F11" s="67" t="s">
        <v>805</v>
      </c>
      <c r="G11" s="178"/>
      <c r="H11" s="67"/>
      <c r="I11" s="386">
        <f>'测算-达播'!I12</f>
        <v>10.3347128</v>
      </c>
      <c r="J11" s="386">
        <f>'测算-达播'!J12</f>
        <v>0.84751999999999994</v>
      </c>
      <c r="K11" s="386">
        <f>'测算-达播'!K12</f>
        <v>38.006455600000002</v>
      </c>
      <c r="L11" s="386">
        <f>'测算-达播'!L12</f>
        <v>7.5620994000000001</v>
      </c>
      <c r="M11" s="386">
        <f>'测算-达播'!M12</f>
        <v>16.227792600000001</v>
      </c>
      <c r="N11" s="386">
        <f>'测算-达播'!N12</f>
        <v>5.4763869999999999</v>
      </c>
      <c r="O11" s="386">
        <f>'测算-达播'!O12</f>
        <v>17.334219084122708</v>
      </c>
      <c r="P11" s="386">
        <f>'测算-达播'!P12</f>
        <v>23.183626347077702</v>
      </c>
      <c r="Q11" s="386">
        <f>'测算-达播'!Q12</f>
        <v>29.318370549689025</v>
      </c>
      <c r="R11" s="386">
        <f>'测算-达播'!R12</f>
        <v>31.708067419310893</v>
      </c>
      <c r="S11" s="386">
        <f>'测算-达播'!S12</f>
        <v>38.52048685360603</v>
      </c>
      <c r="T11" s="386">
        <f>'测算-达播'!T12</f>
        <v>32.813748060479206</v>
      </c>
      <c r="U11" s="165"/>
      <c r="V11" s="165">
        <f t="shared" si="1"/>
        <v>251.33348571428559</v>
      </c>
      <c r="W11" s="165">
        <f t="shared" si="2"/>
        <v>172.87851831428557</v>
      </c>
    </row>
    <row r="12" spans="1:23" hidden="1">
      <c r="A12" s="67"/>
      <c r="B12" s="102"/>
      <c r="C12" s="102"/>
      <c r="D12" s="67"/>
      <c r="E12" s="67"/>
      <c r="F12" s="67" t="s">
        <v>806</v>
      </c>
      <c r="G12" s="178"/>
      <c r="H12" s="67"/>
      <c r="I12" s="386">
        <f>'测算-达播'!I13</f>
        <v>2.5836782</v>
      </c>
      <c r="J12" s="386">
        <f>'测算-达播'!J13</f>
        <v>0.21187999999999999</v>
      </c>
      <c r="K12" s="386">
        <f>'测算-达播'!K13</f>
        <v>9.5016139000000006</v>
      </c>
      <c r="L12" s="386">
        <f>'测算-达播'!L13</f>
        <v>1.89052485</v>
      </c>
      <c r="M12" s="386">
        <f>'测算-达播'!M13</f>
        <v>4.0569481500000002</v>
      </c>
      <c r="N12" s="386">
        <f>'测算-达播'!N13</f>
        <v>1.36909675</v>
      </c>
      <c r="O12" s="386">
        <f>'测算-达播'!O13</f>
        <v>4.333554771030677</v>
      </c>
      <c r="P12" s="386">
        <f>'测算-达播'!P13</f>
        <v>5.7959065867694255</v>
      </c>
      <c r="Q12" s="386">
        <f>'测算-达播'!Q13</f>
        <v>7.3295926374222562</v>
      </c>
      <c r="R12" s="386">
        <f>'测算-达播'!R13</f>
        <v>7.9270168548277233</v>
      </c>
      <c r="S12" s="386">
        <f>'测算-达播'!S13</f>
        <v>9.6301217134015076</v>
      </c>
      <c r="T12" s="386">
        <f>'测算-达播'!T13</f>
        <v>8.2034370151198015</v>
      </c>
      <c r="U12" s="165"/>
      <c r="V12" s="165">
        <f t="shared" si="1"/>
        <v>62.833371428571397</v>
      </c>
      <c r="W12" s="165">
        <f t="shared" si="2"/>
        <v>43.219629578571393</v>
      </c>
    </row>
    <row r="13" spans="1:23" s="13" customFormat="1">
      <c r="A13" s="102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387">
        <f>IFERROR(SUMPRODUCT(('辅助-机制测算'!$A$2:$A$200="视频号平台")*'辅助-机制测算'!$F$2:$F$200*IFERROR('辅助-机制测算'!$G$2:$G$200/'辅助-机制测算'!$H$2:$H$200,0))*'假设-目标渠道分解'!L$6,0)</f>
        <v>51.679430526315791</v>
      </c>
      <c r="J13" s="387">
        <f>IFERROR(SUMPRODUCT(('辅助-机制测算'!$A$2:$A$200="视频号平台")*'辅助-机制测算'!$F$2:$F$200*IFERROR('辅助-机制测算'!$G$2:$G$200/'辅助-机制测算'!$H$2:$H$200,0))*'假设-目标渠道分解'!M$6,0)</f>
        <v>49.329786315789477</v>
      </c>
      <c r="K13" s="387">
        <f>IFERROR(SUMPRODUCT(('辅助-机制测算'!$A$2:$A$200="视频号平台")*'辅助-机制测算'!$F$2:$F$200*IFERROR('辅助-机制测算'!$G$2:$G$200/'辅助-机制测算'!$H$2:$H$200,0))*'假设-目标渠道分解'!N$6,0)</f>
        <v>70.142231368421065</v>
      </c>
      <c r="L13" s="387">
        <f>IFERROR(SUMPRODUCT(('辅助-机制测算'!$A$2:$A$200="视频号平台")*'辅助-机制测算'!$F$2:$F$200*IFERROR('辅助-机制测算'!$G$2:$G$200/'辅助-机制测算'!$H$2:$H$200,0))*'假设-目标渠道分解'!O$6,0)</f>
        <v>77.983213263157893</v>
      </c>
      <c r="M13" s="387">
        <f>IFERROR(SUMPRODUCT(('辅助-机制测算'!$A$2:$A$200="视频号平台")*'辅助-机制测算'!$F$2:$F$200*IFERROR('辅助-机制测算'!$G$2:$G$200/'辅助-机制测算'!$H$2:$H$200,0))*'假设-目标渠道分解'!P$6,0)</f>
        <v>90.672821052631591</v>
      </c>
      <c r="N13" s="387">
        <f>IFERROR(SUMPRODUCT(('辅助-机制测算'!$A$2:$A$200="视频号平台")*'辅助-机制测算'!$F$2:$F$200*IFERROR('辅助-机制测算'!$G$2:$G$200/'辅助-机制测算'!$H$2:$H$200,0))*'假设-目标渠道分解'!Q$6,0)</f>
        <v>62.209756417593127</v>
      </c>
      <c r="O13" s="387">
        <f>IFERROR(SUMPRODUCT(('辅助-机制测算'!$A$2:$A$200="视频号平台")*'辅助-机制测算'!$F$2:$F$200*IFERROR('辅助-机制测算'!$G$2:$G$200/'辅助-机制测算'!$H$2:$H$200,0))*'假设-目标渠道分解'!R$6,0)</f>
        <v>30.385870973819355</v>
      </c>
      <c r="P13" s="387">
        <f>IFERROR(SUMPRODUCT(('辅助-机制测算'!$A$2:$A$200="视频号平台")*'辅助-机制测算'!$F$2:$F$200*IFERROR('辅助-机制测算'!$G$2:$G$200/'辅助-机制测算'!$H$2:$H$200,0))*'假设-目标渠道分解'!S$6,0)</f>
        <v>40.639539368276914</v>
      </c>
      <c r="Q13" s="387">
        <f>IFERROR(SUMPRODUCT(('辅助-机制测算'!$A$2:$A$200="视频号平台")*'辅助-机制测算'!$F$2:$F$200*IFERROR('辅助-机制测算'!$G$2:$G$200/'辅助-机制测算'!$H$2:$H$200,0))*'假设-目标渠道分解'!T$6,0)</f>
        <v>51.393386708805572</v>
      </c>
      <c r="R13" s="387">
        <f>IFERROR(SUMPRODUCT(('辅助-机制测算'!$A$2:$A$200="视频号平台")*'辅助-机制测算'!$F$2:$F$200*IFERROR('辅助-机制测算'!$G$2:$G$200/'辅助-机制测算'!$H$2:$H$200,0))*'假设-目标渠道分解'!U$6,0)</f>
        <v>55.582385382151053</v>
      </c>
      <c r="S13" s="387">
        <f>IFERROR(SUMPRODUCT(('辅助-机制测算'!$A$2:$A$200="视频号平台")*'辅助-机制测算'!$F$2:$F$200*IFERROR('辅助-机制测算'!$G$2:$G$200/'辅助-机制测算'!$H$2:$H$200,0))*'假设-目标渠道分解'!V$6,0)</f>
        <v>67.524157719598577</v>
      </c>
      <c r="T13" s="387">
        <f>IFERROR(SUMPRODUCT(('辅助-机制测算'!$A$2:$A$200="视频号平台")*'辅助-机制测算'!$F$2:$F$200*IFERROR('辅助-机制测算'!$G$2:$G$200/'辅助-机制测算'!$H$2:$H$200,0))*'假设-目标渠道分解'!W$6,0)</f>
        <v>57.520578798176551</v>
      </c>
      <c r="U13" s="219"/>
      <c r="V13" s="219">
        <f t="shared" si="1"/>
        <v>705.06315789473706</v>
      </c>
      <c r="W13" s="219">
        <f t="shared" si="2"/>
        <v>303.04591895082802</v>
      </c>
    </row>
    <row r="14" spans="1:23">
      <c r="A14" s="67"/>
      <c r="B14" s="102"/>
      <c r="C14" s="102"/>
      <c r="D14" s="67"/>
      <c r="E14" s="67"/>
      <c r="F14" s="67" t="s">
        <v>371</v>
      </c>
      <c r="G14" s="67"/>
      <c r="H14" s="67"/>
      <c r="I14" s="220">
        <f t="shared" ref="I14:T14" si="5">IFERROR(I$13/$V$13,0)</f>
        <v>7.3297590361445758E-2</v>
      </c>
      <c r="J14" s="220">
        <f t="shared" si="5"/>
        <v>6.9965060240963842E-2</v>
      </c>
      <c r="K14" s="220">
        <f t="shared" si="5"/>
        <v>9.9483614457831313E-2</v>
      </c>
      <c r="L14" s="220">
        <f t="shared" si="5"/>
        <v>0.11060457831325297</v>
      </c>
      <c r="M14" s="220">
        <f t="shared" si="5"/>
        <v>0.12860240963855418</v>
      </c>
      <c r="N14" s="220">
        <f t="shared" si="5"/>
        <v>8.8232884843035264E-2</v>
      </c>
      <c r="O14" s="220">
        <f t="shared" si="5"/>
        <v>4.3096665360517726E-2</v>
      </c>
      <c r="P14" s="220">
        <f t="shared" si="5"/>
        <v>5.7639573013038112E-2</v>
      </c>
      <c r="Q14" s="220">
        <f t="shared" si="5"/>
        <v>7.2891890794949732E-2</v>
      </c>
      <c r="R14" s="220">
        <f t="shared" si="5"/>
        <v>7.8833200628601371E-2</v>
      </c>
      <c r="S14" s="220">
        <f t="shared" si="5"/>
        <v>9.5770367467817183E-2</v>
      </c>
      <c r="T14" s="220">
        <f t="shared" si="5"/>
        <v>8.1582164879992397E-2</v>
      </c>
      <c r="U14" s="155"/>
      <c r="V14" s="220">
        <f t="shared" si="1"/>
        <v>0.99999999999999989</v>
      </c>
      <c r="W14" s="220">
        <f t="shared" si="2"/>
        <v>0.42981386214491657</v>
      </c>
    </row>
    <row r="15" spans="1:23">
      <c r="A15" s="67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B$6:$B$532,"视频号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视频号",'参考值-平台费用率分析'!$C$6:$C$532,"主营业务收入",'参考值-平台费用率分析'!$E$6:$E$532,"主营业务收入")/10000)</f>
        <v>15.6332</v>
      </c>
      <c r="J15" s="165">
        <f>IF(COUNTIFS('参考值-平台费用率分析'!$B$6:$B$532,"视频号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视频号",'参考值-平台费用率分析'!$C$6:$C$532,"主营业务收入",'参考值-平台费用率分析'!$E$6:$E$532,"主营业务收入")/10000)</f>
        <v>5.3376999999999999</v>
      </c>
      <c r="K15" s="165">
        <f>IF(COUNTIFS('参考值-平台费用率分析'!$B$6:$B$532,"视频号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视频号",'参考值-平台费用率分析'!$C$6:$C$532,"主营业务收入",'参考值-平台费用率分析'!$E$6:$E$532,"主营业务收入")/10000)</f>
        <v>11.328250000000001</v>
      </c>
      <c r="L15" s="165">
        <f>IF(COUNTIFS('参考值-平台费用率分析'!$B$6:$B$532,"视频号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视频号",'参考值-平台费用率分析'!$C$6:$C$532,"主营业务收入",'参考值-平台费用率分析'!$E$6:$E$532,"主营业务收入")/10000)</f>
        <v>7.4995000000000003</v>
      </c>
      <c r="M15" s="165">
        <f>IF(COUNTIFS('参考值-平台费用率分析'!$B$6:$B$532,"视频号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视频号",'参考值-平台费用率分析'!$C$6:$C$532,"主营业务收入",'参考值-平台费用率分析'!$E$6:$E$532,"主营业务收入")/10000)</f>
        <v>67.386525000000006</v>
      </c>
      <c r="N15" s="165">
        <f>IF(COUNTIFS('参考值-平台费用率分析'!$B$6:$B$532,"视频号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视频号",'参考值-平台费用率分析'!$C$6:$C$532,"主营业务收入",'参考值-平台费用率分析'!$E$6:$E$532,"主营业务收入")/10000)</f>
        <v>70.535852000000006</v>
      </c>
      <c r="O15" s="165" t="str">
        <f>IF(COUNTIFS('参考值-平台费用率分析'!$B$6:$B$532,"视频号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视频号",'参考值-平台费用率分析'!$C$6:$C$532,"主营业务收入",'参考值-平台费用率分析'!$E$6:$E$532,"主营业务收入")/10000)</f>
        <v/>
      </c>
      <c r="P15" s="165" t="str">
        <f>IF(COUNTIFS('参考值-平台费用率分析'!$B$6:$B$532,"视频号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视频号",'参考值-平台费用率分析'!$C$6:$C$532,"主营业务收入",'参考值-平台费用率分析'!$E$6:$E$532,"主营业务收入")/10000)</f>
        <v/>
      </c>
      <c r="Q15" s="165" t="str">
        <f>IF(COUNTIFS('参考值-平台费用率分析'!$B$6:$B$532,"视频号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视频号",'参考值-平台费用率分析'!$C$6:$C$532,"主营业务收入",'参考值-平台费用率分析'!$E$6:$E$532,"主营业务收入")/10000)</f>
        <v/>
      </c>
      <c r="R15" s="165" t="str">
        <f>IF(COUNTIFS('参考值-平台费用率分析'!$B$6:$B$532,"视频号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视频号",'参考值-平台费用率分析'!$C$6:$C$532,"主营业务收入",'参考值-平台费用率分析'!$E$6:$E$532,"主营业务收入")/10000)</f>
        <v/>
      </c>
      <c r="S15" s="165" t="str">
        <f>IF(COUNTIFS('参考值-平台费用率分析'!$B$6:$B$532,"视频号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视频号",'参考值-平台费用率分析'!$C$6:$C$532,"主营业务收入",'参考值-平台费用率分析'!$E$6:$E$532,"主营业务收入")/10000)</f>
        <v/>
      </c>
      <c r="T15" s="165" t="str">
        <f>IF(COUNTIFS('参考值-平台费用率分析'!$B$6:$B$532,"视频号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视频号",'参考值-平台费用率分析'!$C$6:$C$532,"主营业务收入",'参考值-平台费用率分析'!$E$6:$E$532,"主营业务收入")/10000)</f>
        <v/>
      </c>
      <c r="U15" s="165"/>
      <c r="V15" s="165">
        <f t="shared" si="1"/>
        <v>177.72102699999999</v>
      </c>
      <c r="W15" s="165">
        <f t="shared" si="2"/>
        <v>0</v>
      </c>
    </row>
    <row r="16" spans="1:23" s="13" customFormat="1" hidden="1">
      <c r="A16" s="102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21">
        <f t="shared" ref="I16:T16" si="6">IF(ISNUMBER(I$15),I$15,I$13*IFERROR(SUM($I$15:$T$15)/SUMPRODUCT(($I$15:$T$15&lt;&gt;"")*$I$13:$T$13),1))</f>
        <v>15.6332</v>
      </c>
      <c r="J16" s="221">
        <f t="shared" si="6"/>
        <v>5.3376999999999999</v>
      </c>
      <c r="K16" s="221">
        <f t="shared" si="6"/>
        <v>11.328250000000001</v>
      </c>
      <c r="L16" s="221">
        <f t="shared" si="6"/>
        <v>7.4995000000000003</v>
      </c>
      <c r="M16" s="221">
        <f t="shared" si="6"/>
        <v>67.386525000000006</v>
      </c>
      <c r="N16" s="221">
        <f t="shared" si="6"/>
        <v>70.535852000000006</v>
      </c>
      <c r="O16" s="221">
        <f t="shared" si="6"/>
        <v>13.432777683720483</v>
      </c>
      <c r="P16" s="221">
        <f t="shared" si="6"/>
        <v>17.965649165469781</v>
      </c>
      <c r="Q16" s="221">
        <f t="shared" si="6"/>
        <v>22.719636329255628</v>
      </c>
      <c r="R16" s="221">
        <f t="shared" si="6"/>
        <v>24.571480166311751</v>
      </c>
      <c r="S16" s="221">
        <f t="shared" si="6"/>
        <v>29.850617074934409</v>
      </c>
      <c r="T16" s="221">
        <f t="shared" si="6"/>
        <v>25.428303434203379</v>
      </c>
      <c r="U16" s="219"/>
      <c r="V16" s="219">
        <f t="shared" si="1"/>
        <v>311.68949085389539</v>
      </c>
      <c r="W16" s="219">
        <f t="shared" si="2"/>
        <v>133.96846385389543</v>
      </c>
    </row>
    <row r="17" spans="1:23">
      <c r="A17" s="67"/>
      <c r="B17" s="102"/>
      <c r="C17" s="102"/>
      <c r="D17" s="67"/>
      <c r="E17" s="79" t="s">
        <v>165</v>
      </c>
      <c r="F17" s="67" t="s">
        <v>808</v>
      </c>
      <c r="G17" s="67"/>
      <c r="H17" s="67"/>
      <c r="I17" s="221">
        <f t="shared" ref="I17:T17" si="7">IF(ISNUMBER(I$15),I$15,IFERROR(I$13+(SUMPRODUCT(($I$15:$T$15&lt;&gt;"")*$I$13:$T$13)-SUM($I$15:$T$15))*(I$14/(SUMPRODUCT(($I$15:$T$15="")*$I$14:$T$14))),I$13))</f>
        <v>15.6332</v>
      </c>
      <c r="J17" s="221">
        <f t="shared" si="7"/>
        <v>5.3376999999999999</v>
      </c>
      <c r="K17" s="221">
        <f t="shared" si="7"/>
        <v>11.328250000000001</v>
      </c>
      <c r="L17" s="221">
        <f t="shared" si="7"/>
        <v>7.4995000000000003</v>
      </c>
      <c r="M17" s="221">
        <f t="shared" si="7"/>
        <v>67.386525000000006</v>
      </c>
      <c r="N17" s="221">
        <f t="shared" si="7"/>
        <v>70.535852000000006</v>
      </c>
      <c r="O17" s="221">
        <f t="shared" si="7"/>
        <v>52.875650013377793</v>
      </c>
      <c r="P17" s="221">
        <f t="shared" si="7"/>
        <v>70.718461952048486</v>
      </c>
      <c r="Q17" s="221">
        <f t="shared" si="7"/>
        <v>89.431654960898243</v>
      </c>
      <c r="R17" s="221">
        <f t="shared" si="7"/>
        <v>96.721096423647879</v>
      </c>
      <c r="S17" s="221">
        <f t="shared" si="7"/>
        <v>117.5014444741729</v>
      </c>
      <c r="T17" s="221">
        <f t="shared" si="7"/>
        <v>100.0938230705917</v>
      </c>
      <c r="U17" s="165"/>
      <c r="V17" s="165">
        <f t="shared" si="1"/>
        <v>705.06315789473706</v>
      </c>
      <c r="W17" s="165">
        <f t="shared" si="2"/>
        <v>527.34213089473701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4.836453635105431</v>
      </c>
      <c r="J18" s="218">
        <f t="shared" si="8"/>
        <v>1.6513278515020762</v>
      </c>
      <c r="K18" s="218">
        <f t="shared" si="8"/>
        <v>3.5046283481234228</v>
      </c>
      <c r="L18" s="218">
        <f t="shared" si="8"/>
        <v>2.3201253765366769</v>
      </c>
      <c r="M18" s="218">
        <f t="shared" si="8"/>
        <v>20.847414719531063</v>
      </c>
      <c r="N18" s="218">
        <f t="shared" si="8"/>
        <v>21.82172413905398</v>
      </c>
      <c r="O18" s="218">
        <f t="shared" si="8"/>
        <v>16.358175531290044</v>
      </c>
      <c r="P18" s="218">
        <f t="shared" si="8"/>
        <v>21.878218303165696</v>
      </c>
      <c r="Q18" s="218">
        <f t="shared" si="8"/>
        <v>27.667531454157238</v>
      </c>
      <c r="R18" s="218">
        <f t="shared" si="8"/>
        <v>29.922670879252784</v>
      </c>
      <c r="S18" s="218">
        <f t="shared" si="8"/>
        <v>36.351501180644554</v>
      </c>
      <c r="T18" s="218">
        <f t="shared" si="8"/>
        <v>30.966093598326832</v>
      </c>
      <c r="U18" s="165"/>
      <c r="V18" s="218">
        <f t="shared" si="1"/>
        <v>218.1258650166898</v>
      </c>
      <c r="W18" s="218">
        <f t="shared" si="2"/>
        <v>163.14419094683717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IFERROR(I$9*SUMPRODUCT(('辅助-机制测算'!$A$2:$A$200="视频号平台")*'辅助-机制测算'!$F$2:$F$200*IFERROR('辅助-机制测算'!$H$2:$H$200/'辅助-机制测算'!$G$2:$G$200,0)),0)</f>
        <v>4.836453635105431</v>
      </c>
      <c r="J19" s="165">
        <f>IFERROR(J$9*SUMPRODUCT(('辅助-机制测算'!$A$2:$A$200="视频号平台")*'辅助-机制测算'!$F$2:$F$200*IFERROR('辅助-机制测算'!$H$2:$H$200/'辅助-机制测算'!$G$2:$G$200,0)),0)</f>
        <v>1.6513278515020762</v>
      </c>
      <c r="K19" s="165">
        <f>IFERROR(K$9*SUMPRODUCT(('辅助-机制测算'!$A$2:$A$200="视频号平台")*'辅助-机制测算'!$F$2:$F$200*IFERROR('辅助-机制测算'!$H$2:$H$200/'辅助-机制测算'!$G$2:$G$200,0)),0)</f>
        <v>3.5046283481234228</v>
      </c>
      <c r="L19" s="165">
        <f>IFERROR(L$9*SUMPRODUCT(('辅助-机制测算'!$A$2:$A$200="视频号平台")*'辅助-机制测算'!$F$2:$F$200*IFERROR('辅助-机制测算'!$H$2:$H$200/'辅助-机制测算'!$G$2:$G$200,0)),0)</f>
        <v>2.3201253765366769</v>
      </c>
      <c r="M19" s="165">
        <f>IFERROR(M$9*SUMPRODUCT(('辅助-机制测算'!$A$2:$A$200="视频号平台")*'辅助-机制测算'!$F$2:$F$200*IFERROR('辅助-机制测算'!$H$2:$H$200/'辅助-机制测算'!$G$2:$G$200,0)),0)</f>
        <v>20.847414719531063</v>
      </c>
      <c r="N19" s="165">
        <f>IFERROR(N$9*SUMPRODUCT(('辅助-机制测算'!$A$2:$A$200="视频号平台")*'辅助-机制测算'!$F$2:$F$200*IFERROR('辅助-机制测算'!$H$2:$H$200/'辅助-机制测算'!$G$2:$G$200,0)),0)</f>
        <v>21.82172413905398</v>
      </c>
      <c r="O19" s="165">
        <f>IFERROR(O$9*SUMPRODUCT(('辅助-机制测算'!$A$2:$A$200="视频号平台")*'辅助-机制测算'!$F$2:$F$200*IFERROR('辅助-机制测算'!$H$2:$H$200/'辅助-机制测算'!$G$2:$G$200,0)),0)</f>
        <v>16.358175531290044</v>
      </c>
      <c r="P19" s="165">
        <f>IFERROR(P$9*SUMPRODUCT(('辅助-机制测算'!$A$2:$A$200="视频号平台")*'辅助-机制测算'!$F$2:$F$200*IFERROR('辅助-机制测算'!$H$2:$H$200/'辅助-机制测算'!$G$2:$G$200,0)),0)</f>
        <v>21.878218303165696</v>
      </c>
      <c r="Q19" s="165">
        <f>IFERROR(Q$9*SUMPRODUCT(('辅助-机制测算'!$A$2:$A$200="视频号平台")*'辅助-机制测算'!$F$2:$F$200*IFERROR('辅助-机制测算'!$H$2:$H$200/'辅助-机制测算'!$G$2:$G$200,0)),0)</f>
        <v>27.667531454157238</v>
      </c>
      <c r="R19" s="165">
        <f>IFERROR(R$9*SUMPRODUCT(('辅助-机制测算'!$A$2:$A$200="视频号平台")*'辅助-机制测算'!$F$2:$F$200*IFERROR('辅助-机制测算'!$H$2:$H$200/'辅助-机制测算'!$G$2:$G$200,0)),0)</f>
        <v>29.922670879252784</v>
      </c>
      <c r="S19" s="165">
        <f>IFERROR(S$9*SUMPRODUCT(('辅助-机制测算'!$A$2:$A$200="视频号平台")*'辅助-机制测算'!$F$2:$F$200*IFERROR('辅助-机制测算'!$H$2:$H$200/'辅助-机制测算'!$G$2:$G$200,0)),0)</f>
        <v>36.351501180644554</v>
      </c>
      <c r="T19" s="165">
        <f>IFERROR(T$9*SUMPRODUCT(('辅助-机制测算'!$A$2:$A$200="视频号平台")*'辅助-机制测算'!$F$2:$F$200*IFERROR('辅助-机制测算'!$H$2:$H$200/'辅助-机制测算'!$G$2:$G$200,0)),0)</f>
        <v>30.966093598326832</v>
      </c>
      <c r="U19" s="219"/>
      <c r="V19" s="165">
        <f t="shared" si="1"/>
        <v>218.1258650166898</v>
      </c>
      <c r="W19" s="165">
        <f t="shared" si="2"/>
        <v>163.14419094683717</v>
      </c>
    </row>
    <row r="20" spans="1:23" s="13" customFormat="1">
      <c r="A20" s="102"/>
      <c r="B20" s="217" t="s">
        <v>52</v>
      </c>
      <c r="C20" s="217"/>
      <c r="D20" s="217"/>
      <c r="E20" s="217"/>
      <c r="F20" s="217"/>
      <c r="G20" s="217"/>
      <c r="H20" s="102"/>
      <c r="I20" s="218">
        <f t="shared" ref="I20:T20" si="9">I21+I27+I32+I36+I41</f>
        <v>17.620675958508134</v>
      </c>
      <c r="J20" s="218">
        <f t="shared" si="9"/>
        <v>6.2417176127377481</v>
      </c>
      <c r="K20" s="218">
        <f t="shared" si="9"/>
        <v>11.311505680665437</v>
      </c>
      <c r="L20" s="218">
        <f t="shared" si="9"/>
        <v>10.545045412170508</v>
      </c>
      <c r="M20" s="218">
        <f t="shared" si="9"/>
        <v>72.342122219670031</v>
      </c>
      <c r="N20" s="218">
        <f t="shared" si="9"/>
        <v>63.93707438899024</v>
      </c>
      <c r="O20" s="218">
        <f t="shared" si="9"/>
        <v>51.385124903281536</v>
      </c>
      <c r="P20" s="218">
        <f t="shared" si="9"/>
        <v>64.861735344095706</v>
      </c>
      <c r="Q20" s="218">
        <f t="shared" si="9"/>
        <v>79.064562506591969</v>
      </c>
      <c r="R20" s="218">
        <f t="shared" si="9"/>
        <v>84.857044192754316</v>
      </c>
      <c r="S20" s="218">
        <f t="shared" si="9"/>
        <v>101.36993974584388</v>
      </c>
      <c r="T20" s="218">
        <f t="shared" si="9"/>
        <v>87.537147659486095</v>
      </c>
      <c r="U20" s="165"/>
      <c r="V20" s="218">
        <f t="shared" si="1"/>
        <v>651.07369562479562</v>
      </c>
      <c r="W20" s="218">
        <f t="shared" si="2"/>
        <v>469.07555435205347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SUM(I22:I26)</f>
        <v>9.1682676099999973</v>
      </c>
      <c r="J21" s="223">
        <f t="shared" si="10"/>
        <v>2.4443814499999981</v>
      </c>
      <c r="K21" s="223">
        <f t="shared" si="10"/>
        <v>5.7343770999999952</v>
      </c>
      <c r="L21" s="223">
        <f t="shared" si="10"/>
        <v>6.4032986749999976</v>
      </c>
      <c r="M21" s="223">
        <f t="shared" si="10"/>
        <v>59.579896360367151</v>
      </c>
      <c r="N21" s="223">
        <f t="shared" si="10"/>
        <v>45.758905764580142</v>
      </c>
      <c r="O21" s="223">
        <f t="shared" si="10"/>
        <v>32.997965729321578</v>
      </c>
      <c r="P21" s="223">
        <f t="shared" si="10"/>
        <v>42.971630187146907</v>
      </c>
      <c r="Q21" s="223">
        <f t="shared" si="10"/>
        <v>53.50047865775268</v>
      </c>
      <c r="R21" s="223">
        <f t="shared" si="10"/>
        <v>57.861223268542751</v>
      </c>
      <c r="S21" s="223">
        <f t="shared" si="10"/>
        <v>70.292599696317396</v>
      </c>
      <c r="T21" s="223">
        <f t="shared" si="10"/>
        <v>59.878881222788877</v>
      </c>
      <c r="U21" s="165"/>
      <c r="V21" s="223">
        <f t="shared" si="1"/>
        <v>446.59190572181745</v>
      </c>
      <c r="W21" s="223">
        <f t="shared" si="2"/>
        <v>317.50277876187016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55</v>
      </c>
      <c r="G22" s="67"/>
      <c r="H22" s="67"/>
      <c r="I22" s="165">
        <f>I$9*'假设-ROI月度滚动'!J8</f>
        <v>4.6383399999999986</v>
      </c>
      <c r="J22" s="165">
        <f>J$9*'假设-ROI月度滚动'!K8</f>
        <v>1.3725899999999978</v>
      </c>
      <c r="K22" s="165">
        <f>K$9*'假设-ROI月度滚动'!L8</f>
        <v>4.5073619999999952</v>
      </c>
      <c r="L22" s="165">
        <f>L$9*'假设-ROI月度滚动'!M8</f>
        <v>6.4533109999999976</v>
      </c>
      <c r="M22" s="165">
        <f>M$9*'假设-ROI月度滚动'!N8</f>
        <v>59.403044155367148</v>
      </c>
      <c r="N22" s="165">
        <f>N$9*'假设-ROI月度滚动'!O8</f>
        <v>42.749001212121215</v>
      </c>
      <c r="O22" s="165">
        <f>O$9*'假设-ROI月度滚动'!P8</f>
        <v>30.741656984521974</v>
      </c>
      <c r="P22" s="165">
        <f>P$9*'假设-ROI月度滚动'!Q8</f>
        <v>39.953933306242085</v>
      </c>
      <c r="Q22" s="165">
        <f>Q$9*'假设-ROI月度滚动'!R8</f>
        <v>49.684252756054583</v>
      </c>
      <c r="R22" s="165">
        <f>R$9*'假设-ROI月度滚动'!S8</f>
        <v>53.73394245758216</v>
      </c>
      <c r="S22" s="165">
        <f>S$9*'假设-ROI月度滚动'!T8</f>
        <v>65.27858026342939</v>
      </c>
      <c r="T22" s="165">
        <f>T$9*'假设-ROI月度滚动'!U8</f>
        <v>55.607679483662054</v>
      </c>
      <c r="U22" s="165"/>
      <c r="V22" s="165">
        <f t="shared" si="1"/>
        <v>414.12369361898061</v>
      </c>
      <c r="W22" s="165">
        <f t="shared" si="2"/>
        <v>295.00004525149222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>
        <f>I$9*'假设-销售费用率'!K34</f>
        <v>0</v>
      </c>
      <c r="J23" s="165">
        <f>J$9*'假设-销售费用率'!L34</f>
        <v>0</v>
      </c>
      <c r="K23" s="165">
        <f>K$9*'假设-销售费用率'!M34</f>
        <v>0</v>
      </c>
      <c r="L23" s="165">
        <f>L$9*'假设-销售费用率'!N34</f>
        <v>0</v>
      </c>
      <c r="M23" s="165">
        <f>M$9*'假设-销售费用率'!O34</f>
        <v>0</v>
      </c>
      <c r="N23" s="165">
        <f>N$9*'假设-销售费用率'!P34</f>
        <v>0</v>
      </c>
      <c r="O23" s="165">
        <f>O$9*'假设-销售费用率'!Q34</f>
        <v>0</v>
      </c>
      <c r="P23" s="165">
        <f>P$9*'假设-销售费用率'!R34</f>
        <v>0</v>
      </c>
      <c r="Q23" s="165">
        <f>Q$9*'假设-销售费用率'!S34</f>
        <v>0</v>
      </c>
      <c r="R23" s="165">
        <f>R$9*'假设-销售费用率'!T34</f>
        <v>0</v>
      </c>
      <c r="S23" s="165">
        <f>S$9*'假设-销售费用率'!U34</f>
        <v>0</v>
      </c>
      <c r="T23" s="165">
        <f>T$9*'假设-销售费用率'!V34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f>I$9*'假设-销售费用率'!K35</f>
        <v>0</v>
      </c>
      <c r="J24" s="165">
        <f>J$9*'假设-销售费用率'!L35</f>
        <v>0</v>
      </c>
      <c r="K24" s="165">
        <f>K$9*'假设-销售费用率'!M35</f>
        <v>0</v>
      </c>
      <c r="L24" s="165">
        <f>L$9*'假设-销售费用率'!N35</f>
        <v>0</v>
      </c>
      <c r="M24" s="165">
        <f>M$9*'假设-销售费用率'!O35</f>
        <v>0</v>
      </c>
      <c r="N24" s="165">
        <f>N$9*'假设-销售费用率'!P35</f>
        <v>0</v>
      </c>
      <c r="O24" s="165">
        <f>O$9*'假设-销售费用率'!Q35</f>
        <v>0</v>
      </c>
      <c r="P24" s="165">
        <f>P$9*'假设-销售费用率'!R35</f>
        <v>0</v>
      </c>
      <c r="Q24" s="165">
        <f>Q$9*'假设-销售费用率'!S35</f>
        <v>0</v>
      </c>
      <c r="R24" s="165">
        <f>R$9*'假设-销售费用率'!T35</f>
        <v>0</v>
      </c>
      <c r="S24" s="165">
        <f>S$9*'假设-销售费用率'!U35</f>
        <v>0</v>
      </c>
      <c r="T24" s="165">
        <f>T$9*'假设-销售费用率'!V35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I$9*'假设-销售费用率'!K36</f>
        <v>0</v>
      </c>
      <c r="J25" s="165">
        <f>J$9*'假设-销售费用率'!L36</f>
        <v>0</v>
      </c>
      <c r="K25" s="165">
        <f>K$9*'假设-销售费用率'!M36</f>
        <v>0</v>
      </c>
      <c r="L25" s="165">
        <f>L$9*'假设-销售费用率'!N36</f>
        <v>0</v>
      </c>
      <c r="M25" s="165">
        <f>M$9*'假设-销售费用率'!O36</f>
        <v>0</v>
      </c>
      <c r="N25" s="165">
        <f>N$9*'假设-销售费用率'!P36</f>
        <v>0</v>
      </c>
      <c r="O25" s="165">
        <f>O$9*'假设-销售费用率'!Q36</f>
        <v>0</v>
      </c>
      <c r="P25" s="165">
        <f>P$9*'假设-销售费用率'!R36</f>
        <v>0</v>
      </c>
      <c r="Q25" s="165">
        <f>Q$9*'假设-销售费用率'!S36</f>
        <v>0</v>
      </c>
      <c r="R25" s="165">
        <f>R$9*'假设-销售费用率'!T36</f>
        <v>0</v>
      </c>
      <c r="S25" s="165">
        <f>S$9*'假设-销售费用率'!U36</f>
        <v>0</v>
      </c>
      <c r="T25" s="165">
        <f>T$9*'假设-销售费用率'!V36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I$9*'假设-销售费用率'!K37</f>
        <v>4.5299276099999997</v>
      </c>
      <c r="J26" s="165">
        <f>J$9*'假设-销售费用率'!L37</f>
        <v>1.0717914500000001</v>
      </c>
      <c r="K26" s="165">
        <f>K$9*'假设-销售费用率'!M37</f>
        <v>1.2270151</v>
      </c>
      <c r="L26" s="165">
        <f>L$9*'假设-销售费用率'!N37</f>
        <v>-5.00123250000001E-2</v>
      </c>
      <c r="M26" s="165">
        <f>M$9*'假设-销售费用率'!O37</f>
        <v>0.17685220500000001</v>
      </c>
      <c r="N26" s="165">
        <f>N$9*'假设-销售费用率'!P37</f>
        <v>3.0099045524589245</v>
      </c>
      <c r="O26" s="165">
        <f>O$9*'假设-销售费用率'!Q37</f>
        <v>2.2563087447996035</v>
      </c>
      <c r="P26" s="165">
        <f>P$9*'假设-销售费用率'!R37</f>
        <v>3.0176968809048197</v>
      </c>
      <c r="Q26" s="165">
        <f>Q$9*'假设-销售费用率'!S37</f>
        <v>3.8162259016980951</v>
      </c>
      <c r="R26" s="165">
        <f>R$9*'假设-销售费用率'!T37</f>
        <v>4.1272808109605927</v>
      </c>
      <c r="S26" s="165">
        <f>S$9*'假设-销售费用率'!U37</f>
        <v>5.0140194328880092</v>
      </c>
      <c r="T26" s="165">
        <f>T$9*'假设-销售费用率'!V37</f>
        <v>4.2712017391268216</v>
      </c>
      <c r="U26" s="165"/>
      <c r="V26" s="165">
        <f t="shared" si="1"/>
        <v>32.468212102836866</v>
      </c>
      <c r="W26" s="165">
        <f t="shared" si="2"/>
        <v>22.502733510377944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SUM(I28:I31)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2.8168106011699399</v>
      </c>
      <c r="P27" s="223">
        <f t="shared" si="11"/>
        <v>3.767339281400127</v>
      </c>
      <c r="Q27" s="223">
        <f t="shared" si="11"/>
        <v>4.7642352143244668</v>
      </c>
      <c r="R27" s="223">
        <f t="shared" si="11"/>
        <v>5.1525609556380205</v>
      </c>
      <c r="S27" s="223">
        <f t="shared" si="11"/>
        <v>6.2595791137109806</v>
      </c>
      <c r="T27" s="223">
        <f t="shared" si="11"/>
        <v>5.3322340598278712</v>
      </c>
      <c r="U27" s="165"/>
      <c r="V27" s="223">
        <f t="shared" si="1"/>
        <v>28.092759226071408</v>
      </c>
      <c r="W27" s="223">
        <f t="shared" si="2"/>
        <v>28.092759226071408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>
        <f>I$9*'假设-销售费用率'!K39</f>
        <v>0</v>
      </c>
      <c r="J28" s="165">
        <f>J$9*'假设-销售费用率'!L39</f>
        <v>0</v>
      </c>
      <c r="K28" s="165">
        <f>K$9*'假设-销售费用率'!M39</f>
        <v>0</v>
      </c>
      <c r="L28" s="165">
        <f>L$9*'假设-销售费用率'!N39</f>
        <v>0</v>
      </c>
      <c r="M28" s="165">
        <f>M$9*'假设-销售费用率'!O39</f>
        <v>0</v>
      </c>
      <c r="N28" s="165">
        <f>N$9*'假设-销售费用率'!P39</f>
        <v>0</v>
      </c>
      <c r="O28" s="165">
        <f>O$11*'假设-销售费用率'!Q39</f>
        <v>0.86671095420613542</v>
      </c>
      <c r="P28" s="165">
        <f>P$11*'假设-销售费用率'!R39</f>
        <v>1.1591813173538852</v>
      </c>
      <c r="Q28" s="165">
        <f>Q$11*'假设-销售费用率'!S39</f>
        <v>1.4659185274844513</v>
      </c>
      <c r="R28" s="165">
        <f>R$11*'假设-销售费用率'!T39</f>
        <v>1.5854033709655448</v>
      </c>
      <c r="S28" s="165">
        <f>S$11*'假设-销售费用率'!U39</f>
        <v>1.9260243426803016</v>
      </c>
      <c r="T28" s="165">
        <f>T$11*'假设-销售费用率'!V39</f>
        <v>1.6406874030239604</v>
      </c>
      <c r="U28" s="165"/>
      <c r="V28" s="165">
        <f t="shared" si="1"/>
        <v>8.6439259157142789</v>
      </c>
      <c r="W28" s="165">
        <f t="shared" si="2"/>
        <v>8.6439259157142789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>
        <f>I$11*'假设-销售费用率'!K40</f>
        <v>0</v>
      </c>
      <c r="J29" s="165">
        <f>J$11*'假设-销售费用率'!L40</f>
        <v>0</v>
      </c>
      <c r="K29" s="165">
        <f>K$11*'假设-销售费用率'!M40</f>
        <v>0</v>
      </c>
      <c r="L29" s="165">
        <f>L$11*'假设-销售费用率'!N40</f>
        <v>0</v>
      </c>
      <c r="M29" s="165">
        <f>M$11*'假设-销售费用率'!O40</f>
        <v>0</v>
      </c>
      <c r="N29" s="165">
        <f>N$11*'假设-销售费用率'!P40</f>
        <v>0</v>
      </c>
      <c r="O29" s="165">
        <f>O$11*'假设-销售费用率'!Q40</f>
        <v>0.86671095420613542</v>
      </c>
      <c r="P29" s="165">
        <f>P$11*'假设-销售费用率'!R40</f>
        <v>1.1591813173538852</v>
      </c>
      <c r="Q29" s="165">
        <f>Q$11*'假设-销售费用率'!S40</f>
        <v>1.4659185274844513</v>
      </c>
      <c r="R29" s="165">
        <f>R$11*'假设-销售费用率'!T40</f>
        <v>1.5854033709655448</v>
      </c>
      <c r="S29" s="165">
        <f>S$11*'假设-销售费用率'!U40</f>
        <v>1.9260243426803016</v>
      </c>
      <c r="T29" s="165">
        <f>T$11*'假设-销售费用率'!V40</f>
        <v>1.6406874030239604</v>
      </c>
      <c r="U29" s="165"/>
      <c r="V29" s="165">
        <f t="shared" si="1"/>
        <v>8.6439259157142789</v>
      </c>
      <c r="W29" s="165">
        <f t="shared" si="2"/>
        <v>8.6439259157142789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>
        <f>I$12*'假设-销售费用率'!K41</f>
        <v>0</v>
      </c>
      <c r="J30" s="165">
        <f>J$12*'假设-销售费用率'!L41</f>
        <v>0</v>
      </c>
      <c r="K30" s="165">
        <f>K$12*'假设-销售费用率'!M41</f>
        <v>0</v>
      </c>
      <c r="L30" s="165">
        <f>L$12*'假设-销售费用率'!N41</f>
        <v>0</v>
      </c>
      <c r="M30" s="165">
        <f>M$12*'假设-销售费用率'!O41</f>
        <v>0</v>
      </c>
      <c r="N30" s="165">
        <f>N$12*'假设-销售费用率'!P41</f>
        <v>0</v>
      </c>
      <c r="O30" s="165">
        <f>O$12*'假设-销售费用率'!Q41</f>
        <v>1.0833886927576692</v>
      </c>
      <c r="P30" s="165">
        <f>P$12*'假设-销售费用率'!R41</f>
        <v>1.4489766466923564</v>
      </c>
      <c r="Q30" s="165">
        <f>Q$12*'假设-销售费用率'!S41</f>
        <v>1.832398159355564</v>
      </c>
      <c r="R30" s="165">
        <f>R$12*'假设-销售费用率'!T41</f>
        <v>1.9817542137069308</v>
      </c>
      <c r="S30" s="165">
        <f>S$12*'假设-销售费用率'!U41</f>
        <v>2.4075304283503769</v>
      </c>
      <c r="T30" s="165">
        <f>T$12*'假设-销售费用率'!V41</f>
        <v>2.0508592537799504</v>
      </c>
      <c r="U30" s="165"/>
      <c r="V30" s="165">
        <f t="shared" si="1"/>
        <v>10.804907394642848</v>
      </c>
      <c r="W30" s="165">
        <f t="shared" si="2"/>
        <v>10.804907394642848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>
        <f>I$12*'假设-销售费用率'!K42</f>
        <v>0</v>
      </c>
      <c r="J31" s="165">
        <f>J$12*'假设-销售费用率'!L42</f>
        <v>0</v>
      </c>
      <c r="K31" s="165">
        <f>K$12*'假设-销售费用率'!M42</f>
        <v>0</v>
      </c>
      <c r="L31" s="165">
        <f>L$12*'假设-销售费用率'!N42</f>
        <v>0</v>
      </c>
      <c r="M31" s="165">
        <f>M$12*'假设-销售费用率'!O42</f>
        <v>0</v>
      </c>
      <c r="N31" s="165">
        <f>N$12*'假设-销售费用率'!P42</f>
        <v>0</v>
      </c>
      <c r="O31" s="165">
        <f>O$12*'假设-销售费用率'!Q42</f>
        <v>0</v>
      </c>
      <c r="P31" s="165">
        <f>P$12*'假设-销售费用率'!R42</f>
        <v>0</v>
      </c>
      <c r="Q31" s="165">
        <f>Q$12*'假设-销售费用率'!S42</f>
        <v>0</v>
      </c>
      <c r="R31" s="165">
        <f>R$12*'假设-销售费用率'!T42</f>
        <v>0</v>
      </c>
      <c r="S31" s="165">
        <f>S$12*'假设-销售费用率'!U42</f>
        <v>0</v>
      </c>
      <c r="T31" s="165">
        <f>T$12*'假设-销售费用率'!V42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SUM(I33:I35)</f>
        <v>3.8874730000000004</v>
      </c>
      <c r="J32" s="223">
        <f t="shared" si="12"/>
        <v>0.87030300000000005</v>
      </c>
      <c r="K32" s="223">
        <f t="shared" si="12"/>
        <v>2.2448550000000003</v>
      </c>
      <c r="L32" s="223">
        <f t="shared" si="12"/>
        <v>0.38460800000000001</v>
      </c>
      <c r="M32" s="223">
        <f t="shared" si="12"/>
        <v>3.5358260000000006</v>
      </c>
      <c r="N32" s="223">
        <f t="shared" si="12"/>
        <v>6.3484551184747318</v>
      </c>
      <c r="O32" s="223">
        <f t="shared" si="12"/>
        <v>4.7589797450820717</v>
      </c>
      <c r="P32" s="223">
        <f t="shared" si="12"/>
        <v>6.3648906055624419</v>
      </c>
      <c r="Q32" s="223">
        <f t="shared" si="12"/>
        <v>8.0491385811881955</v>
      </c>
      <c r="R32" s="223">
        <f t="shared" si="12"/>
        <v>8.7052119205307879</v>
      </c>
      <c r="S32" s="223">
        <f t="shared" si="12"/>
        <v>10.575510544626828</v>
      </c>
      <c r="T32" s="223">
        <f t="shared" si="12"/>
        <v>9.0087682417191477</v>
      </c>
      <c r="U32" s="165"/>
      <c r="V32" s="223">
        <f t="shared" si="1"/>
        <v>64.734019757184214</v>
      </c>
      <c r="W32" s="223">
        <f t="shared" si="2"/>
        <v>47.462499638709474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>
        <f>I$9*'假设-销售费用率'!K43</f>
        <v>3.8874730000000004</v>
      </c>
      <c r="J33" s="165">
        <f>J$9*'假设-销售费用率'!L43</f>
        <v>0.87030300000000005</v>
      </c>
      <c r="K33" s="165">
        <f>K$9*'假设-销售费用率'!M43</f>
        <v>2.2448550000000003</v>
      </c>
      <c r="L33" s="165">
        <f>L$9*'假设-销售费用率'!N43</f>
        <v>0.38460800000000001</v>
      </c>
      <c r="M33" s="165">
        <f>M$9*'假设-销售费用率'!O43</f>
        <v>3.5358260000000006</v>
      </c>
      <c r="N33" s="165">
        <f>N$9*'假设-销售费用率'!P43</f>
        <v>6.3484551184747318</v>
      </c>
      <c r="O33" s="165">
        <f>O$9*'假设-销售费用率'!Q43</f>
        <v>4.7589797450820717</v>
      </c>
      <c r="P33" s="165">
        <f>P$9*'假设-销售费用率'!R43</f>
        <v>6.3648906055624419</v>
      </c>
      <c r="Q33" s="165">
        <f>Q$9*'假设-销售费用率'!S43</f>
        <v>8.0491385811881955</v>
      </c>
      <c r="R33" s="165">
        <f>R$9*'假设-销售费用率'!T43</f>
        <v>8.7052119205307879</v>
      </c>
      <c r="S33" s="165">
        <f>S$9*'假设-销售费用率'!U43</f>
        <v>10.575510544626828</v>
      </c>
      <c r="T33" s="165">
        <f>T$9*'假设-销售费用率'!V43</f>
        <v>9.0087682417191477</v>
      </c>
      <c r="U33" s="165"/>
      <c r="V33" s="165">
        <f t="shared" si="1"/>
        <v>64.734019757184214</v>
      </c>
      <c r="W33" s="165">
        <f t="shared" si="2"/>
        <v>47.462499638709474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>
        <f>I$9*'假设-销售费用率'!K45</f>
        <v>0</v>
      </c>
      <c r="J34" s="165">
        <f>J$9*'假设-销售费用率'!L45</f>
        <v>0</v>
      </c>
      <c r="K34" s="165">
        <f>K$9*'假设-销售费用率'!M45</f>
        <v>0</v>
      </c>
      <c r="L34" s="165">
        <f>L$9*'假设-销售费用率'!N45</f>
        <v>0</v>
      </c>
      <c r="M34" s="165">
        <f>M$9*'假设-销售费用率'!O45</f>
        <v>0</v>
      </c>
      <c r="N34" s="165">
        <f>N$9*'假设-销售费用率'!P45</f>
        <v>0</v>
      </c>
      <c r="O34" s="165">
        <f>O$9*'假设-销售费用率'!Q45</f>
        <v>0</v>
      </c>
      <c r="P34" s="165">
        <f>P$9*'假设-销售费用率'!R45</f>
        <v>0</v>
      </c>
      <c r="Q34" s="165">
        <f>Q$9*'假设-销售费用率'!S45</f>
        <v>0</v>
      </c>
      <c r="R34" s="165">
        <f>R$9*'假设-销售费用率'!T45</f>
        <v>0</v>
      </c>
      <c r="S34" s="165">
        <f>S$9*'假设-销售费用率'!U45</f>
        <v>0</v>
      </c>
      <c r="T34" s="165">
        <f>T$9*'假设-销售费用率'!V45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IFERROR(I$9*SUMPRODUCT(('辅助-机制测算'!$A$2:$A$200="视频号平台")*'辅助-机制测算'!$F$2:$F$200*IFERROR('辅助-机制测算'!$I$2:$I$200/'辅助-机制测算'!$G$2:$G$200,0)),0)</f>
        <v>0</v>
      </c>
      <c r="J35" s="165">
        <f>IFERROR(J$9*SUMPRODUCT(('辅助-机制测算'!$A$2:$A$200="视频号平台")*'辅助-机制测算'!$F$2:$F$200*IFERROR('辅助-机制测算'!$I$2:$I$200/'辅助-机制测算'!$G$2:$G$200,0)),0)</f>
        <v>0</v>
      </c>
      <c r="K35" s="165">
        <f>IFERROR(K$9*SUMPRODUCT(('辅助-机制测算'!$A$2:$A$200="视频号平台")*'辅助-机制测算'!$F$2:$F$200*IFERROR('辅助-机制测算'!$I$2:$I$200/'辅助-机制测算'!$G$2:$G$200,0)),0)</f>
        <v>0</v>
      </c>
      <c r="L35" s="165">
        <f>IFERROR(L$9*SUMPRODUCT(('辅助-机制测算'!$A$2:$A$200="视频号平台")*'辅助-机制测算'!$F$2:$F$200*IFERROR('辅助-机制测算'!$I$2:$I$200/'辅助-机制测算'!$G$2:$G$200,0)),0)</f>
        <v>0</v>
      </c>
      <c r="M35" s="165">
        <f>IFERROR(M$9*SUMPRODUCT(('辅助-机制测算'!$A$2:$A$200="视频号平台")*'辅助-机制测算'!$F$2:$F$200*IFERROR('辅助-机制测算'!$I$2:$I$200/'辅助-机制测算'!$G$2:$G$200,0)),0)</f>
        <v>0</v>
      </c>
      <c r="N35" s="165">
        <f>IFERROR(N$9*SUMPRODUCT(('辅助-机制测算'!$A$2:$A$200="视频号平台")*'辅助-机制测算'!$F$2:$F$200*IFERROR('辅助-机制测算'!$I$2:$I$200/'辅助-机制测算'!$G$2:$G$200,0)),0)</f>
        <v>0</v>
      </c>
      <c r="O35" s="165">
        <f>IFERROR(O$9*SUMPRODUCT(('辅助-机制测算'!$A$2:$A$200="视频号平台")*'辅助-机制测算'!$F$2:$F$200*IFERROR('辅助-机制测算'!$I$2:$I$200/'辅助-机制测算'!$G$2:$G$200,0)),0)</f>
        <v>0</v>
      </c>
      <c r="P35" s="165">
        <f>IFERROR(P$9*SUMPRODUCT(('辅助-机制测算'!$A$2:$A$200="视频号平台")*'辅助-机制测算'!$F$2:$F$200*IFERROR('辅助-机制测算'!$I$2:$I$200/'辅助-机制测算'!$G$2:$G$200,0)),0)</f>
        <v>0</v>
      </c>
      <c r="Q35" s="165">
        <f>IFERROR(Q$9*SUMPRODUCT(('辅助-机制测算'!$A$2:$A$200="视频号平台")*'辅助-机制测算'!$F$2:$F$200*IFERROR('辅助-机制测算'!$I$2:$I$200/'辅助-机制测算'!$G$2:$G$200,0)),0)</f>
        <v>0</v>
      </c>
      <c r="R35" s="165">
        <f>IFERROR(R$9*SUMPRODUCT(('辅助-机制测算'!$A$2:$A$200="视频号平台")*'辅助-机制测算'!$F$2:$F$200*IFERROR('辅助-机制测算'!$I$2:$I$200/'辅助-机制测算'!$G$2:$G$200,0)),0)</f>
        <v>0</v>
      </c>
      <c r="S35" s="165">
        <f>IFERROR(S$9*SUMPRODUCT(('辅助-机制测算'!$A$2:$A$200="视频号平台")*'辅助-机制测算'!$F$2:$F$200*IFERROR('辅助-机制测算'!$I$2:$I$200/'辅助-机制测算'!$G$2:$G$200,0)),0)</f>
        <v>0</v>
      </c>
      <c r="T35" s="165">
        <f>IFERROR(T$9*SUMPRODUCT(('辅助-机制测算'!$A$2:$A$200="视频号平台")*'辅助-机制测算'!$F$2:$F$200*IFERROR('辅助-机制测算'!$I$2:$I$200/'辅助-机制测算'!$G$2:$G$200,0)),0)</f>
        <v>0</v>
      </c>
      <c r="U35" s="165"/>
      <c r="V35" s="165">
        <f t="shared" si="1"/>
        <v>0</v>
      </c>
      <c r="W35" s="165">
        <f t="shared" si="2"/>
        <v>0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SUM(I37:I40)</f>
        <v>2.2723218290278901</v>
      </c>
      <c r="J36" s="223">
        <f t="shared" si="13"/>
        <v>0.62619705955764493</v>
      </c>
      <c r="K36" s="223">
        <f t="shared" si="13"/>
        <v>0.93141624316362515</v>
      </c>
      <c r="L36" s="223">
        <f t="shared" si="13"/>
        <v>0.24741419946584386</v>
      </c>
      <c r="M36" s="223">
        <f t="shared" si="13"/>
        <v>1.8633686669069267</v>
      </c>
      <c r="N36" s="223">
        <f t="shared" si="13"/>
        <v>3.4653381206416665</v>
      </c>
      <c r="O36" s="223">
        <f t="shared" si="13"/>
        <v>2.5977145019112422</v>
      </c>
      <c r="P36" s="223">
        <f t="shared" si="13"/>
        <v>3.4743095190170936</v>
      </c>
      <c r="Q36" s="223">
        <f t="shared" si="13"/>
        <v>4.3936652686646944</v>
      </c>
      <c r="R36" s="223">
        <f t="shared" si="13"/>
        <v>4.7517864037018418</v>
      </c>
      <c r="S36" s="223">
        <f t="shared" si="13"/>
        <v>5.7726988931360959</v>
      </c>
      <c r="T36" s="223">
        <f t="shared" si="13"/>
        <v>4.917484242301116</v>
      </c>
      <c r="U36" s="165"/>
      <c r="V36" s="223">
        <f t="shared" si="1"/>
        <v>35.313714947495683</v>
      </c>
      <c r="W36" s="223">
        <f t="shared" si="2"/>
        <v>25.907658828732082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I$9*'假设-销售费用率'!K48</f>
        <v>0.8985200000000001</v>
      </c>
      <c r="J37" s="165">
        <f>J$9*'假设-销售费用率'!L48</f>
        <v>0.25691999999999998</v>
      </c>
      <c r="K37" s="165">
        <f>K$9*'假设-销售费用率'!M48</f>
        <v>0.50636999999999999</v>
      </c>
      <c r="L37" s="165">
        <f>L$9*'假设-销售费用率'!N48</f>
        <v>0.15040999999999999</v>
      </c>
      <c r="M37" s="165">
        <f>M$9*'假设-销售费用率'!O48</f>
        <v>1.2647200000000003</v>
      </c>
      <c r="N37" s="165">
        <f>N$9*'假设-销售费用率'!P48</f>
        <v>1.8385334260626347</v>
      </c>
      <c r="O37" s="165">
        <f>O$9*'假设-销售费用率'!Q48</f>
        <v>1.3782161442437</v>
      </c>
      <c r="P37" s="165">
        <f>P$9*'假设-销售费用率'!R48</f>
        <v>1.8432931970337549</v>
      </c>
      <c r="Q37" s="165">
        <f>Q$9*'假设-销售费用率'!S48</f>
        <v>2.3310569353257642</v>
      </c>
      <c r="R37" s="165">
        <f>R$9*'假设-销售费用率'!T48</f>
        <v>2.5210579264046284</v>
      </c>
      <c r="S37" s="165">
        <f>S$9*'假设-销售费用率'!U48</f>
        <v>3.0627025427637782</v>
      </c>
      <c r="T37" s="165">
        <f>T$9*'假设-销售费用率'!V48</f>
        <v>2.6089688327246989</v>
      </c>
      <c r="U37" s="165"/>
      <c r="V37" s="165">
        <f t="shared" si="1"/>
        <v>18.660769004558958</v>
      </c>
      <c r="W37" s="165">
        <f t="shared" si="2"/>
        <v>13.745295578496325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I$9*'假设-销售费用率'!K49</f>
        <v>0.82708319649999995</v>
      </c>
      <c r="J38" s="165">
        <f>J$9*'假设-销售费用率'!L49</f>
        <v>0.18483495972816599</v>
      </c>
      <c r="K38" s="165">
        <f>K$9*'假设-销售费用率'!M49</f>
        <v>0.39954600000000001</v>
      </c>
      <c r="L38" s="165">
        <f>L$9*'假设-销售费用率'!N49</f>
        <v>6.6399E-2</v>
      </c>
      <c r="M38" s="165">
        <f>M$9*'假设-销售费用率'!O49</f>
        <v>0.57774000000000003</v>
      </c>
      <c r="N38" s="165">
        <f>N$9*'假设-销售费用率'!P49</f>
        <v>1.1222653391524167</v>
      </c>
      <c r="O38" s="165">
        <f>O$9*'假设-销售费用率'!Q49</f>
        <v>0.84128152723196581</v>
      </c>
      <c r="P38" s="165">
        <f>P$9*'假设-销售费用率'!R49</f>
        <v>1.1251707668740283</v>
      </c>
      <c r="Q38" s="165">
        <f>Q$9*'假设-销售费用率'!S49</f>
        <v>1.4229082621083866</v>
      </c>
      <c r="R38" s="165">
        <f>R$9*'假设-销售费用率'!T49</f>
        <v>1.5388874026938637</v>
      </c>
      <c r="S38" s="165">
        <f>S$9*'假设-销售费用率'!U49</f>
        <v>1.8695145049599244</v>
      </c>
      <c r="T38" s="165">
        <f>T$9*'假设-销售费用率'!V49</f>
        <v>1.5925493931140093</v>
      </c>
      <c r="U38" s="165"/>
      <c r="V38" s="165">
        <f t="shared" si="1"/>
        <v>11.568180352362761</v>
      </c>
      <c r="W38" s="165">
        <f t="shared" si="2"/>
        <v>8.3903118569821782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77</v>
      </c>
      <c r="G39" s="67"/>
      <c r="H39" s="67"/>
      <c r="I39" s="165">
        <f>I$9*'假设-销售费用率'!K50</f>
        <v>0</v>
      </c>
      <c r="J39" s="165">
        <f>J$9*'假设-销售费用率'!L50</f>
        <v>0</v>
      </c>
      <c r="K39" s="165">
        <f>K$9*'假设-销售费用率'!M50</f>
        <v>0</v>
      </c>
      <c r="L39" s="165">
        <f>L$9*'假设-销售费用率'!N50</f>
        <v>0</v>
      </c>
      <c r="M39" s="165">
        <f>M$9*'假设-销售费用率'!O50</f>
        <v>0</v>
      </c>
      <c r="N39" s="165">
        <f>N$9*'假设-销售费用率'!P50</f>
        <v>0</v>
      </c>
      <c r="O39" s="165">
        <f>O$9*'假设-销售费用率'!Q50</f>
        <v>0</v>
      </c>
      <c r="P39" s="165">
        <f>P$9*'假设-销售费用率'!R50</f>
        <v>0</v>
      </c>
      <c r="Q39" s="165">
        <f>Q$9*'假设-销售费用率'!S50</f>
        <v>0</v>
      </c>
      <c r="R39" s="165">
        <f>R$9*'假设-销售费用率'!T50</f>
        <v>0</v>
      </c>
      <c r="S39" s="165">
        <f>S$9*'假设-销售费用率'!U50</f>
        <v>0</v>
      </c>
      <c r="T39" s="165">
        <f>T$9*'假设-销售费用率'!V50</f>
        <v>0</v>
      </c>
      <c r="U39" s="165"/>
      <c r="V39" s="165">
        <f t="shared" si="1"/>
        <v>0</v>
      </c>
      <c r="W39" s="165">
        <f t="shared" si="2"/>
        <v>0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I$9*'假设-销售费用率'!K51</f>
        <v>0.54671863252788999</v>
      </c>
      <c r="J40" s="165">
        <f>J$9*'假设-销售费用率'!L51</f>
        <v>0.18444209982947901</v>
      </c>
      <c r="K40" s="165">
        <f>K$9*'假设-销售费用率'!M51</f>
        <v>2.5500243163625199E-2</v>
      </c>
      <c r="L40" s="165">
        <f>L$9*'假设-销售费用率'!N51</f>
        <v>3.0605199465843905E-2</v>
      </c>
      <c r="M40" s="165">
        <f>M$9*'假设-销售费用率'!O51</f>
        <v>2.0908666906926304E-2</v>
      </c>
      <c r="N40" s="165">
        <f>N$9*'假设-销售费用率'!P51</f>
        <v>0.50453935542661521</v>
      </c>
      <c r="O40" s="165">
        <f>O$9*'假设-销售费用率'!Q51</f>
        <v>0.37821683043557663</v>
      </c>
      <c r="P40" s="165">
        <f>P$9*'假设-销售费用率'!R51</f>
        <v>0.50584555510931029</v>
      </c>
      <c r="Q40" s="165">
        <f>Q$9*'假设-销售费用率'!S51</f>
        <v>0.63970007123054318</v>
      </c>
      <c r="R40" s="165">
        <f>R$9*'假设-销售费用率'!T51</f>
        <v>0.6918410746033492</v>
      </c>
      <c r="S40" s="165">
        <f>S$9*'假设-销售费用率'!U51</f>
        <v>0.84048184541239268</v>
      </c>
      <c r="T40" s="165">
        <f>T$9*'假设-销售费用率'!V51</f>
        <v>0.71596601646240832</v>
      </c>
      <c r="U40" s="165"/>
      <c r="V40" s="165">
        <f t="shared" si="1"/>
        <v>5.0847655905739604</v>
      </c>
      <c r="W40" s="165">
        <f t="shared" si="2"/>
        <v>3.7720513932535797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SUM(I42:I45)</f>
        <v>2.2926135194802471</v>
      </c>
      <c r="J41" s="223">
        <f t="shared" si="14"/>
        <v>2.3008361031801057</v>
      </c>
      <c r="K41" s="223">
        <f t="shared" si="14"/>
        <v>2.4008573375018161</v>
      </c>
      <c r="L41" s="223">
        <f t="shared" si="14"/>
        <v>3.5097245377046655</v>
      </c>
      <c r="M41" s="223">
        <f t="shared" si="14"/>
        <v>7.3630311923959457</v>
      </c>
      <c r="N41" s="223">
        <f t="shared" si="14"/>
        <v>8.3643753852936999</v>
      </c>
      <c r="O41" s="223">
        <f t="shared" si="14"/>
        <v>8.2136543257967016</v>
      </c>
      <c r="P41" s="223">
        <f t="shared" si="14"/>
        <v>8.2835657509691316</v>
      </c>
      <c r="Q41" s="223">
        <f t="shared" si="14"/>
        <v>8.3570447846619356</v>
      </c>
      <c r="R41" s="223">
        <f t="shared" si="14"/>
        <v>8.3862616443409017</v>
      </c>
      <c r="S41" s="223">
        <f t="shared" si="14"/>
        <v>8.4695514980525815</v>
      </c>
      <c r="T41" s="223">
        <f t="shared" si="14"/>
        <v>8.3997798928490788</v>
      </c>
      <c r="U41" s="165"/>
      <c r="V41" s="223">
        <f t="shared" si="1"/>
        <v>76.341295972226817</v>
      </c>
      <c r="W41" s="223">
        <f t="shared" si="2"/>
        <v>50.109857896670334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IFERROR(INDEX('假设-人工成本固定额'!$B$6:$CS$9,MATCH("视频号",'假设-人工成本固定额'!$A$6:$A$16,0),1)/10000,0)</f>
        <v>2.2634218294260702</v>
      </c>
      <c r="J42" s="165">
        <f>IFERROR(INDEX('假设-人工成本固定额'!$B$6:$CS$9,MATCH("视频号",'假设-人工成本固定额'!$A$6:$A$16,0),9)/10000,0)</f>
        <v>2.2893171533486196</v>
      </c>
      <c r="K42" s="165">
        <f>IFERROR(INDEX('假设-人工成本固定额'!$B$6:$CS$9,MATCH("视频号",'假设-人工成本固定额'!$A$6:$A$16,0),17)/10000,0)</f>
        <v>2.3586043062672402</v>
      </c>
      <c r="L42" s="165">
        <f>IFERROR(INDEX('假设-人工成本固定额'!$B$6:$CS$9,MATCH("视频号",'假设-人工成本固定额'!$A$6:$A$16,0),25)/10000,0)</f>
        <v>3.4664224341929302</v>
      </c>
      <c r="M42" s="165">
        <f>IFERROR(INDEX('假设-人工成本固定额'!$B$6:$CS$9,MATCH("视频号",'假设-人工成本固定额'!$A$6:$A$16,0),33)/10000,0)</f>
        <v>7.0082156799792505</v>
      </c>
      <c r="N42" s="165">
        <f>IFERROR(INDEX('假设-人工成本固定额'!$B$6:$CS$9,MATCH("视频号",'假设-人工成本固定额'!$A$6:$A$16,0),41)/10000,0)</f>
        <v>7.9985931629289491</v>
      </c>
      <c r="O42" s="165">
        <f>IFERROR(INDEX('假设-人工成本固定额'!$B$6:$CS$9,MATCH("视频号",'假设-人工成本固定额'!$A$6:$A$16,0),41)/10000,0)</f>
        <v>7.9985931629289491</v>
      </c>
      <c r="P42" s="165">
        <f>IFERROR(INDEX('假设-人工成本固定额'!$B$6:$CS$9,MATCH("视频号",'假设-人工成本固定额'!$A$6:$A$16,0),41)/10000,0)</f>
        <v>7.9985931629289491</v>
      </c>
      <c r="Q42" s="165">
        <f>IFERROR(INDEX('假设-人工成本固定额'!$B$6:$CS$9,MATCH("视频号",'假设-人工成本固定额'!$A$6:$A$16,0),41)/10000,0)</f>
        <v>7.9985931629289491</v>
      </c>
      <c r="R42" s="165">
        <f>IFERROR(INDEX('假设-人工成本固定额'!$B$6:$CS$9,MATCH("视频号",'假设-人工成本固定额'!$A$6:$A$16,0),41)/10000,0)</f>
        <v>7.9985931629289491</v>
      </c>
      <c r="S42" s="165">
        <f>IFERROR(INDEX('假设-人工成本固定额'!$B$6:$CS$9,MATCH("视频号",'假设-人工成本固定额'!$A$6:$A$16,0),41)/10000,0)</f>
        <v>7.9985931629289491</v>
      </c>
      <c r="T42" s="165">
        <f>IFERROR(INDEX('假设-人工成本固定额'!$B$6:$CS$9,MATCH("视频号",'假设-人工成本固定额'!$A$6:$A$16,0),41)/10000,0)</f>
        <v>7.9985931629289491</v>
      </c>
      <c r="U42" s="165"/>
      <c r="V42" s="165">
        <f t="shared" si="1"/>
        <v>73.376133543716762</v>
      </c>
      <c r="W42" s="165">
        <f t="shared" si="2"/>
        <v>47.991558977573696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>
        <f>I$9*'假设-销售费用率'!K54</f>
        <v>1.6340630218471115E-2</v>
      </c>
      <c r="J43" s="165">
        <f>J$9*'假设-销售费用率'!L54</f>
        <v>8.5741162400000057E-3</v>
      </c>
      <c r="K43" s="165">
        <f>K$9*'假设-销售费用率'!M54</f>
        <v>3.4131808586071254E-2</v>
      </c>
      <c r="L43" s="165">
        <f>L$9*'假设-销售费用率'!N54</f>
        <v>2.5478672846524511E-2</v>
      </c>
      <c r="M43" s="165">
        <f>M$9*'假设-销售费用率'!O54</f>
        <v>0.24363585843213945</v>
      </c>
      <c r="N43" s="165">
        <f>N$9*'假设-销售费用率'!P54</f>
        <v>0.26346487628420556</v>
      </c>
      <c r="O43" s="165">
        <f>O$9*'假设-销售费用率'!Q54</f>
        <v>0.14463814147007928</v>
      </c>
      <c r="P43" s="165">
        <f>P$9*'假设-销售费用率'!R54</f>
        <v>0.19344607398261632</v>
      </c>
      <c r="Q43" s="165">
        <f>Q$9*'假设-销售费用率'!S54</f>
        <v>0.24463488125186247</v>
      </c>
      <c r="R43" s="165">
        <f>R$9*'假设-销售费用率'!T54</f>
        <v>0.26457470733930144</v>
      </c>
      <c r="S43" s="165">
        <f>S$9*'假设-销售费用率'!U54</f>
        <v>0.3214180921557318</v>
      </c>
      <c r="T43" s="165">
        <f>T$9*'假设-销售费用率'!V54</f>
        <v>0.27380059702154924</v>
      </c>
      <c r="U43" s="165"/>
      <c r="V43" s="165">
        <f t="shared" si="1"/>
        <v>2.0341384558285522</v>
      </c>
      <c r="W43" s="165">
        <f t="shared" si="2"/>
        <v>1.4425124932211406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>
        <f>I$22*'假设-销售费用率'!K55</f>
        <v>1.2851059835705791E-2</v>
      </c>
      <c r="J44" s="165">
        <f>J$22*'假设-销售费用率'!L55</f>
        <v>2.9448335914859817E-3</v>
      </c>
      <c r="K44" s="165">
        <f>K$22*'假设-销售费用率'!M55</f>
        <v>8.1212226485046467E-3</v>
      </c>
      <c r="L44" s="165">
        <f>L$22*'假设-销售费用率'!N55</f>
        <v>1.7823430665211033E-2</v>
      </c>
      <c r="M44" s="165">
        <f>M$22*'假设-销售费用率'!O55</f>
        <v>0.11117965398455573</v>
      </c>
      <c r="N44" s="165">
        <f>N$22*'假设-销售费用率'!P55</f>
        <v>0.10231734608054409</v>
      </c>
      <c r="O44" s="165">
        <f>O$22*'假设-销售费用率'!Q55</f>
        <v>7.0423021397673508E-2</v>
      </c>
      <c r="P44" s="165">
        <f>P$22*'假设-销售费用率'!R55</f>
        <v>9.1526514057565483E-2</v>
      </c>
      <c r="Q44" s="165">
        <f>Q$22*'假设-销售费用率'!S55</f>
        <v>0.11381674048112335</v>
      </c>
      <c r="R44" s="165">
        <f>R$22*'假设-销售费用率'!T55</f>
        <v>0.12309377407265047</v>
      </c>
      <c r="S44" s="165">
        <f>S$22*'假设-销售费用率'!U55</f>
        <v>0.14954024296789933</v>
      </c>
      <c r="T44" s="165">
        <f>T$22*'假设-销售费用率'!V55</f>
        <v>0.12738613289858086</v>
      </c>
      <c r="U44" s="165"/>
      <c r="V44" s="165">
        <f t="shared" si="1"/>
        <v>0.93102397268150039</v>
      </c>
      <c r="W44" s="165">
        <f t="shared" si="2"/>
        <v>0.67578642587549309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>
        <f>I$9*'假设-销售费用率'!K56</f>
        <v>0</v>
      </c>
      <c r="J45" s="165">
        <f>J$9*'假设-销售费用率'!L56</f>
        <v>0</v>
      </c>
      <c r="K45" s="165">
        <f>K$9*'假设-销售费用率'!M56</f>
        <v>0</v>
      </c>
      <c r="L45" s="165">
        <f>L$9*'假设-销售费用率'!N56</f>
        <v>0</v>
      </c>
      <c r="M45" s="165">
        <f>M$9*'假设-销售费用率'!O56</f>
        <v>0</v>
      </c>
      <c r="N45" s="165">
        <f>N$9*'假设-销售费用率'!P56</f>
        <v>0</v>
      </c>
      <c r="O45" s="165">
        <f>O$9*'假设-销售费用率'!Q56</f>
        <v>0</v>
      </c>
      <c r="P45" s="165">
        <f>P$9*'假设-销售费用率'!R56</f>
        <v>0</v>
      </c>
      <c r="Q45" s="165">
        <f>Q$9*'假设-销售费用率'!S56</f>
        <v>0</v>
      </c>
      <c r="R45" s="165">
        <f>R$9*'假设-销售费用率'!T56</f>
        <v>0</v>
      </c>
      <c r="S45" s="165">
        <f>S$9*'假设-销售费用率'!U56</f>
        <v>0</v>
      </c>
      <c r="T45" s="165">
        <f>T$9*'假设-销售费用率'!V56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 t="shared" ref="I46:T46" si="15">I9-I19-I21-I27-I32-I36-I41</f>
        <v>-6.8239295936135651</v>
      </c>
      <c r="J46" s="225">
        <f t="shared" si="15"/>
        <v>-2.5553454642398252</v>
      </c>
      <c r="K46" s="225">
        <f t="shared" si="15"/>
        <v>-3.4878840287888591</v>
      </c>
      <c r="L46" s="225">
        <f t="shared" si="15"/>
        <v>-5.3656707887071846</v>
      </c>
      <c r="M46" s="225">
        <f t="shared" si="15"/>
        <v>-25.803011939201077</v>
      </c>
      <c r="N46" s="225">
        <f t="shared" si="15"/>
        <v>-15.222946528044218</v>
      </c>
      <c r="O46" s="225">
        <f t="shared" si="15"/>
        <v>-14.867650421193783</v>
      </c>
      <c r="P46" s="225">
        <f t="shared" si="15"/>
        <v>-16.021491695212909</v>
      </c>
      <c r="Q46" s="225">
        <f t="shared" si="15"/>
        <v>-17.300438999850972</v>
      </c>
      <c r="R46" s="225">
        <f t="shared" si="15"/>
        <v>-18.058618648359214</v>
      </c>
      <c r="S46" s="225">
        <f t="shared" si="15"/>
        <v>-20.219996452315545</v>
      </c>
      <c r="T46" s="225">
        <f t="shared" si="15"/>
        <v>-18.409418187221231</v>
      </c>
      <c r="U46" s="165"/>
      <c r="V46" s="225">
        <f t="shared" si="1"/>
        <v>-164.13640274674839</v>
      </c>
      <c r="W46" s="225">
        <f t="shared" si="2"/>
        <v>-104.87761440415366</v>
      </c>
    </row>
    <row r="47" spans="1:23">
      <c r="B47" s="13"/>
      <c r="C47" s="1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E49" s="243" t="s">
        <v>916</v>
      </c>
      <c r="F49" s="243" t="s">
        <v>917</v>
      </c>
      <c r="I49" s="374" cm="1">
        <f t="array" ref="I49">IFERROR(I$9*10000*SUMPRODUCT(('辅助-机制测算'!$A$2:$A$200="视频号平台")*'辅助-机制测算'!$F$2:$F$200*IFERROR(1/'辅助-机制测算'!$G$2:$G$200,0)),0)</f>
        <v>353.3617408744484</v>
      </c>
      <c r="J49" s="374" cm="1">
        <f t="array" ref="J49">IFERROR(J$9*10000*SUMPRODUCT(('辅助-机制测算'!$A$2:$A$200="视频号平台")*'辅助-机制测算'!$F$2:$F$200*IFERROR(1/'辅助-机制测算'!$G$2:$G$200,0)),0)</f>
        <v>120.64957681508221</v>
      </c>
      <c r="K49" s="374" cm="1">
        <f t="array" ref="K49">IFERROR(K$9*10000*SUMPRODUCT(('辅助-机制测算'!$A$2:$A$200="视频号平台")*'辅助-机制测算'!$F$2:$F$200*IFERROR(1/'辅助-机制测算'!$G$2:$G$200,0)),0)</f>
        <v>256.05571099077412</v>
      </c>
      <c r="L49" s="374" cm="1">
        <f t="array" ref="L49">IFERROR(L$9*10000*SUMPRODUCT(('辅助-机制测算'!$A$2:$A$200="视频号平台")*'辅助-机制测算'!$F$2:$F$200*IFERROR(1/'辅助-机制测算'!$G$2:$G$200,0)),0)</f>
        <v>169.51336742880062</v>
      </c>
      <c r="M49" s="374" cm="1">
        <f t="array" ref="M49">IFERROR(M$9*10000*SUMPRODUCT(('辅助-机制测算'!$A$2:$A$200="视频号平台")*'辅助-机制测算'!$F$2:$F$200*IFERROR(1/'辅助-机制测算'!$G$2:$G$200,0)),0)</f>
        <v>1523.1571134175692</v>
      </c>
      <c r="N49" s="374" cm="1">
        <f t="array" ref="N49">IFERROR(N$9*10000*SUMPRODUCT(('辅助-机制测算'!$A$2:$A$200="视频号平台")*'辅助-机制测算'!$F$2:$F$200*IFERROR(1/'辅助-机制测算'!$G$2:$G$200,0)),0)</f>
        <v>1594.3422624147611</v>
      </c>
      <c r="O49" s="374" cm="1">
        <f t="array" ref="O49">IFERROR(O$9*10000*SUMPRODUCT(('辅助-机制测算'!$A$2:$A$200="视频号平台")*'辅助-机制测算'!$F$2:$F$200*IFERROR(1/'辅助-机制测算'!$G$2:$G$200,0)),0)</f>
        <v>1195.1636094078774</v>
      </c>
      <c r="P49" s="374" cm="1">
        <f t="array" ref="P49">IFERROR(P$9*10000*SUMPRODUCT(('辅助-机制测算'!$A$2:$A$200="视频号平台")*'辅助-机制测算'!$F$2:$F$200*IFERROR(1/'辅助-机制测算'!$G$2:$G$200,0)),0)</f>
        <v>1598.4698479734984</v>
      </c>
      <c r="Q49" s="374" cm="1">
        <f t="array" ref="Q49">IFERROR(Q$9*10000*SUMPRODUCT(('辅助-机制测算'!$A$2:$A$200="视频号平台")*'辅助-机制测算'!$F$2:$F$200*IFERROR(1/'辅助-机制测算'!$G$2:$G$200,0)),0)</f>
        <v>2021.4495615911012</v>
      </c>
      <c r="R49" s="374" cm="1">
        <f t="array" ref="R49">IFERROR(R$9*10000*SUMPRODUCT(('辅助-机制测算'!$A$2:$A$200="视频号平台")*'辅助-机制测算'!$F$2:$F$200*IFERROR(1/'辅助-机制测算'!$G$2:$G$200,0)),0)</f>
        <v>2186.2149151514468</v>
      </c>
      <c r="S49" s="374" cm="1">
        <f t="array" ref="S49">IFERROR(S$9*10000*SUMPRODUCT(('辅助-机制测算'!$A$2:$A$200="视频号平台")*'辅助-机制测算'!$F$2:$F$200*IFERROR(1/'辅助-机制测算'!$G$2:$G$200,0)),0)</f>
        <v>2655.9191320175055</v>
      </c>
      <c r="T49" s="374" cm="1">
        <f t="array" ref="T49">IFERROR(T$9*10000*SUMPRODUCT(('辅助-机制测算'!$A$2:$A$200="视频号平台")*'辅助-机制测算'!$F$2:$F$200*IFERROR(1/'辅助-机制测算'!$G$2:$G$200,0)),0)</f>
        <v>2262.4496309778747</v>
      </c>
      <c r="U49" s="19"/>
      <c r="V49" s="374">
        <f>SUM(I49:T49)</f>
        <v>15936.746469060739</v>
      </c>
      <c r="W49" s="374">
        <f>SUM(O49:T49)</f>
        <v>11919.666697119304</v>
      </c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</sheetData>
  <phoneticPr fontId="14" type="noConversion"/>
  <hyperlinks>
    <hyperlink ref="A1" location="'目录及说明'!A1" display="返回目录" xr:uid="{00000000-0004-0000-10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58"/>
  <sheetViews>
    <sheetView showGridLines="0" zoomScale="115" zoomScaleNormal="100" workbookViewId="0">
      <selection activeCell="M14" sqref="M14"/>
    </sheetView>
  </sheetViews>
  <sheetFormatPr baseColWidth="10" defaultColWidth="13.19921875" defaultRowHeight="16"/>
  <cols>
    <col min="1" max="3" width="4.3984375" style="16" customWidth="1"/>
    <col min="4" max="5" width="12.796875" style="16" customWidth="1"/>
    <col min="6" max="6" width="29.59765625" style="16" bestFit="1" customWidth="1"/>
    <col min="7" max="7" width="12.796875" style="16" customWidth="1"/>
    <col min="8" max="8" width="4.3984375" style="16" customWidth="1"/>
    <col min="9" max="9" width="13.796875" style="16" bestFit="1" customWidth="1"/>
    <col min="10" max="11" width="13.796875" bestFit="1" customWidth="1"/>
    <col min="12" max="12" width="13.796875" style="16" bestFit="1" customWidth="1"/>
    <col min="13" max="14" width="13.796875" bestFit="1" customWidth="1"/>
    <col min="15" max="17" width="13.796875" style="16" bestFit="1" customWidth="1"/>
    <col min="18" max="20" width="15.3984375" style="16" bestFit="1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>
        <v>46023</v>
      </c>
      <c r="J2" s="153">
        <v>46054</v>
      </c>
      <c r="K2" s="153">
        <v>46082</v>
      </c>
      <c r="L2" s="153">
        <v>46113</v>
      </c>
      <c r="M2" s="153">
        <v>46143</v>
      </c>
      <c r="N2" s="153">
        <v>46174</v>
      </c>
      <c r="O2" s="153">
        <v>46204</v>
      </c>
      <c r="P2" s="153">
        <v>46235</v>
      </c>
      <c r="Q2" s="153">
        <v>46266</v>
      </c>
      <c r="R2" s="153">
        <v>46296</v>
      </c>
      <c r="S2" s="153">
        <v>46327</v>
      </c>
      <c r="T2" s="153">
        <v>46357</v>
      </c>
      <c r="U2" s="165"/>
      <c r="V2" s="171" t="s">
        <v>799</v>
      </c>
      <c r="W2" s="171"/>
    </row>
    <row r="3" spans="1:23">
      <c r="A3" s="67"/>
      <c r="B3" s="67"/>
      <c r="C3" s="67"/>
      <c r="D3" s="67"/>
      <c r="E3" s="214"/>
      <c r="F3" s="67"/>
      <c r="G3" s="67" t="s">
        <v>922</v>
      </c>
      <c r="H3" s="67"/>
      <c r="I3" s="214">
        <f>'假设-ROI月度滚动'!J11</f>
        <v>0</v>
      </c>
      <c r="J3" s="214">
        <f>'假设-ROI月度滚动'!K11</f>
        <v>0</v>
      </c>
      <c r="K3" s="214">
        <f>'假设-ROI月度滚动'!L11</f>
        <v>2767.5275322216598</v>
      </c>
      <c r="L3" s="214">
        <f>'假设-ROI月度滚动'!M11</f>
        <v>12.4736812414267</v>
      </c>
      <c r="M3" s="214">
        <f>'假设-ROI月度滚动'!N11</f>
        <v>16270.0948466012</v>
      </c>
      <c r="N3" s="214">
        <f>'假设-ROI月度滚动'!O11</f>
        <v>3347.0156460090448</v>
      </c>
      <c r="O3" s="214">
        <f>'假设-ROI月度滚动'!P11</f>
        <v>10</v>
      </c>
      <c r="P3" s="214">
        <f>'假设-ROI月度滚动'!Q11</f>
        <v>10</v>
      </c>
      <c r="Q3" s="214">
        <f>'假设-ROI月度滚动'!R11</f>
        <v>10</v>
      </c>
      <c r="R3" s="214">
        <f>'假设-ROI月度滚动'!S11</f>
        <v>10</v>
      </c>
      <c r="S3" s="214">
        <f>'假设-ROI月度滚动'!T11</f>
        <v>10</v>
      </c>
      <c r="T3" s="214">
        <f>'假设-ROI月度滚动'!U11</f>
        <v>10</v>
      </c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 t="s">
        <v>923</v>
      </c>
      <c r="H4" s="67"/>
      <c r="I4" s="165"/>
      <c r="J4" s="165"/>
      <c r="K4" s="165"/>
      <c r="L4" s="165"/>
      <c r="M4" s="165"/>
      <c r="N4" s="165"/>
      <c r="O4" s="165">
        <v>1.3</v>
      </c>
      <c r="P4" s="165">
        <v>1.3</v>
      </c>
      <c r="Q4" s="165">
        <v>1.3</v>
      </c>
      <c r="R4" s="165">
        <v>1.3</v>
      </c>
      <c r="S4" s="165">
        <v>1.3</v>
      </c>
      <c r="T4" s="165">
        <v>1.3</v>
      </c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67"/>
      <c r="B7" s="192" t="s">
        <v>110</v>
      </c>
      <c r="C7" s="129"/>
      <c r="D7" s="130"/>
      <c r="E7" s="215" t="s">
        <v>111</v>
      </c>
      <c r="F7" s="216" t="s">
        <v>112</v>
      </c>
      <c r="G7" s="192" t="s">
        <v>368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102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51.673563999999999</v>
      </c>
      <c r="J8" s="218">
        <f t="shared" si="0"/>
        <v>4.2375999999999996</v>
      </c>
      <c r="K8" s="218">
        <f t="shared" si="0"/>
        <v>190.03227799999999</v>
      </c>
      <c r="L8" s="218">
        <f t="shared" si="0"/>
        <v>37.810496999999998</v>
      </c>
      <c r="M8" s="218">
        <f t="shared" si="0"/>
        <v>81.138963000000004</v>
      </c>
      <c r="N8" s="218">
        <f t="shared" si="0"/>
        <v>27.381934999999999</v>
      </c>
      <c r="O8" s="218">
        <f t="shared" si="0"/>
        <v>86.67109542061354</v>
      </c>
      <c r="P8" s="218">
        <f t="shared" si="0"/>
        <v>115.9181317353885</v>
      </c>
      <c r="Q8" s="218">
        <f t="shared" si="0"/>
        <v>146.59185274844512</v>
      </c>
      <c r="R8" s="218">
        <f t="shared" si="0"/>
        <v>158.54033709655445</v>
      </c>
      <c r="S8" s="218">
        <f t="shared" si="0"/>
        <v>192.60243426803015</v>
      </c>
      <c r="T8" s="218">
        <f t="shared" si="0"/>
        <v>164.06874030239601</v>
      </c>
      <c r="U8" s="165"/>
      <c r="V8" s="218">
        <f t="shared" ref="V8:V47" si="1">SUM(I8:T8)</f>
        <v>1256.6674285714278</v>
      </c>
      <c r="W8" s="218">
        <f t="shared" ref="W8:W47" si="2">SUM(O8:T8)</f>
        <v>864.39259157142783</v>
      </c>
    </row>
    <row r="9" spans="1:23">
      <c r="A9" s="67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 t="shared" ref="I9:T9" si="3">I$18</f>
        <v>51.673563999999999</v>
      </c>
      <c r="J9" s="165">
        <f t="shared" si="3"/>
        <v>4.2375999999999996</v>
      </c>
      <c r="K9" s="165">
        <f t="shared" si="3"/>
        <v>190.03227799999999</v>
      </c>
      <c r="L9" s="165">
        <f t="shared" si="3"/>
        <v>37.810496999999998</v>
      </c>
      <c r="M9" s="165">
        <f t="shared" si="3"/>
        <v>81.138963000000004</v>
      </c>
      <c r="N9" s="165">
        <f t="shared" si="3"/>
        <v>27.381934999999999</v>
      </c>
      <c r="O9" s="165">
        <f t="shared" si="3"/>
        <v>86.67109542061354</v>
      </c>
      <c r="P9" s="165">
        <f t="shared" si="3"/>
        <v>115.9181317353885</v>
      </c>
      <c r="Q9" s="165">
        <f t="shared" si="3"/>
        <v>146.59185274844512</v>
      </c>
      <c r="R9" s="165">
        <f t="shared" si="3"/>
        <v>158.54033709655445</v>
      </c>
      <c r="S9" s="165">
        <f t="shared" si="3"/>
        <v>192.60243426803015</v>
      </c>
      <c r="T9" s="165">
        <f t="shared" si="3"/>
        <v>164.06874030239601</v>
      </c>
      <c r="U9" s="165"/>
      <c r="V9" s="165">
        <f t="shared" si="1"/>
        <v>1256.6674285714278</v>
      </c>
      <c r="W9" s="165">
        <f t="shared" si="2"/>
        <v>864.39259157142783</v>
      </c>
    </row>
    <row r="10" spans="1:23">
      <c r="A10" s="67"/>
      <c r="B10" s="102"/>
      <c r="C10" s="102"/>
      <c r="D10" s="67"/>
      <c r="E10" s="67"/>
      <c r="F10" s="67" t="s">
        <v>918</v>
      </c>
      <c r="G10" s="178">
        <v>0.55000000000000004</v>
      </c>
      <c r="H10" s="67"/>
      <c r="I10" s="165">
        <f t="shared" ref="I10:T13" si="4">I$9*$G10</f>
        <v>28.420460200000001</v>
      </c>
      <c r="J10" s="165">
        <f t="shared" si="4"/>
        <v>2.3306800000000001</v>
      </c>
      <c r="K10" s="165">
        <f t="shared" si="4"/>
        <v>104.5177529</v>
      </c>
      <c r="L10" s="165">
        <f t="shared" si="4"/>
        <v>20.795773350000001</v>
      </c>
      <c r="M10" s="165">
        <f t="shared" si="4"/>
        <v>44.626429650000006</v>
      </c>
      <c r="N10" s="165">
        <f t="shared" si="4"/>
        <v>15.06006425</v>
      </c>
      <c r="O10" s="165">
        <f t="shared" si="4"/>
        <v>47.669102481337454</v>
      </c>
      <c r="P10" s="165">
        <f t="shared" si="4"/>
        <v>63.754972454463683</v>
      </c>
      <c r="Q10" s="165">
        <f t="shared" si="4"/>
        <v>80.625519011644826</v>
      </c>
      <c r="R10" s="165">
        <f t="shared" si="4"/>
        <v>87.197185403104953</v>
      </c>
      <c r="S10" s="165">
        <f t="shared" si="4"/>
        <v>105.9313388474166</v>
      </c>
      <c r="T10" s="165">
        <f t="shared" si="4"/>
        <v>90.237807166317808</v>
      </c>
      <c r="U10" s="165"/>
      <c r="V10" s="165">
        <f t="shared" si="1"/>
        <v>691.16708571428524</v>
      </c>
      <c r="W10" s="165">
        <f t="shared" si="2"/>
        <v>475.41592536428533</v>
      </c>
    </row>
    <row r="11" spans="1:23">
      <c r="A11" s="67"/>
      <c r="B11" s="102"/>
      <c r="C11" s="102"/>
      <c r="D11" s="67"/>
      <c r="E11" s="67"/>
      <c r="F11" s="67" t="s">
        <v>919</v>
      </c>
      <c r="G11" s="178">
        <v>0.2</v>
      </c>
      <c r="H11" s="67"/>
      <c r="I11" s="165">
        <f t="shared" si="4"/>
        <v>10.3347128</v>
      </c>
      <c r="J11" s="165">
        <f t="shared" si="4"/>
        <v>0.84751999999999994</v>
      </c>
      <c r="K11" s="165">
        <f t="shared" si="4"/>
        <v>38.006455600000002</v>
      </c>
      <c r="L11" s="165">
        <f t="shared" si="4"/>
        <v>7.5620994000000001</v>
      </c>
      <c r="M11" s="165">
        <f t="shared" si="4"/>
        <v>16.227792600000001</v>
      </c>
      <c r="N11" s="165">
        <f t="shared" si="4"/>
        <v>5.4763869999999999</v>
      </c>
      <c r="O11" s="165">
        <f t="shared" si="4"/>
        <v>17.334219084122708</v>
      </c>
      <c r="P11" s="165">
        <f t="shared" si="4"/>
        <v>23.183626347077702</v>
      </c>
      <c r="Q11" s="165">
        <f t="shared" si="4"/>
        <v>29.318370549689025</v>
      </c>
      <c r="R11" s="165">
        <f t="shared" si="4"/>
        <v>31.708067419310893</v>
      </c>
      <c r="S11" s="165">
        <f t="shared" si="4"/>
        <v>38.52048685360603</v>
      </c>
      <c r="T11" s="165">
        <f t="shared" si="4"/>
        <v>32.813748060479206</v>
      </c>
      <c r="U11" s="165"/>
      <c r="V11" s="165"/>
      <c r="W11" s="165"/>
    </row>
    <row r="12" spans="1:23">
      <c r="A12" s="67"/>
      <c r="B12" s="102"/>
      <c r="C12" s="102"/>
      <c r="D12" s="67"/>
      <c r="E12" s="67"/>
      <c r="F12" s="67" t="s">
        <v>920</v>
      </c>
      <c r="G12" s="178">
        <v>0.2</v>
      </c>
      <c r="H12" s="67"/>
      <c r="I12" s="165">
        <f t="shared" si="4"/>
        <v>10.3347128</v>
      </c>
      <c r="J12" s="165">
        <f t="shared" si="4"/>
        <v>0.84751999999999994</v>
      </c>
      <c r="K12" s="165">
        <f t="shared" si="4"/>
        <v>38.006455600000002</v>
      </c>
      <c r="L12" s="165">
        <f t="shared" si="4"/>
        <v>7.5620994000000001</v>
      </c>
      <c r="M12" s="165">
        <f t="shared" si="4"/>
        <v>16.227792600000001</v>
      </c>
      <c r="N12" s="165">
        <f t="shared" si="4"/>
        <v>5.4763869999999999</v>
      </c>
      <c r="O12" s="165">
        <f t="shared" si="4"/>
        <v>17.334219084122708</v>
      </c>
      <c r="P12" s="165">
        <f t="shared" si="4"/>
        <v>23.183626347077702</v>
      </c>
      <c r="Q12" s="165">
        <f t="shared" si="4"/>
        <v>29.318370549689025</v>
      </c>
      <c r="R12" s="165">
        <f t="shared" si="4"/>
        <v>31.708067419310893</v>
      </c>
      <c r="S12" s="165">
        <f t="shared" si="4"/>
        <v>38.52048685360603</v>
      </c>
      <c r="T12" s="165">
        <f t="shared" si="4"/>
        <v>32.813748060479206</v>
      </c>
      <c r="U12" s="165"/>
      <c r="V12" s="165">
        <f t="shared" si="1"/>
        <v>251.33348571428559</v>
      </c>
      <c r="W12" s="165">
        <f t="shared" si="2"/>
        <v>172.87851831428557</v>
      </c>
    </row>
    <row r="13" spans="1:23">
      <c r="A13" s="67"/>
      <c r="B13" s="102"/>
      <c r="C13" s="102"/>
      <c r="D13" s="67"/>
      <c r="E13" s="67"/>
      <c r="F13" s="67" t="s">
        <v>921</v>
      </c>
      <c r="G13" s="178">
        <v>0.05</v>
      </c>
      <c r="H13" s="67"/>
      <c r="I13" s="165">
        <f t="shared" si="4"/>
        <v>2.5836782</v>
      </c>
      <c r="J13" s="165">
        <f t="shared" si="4"/>
        <v>0.21187999999999999</v>
      </c>
      <c r="K13" s="165">
        <f t="shared" si="4"/>
        <v>9.5016139000000006</v>
      </c>
      <c r="L13" s="165">
        <f t="shared" si="4"/>
        <v>1.89052485</v>
      </c>
      <c r="M13" s="165">
        <f t="shared" si="4"/>
        <v>4.0569481500000002</v>
      </c>
      <c r="N13" s="165">
        <f t="shared" si="4"/>
        <v>1.36909675</v>
      </c>
      <c r="O13" s="165">
        <f t="shared" si="4"/>
        <v>4.333554771030677</v>
      </c>
      <c r="P13" s="165">
        <f t="shared" si="4"/>
        <v>5.7959065867694255</v>
      </c>
      <c r="Q13" s="165">
        <f t="shared" si="4"/>
        <v>7.3295926374222562</v>
      </c>
      <c r="R13" s="165">
        <f t="shared" si="4"/>
        <v>7.9270168548277233</v>
      </c>
      <c r="S13" s="165">
        <f t="shared" si="4"/>
        <v>9.6301217134015076</v>
      </c>
      <c r="T13" s="165">
        <f t="shared" si="4"/>
        <v>8.2034370151198015</v>
      </c>
      <c r="U13" s="165"/>
      <c r="V13" s="165">
        <f t="shared" si="1"/>
        <v>62.833371428571397</v>
      </c>
      <c r="W13" s="165">
        <f t="shared" si="2"/>
        <v>43.219629578571393</v>
      </c>
    </row>
    <row r="14" spans="1:23" s="13" customFormat="1">
      <c r="A14" s="102"/>
      <c r="B14" s="102"/>
      <c r="C14" s="102"/>
      <c r="D14" s="102"/>
      <c r="E14" s="79" t="s">
        <v>165</v>
      </c>
      <c r="F14" s="102" t="s">
        <v>370</v>
      </c>
      <c r="G14" s="102"/>
      <c r="H14" s="102"/>
      <c r="I14" s="219">
        <f>IFERROR(SUMPRODUCT(('辅助-机制测算'!$A$2:$A$200="达播")*'辅助-机制测算'!$F$2:$F$200*IFERROR('辅助-机制测算'!$G$2:$G$200/'辅助-机制测算'!$H$2:$H$200,0))*'假设-目标渠道分解'!L$7,0)</f>
        <v>92.110694399999915</v>
      </c>
      <c r="J14" s="219">
        <f>IFERROR(SUMPRODUCT(('辅助-机制测算'!$A$2:$A$200="达播")*'辅助-机制测算'!$F$2:$F$200*IFERROR('辅助-机制测算'!$G$2:$G$200/'辅助-机制测算'!$H$2:$H$200,0))*'假设-目标渠道分解'!M$7,0)</f>
        <v>87.922812342857071</v>
      </c>
      <c r="K14" s="219">
        <f>IFERROR(SUMPRODUCT(('辅助-机制测算'!$A$2:$A$200="达播")*'辅助-机制测算'!$F$2:$F$200*IFERROR('辅助-机制测算'!$G$2:$G$200/'辅助-机制测算'!$H$2:$H$200,0))*'假设-目标渠道分解'!N$7,0)</f>
        <v>125.01781796571419</v>
      </c>
      <c r="L14" s="219">
        <f>IFERROR(SUMPRODUCT(('辅助-机制测算'!$A$2:$A$200="达播")*'辅助-机制测算'!$F$2:$F$200*IFERROR('辅助-机制测算'!$G$2:$G$200/'辅助-机制测算'!$H$2:$H$200,0))*'假设-目标渠道分解'!O$7,0)</f>
        <v>138.99317101714274</v>
      </c>
      <c r="M14" s="219">
        <f>IFERROR(SUMPRODUCT(('辅助-机制测算'!$A$2:$A$200="达播")*'辅助-机制测算'!$F$2:$F$200*IFERROR('辅助-机制测算'!$G$2:$G$200/'辅助-机制测算'!$H$2:$H$200,0))*'假设-目标渠道分解'!P$7,0)</f>
        <v>161.61045942857132</v>
      </c>
      <c r="N14" s="219">
        <f>IFERROR(SUMPRODUCT(('辅助-机制测算'!$A$2:$A$200="达播")*'辅助-机制测算'!$F$2:$F$200*IFERROR('辅助-机制测算'!$G$2:$G$200/'辅助-机制测算'!$H$2:$H$200,0))*'假设-目标渠道分解'!Q$7,0)</f>
        <v>110.87939251113602</v>
      </c>
      <c r="O14" s="219">
        <f>IFERROR(SUMPRODUCT(('辅助-机制测算'!$A$2:$A$200="达播")*'辅助-机制测算'!$F$2:$F$200*IFERROR('辅助-机制测算'!$G$2:$G$200/'辅助-机制测算'!$H$2:$H$200,0))*'假设-目标渠道分解'!R$7,0)</f>
        <v>54.15817563860513</v>
      </c>
      <c r="P14" s="219">
        <f>IFERROR(SUMPRODUCT(('辅助-机制测算'!$A$2:$A$200="达播")*'辅助-机制测算'!$F$2:$F$200*IFERROR('辅助-机制测算'!$G$2:$G$200/'辅助-机制测算'!$H$2:$H$200,0))*'假设-目标渠道分解'!S$7,0)</f>
        <v>72.433774002249677</v>
      </c>
      <c r="Q14" s="219">
        <f>IFERROR(SUMPRODUCT(('辅助-机制测算'!$A$2:$A$200="达播")*'辅助-机制测算'!$F$2:$F$200*IFERROR('辅助-机制测算'!$G$2:$G$200/'辅助-机制测算'!$H$2:$H$200,0))*'假设-目标渠道分解'!T$7,0)</f>
        <v>91.600864968998806</v>
      </c>
      <c r="R14" s="219">
        <f>IFERROR(SUMPRODUCT(('辅助-机制测算'!$A$2:$A$200="达播")*'辅助-机制测算'!$F$2:$F$200*IFERROR('辅助-机制测算'!$G$2:$G$200/'辅助-机制测算'!$H$2:$H$200,0))*'假设-目标渠道分解'!U$7,0)</f>
        <v>99.067115519999959</v>
      </c>
      <c r="S14" s="219">
        <f>IFERROR(SUMPRODUCT(('辅助-机制测算'!$A$2:$A$200="达播")*'辅助-机制测算'!$F$2:$F$200*IFERROR('辅助-机制测算'!$G$2:$G$200/'辅助-机制测算'!$H$2:$H$200,0))*'假设-目标渠道分解'!V$7,0)</f>
        <v>120.35150141912254</v>
      </c>
      <c r="T14" s="219">
        <f>IFERROR(SUMPRODUCT(('辅助-机制测算'!$A$2:$A$200="达播")*'辅助-机制测算'!$F$2:$F$200*IFERROR('辅助-机制测算'!$G$2:$G$200/'辅助-机制测算'!$H$2:$H$200,0))*'假设-目标渠道分解'!W$7,0)</f>
        <v>102.5216493570303</v>
      </c>
      <c r="U14" s="219"/>
      <c r="V14" s="219">
        <f t="shared" si="1"/>
        <v>1256.667428571428</v>
      </c>
      <c r="W14" s="219">
        <f t="shared" si="2"/>
        <v>540.1330809060064</v>
      </c>
    </row>
    <row r="15" spans="1:23">
      <c r="A15" s="67"/>
      <c r="B15" s="102"/>
      <c r="C15" s="102"/>
      <c r="D15" s="67"/>
      <c r="E15" s="67"/>
      <c r="F15" s="67" t="s">
        <v>371</v>
      </c>
      <c r="G15" s="67"/>
      <c r="H15" s="67"/>
      <c r="I15" s="220">
        <f t="shared" ref="I15:T15" si="5">IFERROR(I$14/$V$14,0)</f>
        <v>7.3297590361445744E-2</v>
      </c>
      <c r="J15" s="220">
        <f t="shared" si="5"/>
        <v>6.9965060240963828E-2</v>
      </c>
      <c r="K15" s="220">
        <f t="shared" si="5"/>
        <v>9.9483614457831299E-2</v>
      </c>
      <c r="L15" s="220">
        <f t="shared" si="5"/>
        <v>0.11060457831325297</v>
      </c>
      <c r="M15" s="220">
        <f t="shared" si="5"/>
        <v>0.12860240963855418</v>
      </c>
      <c r="N15" s="220">
        <f t="shared" si="5"/>
        <v>8.8232884843035236E-2</v>
      </c>
      <c r="O15" s="220">
        <f t="shared" si="5"/>
        <v>4.3096665360517712E-2</v>
      </c>
      <c r="P15" s="220">
        <f t="shared" si="5"/>
        <v>5.7639573013038112E-2</v>
      </c>
      <c r="Q15" s="220">
        <f t="shared" si="5"/>
        <v>7.2891890794949718E-2</v>
      </c>
      <c r="R15" s="220">
        <f t="shared" si="5"/>
        <v>7.8833200628601371E-2</v>
      </c>
      <c r="S15" s="220">
        <f t="shared" si="5"/>
        <v>9.5770367467817169E-2</v>
      </c>
      <c r="T15" s="220">
        <f t="shared" si="5"/>
        <v>8.1582164879992397E-2</v>
      </c>
      <c r="U15" s="155"/>
      <c r="V15" s="220">
        <f t="shared" si="1"/>
        <v>0.99999999999999967</v>
      </c>
      <c r="W15" s="220">
        <f t="shared" si="2"/>
        <v>0.42981386214491646</v>
      </c>
    </row>
    <row r="16" spans="1:23">
      <c r="A16" s="67"/>
      <c r="B16" s="102"/>
      <c r="C16" s="102"/>
      <c r="D16" s="67"/>
      <c r="E16" s="79" t="s">
        <v>165</v>
      </c>
      <c r="F16" s="67" t="s">
        <v>372</v>
      </c>
      <c r="G16" s="67"/>
      <c r="H16" s="67"/>
      <c r="I16" s="165">
        <f>IF(COUNTIFS('参考值-平台费用率分析'!$B$6:$B$532,"达播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达播",'参考值-平台费用率分析'!$C$6:$C$532,"主营业务收入",'参考值-平台费用率分析'!$E$6:$E$532,"主营业务收入")/10000)</f>
        <v>51.673563999999999</v>
      </c>
      <c r="J16" s="165">
        <f>IF(COUNTIFS('参考值-平台费用率分析'!$B$6:$B$532,"达播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达播",'参考值-平台费用率分析'!$C$6:$C$532,"主营业务收入",'参考值-平台费用率分析'!$E$6:$E$532,"主营业务收入")/10000)</f>
        <v>4.2375999999999996</v>
      </c>
      <c r="K16" s="165">
        <f>IF(COUNTIFS('参考值-平台费用率分析'!$B$6:$B$532,"达播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达播",'参考值-平台费用率分析'!$C$6:$C$532,"主营业务收入",'参考值-平台费用率分析'!$E$6:$E$532,"主营业务收入")/10000)</f>
        <v>190.03227799999999</v>
      </c>
      <c r="L16" s="165">
        <f>IF(COUNTIFS('参考值-平台费用率分析'!$B$6:$B$532,"达播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达播",'参考值-平台费用率分析'!$C$6:$C$532,"主营业务收入",'参考值-平台费用率分析'!$E$6:$E$532,"主营业务收入")/10000)</f>
        <v>37.810496999999998</v>
      </c>
      <c r="M16" s="165">
        <f>IF(COUNTIFS('参考值-平台费用率分析'!$B$6:$B$532,"达播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达播",'参考值-平台费用率分析'!$C$6:$C$532,"主营业务收入",'参考值-平台费用率分析'!$E$6:$E$532,"主营业务收入")/10000)</f>
        <v>81.138963000000004</v>
      </c>
      <c r="N16" s="165">
        <f>IF(COUNTIFS('参考值-平台费用率分析'!$B$6:$B$532,"达播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达播",'参考值-平台费用率分析'!$C$6:$C$532,"主营业务收入",'参考值-平台费用率分析'!$E$6:$E$532,"主营业务收入")/10000)</f>
        <v>27.381934999999999</v>
      </c>
      <c r="O16" s="165" t="str">
        <f>IF(COUNTIFS('参考值-平台费用率分析'!$B$6:$B$532,"达播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达播",'参考值-平台费用率分析'!$C$6:$C$532,"主营业务收入",'参考值-平台费用率分析'!$E$6:$E$532,"主营业务收入")/10000)</f>
        <v/>
      </c>
      <c r="P16" s="165" t="str">
        <f>IF(COUNTIFS('参考值-平台费用率分析'!$B$6:$B$532,"达播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达播",'参考值-平台费用率分析'!$C$6:$C$532,"主营业务收入",'参考值-平台费用率分析'!$E$6:$E$532,"主营业务收入")/10000)</f>
        <v/>
      </c>
      <c r="Q16" s="165" t="str">
        <f>IF(COUNTIFS('参考值-平台费用率分析'!$B$6:$B$532,"达播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达播",'参考值-平台费用率分析'!$C$6:$C$532,"主营业务收入",'参考值-平台费用率分析'!$E$6:$E$532,"主营业务收入")/10000)</f>
        <v/>
      </c>
      <c r="R16" s="165" t="str">
        <f>IF(COUNTIFS('参考值-平台费用率分析'!$B$6:$B$532,"达播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达播",'参考值-平台费用率分析'!$C$6:$C$532,"主营业务收入",'参考值-平台费用率分析'!$E$6:$E$532,"主营业务收入")/10000)</f>
        <v/>
      </c>
      <c r="S16" s="165" t="str">
        <f>IF(COUNTIFS('参考值-平台费用率分析'!$B$6:$B$532,"达播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达播",'参考值-平台费用率分析'!$C$6:$C$532,"主营业务收入",'参考值-平台费用率分析'!$E$6:$E$532,"主营业务收入")/10000)</f>
        <v/>
      </c>
      <c r="T16" s="165" t="str">
        <f>IF(COUNTIFS('参考值-平台费用率分析'!$B$6:$B$532,"达播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达播",'参考值-平台费用率分析'!$C$6:$C$532,"主营业务收入",'参考值-平台费用率分析'!$E$6:$E$532,"主营业务收入")/10000)</f>
        <v/>
      </c>
      <c r="U16" s="165"/>
      <c r="V16" s="165">
        <f t="shared" si="1"/>
        <v>392.27483699999999</v>
      </c>
      <c r="W16" s="165">
        <f t="shared" si="2"/>
        <v>0</v>
      </c>
    </row>
    <row r="17" spans="1:23" s="13" customFormat="1">
      <c r="A17" s="102"/>
      <c r="B17" s="102"/>
      <c r="C17" s="102"/>
      <c r="D17" s="102"/>
      <c r="E17" s="79" t="s">
        <v>165</v>
      </c>
      <c r="F17" s="102" t="s">
        <v>807</v>
      </c>
      <c r="G17" s="102"/>
      <c r="H17" s="102"/>
      <c r="I17" s="219">
        <f t="shared" ref="I17:T17" si="6">IF(ISNUMBER(I$16),I$16,I$14*IFERROR(SUM($I$16:$T$16)/SUMPRODUCT(($I$16:$T$16&lt;&gt;"")*$I$14:$T$14),1))</f>
        <v>51.673563999999999</v>
      </c>
      <c r="J17" s="219">
        <f t="shared" si="6"/>
        <v>4.2375999999999996</v>
      </c>
      <c r="K17" s="219">
        <f t="shared" si="6"/>
        <v>190.03227799999999</v>
      </c>
      <c r="L17" s="219">
        <f t="shared" si="6"/>
        <v>37.810496999999998</v>
      </c>
      <c r="M17" s="219">
        <f t="shared" si="6"/>
        <v>81.138963000000004</v>
      </c>
      <c r="N17" s="219">
        <f t="shared" si="6"/>
        <v>27.381934999999999</v>
      </c>
      <c r="O17" s="219">
        <f t="shared" si="6"/>
        <v>29.649506112401031</v>
      </c>
      <c r="P17" s="219">
        <f t="shared" si="6"/>
        <v>39.654689244980815</v>
      </c>
      <c r="Q17" s="219">
        <f t="shared" si="6"/>
        <v>50.147930091344961</v>
      </c>
      <c r="R17" s="219">
        <f t="shared" si="6"/>
        <v>54.235413444289151</v>
      </c>
      <c r="S17" s="219">
        <f t="shared" si="6"/>
        <v>65.8877913608912</v>
      </c>
      <c r="T17" s="219">
        <f t="shared" si="6"/>
        <v>56.126637085203605</v>
      </c>
      <c r="U17" s="219"/>
      <c r="V17" s="219">
        <f t="shared" si="1"/>
        <v>687.9768043391108</v>
      </c>
      <c r="W17" s="219">
        <f t="shared" si="2"/>
        <v>295.70196733911075</v>
      </c>
    </row>
    <row r="18" spans="1:23">
      <c r="A18" s="67"/>
      <c r="B18" s="102"/>
      <c r="C18" s="102"/>
      <c r="D18" s="67"/>
      <c r="E18" s="79" t="s">
        <v>165</v>
      </c>
      <c r="F18" s="67" t="s">
        <v>808</v>
      </c>
      <c r="G18" s="67"/>
      <c r="H18" s="67"/>
      <c r="I18" s="165">
        <f t="shared" ref="I18:T18" si="7">IF(ISNUMBER(I$16),I$16,IFERROR(I$14+(SUMPRODUCT(($I$16:$T$16&lt;&gt;"")*$I$14:$T$14)-SUM($I$16:$T$16))*(I$15/(SUMPRODUCT(($I$16:$T$16="")*$I$15:$T$15))),I$14))</f>
        <v>51.673563999999999</v>
      </c>
      <c r="J18" s="165">
        <f t="shared" si="7"/>
        <v>4.2375999999999996</v>
      </c>
      <c r="K18" s="165">
        <f t="shared" si="7"/>
        <v>190.03227799999999</v>
      </c>
      <c r="L18" s="165">
        <f t="shared" si="7"/>
        <v>37.810496999999998</v>
      </c>
      <c r="M18" s="165">
        <f t="shared" si="7"/>
        <v>81.138963000000004</v>
      </c>
      <c r="N18" s="165">
        <f t="shared" si="7"/>
        <v>27.381934999999999</v>
      </c>
      <c r="O18" s="165">
        <f t="shared" si="7"/>
        <v>86.67109542061354</v>
      </c>
      <c r="P18" s="165">
        <f t="shared" si="7"/>
        <v>115.9181317353885</v>
      </c>
      <c r="Q18" s="165">
        <f t="shared" si="7"/>
        <v>146.59185274844512</v>
      </c>
      <c r="R18" s="165">
        <f t="shared" si="7"/>
        <v>158.54033709655445</v>
      </c>
      <c r="S18" s="165">
        <f t="shared" si="7"/>
        <v>192.60243426803015</v>
      </c>
      <c r="T18" s="165">
        <f t="shared" si="7"/>
        <v>164.06874030239601</v>
      </c>
      <c r="U18" s="165"/>
      <c r="V18" s="165">
        <f t="shared" si="1"/>
        <v>1256.6674285714278</v>
      </c>
      <c r="W18" s="165">
        <f t="shared" si="2"/>
        <v>864.39259157142783</v>
      </c>
    </row>
    <row r="19" spans="1:23" s="13" customFormat="1">
      <c r="A19" s="102"/>
      <c r="B19" s="217" t="s">
        <v>48</v>
      </c>
      <c r="C19" s="217"/>
      <c r="D19" s="217"/>
      <c r="E19" s="217"/>
      <c r="F19" s="217"/>
      <c r="G19" s="217"/>
      <c r="H19" s="102"/>
      <c r="I19" s="218">
        <f t="shared" ref="I19:T19" si="8">I$20</f>
        <v>20.120114536464758</v>
      </c>
      <c r="J19" s="218">
        <f t="shared" si="8"/>
        <v>1.64999258343634</v>
      </c>
      <c r="K19" s="218">
        <f t="shared" si="8"/>
        <v>73.992790568603169</v>
      </c>
      <c r="L19" s="218">
        <f t="shared" si="8"/>
        <v>14.722257793572302</v>
      </c>
      <c r="M19" s="218">
        <f t="shared" si="8"/>
        <v>31.593044925834345</v>
      </c>
      <c r="N19" s="218">
        <f t="shared" si="8"/>
        <v>10.661692861557471</v>
      </c>
      <c r="O19" s="218">
        <f t="shared" si="8"/>
        <v>33.747089069830963</v>
      </c>
      <c r="P19" s="218">
        <f t="shared" si="8"/>
        <v>45.134995669527015</v>
      </c>
      <c r="Q19" s="218">
        <f t="shared" si="8"/>
        <v>57.078409908232615</v>
      </c>
      <c r="R19" s="218">
        <f t="shared" si="8"/>
        <v>61.73078638493773</v>
      </c>
      <c r="S19" s="218">
        <f t="shared" si="8"/>
        <v>74.993531266291043</v>
      </c>
      <c r="T19" s="218">
        <f t="shared" si="8"/>
        <v>63.883378486099765</v>
      </c>
      <c r="U19" s="165"/>
      <c r="V19" s="218">
        <f t="shared" si="1"/>
        <v>489.30808405438756</v>
      </c>
      <c r="W19" s="218">
        <f t="shared" si="2"/>
        <v>336.56819078491912</v>
      </c>
    </row>
    <row r="20" spans="1:23">
      <c r="A20" s="67"/>
      <c r="B20" s="102"/>
      <c r="C20" s="102"/>
      <c r="D20" s="67" t="s">
        <v>48</v>
      </c>
      <c r="E20" s="67" t="s">
        <v>127</v>
      </c>
      <c r="F20" s="67" t="s">
        <v>127</v>
      </c>
      <c r="G20" s="67"/>
      <c r="H20" s="67"/>
      <c r="I20" s="165">
        <f>IFERROR(I$9*SUMPRODUCT(('辅助-机制测算'!$A$2:$A$200="达播")*'辅助-机制测算'!$F$2:$F$200*IFERROR('辅助-机制测算'!$H$2:$H$200/'辅助-机制测算'!$G$2:$G$200,0)),0)</f>
        <v>20.120114536464758</v>
      </c>
      <c r="J20" s="165">
        <f>IFERROR(J$9*SUMPRODUCT(('辅助-机制测算'!$A$2:$A$200="达播")*'辅助-机制测算'!$F$2:$F$200*IFERROR('辅助-机制测算'!$H$2:$H$200/'辅助-机制测算'!$G$2:$G$200,0)),0)</f>
        <v>1.64999258343634</v>
      </c>
      <c r="K20" s="165">
        <f>IFERROR(K$9*SUMPRODUCT(('辅助-机制测算'!$A$2:$A$200="达播")*'辅助-机制测算'!$F$2:$F$200*IFERROR('辅助-机制测算'!$H$2:$H$200/'辅助-机制测算'!$G$2:$G$200,0)),0)</f>
        <v>73.992790568603169</v>
      </c>
      <c r="L20" s="165">
        <f>IFERROR(L$9*SUMPRODUCT(('辅助-机制测算'!$A$2:$A$200="达播")*'辅助-机制测算'!$F$2:$F$200*IFERROR('辅助-机制测算'!$H$2:$H$200/'辅助-机制测算'!$G$2:$G$200,0)),0)</f>
        <v>14.722257793572302</v>
      </c>
      <c r="M20" s="165">
        <f>IFERROR(M$9*SUMPRODUCT(('辅助-机制测算'!$A$2:$A$200="达播")*'辅助-机制测算'!$F$2:$F$200*IFERROR('辅助-机制测算'!$H$2:$H$200/'辅助-机制测算'!$G$2:$G$200,0)),0)</f>
        <v>31.593044925834345</v>
      </c>
      <c r="N20" s="165">
        <f>IFERROR(N$9*SUMPRODUCT(('辅助-机制测算'!$A$2:$A$200="达播")*'辅助-机制测算'!$F$2:$F$200*IFERROR('辅助-机制测算'!$H$2:$H$200/'辅助-机制测算'!$G$2:$G$200,0)),0)</f>
        <v>10.661692861557471</v>
      </c>
      <c r="O20" s="165">
        <f>IFERROR(O$9*SUMPRODUCT(('辅助-机制测算'!$A$2:$A$200="达播")*'辅助-机制测算'!$F$2:$F$200*IFERROR('辅助-机制测算'!$H$2:$H$200/'辅助-机制测算'!$G$2:$G$200,0)),0)</f>
        <v>33.747089069830963</v>
      </c>
      <c r="P20" s="165">
        <f>IFERROR(P$9*SUMPRODUCT(('辅助-机制测算'!$A$2:$A$200="达播")*'辅助-机制测算'!$F$2:$F$200*IFERROR('辅助-机制测算'!$H$2:$H$200/'辅助-机制测算'!$G$2:$G$200,0)),0)</f>
        <v>45.134995669527015</v>
      </c>
      <c r="Q20" s="165">
        <f>IFERROR(Q$9*SUMPRODUCT(('辅助-机制测算'!$A$2:$A$200="达播")*'辅助-机制测算'!$F$2:$F$200*IFERROR('辅助-机制测算'!$H$2:$H$200/'辅助-机制测算'!$G$2:$G$200,0)),0)</f>
        <v>57.078409908232615</v>
      </c>
      <c r="R20" s="165">
        <f>IFERROR(R$9*SUMPRODUCT(('辅助-机制测算'!$A$2:$A$200="达播")*'辅助-机制测算'!$F$2:$F$200*IFERROR('辅助-机制测算'!$H$2:$H$200/'辅助-机制测算'!$G$2:$G$200,0)),0)</f>
        <v>61.73078638493773</v>
      </c>
      <c r="S20" s="165">
        <f>IFERROR(S$9*SUMPRODUCT(('辅助-机制测算'!$A$2:$A$200="达播")*'辅助-机制测算'!$F$2:$F$200*IFERROR('辅助-机制测算'!$H$2:$H$200/'辅助-机制测算'!$G$2:$G$200,0)),0)</f>
        <v>74.993531266291043</v>
      </c>
      <c r="T20" s="165">
        <f>IFERROR(T$9*SUMPRODUCT(('辅助-机制测算'!$A$2:$A$200="达播")*'辅助-机制测算'!$F$2:$F$200*IFERROR('辅助-机制测算'!$H$2:$H$200/'辅助-机制测算'!$G$2:$G$200,0)),0)</f>
        <v>63.883378486099765</v>
      </c>
      <c r="U20" s="219"/>
      <c r="V20" s="165">
        <f t="shared" si="1"/>
        <v>489.30808405438756</v>
      </c>
      <c r="W20" s="165">
        <f t="shared" si="2"/>
        <v>336.56819078491912</v>
      </c>
    </row>
    <row r="21" spans="1:23" s="13" customFormat="1">
      <c r="A21" s="102"/>
      <c r="B21" s="217" t="s">
        <v>52</v>
      </c>
      <c r="C21" s="217"/>
      <c r="D21" s="217"/>
      <c r="E21" s="217"/>
      <c r="F21" s="217"/>
      <c r="G21" s="217"/>
      <c r="H21" s="102"/>
      <c r="I21" s="218">
        <f t="shared" ref="I21:T21" si="9">I22+I28+I33+I37+I42</f>
        <v>19.243950441649815</v>
      </c>
      <c r="J21" s="218">
        <f t="shared" si="9"/>
        <v>5.5882433161573619</v>
      </c>
      <c r="K21" s="218">
        <f t="shared" si="9"/>
        <v>62.7869347590891</v>
      </c>
      <c r="L21" s="218">
        <f t="shared" si="9"/>
        <v>17.792034255792245</v>
      </c>
      <c r="M21" s="218">
        <f t="shared" si="9"/>
        <v>26.062858762725622</v>
      </c>
      <c r="N21" s="218">
        <f t="shared" si="9"/>
        <v>12.19409333491528</v>
      </c>
      <c r="O21" s="218">
        <f t="shared" si="9"/>
        <v>58.070817585800782</v>
      </c>
      <c r="P21" s="218">
        <f t="shared" si="9"/>
        <v>76.294268161486301</v>
      </c>
      <c r="Q21" s="218">
        <f t="shared" si="9"/>
        <v>95.406667545741826</v>
      </c>
      <c r="R21" s="218">
        <f t="shared" si="9"/>
        <v>102.85161381751583</v>
      </c>
      <c r="S21" s="218">
        <f t="shared" si="9"/>
        <v>124.07526662212517</v>
      </c>
      <c r="T21" s="218">
        <f t="shared" si="9"/>
        <v>106.29629045072464</v>
      </c>
      <c r="U21" s="165"/>
      <c r="V21" s="218">
        <f t="shared" si="1"/>
        <v>706.66303905372399</v>
      </c>
      <c r="W21" s="218">
        <f t="shared" si="2"/>
        <v>562.99492418339457</v>
      </c>
    </row>
    <row r="22" spans="1:23" s="13" customFormat="1">
      <c r="A22" s="102"/>
      <c r="B22" s="102"/>
      <c r="C22" s="222" t="s">
        <v>65</v>
      </c>
      <c r="D22" s="222"/>
      <c r="E22" s="222"/>
      <c r="F22" s="222"/>
      <c r="G22" s="222"/>
      <c r="H22" s="102"/>
      <c r="I22" s="223">
        <f t="shared" ref="I22:T22" si="10">SUM(I23:I27)</f>
        <v>13.031612802099998</v>
      </c>
      <c r="J22" s="223">
        <f t="shared" si="10"/>
        <v>1.7611039751999999</v>
      </c>
      <c r="K22" s="223">
        <f t="shared" si="10"/>
        <v>49.6411737858</v>
      </c>
      <c r="L22" s="223">
        <f t="shared" si="10"/>
        <v>12.864356878699997</v>
      </c>
      <c r="M22" s="223">
        <f t="shared" si="10"/>
        <v>18.811247877300001</v>
      </c>
      <c r="N22" s="223">
        <f t="shared" si="10"/>
        <v>6.9321479187340564</v>
      </c>
      <c r="O22" s="223">
        <f t="shared" si="10"/>
        <v>32.986352216351506</v>
      </c>
      <c r="P22" s="223">
        <f t="shared" si="10"/>
        <v>44.117549260552437</v>
      </c>
      <c r="Q22" s="223">
        <f t="shared" si="10"/>
        <v>55.791731526421685</v>
      </c>
      <c r="R22" s="223">
        <f t="shared" si="10"/>
        <v>60.339232757894038</v>
      </c>
      <c r="S22" s="223">
        <f t="shared" si="10"/>
        <v>73.303004925225594</v>
      </c>
      <c r="T22" s="223">
        <f t="shared" si="10"/>
        <v>62.443300491858828</v>
      </c>
      <c r="U22" s="165"/>
      <c r="V22" s="223">
        <f t="shared" si="1"/>
        <v>432.02281441613815</v>
      </c>
      <c r="W22" s="223">
        <f t="shared" si="2"/>
        <v>328.98117117830412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55</v>
      </c>
      <c r="G23" s="67"/>
      <c r="H23" s="67"/>
      <c r="I23" s="165">
        <f>I$9*'假设-ROI月度滚动'!J12</f>
        <v>0</v>
      </c>
      <c r="J23" s="165">
        <f>J$9*'假设-ROI月度滚动'!K12</f>
        <v>0</v>
      </c>
      <c r="K23" s="165">
        <f>K$9*'假设-ROI月度滚动'!L12</f>
        <v>6.866499999999999E-2</v>
      </c>
      <c r="L23" s="165">
        <f>L$9*'假设-ROI月度滚动'!M12</f>
        <v>3.0312219999999983</v>
      </c>
      <c r="M23" s="165">
        <f>M$9*'假设-ROI月度滚动'!N12</f>
        <v>4.9869999999999984E-3</v>
      </c>
      <c r="N23" s="165">
        <f>N$9*'假设-ROI月度滚动'!O12</f>
        <v>8.1810000000000008E-3</v>
      </c>
      <c r="O23" s="165">
        <f>SUM(O$11:O$12)/O$4+SUM(O$10,O$13)/O$3</f>
        <v>31.868295085425594</v>
      </c>
      <c r="P23" s="165">
        <f t="shared" ref="P23:T23" si="11">SUM(P$11:P$12)/P$4+SUM(P$10,P$13)/P$3</f>
        <v>42.622205361165925</v>
      </c>
      <c r="Q23" s="165">
        <f t="shared" si="11"/>
        <v>53.900696625966745</v>
      </c>
      <c r="R23" s="165">
        <f t="shared" si="11"/>
        <v>58.294062409348484</v>
      </c>
      <c r="S23" s="165">
        <f t="shared" si="11"/>
        <v>70.818433523168011</v>
      </c>
      <c r="T23" s="165">
        <f t="shared" si="11"/>
        <v>60.32681374195792</v>
      </c>
      <c r="U23" s="165"/>
      <c r="V23" s="165">
        <f t="shared" si="1"/>
        <v>320.94356174703273</v>
      </c>
      <c r="W23" s="165">
        <f t="shared" si="2"/>
        <v>317.8305067470327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58</v>
      </c>
      <c r="G24" s="67"/>
      <c r="H24" s="67"/>
      <c r="I24" s="165">
        <f>I$9*'假设-销售费用率'!K86</f>
        <v>0</v>
      </c>
      <c r="J24" s="165">
        <f>J$9*'假设-销售费用率'!L86</f>
        <v>0</v>
      </c>
      <c r="K24" s="165">
        <f>K$9*'假设-销售费用率'!M86</f>
        <v>0</v>
      </c>
      <c r="L24" s="165">
        <f>L$9*'假设-销售费用率'!N86</f>
        <v>0</v>
      </c>
      <c r="M24" s="165">
        <f>M$9*'假设-销售费用率'!O86</f>
        <v>0</v>
      </c>
      <c r="N24" s="165">
        <f>N$9*'假设-销售费用率'!P86</f>
        <v>0</v>
      </c>
      <c r="O24" s="165">
        <f>O$9*'假设-销售费用率'!Q86</f>
        <v>0</v>
      </c>
      <c r="P24" s="165">
        <f>P$9*'假设-销售费用率'!R86</f>
        <v>0</v>
      </c>
      <c r="Q24" s="165">
        <f>Q$9*'假设-销售费用率'!S86</f>
        <v>0</v>
      </c>
      <c r="R24" s="165">
        <f>R$9*'假设-销售费用率'!T86</f>
        <v>0</v>
      </c>
      <c r="S24" s="165">
        <f>S$9*'假设-销售费用率'!U86</f>
        <v>0</v>
      </c>
      <c r="T24" s="165">
        <f>T$9*'假设-销售费用率'!V86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59</v>
      </c>
      <c r="G25" s="67"/>
      <c r="H25" s="67"/>
      <c r="I25" s="165">
        <f>I$9*'假设-销售费用率'!K87</f>
        <v>0</v>
      </c>
      <c r="J25" s="165">
        <f>J$9*'假设-销售费用率'!L87</f>
        <v>0</v>
      </c>
      <c r="K25" s="165">
        <f>K$9*'假设-销售费用率'!M87</f>
        <v>0</v>
      </c>
      <c r="L25" s="165">
        <f>L$9*'假设-销售费用率'!N87</f>
        <v>0</v>
      </c>
      <c r="M25" s="165">
        <f>M$9*'假设-销售费用率'!O87</f>
        <v>0</v>
      </c>
      <c r="N25" s="165">
        <f>N$9*'假设-销售费用率'!P87</f>
        <v>0</v>
      </c>
      <c r="O25" s="165">
        <f>O$9*'假设-销售费用率'!Q87</f>
        <v>0</v>
      </c>
      <c r="P25" s="165">
        <f>P$9*'假设-销售费用率'!R87</f>
        <v>0</v>
      </c>
      <c r="Q25" s="165">
        <f>Q$9*'假设-销售费用率'!S87</f>
        <v>0</v>
      </c>
      <c r="R25" s="165">
        <f>R$9*'假设-销售费用率'!T87</f>
        <v>0</v>
      </c>
      <c r="S25" s="165">
        <f>S$9*'假设-销售费用率'!U87</f>
        <v>0</v>
      </c>
      <c r="T25" s="165">
        <f>T$9*'假设-销售费用率'!V87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60</v>
      </c>
      <c r="G26" s="67"/>
      <c r="H26" s="67"/>
      <c r="I26" s="165">
        <f>I$9*'假设-销售费用率'!K88</f>
        <v>0</v>
      </c>
      <c r="J26" s="165">
        <f>J$9*'假设-销售费用率'!L88</f>
        <v>0</v>
      </c>
      <c r="K26" s="165">
        <f>K$9*'假设-销售费用率'!M88</f>
        <v>0</v>
      </c>
      <c r="L26" s="165">
        <f>L$9*'假设-销售费用率'!N88</f>
        <v>0</v>
      </c>
      <c r="M26" s="165">
        <f>M$9*'假设-销售费用率'!O88</f>
        <v>0</v>
      </c>
      <c r="N26" s="165">
        <f>N$9*'假设-销售费用率'!P88</f>
        <v>0</v>
      </c>
      <c r="O26" s="165">
        <f>O$9*'假设-销售费用率'!Q88</f>
        <v>0</v>
      </c>
      <c r="P26" s="165">
        <f>P$9*'假设-销售费用率'!R88</f>
        <v>0</v>
      </c>
      <c r="Q26" s="165">
        <f>Q$9*'假设-销售费用率'!S88</f>
        <v>0</v>
      </c>
      <c r="R26" s="165">
        <f>R$9*'假设-销售费用率'!T88</f>
        <v>0</v>
      </c>
      <c r="S26" s="165">
        <f>S$9*'假设-销售费用率'!U88</f>
        <v>0</v>
      </c>
      <c r="T26" s="165">
        <f>T$9*'假设-销售费用率'!V88</f>
        <v>0</v>
      </c>
      <c r="U26" s="165"/>
      <c r="V26" s="165">
        <f t="shared" si="1"/>
        <v>0</v>
      </c>
      <c r="W26" s="165">
        <f t="shared" si="2"/>
        <v>0</v>
      </c>
    </row>
    <row r="27" spans="1:23">
      <c r="A27" s="67"/>
      <c r="B27" s="102"/>
      <c r="C27" s="102"/>
      <c r="D27" s="67" t="s">
        <v>52</v>
      </c>
      <c r="E27" s="67" t="s">
        <v>54</v>
      </c>
      <c r="F27" s="67" t="s">
        <v>61</v>
      </c>
      <c r="G27" s="67"/>
      <c r="H27" s="67"/>
      <c r="I27" s="165">
        <f>I$9*'假设-销售费用率'!K89</f>
        <v>13.031612802099998</v>
      </c>
      <c r="J27" s="165">
        <f>J$9*'假设-销售费用率'!L89</f>
        <v>1.7611039751999999</v>
      </c>
      <c r="K27" s="165">
        <f>K$9*'假设-销售费用率'!M89</f>
        <v>49.572508785799997</v>
      </c>
      <c r="L27" s="165">
        <f>L$9*'假设-销售费用率'!N89</f>
        <v>9.8331348786999992</v>
      </c>
      <c r="M27" s="165">
        <f>M$9*'假设-销售费用率'!O89</f>
        <v>18.806260877300002</v>
      </c>
      <c r="N27" s="165">
        <f>N$9*'假设-销售费用率'!P89</f>
        <v>6.923966918734056</v>
      </c>
      <c r="O27" s="165">
        <f>O$9*'假设-销售费用率'!Q89</f>
        <v>1.1180571309259146</v>
      </c>
      <c r="P27" s="165">
        <f>P$9*'假设-销售费用率'!R89</f>
        <v>1.4953438993865116</v>
      </c>
      <c r="Q27" s="165">
        <f>Q$9*'假设-销售费用率'!S89</f>
        <v>1.891034900454942</v>
      </c>
      <c r="R27" s="165">
        <f>R$9*'假设-销售费用率'!T89</f>
        <v>2.0451703485455526</v>
      </c>
      <c r="S27" s="165">
        <f>S$9*'假设-销售费用率'!U89</f>
        <v>2.4845714020575889</v>
      </c>
      <c r="T27" s="165">
        <f>T$9*'假设-销售费用率'!V89</f>
        <v>2.1164867499009086</v>
      </c>
      <c r="U27" s="165"/>
      <c r="V27" s="165">
        <f t="shared" si="1"/>
        <v>111.07925266910547</v>
      </c>
      <c r="W27" s="165">
        <f t="shared" si="2"/>
        <v>11.150664431271416</v>
      </c>
    </row>
    <row r="28" spans="1:23" s="13" customFormat="1">
      <c r="A28" s="102"/>
      <c r="B28" s="102"/>
      <c r="C28" s="222" t="s">
        <v>65</v>
      </c>
      <c r="D28" s="222"/>
      <c r="E28" s="222"/>
      <c r="F28" s="222"/>
      <c r="G28" s="222"/>
      <c r="H28" s="102"/>
      <c r="I28" s="223">
        <f t="shared" ref="I28:T28" si="12">SUM(I29:I32)</f>
        <v>0</v>
      </c>
      <c r="J28" s="223">
        <f t="shared" si="12"/>
        <v>0</v>
      </c>
      <c r="K28" s="223">
        <f t="shared" si="12"/>
        <v>0</v>
      </c>
      <c r="L28" s="223">
        <f t="shared" si="12"/>
        <v>0</v>
      </c>
      <c r="M28" s="223">
        <f t="shared" si="12"/>
        <v>0</v>
      </c>
      <c r="N28" s="223">
        <f t="shared" si="12"/>
        <v>0</v>
      </c>
      <c r="O28" s="223">
        <f t="shared" si="12"/>
        <v>16.467508129916574</v>
      </c>
      <c r="P28" s="223">
        <f t="shared" si="12"/>
        <v>22.024445029723815</v>
      </c>
      <c r="Q28" s="223">
        <f t="shared" si="12"/>
        <v>27.852452022204574</v>
      </c>
      <c r="R28" s="223">
        <f t="shared" si="12"/>
        <v>30.122664048345349</v>
      </c>
      <c r="S28" s="223">
        <f t="shared" si="12"/>
        <v>36.594462510925737</v>
      </c>
      <c r="T28" s="223">
        <f t="shared" si="12"/>
        <v>31.173060657455245</v>
      </c>
      <c r="U28" s="165"/>
      <c r="V28" s="223">
        <f t="shared" si="1"/>
        <v>164.23459239857127</v>
      </c>
      <c r="W28" s="223">
        <f t="shared" si="2"/>
        <v>164.23459239857127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66</v>
      </c>
      <c r="G29" s="67"/>
      <c r="H29" s="67"/>
      <c r="I29" s="165">
        <f>I$9*'假设-销售费用率'!K91</f>
        <v>0</v>
      </c>
      <c r="J29" s="165">
        <f>J$9*'假设-销售费用率'!L91</f>
        <v>0</v>
      </c>
      <c r="K29" s="165">
        <f>K$9*'假设-销售费用率'!M91</f>
        <v>0</v>
      </c>
      <c r="L29" s="165">
        <f>L$9*'假设-销售费用率'!N91</f>
        <v>0</v>
      </c>
      <c r="M29" s="165">
        <f>M$9*'假设-销售费用率'!O91</f>
        <v>0</v>
      </c>
      <c r="N29" s="165">
        <f>N$9*'假设-销售费用率'!P91</f>
        <v>0</v>
      </c>
      <c r="O29" s="165">
        <f>SUM(O$11:O$12)*'假设-销售费用率'!Q91</f>
        <v>1.7334219084122708</v>
      </c>
      <c r="P29" s="165">
        <f>SUM(P$11:P$12)*'假设-销售费用率'!R91</f>
        <v>2.3183626347077704</v>
      </c>
      <c r="Q29" s="165">
        <f>SUM(Q$11:Q$12)*'假设-销售费用率'!S91</f>
        <v>2.9318370549689026</v>
      </c>
      <c r="R29" s="165">
        <f>SUM(R$11:R$12)*'假设-销售费用率'!T91</f>
        <v>3.1708067419310897</v>
      </c>
      <c r="S29" s="165">
        <f>SUM(S$11:S$12)*'假设-销售费用率'!U91</f>
        <v>3.8520486853606033</v>
      </c>
      <c r="T29" s="165">
        <f>SUM(T$11:T$12)*'假设-销售费用率'!V91</f>
        <v>3.2813748060479209</v>
      </c>
      <c r="U29" s="165"/>
      <c r="V29" s="165">
        <f t="shared" si="1"/>
        <v>17.287851831428558</v>
      </c>
      <c r="W29" s="165">
        <f t="shared" si="2"/>
        <v>17.287851831428558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67</v>
      </c>
      <c r="G30" s="67"/>
      <c r="H30" s="67"/>
      <c r="I30" s="165">
        <f>I$9*'假设-销售费用率'!K92</f>
        <v>0</v>
      </c>
      <c r="J30" s="165">
        <f>J$9*'假设-销售费用率'!L92</f>
        <v>0</v>
      </c>
      <c r="K30" s="165">
        <f>K$9*'假设-销售费用率'!M92</f>
        <v>0</v>
      </c>
      <c r="L30" s="165">
        <f>L$9*'假设-销售费用率'!N92</f>
        <v>0</v>
      </c>
      <c r="M30" s="165">
        <f>M$9*'假设-销售费用率'!O92</f>
        <v>0</v>
      </c>
      <c r="N30" s="165">
        <f>N$9*'假设-销售费用率'!P92</f>
        <v>0</v>
      </c>
      <c r="O30" s="165">
        <f>SUM(O$11:O$12)*'假设-销售费用率'!Q92</f>
        <v>1.7334219084122708</v>
      </c>
      <c r="P30" s="165">
        <f>SUM(P$11:P$12)*'假设-销售费用率'!R92</f>
        <v>2.3183626347077704</v>
      </c>
      <c r="Q30" s="165">
        <f>SUM(Q$11:Q$12)*'假设-销售费用率'!S92</f>
        <v>2.9318370549689026</v>
      </c>
      <c r="R30" s="165">
        <f>SUM(R$11:R$12)*'假设-销售费用率'!T92</f>
        <v>3.1708067419310897</v>
      </c>
      <c r="S30" s="165">
        <f>SUM(S$11:S$12)*'假设-销售费用率'!U92</f>
        <v>3.8520486853606033</v>
      </c>
      <c r="T30" s="165">
        <f>SUM(T$11:T$12)*'假设-销售费用率'!V92</f>
        <v>3.2813748060479209</v>
      </c>
      <c r="U30" s="165"/>
      <c r="V30" s="165">
        <f t="shared" si="1"/>
        <v>17.287851831428558</v>
      </c>
      <c r="W30" s="165">
        <f t="shared" si="2"/>
        <v>17.287851831428558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68</v>
      </c>
      <c r="G31" s="67"/>
      <c r="H31" s="67"/>
      <c r="I31" s="165">
        <f>I$9*'假设-销售费用率'!K93</f>
        <v>0</v>
      </c>
      <c r="J31" s="165">
        <f>J$9*'假设-销售费用率'!L93</f>
        <v>0</v>
      </c>
      <c r="K31" s="165">
        <f>K$9*'假设-销售费用率'!M93</f>
        <v>0</v>
      </c>
      <c r="L31" s="165">
        <f>L$9*'假设-销售费用率'!N93</f>
        <v>0</v>
      </c>
      <c r="M31" s="165">
        <f>M$9*'假设-销售费用率'!O93</f>
        <v>0</v>
      </c>
      <c r="N31" s="165">
        <f>N$9*'假设-销售费用率'!P93</f>
        <v>0</v>
      </c>
      <c r="O31" s="165">
        <f>SUM(O$10,O$13)*'假设-销售费用率'!Q93</f>
        <v>5.2002657252368136</v>
      </c>
      <c r="P31" s="165">
        <f>SUM(P$10,P$13)*'假设-销售费用率'!R93</f>
        <v>6.9550879041233102</v>
      </c>
      <c r="Q31" s="165">
        <f>SUM(Q$10,Q$13)*'假设-销售费用率'!S93</f>
        <v>8.7955111649067081</v>
      </c>
      <c r="R31" s="165">
        <f>SUM(R$10,R$13)*'假设-销售费用率'!T93</f>
        <v>9.5124202257932691</v>
      </c>
      <c r="S31" s="165">
        <f>SUM(S$10,S$13)*'假设-销售费用率'!U93</f>
        <v>11.556146056081811</v>
      </c>
      <c r="T31" s="165">
        <f>SUM(T$10,T$13)*'假设-销售费用率'!V93</f>
        <v>9.8441244181437622</v>
      </c>
      <c r="U31" s="165"/>
      <c r="V31" s="165">
        <f t="shared" si="1"/>
        <v>51.863555494285677</v>
      </c>
      <c r="W31" s="165">
        <f t="shared" si="2"/>
        <v>51.863555494285677</v>
      </c>
    </row>
    <row r="32" spans="1:23">
      <c r="A32" s="67"/>
      <c r="B32" s="102"/>
      <c r="C32" s="102"/>
      <c r="D32" s="67" t="s">
        <v>52</v>
      </c>
      <c r="E32" s="67" t="s">
        <v>65</v>
      </c>
      <c r="F32" s="67" t="s">
        <v>69</v>
      </c>
      <c r="G32" s="67"/>
      <c r="H32" s="67"/>
      <c r="I32" s="165">
        <f>I$9*'假设-销售费用率'!K94</f>
        <v>0</v>
      </c>
      <c r="J32" s="165">
        <f>J$9*'假设-销售费用率'!L94</f>
        <v>0</v>
      </c>
      <c r="K32" s="165">
        <f>K$9*'假设-销售费用率'!M94</f>
        <v>0</v>
      </c>
      <c r="L32" s="165">
        <f>L$9*'假设-销售费用率'!N94</f>
        <v>0</v>
      </c>
      <c r="M32" s="165">
        <f>M$9*'假设-销售费用率'!O94</f>
        <v>0</v>
      </c>
      <c r="N32" s="165">
        <f>N$9*'假设-销售费用率'!P94</f>
        <v>0</v>
      </c>
      <c r="O32" s="165">
        <f>SUM(O$10,O$13)*'假设-销售费用率'!Q94</f>
        <v>7.8003985878552191</v>
      </c>
      <c r="P32" s="165">
        <f>SUM(P$10,P$13)*'假设-销售费用率'!R94</f>
        <v>10.432631856184965</v>
      </c>
      <c r="Q32" s="165">
        <f>SUM(Q$10,Q$13)*'假设-销售费用率'!S94</f>
        <v>13.193266747360061</v>
      </c>
      <c r="R32" s="165">
        <f>SUM(R$10,R$13)*'假设-销售费用率'!T94</f>
        <v>14.268630338689901</v>
      </c>
      <c r="S32" s="165">
        <f>SUM(S$10,S$13)*'假设-销售费用率'!U94</f>
        <v>17.334219084122715</v>
      </c>
      <c r="T32" s="165">
        <f>SUM(T$10,T$13)*'假设-销售费用率'!V94</f>
        <v>14.766186627215641</v>
      </c>
      <c r="U32" s="165"/>
      <c r="V32" s="165">
        <f t="shared" si="1"/>
        <v>77.795333241428509</v>
      </c>
      <c r="W32" s="165">
        <f t="shared" si="2"/>
        <v>77.795333241428509</v>
      </c>
    </row>
    <row r="33" spans="1:23" s="13" customFormat="1">
      <c r="A33" s="102"/>
      <c r="B33" s="102"/>
      <c r="C33" s="222" t="s">
        <v>70</v>
      </c>
      <c r="D33" s="222"/>
      <c r="E33" s="222"/>
      <c r="F33" s="222"/>
      <c r="G33" s="222"/>
      <c r="H33" s="102"/>
      <c r="I33" s="223">
        <f t="shared" ref="I33:T33" si="13">SUM(I34:I36)</f>
        <v>0</v>
      </c>
      <c r="J33" s="223">
        <f t="shared" si="13"/>
        <v>0</v>
      </c>
      <c r="K33" s="223">
        <f t="shared" si="13"/>
        <v>0</v>
      </c>
      <c r="L33" s="223">
        <f t="shared" si="13"/>
        <v>0</v>
      </c>
      <c r="M33" s="223">
        <f t="shared" si="13"/>
        <v>0</v>
      </c>
      <c r="N33" s="223">
        <f t="shared" si="13"/>
        <v>0</v>
      </c>
      <c r="O33" s="223">
        <f t="shared" si="13"/>
        <v>0</v>
      </c>
      <c r="P33" s="223">
        <f t="shared" si="13"/>
        <v>0</v>
      </c>
      <c r="Q33" s="223">
        <f t="shared" si="13"/>
        <v>0</v>
      </c>
      <c r="R33" s="223">
        <f t="shared" si="13"/>
        <v>0</v>
      </c>
      <c r="S33" s="223">
        <f t="shared" si="13"/>
        <v>0</v>
      </c>
      <c r="T33" s="223">
        <f t="shared" si="13"/>
        <v>0</v>
      </c>
      <c r="U33" s="165"/>
      <c r="V33" s="223">
        <f t="shared" si="1"/>
        <v>0</v>
      </c>
      <c r="W33" s="223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71</v>
      </c>
      <c r="G34" s="67"/>
      <c r="H34" s="67"/>
      <c r="I34" s="165">
        <f>I$9*'假设-销售费用率'!K96</f>
        <v>0</v>
      </c>
      <c r="J34" s="165">
        <f>J$9*'假设-销售费用率'!L96</f>
        <v>0</v>
      </c>
      <c r="K34" s="165">
        <f>K$9*'假设-销售费用率'!M96</f>
        <v>0</v>
      </c>
      <c r="L34" s="165">
        <f>L$9*'假设-销售费用率'!N96</f>
        <v>0</v>
      </c>
      <c r="M34" s="165">
        <f>M$9*'假设-销售费用率'!O96</f>
        <v>0</v>
      </c>
      <c r="N34" s="165">
        <f>N$9*'假设-销售费用率'!P96</f>
        <v>0</v>
      </c>
      <c r="O34" s="165">
        <f>O$9*'假设-销售费用率'!Q96</f>
        <v>0</v>
      </c>
      <c r="P34" s="165">
        <f>P$9*'假设-销售费用率'!R96</f>
        <v>0</v>
      </c>
      <c r="Q34" s="165">
        <f>Q$9*'假设-销售费用率'!S96</f>
        <v>0</v>
      </c>
      <c r="R34" s="165">
        <f>R$9*'假设-销售费用率'!T96</f>
        <v>0</v>
      </c>
      <c r="S34" s="165">
        <f>S$9*'假设-销售费用率'!U96</f>
        <v>0</v>
      </c>
      <c r="T34" s="165">
        <f>T$9*'假设-销售费用率'!V96</f>
        <v>0</v>
      </c>
      <c r="U34" s="165"/>
      <c r="V34" s="165">
        <f t="shared" si="1"/>
        <v>0</v>
      </c>
      <c r="W34" s="165">
        <f t="shared" si="2"/>
        <v>0</v>
      </c>
    </row>
    <row r="35" spans="1:23">
      <c r="A35" s="67"/>
      <c r="B35" s="102"/>
      <c r="C35" s="102"/>
      <c r="D35" s="67" t="s">
        <v>52</v>
      </c>
      <c r="E35" s="67" t="s">
        <v>70</v>
      </c>
      <c r="F35" s="67" t="s">
        <v>72</v>
      </c>
      <c r="G35" s="67"/>
      <c r="H35" s="67"/>
      <c r="I35" s="165">
        <f>I$9*'假设-销售费用率'!K97</f>
        <v>0</v>
      </c>
      <c r="J35" s="165">
        <f>J$9*'假设-销售费用率'!L97</f>
        <v>0</v>
      </c>
      <c r="K35" s="165">
        <f>K$9*'假设-销售费用率'!M97</f>
        <v>0</v>
      </c>
      <c r="L35" s="165">
        <f>L$9*'假设-销售费用率'!N97</f>
        <v>0</v>
      </c>
      <c r="M35" s="165">
        <f>M$9*'假设-销售费用率'!O97</f>
        <v>0</v>
      </c>
      <c r="N35" s="165">
        <f>N$9*'假设-销售费用率'!P97</f>
        <v>0</v>
      </c>
      <c r="O35" s="165">
        <f>O$9*'假设-销售费用率'!Q97</f>
        <v>0</v>
      </c>
      <c r="P35" s="165">
        <f>P$9*'假设-销售费用率'!R97</f>
        <v>0</v>
      </c>
      <c r="Q35" s="165">
        <f>Q$9*'假设-销售费用率'!S97</f>
        <v>0</v>
      </c>
      <c r="R35" s="165">
        <f>R$9*'假设-销售费用率'!T97</f>
        <v>0</v>
      </c>
      <c r="S35" s="165">
        <f>S$9*'假设-销售费用率'!U97</f>
        <v>0</v>
      </c>
      <c r="T35" s="165">
        <f>T$9*'假设-销售费用率'!V97</f>
        <v>0</v>
      </c>
      <c r="U35" s="165"/>
      <c r="V35" s="165">
        <f t="shared" si="1"/>
        <v>0</v>
      </c>
      <c r="W35" s="165">
        <f t="shared" si="2"/>
        <v>0</v>
      </c>
    </row>
    <row r="36" spans="1:23" s="13" customFormat="1">
      <c r="A36" s="102"/>
      <c r="B36" s="102"/>
      <c r="C36" s="102"/>
      <c r="D36" s="67" t="s">
        <v>52</v>
      </c>
      <c r="E36" s="67" t="s">
        <v>70</v>
      </c>
      <c r="F36" s="67" t="s">
        <v>73</v>
      </c>
      <c r="G36" s="102"/>
      <c r="H36" s="102"/>
      <c r="I36" s="165">
        <f>IFERROR(I$9*SUMPRODUCT(('辅助-机制测算'!$A$2:$A$200="达播")*'辅助-机制测算'!$F$2:$F$200*IFERROR('辅助-机制测算'!$I$2:$I$200/'辅助-机制测算'!$G$2:$G$200,0)),0)</f>
        <v>0</v>
      </c>
      <c r="J36" s="165">
        <f>IFERROR(J$9*SUMPRODUCT(('辅助-机制测算'!$A$2:$A$200="达播")*'辅助-机制测算'!$F$2:$F$200*IFERROR('辅助-机制测算'!$I$2:$I$200/'辅助-机制测算'!$G$2:$G$200,0)),0)</f>
        <v>0</v>
      </c>
      <c r="K36" s="165">
        <f>IFERROR(K$9*SUMPRODUCT(('辅助-机制测算'!$A$2:$A$200="达播")*'辅助-机制测算'!$F$2:$F$200*IFERROR('辅助-机制测算'!$I$2:$I$200/'辅助-机制测算'!$G$2:$G$200,0)),0)</f>
        <v>0</v>
      </c>
      <c r="L36" s="165">
        <f>IFERROR(L$9*SUMPRODUCT(('辅助-机制测算'!$A$2:$A$200="达播")*'辅助-机制测算'!$F$2:$F$200*IFERROR('辅助-机制测算'!$I$2:$I$200/'辅助-机制测算'!$G$2:$G$200,0)),0)</f>
        <v>0</v>
      </c>
      <c r="M36" s="165">
        <f>IFERROR(M$9*SUMPRODUCT(('辅助-机制测算'!$A$2:$A$200="达播")*'辅助-机制测算'!$F$2:$F$200*IFERROR('辅助-机制测算'!$I$2:$I$200/'辅助-机制测算'!$G$2:$G$200,0)),0)</f>
        <v>0</v>
      </c>
      <c r="N36" s="165">
        <f>IFERROR(N$9*SUMPRODUCT(('辅助-机制测算'!$A$2:$A$200="达播")*'辅助-机制测算'!$F$2:$F$200*IFERROR('辅助-机制测算'!$I$2:$I$200/'辅助-机制测算'!$G$2:$G$200,0)),0)</f>
        <v>0</v>
      </c>
      <c r="O36" s="165">
        <f>IFERROR(O$9*SUMPRODUCT(('辅助-机制测算'!$A$2:$A$200="达播")*'辅助-机制测算'!$F$2:$F$200*IFERROR('辅助-机制测算'!$I$2:$I$200/'辅助-机制测算'!$G$2:$G$200,0)),0)</f>
        <v>0</v>
      </c>
      <c r="P36" s="165">
        <f>IFERROR(P$9*SUMPRODUCT(('辅助-机制测算'!$A$2:$A$200="达播")*'辅助-机制测算'!$F$2:$F$200*IFERROR('辅助-机制测算'!$I$2:$I$200/'辅助-机制测算'!$G$2:$G$200,0)),0)</f>
        <v>0</v>
      </c>
      <c r="Q36" s="165">
        <f>IFERROR(Q$9*SUMPRODUCT(('辅助-机制测算'!$A$2:$A$200="达播")*'辅助-机制测算'!$F$2:$F$200*IFERROR('辅助-机制测算'!$I$2:$I$200/'辅助-机制测算'!$G$2:$G$200,0)),0)</f>
        <v>0</v>
      </c>
      <c r="R36" s="165">
        <f>IFERROR(R$9*SUMPRODUCT(('辅助-机制测算'!$A$2:$A$200="达播")*'辅助-机制测算'!$F$2:$F$200*IFERROR('辅助-机制测算'!$I$2:$I$200/'辅助-机制测算'!$G$2:$G$200,0)),0)</f>
        <v>0</v>
      </c>
      <c r="S36" s="165">
        <f>IFERROR(S$9*SUMPRODUCT(('辅助-机制测算'!$A$2:$A$200="达播")*'辅助-机制测算'!$F$2:$F$200*IFERROR('辅助-机制测算'!$I$2:$I$200/'辅助-机制测算'!$G$2:$G$200,0)),0)</f>
        <v>0</v>
      </c>
      <c r="T36" s="165">
        <f>IFERROR(T$9*SUMPRODUCT(('辅助-机制测算'!$A$2:$A$200="达播")*'辅助-机制测算'!$F$2:$F$200*IFERROR('辅助-机制测算'!$I$2:$I$200/'辅助-机制测算'!$G$2:$G$200,0)),0)</f>
        <v>0</v>
      </c>
      <c r="U36" s="165"/>
      <c r="V36" s="165">
        <f t="shared" si="1"/>
        <v>0</v>
      </c>
      <c r="W36" s="165">
        <f t="shared" si="2"/>
        <v>0</v>
      </c>
    </row>
    <row r="37" spans="1:23">
      <c r="A37" s="67"/>
      <c r="B37" s="67"/>
      <c r="C37" s="222" t="s">
        <v>74</v>
      </c>
      <c r="D37" s="222"/>
      <c r="E37" s="222"/>
      <c r="F37" s="222"/>
      <c r="G37" s="222"/>
      <c r="H37" s="67"/>
      <c r="I37" s="223">
        <f t="shared" ref="I37:T37" si="14">SUM(I38:I41)</f>
        <v>1.9102016151558381</v>
      </c>
      <c r="J37" s="223">
        <f t="shared" si="14"/>
        <v>0.52378122923336179</v>
      </c>
      <c r="K37" s="223">
        <f t="shared" si="14"/>
        <v>6.9316488001916756</v>
      </c>
      <c r="L37" s="223">
        <f t="shared" si="14"/>
        <v>1.0952625310186572</v>
      </c>
      <c r="M37" s="223">
        <f t="shared" si="14"/>
        <v>2.3870242535699755</v>
      </c>
      <c r="N37" s="223">
        <f t="shared" si="14"/>
        <v>0.97013810723420657</v>
      </c>
      <c r="O37" s="223">
        <f t="shared" si="14"/>
        <v>3.0707447250630513</v>
      </c>
      <c r="P37" s="223">
        <f t="shared" si="14"/>
        <v>4.1069631096522299</v>
      </c>
      <c r="Q37" s="223">
        <f t="shared" si="14"/>
        <v>5.1937287325140495</v>
      </c>
      <c r="R37" s="223">
        <f t="shared" si="14"/>
        <v>5.6170618530474341</v>
      </c>
      <c r="S37" s="223">
        <f t="shared" si="14"/>
        <v>6.823877166806783</v>
      </c>
      <c r="T37" s="223">
        <f t="shared" si="14"/>
        <v>5.8129324013539243</v>
      </c>
      <c r="U37" s="165"/>
      <c r="V37" s="223">
        <f t="shared" si="1"/>
        <v>44.443364524841193</v>
      </c>
      <c r="W37" s="223">
        <f t="shared" si="2"/>
        <v>30.625307988437477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75</v>
      </c>
      <c r="G38" s="67"/>
      <c r="H38" s="67"/>
      <c r="I38" s="165">
        <f>I$9*'假设-销售费用率'!K100</f>
        <v>1.0383200000000001</v>
      </c>
      <c r="J38" s="165">
        <f>J$9*'假设-销售费用率'!L100</f>
        <v>0.23013</v>
      </c>
      <c r="K38" s="165">
        <f>K$9*'假设-销售费用率'!M100</f>
        <v>4.5380399999999996</v>
      </c>
      <c r="L38" s="165">
        <f>L$9*'假设-销售费用率'!N100</f>
        <v>0.73168000000000011</v>
      </c>
      <c r="M38" s="165">
        <f>M$9*'假设-销售费用率'!O100</f>
        <v>1.5552500000000002</v>
      </c>
      <c r="N38" s="165">
        <f>N$9*'假设-销售费用率'!P100</f>
        <v>0.61105629018131502</v>
      </c>
      <c r="O38" s="165">
        <f>O$9*'假设-销售费用率'!Q100</f>
        <v>1.9341554215825461</v>
      </c>
      <c r="P38" s="165">
        <f>P$9*'假设-销售费用率'!R100</f>
        <v>2.5868333827750107</v>
      </c>
      <c r="Q38" s="165">
        <f>Q$9*'假设-销售费用率'!S100</f>
        <v>3.2713492932939361</v>
      </c>
      <c r="R38" s="165">
        <f>R$9*'假设-销售费用率'!T100</f>
        <v>3.5379921189030537</v>
      </c>
      <c r="S38" s="165">
        <f>S$9*'假设-销售费用率'!U100</f>
        <v>4.2981231590723263</v>
      </c>
      <c r="T38" s="165">
        <f>T$9*'假设-销售费用率'!V100</f>
        <v>3.6613641725430917</v>
      </c>
      <c r="U38" s="165"/>
      <c r="V38" s="165">
        <f t="shared" si="1"/>
        <v>27.994293838351279</v>
      </c>
      <c r="W38" s="165">
        <f t="shared" si="2"/>
        <v>19.289817548169964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76</v>
      </c>
      <c r="G39" s="67"/>
      <c r="H39" s="67"/>
      <c r="I39" s="165">
        <f>I$9*'假设-销售费用率'!K101</f>
        <v>0.39777207450000002</v>
      </c>
      <c r="J39" s="165">
        <f>J$9*'假设-销售费用率'!L101</f>
        <v>7.652885443409678E-2</v>
      </c>
      <c r="K39" s="165">
        <f>K$9*'假设-销售费用率'!M101</f>
        <v>1.7195259999999997</v>
      </c>
      <c r="L39" s="165">
        <f>L$9*'假设-销售费用率'!N101</f>
        <v>0.23096</v>
      </c>
      <c r="M39" s="165">
        <f>M$9*'假设-销售费用率'!O101</f>
        <v>0.55022100000000007</v>
      </c>
      <c r="N39" s="165">
        <f>N$9*'假设-销售费用率'!P101</f>
        <v>0.22285731312130544</v>
      </c>
      <c r="O39" s="165">
        <f>O$9*'假设-销售费用率'!Q101</f>
        <v>0.70540257475296075</v>
      </c>
      <c r="P39" s="165">
        <f>P$9*'假设-销售费用率'!R101</f>
        <v>0.94343965759140858</v>
      </c>
      <c r="Q39" s="165">
        <f>Q$9*'假设-销售费用率'!S101</f>
        <v>1.1930883054463657</v>
      </c>
      <c r="R39" s="165">
        <f>R$9*'假设-销售费用率'!T101</f>
        <v>1.2903351624596344</v>
      </c>
      <c r="S39" s="165">
        <f>S$9*'假设-销售费用率'!U101</f>
        <v>1.5675612772288023</v>
      </c>
      <c r="T39" s="165">
        <f>T$9*'假设-销售费用率'!V101</f>
        <v>1.3353299768986089</v>
      </c>
      <c r="U39" s="165"/>
      <c r="V39" s="165">
        <f t="shared" si="1"/>
        <v>10.233022196433183</v>
      </c>
      <c r="W39" s="165">
        <f t="shared" si="2"/>
        <v>7.035156954377781</v>
      </c>
    </row>
    <row r="40" spans="1:23">
      <c r="A40" s="67"/>
      <c r="B40" s="102"/>
      <c r="C40" s="102"/>
      <c r="D40" s="67" t="s">
        <v>52</v>
      </c>
      <c r="E40" s="67" t="s">
        <v>74</v>
      </c>
      <c r="F40" s="67" t="s">
        <v>77</v>
      </c>
      <c r="G40" s="67"/>
      <c r="H40" s="67"/>
      <c r="I40" s="165">
        <f>I$9*'假设-销售费用率'!K102</f>
        <v>0</v>
      </c>
      <c r="J40" s="165">
        <f>J$9*'假设-销售费用率'!L102</f>
        <v>0</v>
      </c>
      <c r="K40" s="165">
        <f>K$9*'假设-销售费用率'!M102</f>
        <v>0</v>
      </c>
      <c r="L40" s="165">
        <f>L$9*'假设-销售费用率'!N102</f>
        <v>0</v>
      </c>
      <c r="M40" s="165">
        <f>M$9*'假设-销售费用率'!O102</f>
        <v>0</v>
      </c>
      <c r="N40" s="165">
        <f>N$9*'假设-销售费用率'!P102</f>
        <v>0</v>
      </c>
      <c r="O40" s="165">
        <f>O$9*'假设-销售费用率'!Q102</f>
        <v>0</v>
      </c>
      <c r="P40" s="165">
        <f>P$9*'假设-销售费用率'!R102</f>
        <v>0</v>
      </c>
      <c r="Q40" s="165">
        <f>Q$9*'假设-销售费用率'!S102</f>
        <v>0</v>
      </c>
      <c r="R40" s="165">
        <f>R$9*'假设-销售费用率'!T102</f>
        <v>0</v>
      </c>
      <c r="S40" s="165">
        <f>S$9*'假设-销售费用率'!U102</f>
        <v>0</v>
      </c>
      <c r="T40" s="165">
        <f>T$9*'假设-销售费用率'!V102</f>
        <v>0</v>
      </c>
      <c r="U40" s="165"/>
      <c r="V40" s="165">
        <f t="shared" si="1"/>
        <v>0</v>
      </c>
      <c r="W40" s="165">
        <f t="shared" si="2"/>
        <v>0</v>
      </c>
    </row>
    <row r="41" spans="1:23" s="13" customFormat="1">
      <c r="A41" s="102"/>
      <c r="B41" s="102"/>
      <c r="C41" s="102"/>
      <c r="D41" s="67" t="s">
        <v>52</v>
      </c>
      <c r="E41" s="67" t="s">
        <v>74</v>
      </c>
      <c r="F41" s="67" t="s">
        <v>78</v>
      </c>
      <c r="G41" s="102"/>
      <c r="H41" s="102"/>
      <c r="I41" s="165">
        <f>I$9*'假设-销售费用率'!K103</f>
        <v>0.47410954065583799</v>
      </c>
      <c r="J41" s="165">
        <f>J$9*'假设-销售费用率'!L103</f>
        <v>0.21712237479926497</v>
      </c>
      <c r="K41" s="165">
        <f>K$9*'假设-销售费用率'!M103</f>
        <v>0.67408280019167688</v>
      </c>
      <c r="L41" s="165">
        <f>L$9*'假设-销售费用率'!N103</f>
        <v>0.13262253101865698</v>
      </c>
      <c r="M41" s="165">
        <f>M$9*'假设-销售费用率'!O103</f>
        <v>0.28155325356997501</v>
      </c>
      <c r="N41" s="165">
        <f>N$9*'假设-销售费用率'!P103</f>
        <v>0.13622450393158617</v>
      </c>
      <c r="O41" s="165">
        <f>O$9*'假设-销售费用率'!Q103</f>
        <v>0.43118672872754421</v>
      </c>
      <c r="P41" s="165">
        <f>P$9*'假设-销售费用率'!R103</f>
        <v>0.57669006928581024</v>
      </c>
      <c r="Q41" s="165">
        <f>Q$9*'假设-销售费用率'!S103</f>
        <v>0.72929113377374766</v>
      </c>
      <c r="R41" s="165">
        <f>R$9*'假设-销售费用率'!T103</f>
        <v>0.78873457168474681</v>
      </c>
      <c r="S41" s="165">
        <f>S$9*'假设-销售费用率'!U103</f>
        <v>0.95819273050565412</v>
      </c>
      <c r="T41" s="165">
        <f>T$9*'假设-销售费用率'!V103</f>
        <v>0.81623825191222366</v>
      </c>
      <c r="U41" s="165"/>
      <c r="V41" s="165">
        <f t="shared" si="1"/>
        <v>6.2160484900567239</v>
      </c>
      <c r="W41" s="165">
        <f t="shared" si="2"/>
        <v>4.3003334858897269</v>
      </c>
    </row>
    <row r="42" spans="1:23">
      <c r="A42" s="67"/>
      <c r="B42" s="67"/>
      <c r="C42" s="222" t="s">
        <v>79</v>
      </c>
      <c r="D42" s="222"/>
      <c r="E42" s="222"/>
      <c r="F42" s="222"/>
      <c r="G42" s="222"/>
      <c r="H42" s="67"/>
      <c r="I42" s="223">
        <f t="shared" ref="I42:T42" si="15">SUM(I43:I46)</f>
        <v>4.302136024393981</v>
      </c>
      <c r="J42" s="223">
        <f t="shared" si="15"/>
        <v>3.3033581117240001</v>
      </c>
      <c r="K42" s="223">
        <f t="shared" si="15"/>
        <v>6.2141121730974263</v>
      </c>
      <c r="L42" s="223">
        <f t="shared" si="15"/>
        <v>3.8324148460735925</v>
      </c>
      <c r="M42" s="223">
        <f t="shared" si="15"/>
        <v>4.8645866318556434</v>
      </c>
      <c r="N42" s="223">
        <f t="shared" si="15"/>
        <v>4.2918073089470159</v>
      </c>
      <c r="O42" s="223">
        <f t="shared" si="15"/>
        <v>5.5462125144696497</v>
      </c>
      <c r="P42" s="223">
        <f t="shared" si="15"/>
        <v>6.0453107615578237</v>
      </c>
      <c r="Q42" s="223">
        <f t="shared" si="15"/>
        <v>6.5687552646015179</v>
      </c>
      <c r="R42" s="223">
        <f t="shared" si="15"/>
        <v>6.7726551582290035</v>
      </c>
      <c r="S42" s="223">
        <f t="shared" si="15"/>
        <v>7.3539220191670598</v>
      </c>
      <c r="T42" s="223">
        <f t="shared" si="15"/>
        <v>6.8669969000566464</v>
      </c>
      <c r="U42" s="165"/>
      <c r="V42" s="223">
        <f t="shared" si="1"/>
        <v>65.962267714173365</v>
      </c>
      <c r="W42" s="223">
        <f t="shared" si="2"/>
        <v>39.1538526180817</v>
      </c>
    </row>
    <row r="43" spans="1:23">
      <c r="A43" s="67"/>
      <c r="B43" s="102"/>
      <c r="C43" s="102"/>
      <c r="D43" s="67" t="s">
        <v>52</v>
      </c>
      <c r="E43" s="67" t="s">
        <v>79</v>
      </c>
      <c r="F43" s="67" t="s">
        <v>80</v>
      </c>
      <c r="G43" s="67"/>
      <c r="H43" s="67"/>
      <c r="I43" s="165">
        <f>IFERROR(INDEX('假设-人工成本固定额'!$B$6:$CS$16,MATCH("达播",'假设-人工成本固定额'!$A$6:$A$16,0),1)/10000,0)</f>
        <v>3.5244680485726696</v>
      </c>
      <c r="J43" s="165">
        <f>IFERROR(INDEX('假设-人工成本固定额'!$B$6:$CS$16,MATCH("达播",'假设-人工成本固定额'!$A$6:$A$16,0),9)/10000,0)</f>
        <v>3.2609821117240001</v>
      </c>
      <c r="K43" s="165">
        <f>IFERROR(INDEX('假设-人工成本固定额'!$B$6:$CS$16,MATCH("达播",'假设-人工成本固定额'!$A$6:$A$16,0),17)/10000,0)</f>
        <v>4.6874930333293401</v>
      </c>
      <c r="L43" s="165">
        <f>IFERROR(INDEX('假设-人工成本固定额'!$B$6:$CS$16,MATCH("达播",'假设-人工成本固定额'!$A$6:$A$16,0),25)/10000,0)</f>
        <v>3.5299227778147899</v>
      </c>
      <c r="M43" s="165">
        <f>IFERROR(INDEX('假设-人工成本固定额'!$B$6:$CS$16,MATCH("达播",'假设-人工成本固定额'!$A$6:$A$16,0),33)/10000,0)</f>
        <v>4.20714943591594</v>
      </c>
      <c r="N43" s="165">
        <f>IFERROR(INDEX('假设-人工成本固定额'!$B$6:$CS$16,MATCH("达播",'假设-人工成本固定额'!$A$6:$A$16,0),41)/10000,0)</f>
        <v>4.0671774651717696</v>
      </c>
      <c r="O43" s="165">
        <f>IFERROR(INDEX('假设-人工成本固定额'!$B$6:$CS$16,MATCH("达播",'假设-人工成本固定额'!$A$6:$A$16,0),41)/10000,0)</f>
        <v>4.0671774651717696</v>
      </c>
      <c r="P43" s="165">
        <f>IFERROR(INDEX('假设-人工成本固定额'!$B$6:$CS$16,MATCH("达播",'假设-人工成本固定额'!$A$6:$A$16,0),41)/10000,0)</f>
        <v>4.0671774651717696</v>
      </c>
      <c r="Q43" s="165">
        <f>IFERROR(INDEX('假设-人工成本固定额'!$B$6:$CS$16,MATCH("达播",'假设-人工成本固定额'!$A$6:$A$16,0),41)/10000,0)</f>
        <v>4.0671774651717696</v>
      </c>
      <c r="R43" s="165">
        <f>IFERROR(INDEX('假设-人工成本固定额'!$B$6:$CS$16,MATCH("达播",'假设-人工成本固定额'!$A$6:$A$16,0),41)/10000,0)</f>
        <v>4.0671774651717696</v>
      </c>
      <c r="S43" s="165">
        <f>IFERROR(INDEX('假设-人工成本固定额'!$B$6:$CS$16,MATCH("达播",'假设-人工成本固定额'!$A$6:$A$16,0),41)/10000,0)</f>
        <v>4.0671774651717696</v>
      </c>
      <c r="T43" s="165">
        <f>IFERROR(INDEX('假设-人工成本固定额'!$B$6:$CS$16,MATCH("达播",'假设-人工成本固定额'!$A$6:$A$16,0),41)/10000,0)</f>
        <v>4.0671774651717696</v>
      </c>
      <c r="U43" s="165"/>
      <c r="V43" s="165">
        <f t="shared" si="1"/>
        <v>47.680257663559118</v>
      </c>
      <c r="W43" s="165">
        <f t="shared" si="2"/>
        <v>24.403064791030619</v>
      </c>
    </row>
    <row r="44" spans="1:23" s="13" customFormat="1">
      <c r="A44" s="102"/>
      <c r="B44" s="102"/>
      <c r="C44" s="102"/>
      <c r="D44" s="67" t="s">
        <v>52</v>
      </c>
      <c r="E44" s="67" t="s">
        <v>79</v>
      </c>
      <c r="F44" s="67" t="s">
        <v>147</v>
      </c>
      <c r="G44" s="102"/>
      <c r="H44" s="102"/>
      <c r="I44" s="165">
        <f>I$9*'假设-销售费用率'!K106</f>
        <v>0.77766797582131153</v>
      </c>
      <c r="J44" s="165">
        <f>J$9*'假设-销售费用率'!L106</f>
        <v>4.2375999999999997E-2</v>
      </c>
      <c r="K44" s="165">
        <f>K$9*'假设-销售费用率'!M106</f>
        <v>1.5266191397680866</v>
      </c>
      <c r="L44" s="165">
        <f>L$9*'假设-销售费用率'!N106</f>
        <v>0.3024920682588027</v>
      </c>
      <c r="M44" s="165">
        <f>M$9*'假设-销售费用率'!O106</f>
        <v>0.65743719593970373</v>
      </c>
      <c r="N44" s="165">
        <f>N$9*'假设-销售费用率'!P106</f>
        <v>0.22462984377524639</v>
      </c>
      <c r="O44" s="165">
        <f>O$9*'假设-销售费用率'!Q106</f>
        <v>0.82900183364327862</v>
      </c>
      <c r="P44" s="165">
        <f>P$9*'假设-销售费用率'!R106</f>
        <v>1.1087473083706403</v>
      </c>
      <c r="Q44" s="165">
        <f>Q$9*'假设-销售费用率'!S106</f>
        <v>1.4021389038164096</v>
      </c>
      <c r="R44" s="165">
        <f>R$9*'假设-销售费用率'!T106</f>
        <v>1.516425164833076</v>
      </c>
      <c r="S44" s="165">
        <f>S$9*'假设-销售费用率'!U106</f>
        <v>1.8422262969850642</v>
      </c>
      <c r="T44" s="165">
        <f>T$9*'假设-销售费用率'!V106</f>
        <v>1.5693038826169061</v>
      </c>
      <c r="U44" s="165"/>
      <c r="V44" s="165">
        <f t="shared" si="1"/>
        <v>11.799065613828526</v>
      </c>
      <c r="W44" s="165">
        <f t="shared" si="2"/>
        <v>8.2678433902653747</v>
      </c>
    </row>
    <row r="45" spans="1:23">
      <c r="A45" s="69"/>
      <c r="B45" s="69"/>
      <c r="C45" s="69"/>
      <c r="D45" s="67" t="s">
        <v>52</v>
      </c>
      <c r="E45" s="67" t="s">
        <v>79</v>
      </c>
      <c r="F45" s="67" t="s">
        <v>148</v>
      </c>
      <c r="G45" s="69"/>
      <c r="H45" s="69"/>
      <c r="I45" s="165">
        <f>I$23*'假设-销售费用率'!K107</f>
        <v>0</v>
      </c>
      <c r="J45" s="165">
        <f>J$23*'假设-销售费用率'!L107</f>
        <v>0</v>
      </c>
      <c r="K45" s="165">
        <f>K$23*'假设-销售费用率'!M107</f>
        <v>0</v>
      </c>
      <c r="L45" s="165">
        <f>L$23*'假设-销售费用率'!N107</f>
        <v>0</v>
      </c>
      <c r="M45" s="165">
        <f>M$23*'假设-销售费用率'!O107</f>
        <v>0</v>
      </c>
      <c r="N45" s="165">
        <f>N$23*'假设-销售费用率'!P107</f>
        <v>0</v>
      </c>
      <c r="O45" s="165">
        <f>O$23*'假设-销售费用率'!Q107</f>
        <v>0</v>
      </c>
      <c r="P45" s="165">
        <f>P$23*'假设-销售费用率'!R107</f>
        <v>0</v>
      </c>
      <c r="Q45" s="165">
        <f>Q$23*'假设-销售费用率'!S107</f>
        <v>0</v>
      </c>
      <c r="R45" s="165">
        <f>R$23*'假设-销售费用率'!T107</f>
        <v>0</v>
      </c>
      <c r="S45" s="165">
        <f>S$23*'假设-销售费用率'!U107</f>
        <v>0</v>
      </c>
      <c r="T45" s="165">
        <f>T$23*'假设-销售费用率'!V107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102"/>
      <c r="C46" s="102"/>
      <c r="D46" s="67" t="s">
        <v>52</v>
      </c>
      <c r="E46" s="67" t="s">
        <v>79</v>
      </c>
      <c r="F46" s="67" t="s">
        <v>82</v>
      </c>
      <c r="G46" s="67"/>
      <c r="H46" s="67"/>
      <c r="I46" s="165">
        <f>I$9*'假设-销售费用率'!K108</f>
        <v>0</v>
      </c>
      <c r="J46" s="165">
        <f>J$9*'假设-销售费用率'!L108</f>
        <v>0</v>
      </c>
      <c r="K46" s="165">
        <f>K$9*'假设-销售费用率'!M108</f>
        <v>0</v>
      </c>
      <c r="L46" s="165">
        <f>L$9*'假设-销售费用率'!N108</f>
        <v>0</v>
      </c>
      <c r="M46" s="165">
        <f>M$9*'假设-销售费用率'!O108</f>
        <v>0</v>
      </c>
      <c r="N46" s="165">
        <f>N$9*'假设-销售费用率'!P108</f>
        <v>0</v>
      </c>
      <c r="O46" s="165">
        <f>O$9*'假设-销售费用率'!Q108</f>
        <v>0.65003321565460148</v>
      </c>
      <c r="P46" s="165">
        <f>P$9*'假设-销售费用率'!R108</f>
        <v>0.86938598801541367</v>
      </c>
      <c r="Q46" s="165">
        <f>Q$9*'假设-销售费用率'!S108</f>
        <v>1.0994388956133383</v>
      </c>
      <c r="R46" s="165">
        <f>R$9*'假设-销售费用率'!T108</f>
        <v>1.1890525282241584</v>
      </c>
      <c r="S46" s="165">
        <f>S$9*'假设-销售费用率'!U108</f>
        <v>1.4445182570102262</v>
      </c>
      <c r="T46" s="165">
        <f>T$9*'假设-销售费用率'!V108</f>
        <v>1.23051555226797</v>
      </c>
      <c r="U46" s="165"/>
      <c r="V46" s="165">
        <f t="shared" si="1"/>
        <v>6.4829444367857079</v>
      </c>
      <c r="W46" s="165">
        <f t="shared" si="2"/>
        <v>6.4829444367857079</v>
      </c>
    </row>
    <row r="47" spans="1:23">
      <c r="A47" s="67"/>
      <c r="B47" s="67"/>
      <c r="C47" s="224"/>
      <c r="D47" s="224"/>
      <c r="E47" s="224"/>
      <c r="F47" s="224"/>
      <c r="G47" s="151" t="s">
        <v>373</v>
      </c>
      <c r="H47" s="67"/>
      <c r="I47" s="225">
        <f t="shared" ref="I47:T47" si="16">I9-I20-I22-I28-I33-I37-I42</f>
        <v>12.309499021885426</v>
      </c>
      <c r="J47" s="225">
        <f t="shared" si="16"/>
        <v>-3.0006358995937026</v>
      </c>
      <c r="K47" s="225">
        <f t="shared" si="16"/>
        <v>53.252552672307729</v>
      </c>
      <c r="L47" s="225">
        <f t="shared" si="16"/>
        <v>5.296204950635448</v>
      </c>
      <c r="M47" s="225">
        <f t="shared" si="16"/>
        <v>23.483059311440034</v>
      </c>
      <c r="N47" s="225">
        <f t="shared" si="16"/>
        <v>4.526148803527251</v>
      </c>
      <c r="O47" s="225">
        <f t="shared" si="16"/>
        <v>-5.1468112350182036</v>
      </c>
      <c r="P47" s="225">
        <f t="shared" si="16"/>
        <v>-5.5111320956248209</v>
      </c>
      <c r="Q47" s="225">
        <f t="shared" si="16"/>
        <v>-5.8932247055293212</v>
      </c>
      <c r="R47" s="225">
        <f t="shared" si="16"/>
        <v>-6.0420631058991026</v>
      </c>
      <c r="S47" s="225">
        <f t="shared" si="16"/>
        <v>-6.4663636203860655</v>
      </c>
      <c r="T47" s="225">
        <f t="shared" si="16"/>
        <v>-6.1109286344283937</v>
      </c>
      <c r="U47" s="165"/>
      <c r="V47" s="225">
        <f t="shared" si="1"/>
        <v>60.696305463316278</v>
      </c>
      <c r="W47" s="225">
        <f t="shared" si="2"/>
        <v>-35.170523396885912</v>
      </c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B57" s="13"/>
      <c r="C57" s="13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2:23"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</sheetData>
  <phoneticPr fontId="14" type="noConversion"/>
  <hyperlinks>
    <hyperlink ref="A1" location="'目录及说明'!A1" display="返回目录" xr:uid="{00000000-0004-0000-15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W56"/>
  <sheetViews>
    <sheetView showGridLines="0" zoomScaleNormal="100" workbookViewId="0">
      <selection activeCell="I14" sqref="I14:N14"/>
    </sheetView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" style="16" customWidth="1"/>
    <col min="10" max="11" width="15.59765625" customWidth="1"/>
    <col min="12" max="12" width="12.796875" style="16" customWidth="1"/>
    <col min="13" max="14" width="15.59765625" customWidth="1"/>
    <col min="15" max="16" width="12.796875" style="16" customWidth="1"/>
    <col min="17" max="17" width="13" style="16" customWidth="1"/>
    <col min="18" max="20" width="13.796875" style="16" customWidth="1"/>
    <col min="21" max="21" width="4.3984375" style="16" customWidth="1"/>
  </cols>
  <sheetData>
    <row r="1" spans="1:23">
      <c r="A1" s="70" t="s">
        <v>28</v>
      </c>
      <c r="B1" s="192" t="s">
        <v>804</v>
      </c>
      <c r="C1" s="129"/>
      <c r="D1" s="130"/>
      <c r="E1" s="192" t="s">
        <v>366</v>
      </c>
      <c r="F1" s="192"/>
      <c r="G1" s="192"/>
      <c r="H1" s="67"/>
      <c r="I1" s="153">
        <v>46023</v>
      </c>
      <c r="J1" s="153">
        <v>46054</v>
      </c>
      <c r="K1" s="153">
        <v>46082</v>
      </c>
      <c r="L1" s="153">
        <v>46113</v>
      </c>
      <c r="M1" s="153">
        <v>46143</v>
      </c>
      <c r="N1" s="153">
        <v>46174</v>
      </c>
      <c r="O1" s="153">
        <v>46204</v>
      </c>
      <c r="P1" s="153">
        <v>46235</v>
      </c>
      <c r="Q1" s="153">
        <v>46266</v>
      </c>
      <c r="R1" s="153">
        <v>46296</v>
      </c>
      <c r="S1" s="153">
        <v>46327</v>
      </c>
      <c r="T1" s="153">
        <v>46357</v>
      </c>
      <c r="U1" s="165"/>
      <c r="V1" s="171" t="s">
        <v>799</v>
      </c>
      <c r="W1" s="171"/>
    </row>
    <row r="2" spans="1:23">
      <c r="A2" s="67"/>
      <c r="B2" s="67" t="s">
        <v>367</v>
      </c>
      <c r="C2" s="67"/>
      <c r="D2" s="67"/>
      <c r="E2" s="214">
        <f>'假设-产品价值链定价'!L7</f>
        <v>2.1842009464870764</v>
      </c>
      <c r="F2" s="67"/>
      <c r="G2" s="67"/>
      <c r="H2" s="67"/>
      <c r="I2" s="214">
        <f>'假设-ROI月度滚动'!J9</f>
        <v>4.52806077872496</v>
      </c>
      <c r="J2" s="214">
        <f>'假设-ROI月度滚动'!K9</f>
        <v>3.5387133595661</v>
      </c>
      <c r="K2" s="214">
        <f>'假设-ROI月度滚动'!L9</f>
        <v>3.95871977782036</v>
      </c>
      <c r="L2" s="214">
        <f>'假设-ROI月度滚动'!M9</f>
        <v>2.8453159025103498</v>
      </c>
      <c r="M2" s="214">
        <f>'假设-ROI月度滚动'!N9</f>
        <v>3.6563946410646802</v>
      </c>
      <c r="N2" s="214">
        <f>'假设-ROI月度滚动'!O9</f>
        <v>3.0452248573802758</v>
      </c>
      <c r="O2" s="214">
        <f>'假设-ROI月度滚动'!P9</f>
        <v>3.496129411337038</v>
      </c>
      <c r="P2" s="214">
        <f>'假设-ROI月度滚动'!Q9</f>
        <v>3.496129411337038</v>
      </c>
      <c r="Q2" s="214">
        <f>'假设-ROI月度滚动'!R9</f>
        <v>3.496129411337038</v>
      </c>
      <c r="R2" s="214">
        <f>'假设-ROI月度滚动'!S9</f>
        <v>3.496129411337038</v>
      </c>
      <c r="S2" s="214">
        <f>'假设-ROI月度滚动'!T9</f>
        <v>3.496129411337038</v>
      </c>
      <c r="T2" s="214">
        <f>'假设-ROI月度滚动'!U9</f>
        <v>3.496129411337038</v>
      </c>
      <c r="U2" s="165"/>
      <c r="V2" s="165"/>
      <c r="W2" s="165"/>
    </row>
    <row r="3" spans="1:23">
      <c r="A3" s="67"/>
      <c r="B3" s="67"/>
      <c r="C3" s="67"/>
      <c r="D3" s="67"/>
      <c r="E3" s="67"/>
      <c r="F3" s="67"/>
      <c r="G3" s="67"/>
      <c r="H3" s="67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192" t="s">
        <v>110</v>
      </c>
      <c r="C6" s="129"/>
      <c r="D6" s="130"/>
      <c r="E6" s="215" t="s">
        <v>111</v>
      </c>
      <c r="F6" s="216" t="s">
        <v>112</v>
      </c>
      <c r="G6" s="192" t="s">
        <v>368</v>
      </c>
      <c r="H6" s="67"/>
      <c r="I6" s="153">
        <v>46023</v>
      </c>
      <c r="J6" s="153">
        <v>46054</v>
      </c>
      <c r="K6" s="153">
        <v>46082</v>
      </c>
      <c r="L6" s="153">
        <v>46113</v>
      </c>
      <c r="M6" s="153">
        <v>46143</v>
      </c>
      <c r="N6" s="153">
        <v>46174</v>
      </c>
      <c r="O6" s="153">
        <v>46204</v>
      </c>
      <c r="P6" s="153">
        <v>46235</v>
      </c>
      <c r="Q6" s="153">
        <v>46266</v>
      </c>
      <c r="R6" s="153">
        <v>46296</v>
      </c>
      <c r="S6" s="153">
        <v>46327</v>
      </c>
      <c r="T6" s="153">
        <v>46357</v>
      </c>
      <c r="U6" s="165"/>
      <c r="V6" s="171" t="s">
        <v>44</v>
      </c>
      <c r="W6" s="171" t="s">
        <v>45</v>
      </c>
    </row>
    <row r="7" spans="1:23" s="13" customFormat="1">
      <c r="A7" s="102"/>
      <c r="B7" s="217" t="s">
        <v>46</v>
      </c>
      <c r="C7" s="217"/>
      <c r="D7" s="217"/>
      <c r="E7" s="217"/>
      <c r="F7" s="217"/>
      <c r="G7" s="217"/>
      <c r="H7" s="102"/>
      <c r="I7" s="218">
        <f t="shared" ref="I7:T7" si="0">I$8</f>
        <v>27.701167999999999</v>
      </c>
      <c r="J7" s="218">
        <f t="shared" si="0"/>
        <v>14.251385999999998</v>
      </c>
      <c r="K7" s="218">
        <f t="shared" si="0"/>
        <v>32.562117000000001</v>
      </c>
      <c r="L7" s="218">
        <f t="shared" si="0"/>
        <v>34.249648999999998</v>
      </c>
      <c r="M7" s="218">
        <f t="shared" si="0"/>
        <v>32.596449999999997</v>
      </c>
      <c r="N7" s="218">
        <f t="shared" si="0"/>
        <v>26.272108000000003</v>
      </c>
      <c r="O7" s="218">
        <f t="shared" si="0"/>
        <v>24.189838582172356</v>
      </c>
      <c r="P7" s="218">
        <f t="shared" si="0"/>
        <v>32.35266477039513</v>
      </c>
      <c r="Q7" s="218">
        <f t="shared" si="0"/>
        <v>40.913677601945835</v>
      </c>
      <c r="R7" s="218">
        <f t="shared" si="0"/>
        <v>44.248490739817342</v>
      </c>
      <c r="S7" s="218">
        <f t="shared" si="0"/>
        <v>53.755196849271904</v>
      </c>
      <c r="T7" s="218">
        <f t="shared" si="0"/>
        <v>45.791463982713104</v>
      </c>
      <c r="U7" s="165"/>
      <c r="V7" s="218">
        <f t="shared" ref="V7:V45" si="1">SUM(I7:T7)</f>
        <v>408.88421052631566</v>
      </c>
      <c r="W7" s="218">
        <f t="shared" ref="W7:W45" si="2">SUM(O7:T7)</f>
        <v>241.25133252631568</v>
      </c>
    </row>
    <row r="8" spans="1:23">
      <c r="A8" s="67"/>
      <c r="B8" s="102"/>
      <c r="C8" s="102"/>
      <c r="D8" s="67" t="s">
        <v>46</v>
      </c>
      <c r="E8" s="67" t="s">
        <v>46</v>
      </c>
      <c r="F8" s="67" t="s">
        <v>46</v>
      </c>
      <c r="G8" s="67"/>
      <c r="H8" s="67"/>
      <c r="I8" s="165">
        <f t="shared" ref="I8:T8" si="3">I$16</f>
        <v>27.701167999999999</v>
      </c>
      <c r="J8" s="165">
        <f t="shared" si="3"/>
        <v>14.251385999999998</v>
      </c>
      <c r="K8" s="165">
        <f t="shared" si="3"/>
        <v>32.562117000000001</v>
      </c>
      <c r="L8" s="165">
        <f t="shared" si="3"/>
        <v>34.249648999999998</v>
      </c>
      <c r="M8" s="165">
        <f t="shared" si="3"/>
        <v>32.596449999999997</v>
      </c>
      <c r="N8" s="165">
        <f t="shared" si="3"/>
        <v>26.272108000000003</v>
      </c>
      <c r="O8" s="165">
        <f t="shared" si="3"/>
        <v>24.189838582172356</v>
      </c>
      <c r="P8" s="165">
        <f t="shared" si="3"/>
        <v>32.35266477039513</v>
      </c>
      <c r="Q8" s="165">
        <f t="shared" si="3"/>
        <v>40.913677601945835</v>
      </c>
      <c r="R8" s="165">
        <f t="shared" si="3"/>
        <v>44.248490739817342</v>
      </c>
      <c r="S8" s="165">
        <f t="shared" si="3"/>
        <v>53.755196849271904</v>
      </c>
      <c r="T8" s="165">
        <f t="shared" si="3"/>
        <v>45.791463982713104</v>
      </c>
      <c r="U8" s="165"/>
      <c r="V8" s="165">
        <f t="shared" si="1"/>
        <v>408.88421052631566</v>
      </c>
      <c r="W8" s="165">
        <f t="shared" si="2"/>
        <v>241.25133252631568</v>
      </c>
    </row>
    <row r="9" spans="1:23">
      <c r="A9" s="67"/>
      <c r="B9" s="102"/>
      <c r="C9" s="102"/>
      <c r="D9" s="67"/>
      <c r="E9" s="67"/>
      <c r="F9" s="67" t="s">
        <v>369</v>
      </c>
      <c r="G9" s="178">
        <v>0</v>
      </c>
      <c r="H9" s="67"/>
      <c r="I9" s="165">
        <f t="shared" ref="I9:T11" si="4">I$8*$G9</f>
        <v>0</v>
      </c>
      <c r="J9" s="165">
        <f t="shared" si="4"/>
        <v>0</v>
      </c>
      <c r="K9" s="165">
        <f t="shared" si="4"/>
        <v>0</v>
      </c>
      <c r="L9" s="165">
        <f t="shared" si="4"/>
        <v>0</v>
      </c>
      <c r="M9" s="165">
        <f t="shared" si="4"/>
        <v>0</v>
      </c>
      <c r="N9" s="165">
        <f t="shared" si="4"/>
        <v>0</v>
      </c>
      <c r="O9" s="165">
        <f t="shared" si="4"/>
        <v>0</v>
      </c>
      <c r="P9" s="165">
        <f t="shared" si="4"/>
        <v>0</v>
      </c>
      <c r="Q9" s="165">
        <f t="shared" si="4"/>
        <v>0</v>
      </c>
      <c r="R9" s="165">
        <f t="shared" si="4"/>
        <v>0</v>
      </c>
      <c r="S9" s="165">
        <f t="shared" si="4"/>
        <v>0</v>
      </c>
      <c r="T9" s="165">
        <f t="shared" si="4"/>
        <v>0</v>
      </c>
      <c r="U9" s="165"/>
      <c r="V9" s="165">
        <f t="shared" si="1"/>
        <v>0</v>
      </c>
      <c r="W9" s="165">
        <f t="shared" si="2"/>
        <v>0</v>
      </c>
    </row>
    <row r="10" spans="1:23">
      <c r="A10" s="67"/>
      <c r="B10" s="102"/>
      <c r="C10" s="102"/>
      <c r="D10" s="67"/>
      <c r="E10" s="67"/>
      <c r="F10" s="67" t="s">
        <v>805</v>
      </c>
      <c r="G10" s="178">
        <v>0</v>
      </c>
      <c r="H10" s="67"/>
      <c r="I10" s="165">
        <f t="shared" si="4"/>
        <v>0</v>
      </c>
      <c r="J10" s="165">
        <f t="shared" si="4"/>
        <v>0</v>
      </c>
      <c r="K10" s="165">
        <f t="shared" si="4"/>
        <v>0</v>
      </c>
      <c r="L10" s="165">
        <f t="shared" si="4"/>
        <v>0</v>
      </c>
      <c r="M10" s="165">
        <f t="shared" si="4"/>
        <v>0</v>
      </c>
      <c r="N10" s="165">
        <f t="shared" si="4"/>
        <v>0</v>
      </c>
      <c r="O10" s="165">
        <f t="shared" si="4"/>
        <v>0</v>
      </c>
      <c r="P10" s="165">
        <f t="shared" si="4"/>
        <v>0</v>
      </c>
      <c r="Q10" s="165">
        <f t="shared" si="4"/>
        <v>0</v>
      </c>
      <c r="R10" s="165">
        <f t="shared" si="4"/>
        <v>0</v>
      </c>
      <c r="S10" s="165">
        <f t="shared" si="4"/>
        <v>0</v>
      </c>
      <c r="T10" s="165">
        <f t="shared" si="4"/>
        <v>0</v>
      </c>
      <c r="U10" s="165"/>
      <c r="V10" s="165">
        <f t="shared" si="1"/>
        <v>0</v>
      </c>
      <c r="W10" s="165">
        <f t="shared" si="2"/>
        <v>0</v>
      </c>
    </row>
    <row r="11" spans="1:23">
      <c r="A11" s="67"/>
      <c r="B11" s="102"/>
      <c r="C11" s="102"/>
      <c r="D11" s="67"/>
      <c r="E11" s="67"/>
      <c r="F11" s="67" t="s">
        <v>806</v>
      </c>
      <c r="G11" s="178">
        <v>0</v>
      </c>
      <c r="H11" s="67"/>
      <c r="I11" s="165">
        <f t="shared" si="4"/>
        <v>0</v>
      </c>
      <c r="J11" s="165">
        <f t="shared" si="4"/>
        <v>0</v>
      </c>
      <c r="K11" s="165">
        <f t="shared" si="4"/>
        <v>0</v>
      </c>
      <c r="L11" s="165">
        <f t="shared" si="4"/>
        <v>0</v>
      </c>
      <c r="M11" s="165">
        <f t="shared" si="4"/>
        <v>0</v>
      </c>
      <c r="N11" s="165">
        <f t="shared" si="4"/>
        <v>0</v>
      </c>
      <c r="O11" s="165">
        <f t="shared" si="4"/>
        <v>0</v>
      </c>
      <c r="P11" s="165">
        <f t="shared" si="4"/>
        <v>0</v>
      </c>
      <c r="Q11" s="165">
        <f t="shared" si="4"/>
        <v>0</v>
      </c>
      <c r="R11" s="165">
        <f t="shared" si="4"/>
        <v>0</v>
      </c>
      <c r="S11" s="165">
        <f t="shared" si="4"/>
        <v>0</v>
      </c>
      <c r="T11" s="165">
        <f t="shared" si="4"/>
        <v>0</v>
      </c>
      <c r="U11" s="165"/>
      <c r="V11" s="165">
        <f t="shared" si="1"/>
        <v>0</v>
      </c>
      <c r="W11" s="165">
        <f t="shared" si="2"/>
        <v>0</v>
      </c>
    </row>
    <row r="12" spans="1:23" s="13" customFormat="1">
      <c r="A12" s="102"/>
      <c r="B12" s="102"/>
      <c r="C12" s="102"/>
      <c r="D12" s="102"/>
      <c r="E12" s="79" t="s">
        <v>165</v>
      </c>
      <c r="F12" s="102" t="s">
        <v>370</v>
      </c>
      <c r="G12" s="102"/>
      <c r="H12" s="102"/>
      <c r="I12" s="219">
        <f>IFERROR(SUMPRODUCT(('辅助-机制测算'!$A$2:$A$200="天猫淘宝平台")*'辅助-机制测算'!$F$2:$F$200*IFERROR('辅助-机制测算'!$G$2:$G$200/'辅助-机制测算'!$H$2:$H$200,0))*'假设-目标渠道分解'!L$12,0)</f>
        <v>29.970227368421039</v>
      </c>
      <c r="J12" s="219">
        <f>IFERROR(SUMPRODUCT(('辅助-机制测算'!$A$2:$A$200="天猫淘宝平台")*'辅助-机制测算'!$F$2:$F$200*IFERROR('辅助-机制测算'!$G$2:$G$200/'辅助-机制测算'!$H$2:$H$200,0))*'假设-目标渠道分解'!M$12,0)</f>
        <v>28.607608421052621</v>
      </c>
      <c r="K12" s="219">
        <f>IFERROR(SUMPRODUCT(('辅助-机制测算'!$A$2:$A$200="天猫淘宝平台")*'辅助-机制测算'!$F$2:$F$200*IFERROR('辅助-机制测算'!$G$2:$G$200/'辅助-机制测算'!$H$2:$H$200,0))*'假设-目标渠道分解'!N$12,0)</f>
        <v>40.677279157894723</v>
      </c>
      <c r="L12" s="219">
        <f>IFERROR(SUMPRODUCT(('辅助-机制测算'!$A$2:$A$200="天猫淘宝平台")*'辅助-机制测算'!$F$2:$F$200*IFERROR('辅助-机制测算'!$G$2:$G$200/'辅助-机制测算'!$H$2:$H$200,0))*'假设-目标渠道分解'!O$12,0)</f>
        <v>45.224465684210514</v>
      </c>
      <c r="M12" s="219">
        <f>IFERROR(SUMPRODUCT(('辅助-机制测算'!$A$2:$A$200="天猫淘宝平台")*'辅助-机制测算'!$F$2:$F$200*IFERROR('辅助-机制测算'!$G$2:$G$200/'辅助-机制测算'!$H$2:$H$200,0))*'假设-目标渠道分解'!P$12,0)</f>
        <v>52.583494736842091</v>
      </c>
      <c r="N12" s="219">
        <f>IFERROR(SUMPRODUCT(('辅助-机制测算'!$A$2:$A$200="天猫淘宝平台")*'辅助-机制测算'!$F$2:$F$200*IFERROR('辅助-机制测算'!$G$2:$G$200/'辅助-机制测算'!$H$2:$H$200,0))*'假设-目标渠道分解'!Q$12,0)</f>
        <v>36.077033461503802</v>
      </c>
      <c r="O12" s="219">
        <f>IFERROR(SUMPRODUCT(('辅助-机制测算'!$A$2:$A$200="天猫淘宝平台")*'辅助-机制测算'!$F$2:$F$200*IFERROR('辅助-机制测算'!$G$2:$G$200/'辅助-机制测算'!$H$2:$H$200,0))*'假设-目标渠道分解'!R$12,0)</f>
        <v>17.621545992252109</v>
      </c>
      <c r="P12" s="219">
        <f>IFERROR(SUMPRODUCT(('辅助-机制测算'!$A$2:$A$200="天猫淘宝平台")*'辅助-机制测算'!$F$2:$F$200*IFERROR('辅助-机制测算'!$G$2:$G$200/'辅助-机制测算'!$H$2:$H$200,0))*'假设-目标渠道分解'!S$12,0)</f>
        <v>23.567911306510027</v>
      </c>
      <c r="Q12" s="219">
        <f>IFERROR(SUMPRODUCT(('辅助-机制测算'!$A$2:$A$200="天猫淘宝平台")*'辅助-机制测算'!$F$2:$F$200*IFERROR('辅助-机制测算'!$G$2:$G$200/'辅助-机制测算'!$H$2:$H$200,0))*'假设-目标渠道分解'!T$12,0)</f>
        <v>29.804343221463441</v>
      </c>
      <c r="R12" s="219">
        <f>IFERROR(SUMPRODUCT(('辅助-机制测算'!$A$2:$A$200="天猫淘宝平台")*'辅助-机制测算'!$F$2:$F$200*IFERROR('辅助-机制测算'!$G$2:$G$200/'辅助-机制测算'!$H$2:$H$200,0))*'假设-目标渠道分解'!U$12,0)</f>
        <v>32.233651002288326</v>
      </c>
      <c r="S12" s="219">
        <f>IFERROR(SUMPRODUCT(('辅助-机制测算'!$A$2:$A$200="天猫淘宝平台")*'辅助-机制测算'!$F$2:$F$200*IFERROR('辅助-机制测算'!$G$2:$G$200/'辅助-机制测算'!$H$2:$H$200,0))*'假设-目标渠道分解'!V$12,0)</f>
        <v>39.158991093893576</v>
      </c>
      <c r="T12" s="219">
        <f>IFERROR(SUMPRODUCT(('辅助-机制测算'!$A$2:$A$200="天猫淘宝平台")*'辅助-机制测算'!$F$2:$F$200*IFERROR('辅助-机制测算'!$G$2:$G$200/'辅助-机制测算'!$H$2:$H$200,0))*'假设-目标渠道分解'!W$12,0)</f>
        <v>33.357659079983421</v>
      </c>
      <c r="U12" s="219"/>
      <c r="V12" s="219">
        <f t="shared" si="1"/>
        <v>408.88421052631566</v>
      </c>
      <c r="W12" s="219">
        <f t="shared" si="2"/>
        <v>175.74410169639089</v>
      </c>
    </row>
    <row r="13" spans="1:23">
      <c r="A13" s="67"/>
      <c r="B13" s="102"/>
      <c r="C13" s="102"/>
      <c r="D13" s="67"/>
      <c r="E13" s="67"/>
      <c r="F13" s="67" t="s">
        <v>371</v>
      </c>
      <c r="G13" s="67"/>
      <c r="H13" s="67"/>
      <c r="I13" s="220">
        <f t="shared" ref="I13:T13" si="5">IFERROR(I$12/$V$12,0)</f>
        <v>7.3297590361445772E-2</v>
      </c>
      <c r="J13" s="220">
        <f t="shared" si="5"/>
        <v>6.9965060240963856E-2</v>
      </c>
      <c r="K13" s="220">
        <f t="shared" si="5"/>
        <v>9.9483614457831326E-2</v>
      </c>
      <c r="L13" s="220">
        <f t="shared" si="5"/>
        <v>0.11060457831325302</v>
      </c>
      <c r="M13" s="220">
        <f t="shared" si="5"/>
        <v>0.12860240963855424</v>
      </c>
      <c r="N13" s="220">
        <f t="shared" si="5"/>
        <v>8.8232884843035278E-2</v>
      </c>
      <c r="O13" s="220">
        <f t="shared" si="5"/>
        <v>4.3096665360517733E-2</v>
      </c>
      <c r="P13" s="220">
        <f t="shared" si="5"/>
        <v>5.7639573013038133E-2</v>
      </c>
      <c r="Q13" s="220">
        <f t="shared" si="5"/>
        <v>7.2891890794949746E-2</v>
      </c>
      <c r="R13" s="220">
        <f t="shared" si="5"/>
        <v>7.8833200628601385E-2</v>
      </c>
      <c r="S13" s="220">
        <f t="shared" si="5"/>
        <v>9.5770367467817197E-2</v>
      </c>
      <c r="T13" s="220">
        <f t="shared" si="5"/>
        <v>8.1582164879992425E-2</v>
      </c>
      <c r="U13" s="155"/>
      <c r="V13" s="220">
        <f t="shared" si="1"/>
        <v>1</v>
      </c>
      <c r="W13" s="220">
        <f t="shared" si="2"/>
        <v>0.42981386214491663</v>
      </c>
    </row>
    <row r="14" spans="1:23">
      <c r="A14" s="67"/>
      <c r="B14" s="102"/>
      <c r="C14" s="102"/>
      <c r="D14" s="67"/>
      <c r="E14" s="79" t="s">
        <v>165</v>
      </c>
      <c r="F14" s="67" t="s">
        <v>372</v>
      </c>
      <c r="G14" s="67"/>
      <c r="H14" s="67"/>
      <c r="I14" s="165">
        <f>IF(COUNTIFS('参考值-平台费用率分析'!$B$6:$B$532,"天猫淘宝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天猫淘宝",'参考值-平台费用率分析'!$C$6:$C$532,"主营业务收入",'参考值-平台费用率分析'!$E$6:$E$532,"主营业务收入")/10000)</f>
        <v>27.701167999999999</v>
      </c>
      <c r="J14" s="165">
        <f>IF(COUNTIFS('参考值-平台费用率分析'!$B$6:$B$532,"天猫淘宝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天猫淘宝",'参考值-平台费用率分析'!$C$6:$C$532,"主营业务收入",'参考值-平台费用率分析'!$E$6:$E$532,"主营业务收入")/10000)</f>
        <v>14.251385999999998</v>
      </c>
      <c r="K14" s="165">
        <f>IF(COUNTIFS('参考值-平台费用率分析'!$B$6:$B$532,"天猫淘宝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天猫淘宝",'参考值-平台费用率分析'!$C$6:$C$532,"主营业务收入",'参考值-平台费用率分析'!$E$6:$E$532,"主营业务收入")/10000)</f>
        <v>32.562117000000001</v>
      </c>
      <c r="L14" s="165">
        <f>IF(COUNTIFS('参考值-平台费用率分析'!$B$6:$B$532,"天猫淘宝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天猫淘宝",'参考值-平台费用率分析'!$C$6:$C$532,"主营业务收入",'参考值-平台费用率分析'!$E$6:$E$532,"主营业务收入")/10000)</f>
        <v>34.249648999999998</v>
      </c>
      <c r="M14" s="165">
        <f>IF(COUNTIFS('参考值-平台费用率分析'!$B$6:$B$532,"天猫淘宝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天猫淘宝",'参考值-平台费用率分析'!$C$6:$C$532,"主营业务收入",'参考值-平台费用率分析'!$E$6:$E$532,"主营业务收入")/10000)</f>
        <v>32.596449999999997</v>
      </c>
      <c r="N14" s="165">
        <f>IF(COUNTIFS('参考值-平台费用率分析'!$B$6:$B$532,"天猫淘宝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天猫淘宝",'参考值-平台费用率分析'!$C$6:$C$532,"主营业务收入",'参考值-平台费用率分析'!$E$6:$E$532,"主营业务收入")/10000)</f>
        <v>26.272108000000003</v>
      </c>
      <c r="O14" s="165" t="str">
        <f>IF(COUNTIFS('参考值-平台费用率分析'!$B$6:$B$532,"天猫淘宝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天猫淘宝",'参考值-平台费用率分析'!$C$6:$C$532,"主营业务收入",'参考值-平台费用率分析'!$E$6:$E$532,"主营业务收入")/10000)</f>
        <v/>
      </c>
      <c r="P14" s="165" t="str">
        <f>IF(COUNTIFS('参考值-平台费用率分析'!$B$6:$B$532,"天猫淘宝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天猫淘宝",'参考值-平台费用率分析'!$C$6:$C$532,"主营业务收入",'参考值-平台费用率分析'!$E$6:$E$532,"主营业务收入")/10000)</f>
        <v/>
      </c>
      <c r="Q14" s="165" t="str">
        <f>IF(COUNTIFS('参考值-平台费用率分析'!$B$6:$B$532,"天猫淘宝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天猫淘宝",'参考值-平台费用率分析'!$C$6:$C$532,"主营业务收入",'参考值-平台费用率分析'!$E$6:$E$532,"主营业务收入")/10000)</f>
        <v/>
      </c>
      <c r="R14" s="165" t="str">
        <f>IF(COUNTIFS('参考值-平台费用率分析'!$B$6:$B$532,"天猫淘宝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天猫淘宝",'参考值-平台费用率分析'!$C$6:$C$532,"主营业务收入",'参考值-平台费用率分析'!$E$6:$E$532,"主营业务收入")/10000)</f>
        <v/>
      </c>
      <c r="S14" s="165" t="str">
        <f>IF(COUNTIFS('参考值-平台费用率分析'!$B$6:$B$532,"天猫淘宝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天猫淘宝",'参考值-平台费用率分析'!$C$6:$C$532,"主营业务收入",'参考值-平台费用率分析'!$E$6:$E$532,"主营业务收入")/10000)</f>
        <v/>
      </c>
      <c r="T14" s="165" t="str">
        <f>IF(COUNTIFS('参考值-平台费用率分析'!$B$6:$B$532,"天猫淘宝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天猫淘宝",'参考值-平台费用率分析'!$C$6:$C$532,"主营业务收入",'参考值-平台费用率分析'!$E$6:$E$532,"主营业务收入")/10000)</f>
        <v/>
      </c>
      <c r="U14" s="165"/>
      <c r="V14" s="165">
        <f t="shared" si="1"/>
        <v>167.63287800000001</v>
      </c>
      <c r="W14" s="165">
        <f t="shared" si="2"/>
        <v>0</v>
      </c>
    </row>
    <row r="15" spans="1:23" s="13" customFormat="1">
      <c r="A15" s="102"/>
      <c r="B15" s="102"/>
      <c r="C15" s="102"/>
      <c r="D15" s="102"/>
      <c r="E15" s="79" t="s">
        <v>165</v>
      </c>
      <c r="F15" s="102" t="s">
        <v>807</v>
      </c>
      <c r="G15" s="102"/>
      <c r="H15" s="102"/>
      <c r="I15" s="219">
        <f t="shared" ref="I15:T15" si="6">IF(ISNUMBER(I$14),I$14,I$12*IFERROR(SUM($I$14:$T$14)/SUMPRODUCT(($I$14:$T$14&lt;&gt;"")*$I$12:$T$12),1))</f>
        <v>27.701167999999999</v>
      </c>
      <c r="J15" s="219">
        <f t="shared" si="6"/>
        <v>14.251385999999998</v>
      </c>
      <c r="K15" s="219">
        <f t="shared" si="6"/>
        <v>32.562117000000001</v>
      </c>
      <c r="L15" s="219">
        <f t="shared" si="6"/>
        <v>34.249648999999998</v>
      </c>
      <c r="M15" s="219">
        <f t="shared" si="6"/>
        <v>32.596449999999997</v>
      </c>
      <c r="N15" s="219">
        <f t="shared" si="6"/>
        <v>26.272108000000003</v>
      </c>
      <c r="O15" s="219">
        <f t="shared" si="6"/>
        <v>12.670280048833158</v>
      </c>
      <c r="P15" s="219">
        <f t="shared" si="6"/>
        <v>16.945847801937354</v>
      </c>
      <c r="Q15" s="219">
        <f t="shared" si="6"/>
        <v>21.429979835680772</v>
      </c>
      <c r="R15" s="219">
        <f t="shared" si="6"/>
        <v>23.176705686034317</v>
      </c>
      <c r="S15" s="219">
        <f t="shared" si="6"/>
        <v>28.156177886295907</v>
      </c>
      <c r="T15" s="219">
        <f t="shared" si="6"/>
        <v>23.984892273511331</v>
      </c>
      <c r="U15" s="219"/>
      <c r="V15" s="219">
        <f t="shared" si="1"/>
        <v>293.99676153229285</v>
      </c>
      <c r="W15" s="219">
        <f t="shared" si="2"/>
        <v>126.36388353229285</v>
      </c>
    </row>
    <row r="16" spans="1:23">
      <c r="A16" s="67"/>
      <c r="B16" s="102"/>
      <c r="C16" s="102"/>
      <c r="D16" s="67"/>
      <c r="E16" s="79" t="s">
        <v>165</v>
      </c>
      <c r="F16" s="67" t="s">
        <v>808</v>
      </c>
      <c r="G16" s="67"/>
      <c r="H16" s="67"/>
      <c r="I16" s="165">
        <f t="shared" ref="I16:T16" si="7">IF(ISNUMBER(I$14),I$14,IFERROR(I$12+(SUMPRODUCT(($I$14:$T$14&lt;&gt;"")*$I$12:$T$12)-SUM($I$14:$T$14))*(I$13/(SUMPRODUCT(($I$14:$T$14="")*$I$13:$T$13))),I$12))</f>
        <v>27.701167999999999</v>
      </c>
      <c r="J16" s="165">
        <f t="shared" si="7"/>
        <v>14.251385999999998</v>
      </c>
      <c r="K16" s="165">
        <f t="shared" si="7"/>
        <v>32.562117000000001</v>
      </c>
      <c r="L16" s="165">
        <f t="shared" si="7"/>
        <v>34.249648999999998</v>
      </c>
      <c r="M16" s="165">
        <f t="shared" si="7"/>
        <v>32.596449999999997</v>
      </c>
      <c r="N16" s="165">
        <f t="shared" si="7"/>
        <v>26.272108000000003</v>
      </c>
      <c r="O16" s="165">
        <f t="shared" si="7"/>
        <v>24.189838582172356</v>
      </c>
      <c r="P16" s="165">
        <f t="shared" si="7"/>
        <v>32.35266477039513</v>
      </c>
      <c r="Q16" s="165">
        <f t="shared" si="7"/>
        <v>40.913677601945835</v>
      </c>
      <c r="R16" s="165">
        <f t="shared" si="7"/>
        <v>44.248490739817342</v>
      </c>
      <c r="S16" s="165">
        <f t="shared" si="7"/>
        <v>53.755196849271904</v>
      </c>
      <c r="T16" s="165">
        <f t="shared" si="7"/>
        <v>45.791463982713104</v>
      </c>
      <c r="U16" s="165"/>
      <c r="V16" s="165">
        <f t="shared" si="1"/>
        <v>408.88421052631566</v>
      </c>
      <c r="W16" s="165">
        <f t="shared" si="2"/>
        <v>241.25133252631568</v>
      </c>
    </row>
    <row r="17" spans="1:23" s="13" customFormat="1">
      <c r="A17" s="102"/>
      <c r="B17" s="217" t="s">
        <v>48</v>
      </c>
      <c r="C17" s="217"/>
      <c r="D17" s="217"/>
      <c r="E17" s="217"/>
      <c r="F17" s="217"/>
      <c r="G17" s="217"/>
      <c r="H17" s="102"/>
      <c r="I17" s="218">
        <f t="shared" ref="I17:T17" si="8">I$18</f>
        <v>8.5813400869565193</v>
      </c>
      <c r="J17" s="218">
        <f t="shared" si="8"/>
        <v>4.4148315326086944</v>
      </c>
      <c r="K17" s="218">
        <f t="shared" si="8"/>
        <v>10.087177548913042</v>
      </c>
      <c r="L17" s="218">
        <f t="shared" si="8"/>
        <v>10.609945614130432</v>
      </c>
      <c r="M17" s="218">
        <f t="shared" si="8"/>
        <v>10.097813315217389</v>
      </c>
      <c r="N17" s="218">
        <f t="shared" si="8"/>
        <v>8.1386421521739116</v>
      </c>
      <c r="O17" s="218">
        <f t="shared" si="8"/>
        <v>7.4935912999120875</v>
      </c>
      <c r="P17" s="218">
        <f t="shared" si="8"/>
        <v>10.022292890828924</v>
      </c>
      <c r="Q17" s="218">
        <f t="shared" si="8"/>
        <v>12.674345778863653</v>
      </c>
      <c r="R17" s="218">
        <f t="shared" si="8"/>
        <v>13.707412892226021</v>
      </c>
      <c r="S17" s="218">
        <f t="shared" si="8"/>
        <v>16.65242511091575</v>
      </c>
      <c r="T17" s="218">
        <f t="shared" si="8"/>
        <v>14.185399168557861</v>
      </c>
      <c r="U17" s="165"/>
      <c r="V17" s="218">
        <f t="shared" si="1"/>
        <v>126.66521739130428</v>
      </c>
      <c r="W17" s="218">
        <f t="shared" si="2"/>
        <v>74.735467141304298</v>
      </c>
    </row>
    <row r="18" spans="1:23">
      <c r="A18" s="67"/>
      <c r="B18" s="102"/>
      <c r="C18" s="102"/>
      <c r="D18" s="67" t="s">
        <v>48</v>
      </c>
      <c r="E18" s="67" t="s">
        <v>127</v>
      </c>
      <c r="F18" s="67" t="s">
        <v>127</v>
      </c>
      <c r="G18" s="67"/>
      <c r="H18" s="67"/>
      <c r="I18" s="165">
        <f>IFERROR(I$8*SUMPRODUCT(('辅助-机制测算'!$A$2:$A$200="天猫淘宝平台")*'辅助-机制测算'!$F$2:$F$200*IFERROR('辅助-机制测算'!$H$2:$H$200/'辅助-机制测算'!$G$2:$G$200,0)),0)</f>
        <v>8.5813400869565193</v>
      </c>
      <c r="J18" s="165">
        <f>IFERROR(J$8*SUMPRODUCT(('辅助-机制测算'!$A$2:$A$200="天猫淘宝平台")*'辅助-机制测算'!$F$2:$F$200*IFERROR('辅助-机制测算'!$H$2:$H$200/'辅助-机制测算'!$G$2:$G$200,0)),0)</f>
        <v>4.4148315326086944</v>
      </c>
      <c r="K18" s="165">
        <f>IFERROR(K$8*SUMPRODUCT(('辅助-机制测算'!$A$2:$A$200="天猫淘宝平台")*'辅助-机制测算'!$F$2:$F$200*IFERROR('辅助-机制测算'!$H$2:$H$200/'辅助-机制测算'!$G$2:$G$200,0)),0)</f>
        <v>10.087177548913042</v>
      </c>
      <c r="L18" s="165">
        <f>IFERROR(L$8*SUMPRODUCT(('辅助-机制测算'!$A$2:$A$200="天猫淘宝平台")*'辅助-机制测算'!$F$2:$F$200*IFERROR('辅助-机制测算'!$H$2:$H$200/'辅助-机制测算'!$G$2:$G$200,0)),0)</f>
        <v>10.609945614130432</v>
      </c>
      <c r="M18" s="165">
        <f>IFERROR(M$8*SUMPRODUCT(('辅助-机制测算'!$A$2:$A$200="天猫淘宝平台")*'辅助-机制测算'!$F$2:$F$200*IFERROR('辅助-机制测算'!$H$2:$H$200/'辅助-机制测算'!$G$2:$G$200,0)),0)</f>
        <v>10.097813315217389</v>
      </c>
      <c r="N18" s="165">
        <f>IFERROR(N$8*SUMPRODUCT(('辅助-机制测算'!$A$2:$A$200="天猫淘宝平台")*'辅助-机制测算'!$F$2:$F$200*IFERROR('辅助-机制测算'!$H$2:$H$200/'辅助-机制测算'!$G$2:$G$200,0)),0)</f>
        <v>8.1386421521739116</v>
      </c>
      <c r="O18" s="165">
        <f>IFERROR(O$8*SUMPRODUCT(('辅助-机制测算'!$A$2:$A$200="天猫淘宝平台")*'辅助-机制测算'!$F$2:$F$200*IFERROR('辅助-机制测算'!$H$2:$H$200/'辅助-机制测算'!$G$2:$G$200,0)),0)</f>
        <v>7.4935912999120875</v>
      </c>
      <c r="P18" s="165">
        <f>IFERROR(P$8*SUMPRODUCT(('辅助-机制测算'!$A$2:$A$200="天猫淘宝平台")*'辅助-机制测算'!$F$2:$F$200*IFERROR('辅助-机制测算'!$H$2:$H$200/'辅助-机制测算'!$G$2:$G$200,0)),0)</f>
        <v>10.022292890828924</v>
      </c>
      <c r="Q18" s="165">
        <f>IFERROR(Q$8*SUMPRODUCT(('辅助-机制测算'!$A$2:$A$200="天猫淘宝平台")*'辅助-机制测算'!$F$2:$F$200*IFERROR('辅助-机制测算'!$H$2:$H$200/'辅助-机制测算'!$G$2:$G$200,0)),0)</f>
        <v>12.674345778863653</v>
      </c>
      <c r="R18" s="165">
        <f>IFERROR(R$8*SUMPRODUCT(('辅助-机制测算'!$A$2:$A$200="天猫淘宝平台")*'辅助-机制测算'!$F$2:$F$200*IFERROR('辅助-机制测算'!$H$2:$H$200/'辅助-机制测算'!$G$2:$G$200,0)),0)</f>
        <v>13.707412892226021</v>
      </c>
      <c r="S18" s="165">
        <f>IFERROR(S$8*SUMPRODUCT(('辅助-机制测算'!$A$2:$A$200="天猫淘宝平台")*'辅助-机制测算'!$F$2:$F$200*IFERROR('辅助-机制测算'!$H$2:$H$200/'辅助-机制测算'!$G$2:$G$200,0)),0)</f>
        <v>16.65242511091575</v>
      </c>
      <c r="T18" s="165">
        <f>IFERROR(T$8*SUMPRODUCT(('辅助-机制测算'!$A$2:$A$200="天猫淘宝平台")*'辅助-机制测算'!$F$2:$F$200*IFERROR('辅助-机制测算'!$H$2:$H$200/'辅助-机制测算'!$G$2:$G$200,0)),0)</f>
        <v>14.185399168557861</v>
      </c>
      <c r="U18" s="219"/>
      <c r="V18" s="165">
        <f t="shared" si="1"/>
        <v>126.66521739130428</v>
      </c>
      <c r="W18" s="165">
        <f t="shared" si="2"/>
        <v>74.735467141304298</v>
      </c>
    </row>
    <row r="19" spans="1:23" s="13" customFormat="1">
      <c r="A19" s="102"/>
      <c r="B19" s="217" t="s">
        <v>52</v>
      </c>
      <c r="C19" s="217"/>
      <c r="D19" s="217"/>
      <c r="E19" s="217"/>
      <c r="F19" s="217"/>
      <c r="G19" s="217"/>
      <c r="H19" s="102"/>
      <c r="I19" s="218">
        <f t="shared" ref="I19:T19" si="9">I20+I26+I31+I35+I40</f>
        <v>10.185267872481338</v>
      </c>
      <c r="J19" s="218">
        <f t="shared" si="9"/>
        <v>6.7460172967693834</v>
      </c>
      <c r="K19" s="218">
        <f t="shared" si="9"/>
        <v>12.697781231328117</v>
      </c>
      <c r="L19" s="218">
        <f t="shared" si="9"/>
        <v>16.690068120893486</v>
      </c>
      <c r="M19" s="218">
        <f t="shared" si="9"/>
        <v>13.350269686663552</v>
      </c>
      <c r="N19" s="218">
        <f t="shared" si="9"/>
        <v>12.591745031406308</v>
      </c>
      <c r="O19" s="218">
        <f t="shared" si="9"/>
        <v>10.745798548335342</v>
      </c>
      <c r="P19" s="218">
        <f t="shared" si="9"/>
        <v>13.916033019338443</v>
      </c>
      <c r="Q19" s="218">
        <f t="shared" si="9"/>
        <v>17.240913074292912</v>
      </c>
      <c r="R19" s="218">
        <f t="shared" si="9"/>
        <v>18.536069839885645</v>
      </c>
      <c r="S19" s="218">
        <f t="shared" si="9"/>
        <v>22.22823315672462</v>
      </c>
      <c r="T19" s="218">
        <f t="shared" si="9"/>
        <v>19.135321477697204</v>
      </c>
      <c r="U19" s="165"/>
      <c r="V19" s="218">
        <f t="shared" si="1"/>
        <v>174.06351835581634</v>
      </c>
      <c r="W19" s="218">
        <f t="shared" si="2"/>
        <v>101.80236911627418</v>
      </c>
    </row>
    <row r="20" spans="1:23" s="13" customFormat="1">
      <c r="A20" s="102"/>
      <c r="B20" s="102"/>
      <c r="C20" s="222" t="s">
        <v>65</v>
      </c>
      <c r="D20" s="222"/>
      <c r="E20" s="222"/>
      <c r="F20" s="222"/>
      <c r="G20" s="222"/>
      <c r="H20" s="102"/>
      <c r="I20" s="223">
        <f t="shared" ref="I20:T20" si="10">SUM(I21:I25)</f>
        <v>7.8967081638000032</v>
      </c>
      <c r="J20" s="223">
        <f t="shared" si="10"/>
        <v>4.9254831719999999</v>
      </c>
      <c r="K20" s="223">
        <f t="shared" si="10"/>
        <v>10.24330345780001</v>
      </c>
      <c r="L20" s="223">
        <f t="shared" si="10"/>
        <v>14.187198418072262</v>
      </c>
      <c r="M20" s="223">
        <f t="shared" si="10"/>
        <v>11.200114113655049</v>
      </c>
      <c r="N20" s="223">
        <f t="shared" si="10"/>
        <v>10.372103827405335</v>
      </c>
      <c r="O20" s="223">
        <f t="shared" si="10"/>
        <v>8.525536639784681</v>
      </c>
      <c r="P20" s="223">
        <f t="shared" si="10"/>
        <v>11.402466699300501</v>
      </c>
      <c r="Q20" s="223">
        <f t="shared" si="10"/>
        <v>14.419734810500016</v>
      </c>
      <c r="R20" s="223">
        <f t="shared" si="10"/>
        <v>15.595065993350993</v>
      </c>
      <c r="S20" s="223">
        <f t="shared" si="10"/>
        <v>18.945636977299294</v>
      </c>
      <c r="T20" s="223">
        <f t="shared" si="10"/>
        <v>16.138875943625322</v>
      </c>
      <c r="U20" s="165"/>
      <c r="V20" s="223">
        <f t="shared" si="1"/>
        <v>143.85222821659346</v>
      </c>
      <c r="W20" s="223">
        <f t="shared" si="2"/>
        <v>85.027317063860806</v>
      </c>
    </row>
    <row r="21" spans="1:23">
      <c r="A21" s="67"/>
      <c r="B21" s="102"/>
      <c r="C21" s="102"/>
      <c r="D21" s="67" t="s">
        <v>52</v>
      </c>
      <c r="E21" s="67" t="s">
        <v>54</v>
      </c>
      <c r="F21" s="67" t="s">
        <v>55</v>
      </c>
      <c r="G21" s="67"/>
      <c r="H21" s="67"/>
      <c r="I21" s="165">
        <f>I$8*'假设-ROI月度滚动'!J10</f>
        <v>6.1176670000000035</v>
      </c>
      <c r="J21" s="165">
        <f>J$8*'假设-ROI月度滚动'!K10</f>
        <v>4.0272790000000001</v>
      </c>
      <c r="K21" s="165">
        <f>K$8*'假设-ROI月度滚动'!L10</f>
        <v>8.2254160000000098</v>
      </c>
      <c r="L21" s="165">
        <f>L$8*'假设-ROI月度滚动'!M10</f>
        <v>12.037204364472261</v>
      </c>
      <c r="M21" s="165">
        <f>M$8*'假设-ROI月度滚动'!N10</f>
        <v>8.9149157024550494</v>
      </c>
      <c r="N21" s="165">
        <f>N$8*'假设-ROI月度滚动'!O10</f>
        <v>8.6273130000000027</v>
      </c>
      <c r="O21" s="165">
        <f>O$8*'假设-ROI月度滚动'!P10</f>
        <v>6.9190340905948737</v>
      </c>
      <c r="P21" s="165">
        <f>P$8*'假设-ROI月度滚动'!Q10</f>
        <v>9.2538521787791534</v>
      </c>
      <c r="Q21" s="165">
        <f>Q$8*'假设-ROI月度滚动'!R10</f>
        <v>11.702563832240712</v>
      </c>
      <c r="R21" s="165">
        <f>R$8*'假设-ROI月度滚动'!S10</f>
        <v>12.65642244143795</v>
      </c>
      <c r="S21" s="165">
        <f>S$8*'假设-ROI月度滚动'!T10</f>
        <v>15.375631312433054</v>
      </c>
      <c r="T21" s="165">
        <f>T$8*'假设-ROI月度滚动'!U10</f>
        <v>13.097760006887416</v>
      </c>
      <c r="U21" s="165"/>
      <c r="V21" s="165">
        <f t="shared" si="1"/>
        <v>116.95505892930049</v>
      </c>
      <c r="W21" s="165">
        <f t="shared" si="2"/>
        <v>69.005263862373155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58</v>
      </c>
      <c r="G22" s="67"/>
      <c r="H22" s="67"/>
      <c r="I22" s="165">
        <f>I$8*'假设-销售费用率'!K60</f>
        <v>0</v>
      </c>
      <c r="J22" s="165">
        <f>J$8*'假设-销售费用率'!L60</f>
        <v>0</v>
      </c>
      <c r="K22" s="165">
        <f>K$8*'假设-销售费用率'!M60</f>
        <v>0</v>
      </c>
      <c r="L22" s="165">
        <f>L$8*'假设-销售费用率'!N60</f>
        <v>0</v>
      </c>
      <c r="M22" s="165">
        <f>M$8*'假设-销售费用率'!O60</f>
        <v>0</v>
      </c>
      <c r="N22" s="165">
        <f>N$8*'假设-销售费用率'!P60</f>
        <v>0</v>
      </c>
      <c r="O22" s="165">
        <f>O$8*'假设-销售费用率'!Q60</f>
        <v>0</v>
      </c>
      <c r="P22" s="165">
        <f>P$8*'假设-销售费用率'!R60</f>
        <v>0</v>
      </c>
      <c r="Q22" s="165">
        <f>Q$8*'假设-销售费用率'!S60</f>
        <v>0</v>
      </c>
      <c r="R22" s="165">
        <f>R$8*'假设-销售费用率'!T60</f>
        <v>0</v>
      </c>
      <c r="S22" s="165">
        <f>S$8*'假设-销售费用率'!U60</f>
        <v>0</v>
      </c>
      <c r="T22" s="165">
        <f>T$8*'假设-销售费用率'!V60</f>
        <v>0</v>
      </c>
      <c r="U22" s="165"/>
      <c r="V22" s="165">
        <f t="shared" si="1"/>
        <v>0</v>
      </c>
      <c r="W22" s="165">
        <f t="shared" si="2"/>
        <v>0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59</v>
      </c>
      <c r="G23" s="67"/>
      <c r="H23" s="67"/>
      <c r="I23" s="165">
        <f>I$8*'假设-销售费用率'!K61</f>
        <v>0</v>
      </c>
      <c r="J23" s="165">
        <f>J$8*'假设-销售费用率'!L61</f>
        <v>0</v>
      </c>
      <c r="K23" s="165">
        <f>K$8*'假设-销售费用率'!M61</f>
        <v>0</v>
      </c>
      <c r="L23" s="165">
        <f>L$8*'假设-销售费用率'!N61</f>
        <v>0</v>
      </c>
      <c r="M23" s="165">
        <f>M$8*'假设-销售费用率'!O61</f>
        <v>0</v>
      </c>
      <c r="N23" s="165">
        <f>N$8*'假设-销售费用率'!P61</f>
        <v>0</v>
      </c>
      <c r="O23" s="165">
        <f>O$8*'假设-销售费用率'!Q61</f>
        <v>0</v>
      </c>
      <c r="P23" s="165">
        <f>P$8*'假设-销售费用率'!R61</f>
        <v>0</v>
      </c>
      <c r="Q23" s="165">
        <f>Q$8*'假设-销售费用率'!S61</f>
        <v>0</v>
      </c>
      <c r="R23" s="165">
        <f>R$8*'假设-销售费用率'!T61</f>
        <v>0</v>
      </c>
      <c r="S23" s="165">
        <f>S$8*'假设-销售费用率'!U61</f>
        <v>0</v>
      </c>
      <c r="T23" s="165">
        <f>T$8*'假设-销售费用率'!V61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60</v>
      </c>
      <c r="G24" s="67"/>
      <c r="H24" s="67"/>
      <c r="I24" s="165">
        <f>I$8*'假设-销售费用率'!K62</f>
        <v>0</v>
      </c>
      <c r="J24" s="165">
        <f>J$8*'假设-销售费用率'!L62</f>
        <v>0</v>
      </c>
      <c r="K24" s="165">
        <f>K$8*'假设-销售费用率'!M62</f>
        <v>0</v>
      </c>
      <c r="L24" s="165">
        <f>L$8*'假设-销售费用率'!N62</f>
        <v>0</v>
      </c>
      <c r="M24" s="165">
        <f>M$8*'假设-销售费用率'!O62</f>
        <v>0</v>
      </c>
      <c r="N24" s="165">
        <f>N$8*'假设-销售费用率'!P62</f>
        <v>0</v>
      </c>
      <c r="O24" s="165">
        <f>O$8*'假设-销售费用率'!Q62</f>
        <v>0</v>
      </c>
      <c r="P24" s="165">
        <f>P$8*'假设-销售费用率'!R62</f>
        <v>0</v>
      </c>
      <c r="Q24" s="165">
        <f>Q$8*'假设-销售费用率'!S62</f>
        <v>0</v>
      </c>
      <c r="R24" s="165">
        <f>R$8*'假设-销售费用率'!T62</f>
        <v>0</v>
      </c>
      <c r="S24" s="165">
        <f>S$8*'假设-销售费用率'!U62</f>
        <v>0</v>
      </c>
      <c r="T24" s="165">
        <f>T$8*'假设-销售费用率'!V62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61</v>
      </c>
      <c r="G25" s="67"/>
      <c r="H25" s="67"/>
      <c r="I25" s="165">
        <f>I$8*'假设-销售费用率'!K63</f>
        <v>1.7790411638000001</v>
      </c>
      <c r="J25" s="165">
        <f>J$8*'假设-销售费用率'!L63</f>
        <v>0.89820417200000002</v>
      </c>
      <c r="K25" s="165">
        <f>K$8*'假设-销售费用率'!M63</f>
        <v>2.0178874578000001</v>
      </c>
      <c r="L25" s="165">
        <f>L$8*'假设-销售费用率'!N63</f>
        <v>2.1499940536</v>
      </c>
      <c r="M25" s="165">
        <f>M$8*'假设-销售费用率'!O63</f>
        <v>2.2851984111999997</v>
      </c>
      <c r="N25" s="165">
        <f>N$8*'假设-销售费用率'!P63</f>
        <v>1.7447908274053323</v>
      </c>
      <c r="O25" s="165">
        <f>O$8*'假设-销售费用率'!Q63</f>
        <v>1.6065025491898073</v>
      </c>
      <c r="P25" s="165">
        <f>P$8*'假设-销售费用率'!R63</f>
        <v>2.1486145205213476</v>
      </c>
      <c r="Q25" s="165">
        <f>Q$8*'假设-销售费用率'!S63</f>
        <v>2.7171709782593036</v>
      </c>
      <c r="R25" s="165">
        <f>R$8*'假设-销售费用率'!T63</f>
        <v>2.9386435519130432</v>
      </c>
      <c r="S25" s="165">
        <f>S$8*'假设-销售费用率'!U63</f>
        <v>3.5700056648662386</v>
      </c>
      <c r="T25" s="165">
        <f>T$8*'假设-销售费用率'!V63</f>
        <v>3.0411159367379068</v>
      </c>
      <c r="U25" s="165"/>
      <c r="V25" s="165">
        <f t="shared" si="1"/>
        <v>26.897169287292979</v>
      </c>
      <c r="W25" s="165">
        <f t="shared" si="2"/>
        <v>16.022053201487648</v>
      </c>
    </row>
    <row r="26" spans="1:23" s="13" customFormat="1">
      <c r="A26" s="102"/>
      <c r="B26" s="102"/>
      <c r="C26" s="222" t="s">
        <v>65</v>
      </c>
      <c r="D26" s="222"/>
      <c r="E26" s="222"/>
      <c r="F26" s="222"/>
      <c r="G26" s="222"/>
      <c r="H26" s="102"/>
      <c r="I26" s="223">
        <f t="shared" ref="I26:T26" si="11">SUM(I27:I30)</f>
        <v>0</v>
      </c>
      <c r="J26" s="223">
        <f t="shared" si="11"/>
        <v>0</v>
      </c>
      <c r="K26" s="223">
        <f t="shared" si="11"/>
        <v>0</v>
      </c>
      <c r="L26" s="223">
        <f t="shared" si="11"/>
        <v>0</v>
      </c>
      <c r="M26" s="223">
        <f t="shared" si="11"/>
        <v>0</v>
      </c>
      <c r="N26" s="223">
        <f t="shared" si="11"/>
        <v>0</v>
      </c>
      <c r="O26" s="223">
        <f t="shared" si="11"/>
        <v>0</v>
      </c>
      <c r="P26" s="223">
        <f t="shared" si="11"/>
        <v>0</v>
      </c>
      <c r="Q26" s="223">
        <f t="shared" si="11"/>
        <v>0</v>
      </c>
      <c r="R26" s="223">
        <f t="shared" si="11"/>
        <v>0</v>
      </c>
      <c r="S26" s="223">
        <f t="shared" si="11"/>
        <v>0</v>
      </c>
      <c r="T26" s="223">
        <f t="shared" si="11"/>
        <v>0</v>
      </c>
      <c r="U26" s="165"/>
      <c r="V26" s="223">
        <f t="shared" si="1"/>
        <v>0</v>
      </c>
      <c r="W26" s="223">
        <f t="shared" si="2"/>
        <v>0</v>
      </c>
    </row>
    <row r="27" spans="1:23">
      <c r="A27" s="67"/>
      <c r="B27" s="102"/>
      <c r="C27" s="102"/>
      <c r="D27" s="67" t="s">
        <v>52</v>
      </c>
      <c r="E27" s="67" t="s">
        <v>65</v>
      </c>
      <c r="F27" s="67" t="s">
        <v>66</v>
      </c>
      <c r="G27" s="67"/>
      <c r="H27" s="67"/>
      <c r="I27" s="165">
        <f>I$8*'假设-销售费用率'!K65</f>
        <v>0</v>
      </c>
      <c r="J27" s="165">
        <f>J$8*'假设-销售费用率'!L65</f>
        <v>0</v>
      </c>
      <c r="K27" s="165">
        <f>K$8*'假设-销售费用率'!M65</f>
        <v>0</v>
      </c>
      <c r="L27" s="165">
        <f>L$8*'假设-销售费用率'!N65</f>
        <v>0</v>
      </c>
      <c r="M27" s="165">
        <f>M$8*'假设-销售费用率'!O65</f>
        <v>0</v>
      </c>
      <c r="N27" s="165">
        <f>N$8*'假设-销售费用率'!P65</f>
        <v>0</v>
      </c>
      <c r="O27" s="165">
        <f>O$8*'假设-销售费用率'!Q65</f>
        <v>0</v>
      </c>
      <c r="P27" s="165">
        <f>P$8*'假设-销售费用率'!R65</f>
        <v>0</v>
      </c>
      <c r="Q27" s="165">
        <f>Q$8*'假设-销售费用率'!S65</f>
        <v>0</v>
      </c>
      <c r="R27" s="165">
        <f>R$8*'假设-销售费用率'!T65</f>
        <v>0</v>
      </c>
      <c r="S27" s="165">
        <f>S$8*'假设-销售费用率'!U65</f>
        <v>0</v>
      </c>
      <c r="T27" s="165">
        <f>T$8*'假设-销售费用率'!V65</f>
        <v>0</v>
      </c>
      <c r="U27" s="165"/>
      <c r="V27" s="165">
        <f t="shared" si="1"/>
        <v>0</v>
      </c>
      <c r="W27" s="165">
        <f t="shared" si="2"/>
        <v>0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67</v>
      </c>
      <c r="G28" s="67"/>
      <c r="H28" s="67"/>
      <c r="I28" s="165">
        <f>I$8*'假设-销售费用率'!K66</f>
        <v>0</v>
      </c>
      <c r="J28" s="165">
        <f>J$8*'假设-销售费用率'!L66</f>
        <v>0</v>
      </c>
      <c r="K28" s="165">
        <f>K$8*'假设-销售费用率'!M66</f>
        <v>0</v>
      </c>
      <c r="L28" s="165">
        <f>L$8*'假设-销售费用率'!N66</f>
        <v>0</v>
      </c>
      <c r="M28" s="165">
        <f>M$8*'假设-销售费用率'!O66</f>
        <v>0</v>
      </c>
      <c r="N28" s="165">
        <f>N$8*'假设-销售费用率'!P66</f>
        <v>0</v>
      </c>
      <c r="O28" s="165">
        <f>O$8*'假设-销售费用率'!Q66</f>
        <v>0</v>
      </c>
      <c r="P28" s="165">
        <f>P$8*'假设-销售费用率'!R66</f>
        <v>0</v>
      </c>
      <c r="Q28" s="165">
        <f>Q$8*'假设-销售费用率'!S66</f>
        <v>0</v>
      </c>
      <c r="R28" s="165">
        <f>R$8*'假设-销售费用率'!T66</f>
        <v>0</v>
      </c>
      <c r="S28" s="165">
        <f>S$8*'假设-销售费用率'!U66</f>
        <v>0</v>
      </c>
      <c r="T28" s="165">
        <f>T$8*'假设-销售费用率'!V66</f>
        <v>0</v>
      </c>
      <c r="U28" s="165"/>
      <c r="V28" s="165">
        <f t="shared" si="1"/>
        <v>0</v>
      </c>
      <c r="W28" s="165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68</v>
      </c>
      <c r="G29" s="67"/>
      <c r="H29" s="67"/>
      <c r="I29" s="165">
        <f>I$8*'假设-销售费用率'!K67</f>
        <v>0</v>
      </c>
      <c r="J29" s="165">
        <f>J$8*'假设-销售费用率'!L67</f>
        <v>0</v>
      </c>
      <c r="K29" s="165">
        <f>K$8*'假设-销售费用率'!M67</f>
        <v>0</v>
      </c>
      <c r="L29" s="165">
        <f>L$8*'假设-销售费用率'!N67</f>
        <v>0</v>
      </c>
      <c r="M29" s="165">
        <f>M$8*'假设-销售费用率'!O67</f>
        <v>0</v>
      </c>
      <c r="N29" s="165">
        <f>N$8*'假设-销售费用率'!P67</f>
        <v>0</v>
      </c>
      <c r="O29" s="165">
        <f>O$8*'假设-销售费用率'!Q67</f>
        <v>0</v>
      </c>
      <c r="P29" s="165">
        <f>P$8*'假设-销售费用率'!R67</f>
        <v>0</v>
      </c>
      <c r="Q29" s="165">
        <f>Q$8*'假设-销售费用率'!S67</f>
        <v>0</v>
      </c>
      <c r="R29" s="165">
        <f>R$8*'假设-销售费用率'!T67</f>
        <v>0</v>
      </c>
      <c r="S29" s="165">
        <f>S$8*'假设-销售费用率'!U67</f>
        <v>0</v>
      </c>
      <c r="T29" s="165">
        <f>T$8*'假设-销售费用率'!V67</f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69</v>
      </c>
      <c r="G30" s="67"/>
      <c r="H30" s="67"/>
      <c r="I30" s="165">
        <f>I$8*'假设-销售费用率'!K68</f>
        <v>0</v>
      </c>
      <c r="J30" s="165">
        <f>J$8*'假设-销售费用率'!L68</f>
        <v>0</v>
      </c>
      <c r="K30" s="165">
        <f>K$8*'假设-销售费用率'!M68</f>
        <v>0</v>
      </c>
      <c r="L30" s="165">
        <f>L$8*'假设-销售费用率'!N68</f>
        <v>0</v>
      </c>
      <c r="M30" s="165">
        <f>M$8*'假设-销售费用率'!O68</f>
        <v>0</v>
      </c>
      <c r="N30" s="165">
        <f>N$8*'假设-销售费用率'!P68</f>
        <v>0</v>
      </c>
      <c r="O30" s="165">
        <f>O$8*'假设-销售费用率'!Q68</f>
        <v>0</v>
      </c>
      <c r="P30" s="165">
        <f>P$8*'假设-销售费用率'!R68</f>
        <v>0</v>
      </c>
      <c r="Q30" s="165">
        <f>Q$8*'假设-销售费用率'!S68</f>
        <v>0</v>
      </c>
      <c r="R30" s="165">
        <f>R$8*'假设-销售费用率'!T68</f>
        <v>0</v>
      </c>
      <c r="S30" s="165">
        <f>S$8*'假设-销售费用率'!U68</f>
        <v>0</v>
      </c>
      <c r="T30" s="165">
        <f>T$8*'假设-销售费用率'!V68</f>
        <v>0</v>
      </c>
      <c r="U30" s="165"/>
      <c r="V30" s="165">
        <f t="shared" si="1"/>
        <v>0</v>
      </c>
      <c r="W30" s="165">
        <f t="shared" si="2"/>
        <v>0</v>
      </c>
    </row>
    <row r="31" spans="1:23" s="13" customFormat="1">
      <c r="A31" s="102"/>
      <c r="B31" s="102"/>
      <c r="C31" s="222" t="s">
        <v>70</v>
      </c>
      <c r="D31" s="222"/>
      <c r="E31" s="222"/>
      <c r="F31" s="222"/>
      <c r="G31" s="222"/>
      <c r="H31" s="102"/>
      <c r="I31" s="223">
        <f t="shared" ref="I31:T31" si="12">SUM(I32:I34)</f>
        <v>0</v>
      </c>
      <c r="J31" s="223">
        <f t="shared" si="12"/>
        <v>0</v>
      </c>
      <c r="K31" s="223">
        <f t="shared" si="12"/>
        <v>0</v>
      </c>
      <c r="L31" s="223">
        <f t="shared" si="12"/>
        <v>0</v>
      </c>
      <c r="M31" s="223">
        <f t="shared" si="12"/>
        <v>0</v>
      </c>
      <c r="N31" s="223">
        <f t="shared" si="12"/>
        <v>0</v>
      </c>
      <c r="O31" s="223">
        <f t="shared" si="12"/>
        <v>0</v>
      </c>
      <c r="P31" s="223">
        <f t="shared" si="12"/>
        <v>0</v>
      </c>
      <c r="Q31" s="223">
        <f t="shared" si="12"/>
        <v>0</v>
      </c>
      <c r="R31" s="223">
        <f t="shared" si="12"/>
        <v>0</v>
      </c>
      <c r="S31" s="223">
        <f t="shared" si="12"/>
        <v>0</v>
      </c>
      <c r="T31" s="223">
        <f t="shared" si="12"/>
        <v>0</v>
      </c>
      <c r="U31" s="165"/>
      <c r="V31" s="223">
        <f t="shared" si="1"/>
        <v>0</v>
      </c>
      <c r="W31" s="223">
        <f t="shared" si="2"/>
        <v>0</v>
      </c>
    </row>
    <row r="32" spans="1:23">
      <c r="A32" s="67"/>
      <c r="B32" s="102"/>
      <c r="C32" s="102"/>
      <c r="D32" s="67" t="s">
        <v>52</v>
      </c>
      <c r="E32" s="67" t="s">
        <v>70</v>
      </c>
      <c r="F32" s="67" t="s">
        <v>71</v>
      </c>
      <c r="G32" s="67"/>
      <c r="H32" s="67"/>
      <c r="I32" s="165">
        <f>I$8*'假设-销售费用率'!K70</f>
        <v>0</v>
      </c>
      <c r="J32" s="165">
        <f>J$8*'假设-销售费用率'!L70</f>
        <v>0</v>
      </c>
      <c r="K32" s="165">
        <f>K$8*'假设-销售费用率'!M70</f>
        <v>0</v>
      </c>
      <c r="L32" s="165">
        <f>L$8*'假设-销售费用率'!N70</f>
        <v>0</v>
      </c>
      <c r="M32" s="165">
        <f>M$8*'假设-销售费用率'!O70</f>
        <v>0</v>
      </c>
      <c r="N32" s="165">
        <f>N$8*'假设-销售费用率'!P70</f>
        <v>0</v>
      </c>
      <c r="O32" s="165">
        <f>O$8*'假设-销售费用率'!Q70</f>
        <v>0</v>
      </c>
      <c r="P32" s="165">
        <f>P$8*'假设-销售费用率'!R70</f>
        <v>0</v>
      </c>
      <c r="Q32" s="165">
        <f>Q$8*'假设-销售费用率'!S70</f>
        <v>0</v>
      </c>
      <c r="R32" s="165">
        <f>R$8*'假设-销售费用率'!T70</f>
        <v>0</v>
      </c>
      <c r="S32" s="165">
        <f>S$8*'假设-销售费用率'!U70</f>
        <v>0</v>
      </c>
      <c r="T32" s="165">
        <f>T$8*'假设-销售费用率'!V70</f>
        <v>0</v>
      </c>
      <c r="U32" s="165"/>
      <c r="V32" s="165">
        <f t="shared" si="1"/>
        <v>0</v>
      </c>
      <c r="W32" s="165">
        <f t="shared" si="2"/>
        <v>0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72</v>
      </c>
      <c r="G33" s="67"/>
      <c r="H33" s="67"/>
      <c r="I33" s="165">
        <f>I$8*'假设-销售费用率'!K71</f>
        <v>0</v>
      </c>
      <c r="J33" s="165">
        <f>J$8*'假设-销售费用率'!L71</f>
        <v>0</v>
      </c>
      <c r="K33" s="165">
        <f>K$8*'假设-销售费用率'!M71</f>
        <v>0</v>
      </c>
      <c r="L33" s="165">
        <f>L$8*'假设-销售费用率'!N71</f>
        <v>0</v>
      </c>
      <c r="M33" s="165">
        <f>M$8*'假设-销售费用率'!O71</f>
        <v>0</v>
      </c>
      <c r="N33" s="165">
        <f>N$8*'假设-销售费用率'!P71</f>
        <v>0</v>
      </c>
      <c r="O33" s="165">
        <f>O$8*'假设-销售费用率'!Q71</f>
        <v>0</v>
      </c>
      <c r="P33" s="165">
        <f>P$8*'假设-销售费用率'!R71</f>
        <v>0</v>
      </c>
      <c r="Q33" s="165">
        <f>Q$8*'假设-销售费用率'!S71</f>
        <v>0</v>
      </c>
      <c r="R33" s="165">
        <f>R$8*'假设-销售费用率'!T71</f>
        <v>0</v>
      </c>
      <c r="S33" s="165">
        <f>S$8*'假设-销售费用率'!U71</f>
        <v>0</v>
      </c>
      <c r="T33" s="165">
        <f>T$8*'假设-销售费用率'!V71</f>
        <v>0</v>
      </c>
      <c r="U33" s="165"/>
      <c r="V33" s="165">
        <f t="shared" si="1"/>
        <v>0</v>
      </c>
      <c r="W33" s="165">
        <f t="shared" si="2"/>
        <v>0</v>
      </c>
    </row>
    <row r="34" spans="1:23" s="13" customFormat="1">
      <c r="A34" s="102"/>
      <c r="B34" s="102"/>
      <c r="C34" s="102"/>
      <c r="D34" s="67" t="s">
        <v>52</v>
      </c>
      <c r="E34" s="67" t="s">
        <v>70</v>
      </c>
      <c r="F34" s="67" t="s">
        <v>73</v>
      </c>
      <c r="G34" s="102"/>
      <c r="H34" s="102"/>
      <c r="I34" s="165">
        <f>IFERROR(I$8*SUMPRODUCT(('辅助-机制测算'!$A$2:$A$200="天猫淘宝平台")*'辅助-机制测算'!$F$2:$F$200*IFERROR('辅助-机制测算'!$I$2:$I$200/'辅助-机制测算'!$G$2:$G$200,0)),0)</f>
        <v>0</v>
      </c>
      <c r="J34" s="165">
        <f>IFERROR(J$8*SUMPRODUCT(('辅助-机制测算'!$A$2:$A$200="天猫淘宝平台")*'辅助-机制测算'!$F$2:$F$200*IFERROR('辅助-机制测算'!$I$2:$I$200/'辅助-机制测算'!$G$2:$G$200,0)),0)</f>
        <v>0</v>
      </c>
      <c r="K34" s="165">
        <f>IFERROR(K$8*SUMPRODUCT(('辅助-机制测算'!$A$2:$A$200="天猫淘宝平台")*'辅助-机制测算'!$F$2:$F$200*IFERROR('辅助-机制测算'!$I$2:$I$200/'辅助-机制测算'!$G$2:$G$200,0)),0)</f>
        <v>0</v>
      </c>
      <c r="L34" s="165">
        <f>IFERROR(L$8*SUMPRODUCT(('辅助-机制测算'!$A$2:$A$200="天猫淘宝平台")*'辅助-机制测算'!$F$2:$F$200*IFERROR('辅助-机制测算'!$I$2:$I$200/'辅助-机制测算'!$G$2:$G$200,0)),0)</f>
        <v>0</v>
      </c>
      <c r="M34" s="165">
        <f>IFERROR(M$8*SUMPRODUCT(('辅助-机制测算'!$A$2:$A$200="天猫淘宝平台")*'辅助-机制测算'!$F$2:$F$200*IFERROR('辅助-机制测算'!$I$2:$I$200/'辅助-机制测算'!$G$2:$G$200,0)),0)</f>
        <v>0</v>
      </c>
      <c r="N34" s="165">
        <f>IFERROR(N$8*SUMPRODUCT(('辅助-机制测算'!$A$2:$A$200="天猫淘宝平台")*'辅助-机制测算'!$F$2:$F$200*IFERROR('辅助-机制测算'!$I$2:$I$200/'辅助-机制测算'!$G$2:$G$200,0)),0)</f>
        <v>0</v>
      </c>
      <c r="O34" s="165">
        <f>IFERROR(O$8*SUMPRODUCT(('辅助-机制测算'!$A$2:$A$200="天猫淘宝平台")*'辅助-机制测算'!$F$2:$F$200*IFERROR('辅助-机制测算'!$I$2:$I$200/'辅助-机制测算'!$G$2:$G$200,0)),0)</f>
        <v>0</v>
      </c>
      <c r="P34" s="165">
        <f>IFERROR(P$8*SUMPRODUCT(('辅助-机制测算'!$A$2:$A$200="天猫淘宝平台")*'辅助-机制测算'!$F$2:$F$200*IFERROR('辅助-机制测算'!$I$2:$I$200/'辅助-机制测算'!$G$2:$G$200,0)),0)</f>
        <v>0</v>
      </c>
      <c r="Q34" s="165">
        <f>IFERROR(Q$8*SUMPRODUCT(('辅助-机制测算'!$A$2:$A$200="天猫淘宝平台")*'辅助-机制测算'!$F$2:$F$200*IFERROR('辅助-机制测算'!$I$2:$I$200/'辅助-机制测算'!$G$2:$G$200,0)),0)</f>
        <v>0</v>
      </c>
      <c r="R34" s="165">
        <f>IFERROR(R$8*SUMPRODUCT(('辅助-机制测算'!$A$2:$A$200="天猫淘宝平台")*'辅助-机制测算'!$F$2:$F$200*IFERROR('辅助-机制测算'!$I$2:$I$200/'辅助-机制测算'!$G$2:$G$200,0)),0)</f>
        <v>0</v>
      </c>
      <c r="S34" s="165">
        <f>IFERROR(S$8*SUMPRODUCT(('辅助-机制测算'!$A$2:$A$200="天猫淘宝平台")*'辅助-机制测算'!$F$2:$F$200*IFERROR('辅助-机制测算'!$I$2:$I$200/'辅助-机制测算'!$G$2:$G$200,0)),0)</f>
        <v>0</v>
      </c>
      <c r="T34" s="165">
        <f>IFERROR(T$8*SUMPRODUCT(('辅助-机制测算'!$A$2:$A$200="天猫淘宝平台")*'辅助-机制测算'!$F$2:$F$200*IFERROR('辅助-机制测算'!$I$2:$I$200/'辅助-机制测算'!$G$2:$G$200,0)),0)</f>
        <v>0</v>
      </c>
      <c r="U34" s="165"/>
      <c r="V34" s="165">
        <f t="shared" si="1"/>
        <v>0</v>
      </c>
      <c r="W34" s="165">
        <f t="shared" si="2"/>
        <v>0</v>
      </c>
    </row>
    <row r="35" spans="1:23">
      <c r="A35" s="67"/>
      <c r="B35" s="67"/>
      <c r="C35" s="222" t="s">
        <v>74</v>
      </c>
      <c r="D35" s="222"/>
      <c r="E35" s="222"/>
      <c r="F35" s="222"/>
      <c r="G35" s="222"/>
      <c r="H35" s="67"/>
      <c r="I35" s="223">
        <f t="shared" ref="I35:T35" si="13">SUM(I36:I39)</f>
        <v>0.94911133391762603</v>
      </c>
      <c r="J35" s="223">
        <f t="shared" si="13"/>
        <v>0.70270802195794302</v>
      </c>
      <c r="K35" s="223">
        <f t="shared" si="13"/>
        <v>0.94589367907334831</v>
      </c>
      <c r="L35" s="223">
        <f t="shared" si="13"/>
        <v>1.045633172433911</v>
      </c>
      <c r="M35" s="223">
        <f t="shared" si="13"/>
        <v>0.950818541991724</v>
      </c>
      <c r="N35" s="223">
        <f t="shared" si="13"/>
        <v>0.8627356380839718</v>
      </c>
      <c r="O35" s="223">
        <f t="shared" si="13"/>
        <v>0.79435711151685062</v>
      </c>
      <c r="P35" s="223">
        <f t="shared" si="13"/>
        <v>1.0624117746624546</v>
      </c>
      <c r="Q35" s="223">
        <f t="shared" si="13"/>
        <v>1.3435422750346731</v>
      </c>
      <c r="R35" s="223">
        <f t="shared" si="13"/>
        <v>1.4530524118075727</v>
      </c>
      <c r="S35" s="223">
        <f t="shared" si="13"/>
        <v>1.7652380255930014</v>
      </c>
      <c r="T35" s="223">
        <f t="shared" si="13"/>
        <v>1.503721281060705</v>
      </c>
      <c r="U35" s="165"/>
      <c r="V35" s="223">
        <f t="shared" si="1"/>
        <v>13.379223267133781</v>
      </c>
      <c r="W35" s="223">
        <f t="shared" si="2"/>
        <v>7.9223228796752574</v>
      </c>
    </row>
    <row r="36" spans="1:23">
      <c r="A36" s="67"/>
      <c r="B36" s="102"/>
      <c r="C36" s="102"/>
      <c r="D36" s="67" t="s">
        <v>52</v>
      </c>
      <c r="E36" s="67" t="s">
        <v>74</v>
      </c>
      <c r="F36" s="67" t="s">
        <v>75</v>
      </c>
      <c r="G36" s="67"/>
      <c r="H36" s="67"/>
      <c r="I36" s="165">
        <f>I$8*'假设-销售费用率'!K74</f>
        <v>0.47173000000000004</v>
      </c>
      <c r="J36" s="165">
        <f>J$8*'假设-销售费用率'!L74</f>
        <v>0.31828000000000001</v>
      </c>
      <c r="K36" s="165">
        <f>K$8*'假设-销售费用率'!M74</f>
        <v>0.61031000000000013</v>
      </c>
      <c r="L36" s="165">
        <f>L$8*'假设-销售费用率'!N74</f>
        <v>0.61673</v>
      </c>
      <c r="M36" s="165">
        <f>M$8*'假设-销售费用率'!O74</f>
        <v>0.57276000000000005</v>
      </c>
      <c r="N36" s="165">
        <f>N$8*'假设-销售费用率'!P74</f>
        <v>0.4846833118245456</v>
      </c>
      <c r="O36" s="165">
        <f>O$8*'假设-销售费用率'!Q74</f>
        <v>0.44626838000622054</v>
      </c>
      <c r="P36" s="165">
        <f>P$8*'假设-销售费用率'!R74</f>
        <v>0.59686100206593284</v>
      </c>
      <c r="Q36" s="165">
        <f>Q$8*'假设-销售费用率'!S74</f>
        <v>0.75479960568953341</v>
      </c>
      <c r="R36" s="165">
        <f>R$8*'假设-销售费用率'!T74</f>
        <v>0.81632220128709898</v>
      </c>
      <c r="S36" s="165">
        <f>S$8*'假设-销售费用率'!U74</f>
        <v>0.99170751112493449</v>
      </c>
      <c r="T36" s="165">
        <f>T$8*'假设-销售费用率'!V74</f>
        <v>0.84478787984716652</v>
      </c>
      <c r="U36" s="165"/>
      <c r="V36" s="165">
        <f t="shared" si="1"/>
        <v>7.5252398918454331</v>
      </c>
      <c r="W36" s="165">
        <f t="shared" si="2"/>
        <v>4.450746580020887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76</v>
      </c>
      <c r="G37" s="67"/>
      <c r="H37" s="67"/>
      <c r="I37" s="165">
        <f>I$8*'假设-销售费用率'!K75</f>
        <v>0.25069929099999999</v>
      </c>
      <c r="J37" s="165">
        <f>J$8*'假设-销售费用率'!L75</f>
        <v>0.13865444718516701</v>
      </c>
      <c r="K37" s="165">
        <f>K$8*'假设-销售费用率'!M75</f>
        <v>0.26687300000000003</v>
      </c>
      <c r="L37" s="165">
        <f>L$8*'假设-销售费用率'!N75</f>
        <v>0.27612300000000001</v>
      </c>
      <c r="M37" s="165">
        <f>M$8*'假设-销售费用率'!O75</f>
        <v>0.27695799999999993</v>
      </c>
      <c r="N37" s="165">
        <f>N$8*'假设-销售费用率'!P75</f>
        <v>0.22595282147315063</v>
      </c>
      <c r="O37" s="165">
        <f>O$8*'假设-销售费用率'!Q75</f>
        <v>0.20804429848651357</v>
      </c>
      <c r="P37" s="165">
        <f>P$8*'假设-销售费用率'!R75</f>
        <v>0.27824854735850579</v>
      </c>
      <c r="Q37" s="165">
        <f>Q$8*'假设-销售费用率'!S75</f>
        <v>0.35187739373644883</v>
      </c>
      <c r="R37" s="165">
        <f>R$8*'假设-销售费用率'!T75</f>
        <v>0.3805583978487872</v>
      </c>
      <c r="S37" s="165">
        <f>S$8*'假设-销售费用率'!U75</f>
        <v>0.46232066330336347</v>
      </c>
      <c r="T37" s="165">
        <f>T$8*'假设-销售费用率'!V75</f>
        <v>0.39382871318434665</v>
      </c>
      <c r="U37" s="165"/>
      <c r="V37" s="165">
        <f t="shared" si="1"/>
        <v>3.5101385735762833</v>
      </c>
      <c r="W37" s="165">
        <f t="shared" si="2"/>
        <v>2.0748780139179654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77</v>
      </c>
      <c r="G38" s="67"/>
      <c r="H38" s="67"/>
      <c r="I38" s="165">
        <f>I$8*'假设-销售费用率'!K76</f>
        <v>0</v>
      </c>
      <c r="J38" s="165">
        <f>J$8*'假设-销售费用率'!L76</f>
        <v>0</v>
      </c>
      <c r="K38" s="165">
        <f>K$8*'假设-销售费用率'!M76</f>
        <v>0</v>
      </c>
      <c r="L38" s="165">
        <f>L$8*'假设-销售费用率'!N76</f>
        <v>0</v>
      </c>
      <c r="M38" s="165">
        <f>M$8*'假设-销售费用率'!O76</f>
        <v>0</v>
      </c>
      <c r="N38" s="165">
        <f>N$8*'假设-销售费用率'!P76</f>
        <v>0</v>
      </c>
      <c r="O38" s="165">
        <f>O$8*'假设-销售费用率'!Q76</f>
        <v>0</v>
      </c>
      <c r="P38" s="165">
        <f>P$8*'假设-销售费用率'!R76</f>
        <v>0</v>
      </c>
      <c r="Q38" s="165">
        <f>Q$8*'假设-销售费用率'!S76</f>
        <v>0</v>
      </c>
      <c r="R38" s="165">
        <f>R$8*'假设-销售费用率'!T76</f>
        <v>0</v>
      </c>
      <c r="S38" s="165">
        <f>S$8*'假设-销售费用率'!U76</f>
        <v>0</v>
      </c>
      <c r="T38" s="165">
        <f>T$8*'假设-销售费用率'!V76</f>
        <v>0</v>
      </c>
      <c r="U38" s="165"/>
      <c r="V38" s="165">
        <f t="shared" si="1"/>
        <v>0</v>
      </c>
      <c r="W38" s="165">
        <f t="shared" si="2"/>
        <v>0</v>
      </c>
    </row>
    <row r="39" spans="1:23" s="13" customFormat="1">
      <c r="A39" s="102"/>
      <c r="B39" s="102"/>
      <c r="C39" s="102"/>
      <c r="D39" s="67" t="s">
        <v>52</v>
      </c>
      <c r="E39" s="67" t="s">
        <v>74</v>
      </c>
      <c r="F39" s="67" t="s">
        <v>78</v>
      </c>
      <c r="G39" s="102"/>
      <c r="H39" s="102"/>
      <c r="I39" s="165">
        <f>I$8*'假设-销售费用率'!K77</f>
        <v>0.22668204291762598</v>
      </c>
      <c r="J39" s="165">
        <f>J$8*'假设-销售费用率'!L77</f>
        <v>0.245773574772776</v>
      </c>
      <c r="K39" s="165">
        <f>K$8*'假设-销售费用率'!M77</f>
        <v>6.8710679073348116E-2</v>
      </c>
      <c r="L39" s="165">
        <f>L$8*'假设-销售费用率'!N77</f>
        <v>0.15278017243391098</v>
      </c>
      <c r="M39" s="165">
        <f>M$8*'假设-销售费用率'!O77</f>
        <v>0.101100541991724</v>
      </c>
      <c r="N39" s="165">
        <f>N$8*'假设-销售费用率'!P77</f>
        <v>0.15209950478627554</v>
      </c>
      <c r="O39" s="165">
        <f>O$8*'假设-销售费用率'!Q77</f>
        <v>0.14004443302411657</v>
      </c>
      <c r="P39" s="165">
        <f>P$8*'假设-销售费用率'!R77</f>
        <v>0.18730222523801598</v>
      </c>
      <c r="Q39" s="165">
        <f>Q$8*'假设-销售费用率'!S77</f>
        <v>0.23686527560869094</v>
      </c>
      <c r="R39" s="165">
        <f>R$8*'假设-销售费用率'!T77</f>
        <v>0.25617181267168648</v>
      </c>
      <c r="S39" s="165">
        <f>S$8*'假设-销售费用率'!U77</f>
        <v>0.31120985116470345</v>
      </c>
      <c r="T39" s="165">
        <f>T$8*'假设-销售费用率'!V77</f>
        <v>0.26510468802919185</v>
      </c>
      <c r="U39" s="165"/>
      <c r="V39" s="165">
        <f t="shared" si="1"/>
        <v>2.3438448017120659</v>
      </c>
      <c r="W39" s="165">
        <f t="shared" si="2"/>
        <v>1.3966982857364052</v>
      </c>
    </row>
    <row r="40" spans="1:23">
      <c r="A40" s="67"/>
      <c r="B40" s="67"/>
      <c r="C40" s="222" t="s">
        <v>79</v>
      </c>
      <c r="D40" s="222"/>
      <c r="E40" s="222"/>
      <c r="F40" s="222"/>
      <c r="G40" s="222"/>
      <c r="H40" s="67"/>
      <c r="I40" s="223">
        <f t="shared" ref="I40:T40" si="14">SUM(I41:I44)</f>
        <v>1.3394483747637091</v>
      </c>
      <c r="J40" s="223">
        <f t="shared" si="14"/>
        <v>1.11782610281144</v>
      </c>
      <c r="K40" s="223">
        <f t="shared" si="14"/>
        <v>1.5085840944547571</v>
      </c>
      <c r="L40" s="223">
        <f t="shared" si="14"/>
        <v>1.4572365303873145</v>
      </c>
      <c r="M40" s="223">
        <f t="shared" si="14"/>
        <v>1.1993370310167792</v>
      </c>
      <c r="N40" s="223">
        <f t="shared" si="14"/>
        <v>1.3569055659170015</v>
      </c>
      <c r="O40" s="223">
        <f t="shared" si="14"/>
        <v>1.4259047970338103</v>
      </c>
      <c r="P40" s="223">
        <f t="shared" si="14"/>
        <v>1.4511545453754882</v>
      </c>
      <c r="Q40" s="223">
        <f t="shared" si="14"/>
        <v>1.4776359887582233</v>
      </c>
      <c r="R40" s="223">
        <f t="shared" si="14"/>
        <v>1.4879514347270797</v>
      </c>
      <c r="S40" s="223">
        <f t="shared" si="14"/>
        <v>1.5173581538323262</v>
      </c>
      <c r="T40" s="223">
        <f t="shared" si="14"/>
        <v>1.4927242530111773</v>
      </c>
      <c r="U40" s="165"/>
      <c r="V40" s="223">
        <f t="shared" si="1"/>
        <v>16.832066872089108</v>
      </c>
      <c r="W40" s="223">
        <f t="shared" si="2"/>
        <v>8.8527291727381048</v>
      </c>
    </row>
    <row r="41" spans="1:23">
      <c r="A41" s="67"/>
      <c r="B41" s="102"/>
      <c r="C41" s="102"/>
      <c r="D41" s="67" t="s">
        <v>52</v>
      </c>
      <c r="E41" s="67" t="s">
        <v>79</v>
      </c>
      <c r="F41" s="67" t="s">
        <v>80</v>
      </c>
      <c r="G41" s="67"/>
      <c r="H41" s="67"/>
      <c r="I41" s="165">
        <f>IFERROR(INDEX('假设-人工成本固定额'!$B$6:$CS$16,MATCH("天猫淘宝",'假设-人工成本固定额'!$A$6:$A$16,0),1)/10000,0)</f>
        <v>1.1998272539330899</v>
      </c>
      <c r="J41" s="165">
        <f>IFERROR(INDEX('假设-人工成本固定额'!$B$6:$CS$16,MATCH("天猫淘宝",'假设-人工成本固定额'!$A$6:$A$16,0),9)/10000,0)</f>
        <v>1.11782610281144</v>
      </c>
      <c r="K41" s="165">
        <f>IFERROR(INDEX('假设-人工成本固定额'!$B$6:$CS$16,MATCH("天猫淘宝",'假设-人工成本固定额'!$A$6:$A$16,0),17)/10000,0)</f>
        <v>1.27545559665372</v>
      </c>
      <c r="L41" s="165">
        <f>IFERROR(INDEX('假设-人工成本固定额'!$B$6:$CS$16,MATCH("天猫淘宝",'假设-人工成本固定额'!$A$6:$A$16,0),25)/10000,0)</f>
        <v>1.2507354359098102</v>
      </c>
      <c r="M41" s="165">
        <f>IFERROR(INDEX('假设-人工成本固定额'!$B$6:$CS$16,MATCH("天猫淘宝",'假设-人工成本固定额'!$A$6:$A$16,0),33)/10000,0)</f>
        <v>1.1957923158367498</v>
      </c>
      <c r="N41" s="165">
        <f>IFERROR(INDEX('假设-人工成本固定额'!$B$6:$CS$16,MATCH("天猫淘宝",'假设-人工成本固定额'!$A$6:$A$16,0),41)/10000,0)</f>
        <v>1.3510793232895699</v>
      </c>
      <c r="O41" s="165">
        <f>IFERROR(INDEX('假设-人工成本固定额'!$B$6:$CS$16,MATCH("天猫淘宝",'假设-人工成本固定额'!$A$6:$A$16,0),41)/10000,0)</f>
        <v>1.3510793232895699</v>
      </c>
      <c r="P41" s="165">
        <f>IFERROR(INDEX('假设-人工成本固定额'!$B$6:$CS$16,MATCH("天猫淘宝",'假设-人工成本固定额'!$A$6:$A$16,0),41)/10000,0)</f>
        <v>1.3510793232895699</v>
      </c>
      <c r="Q41" s="165">
        <f>IFERROR(INDEX('假设-人工成本固定额'!$B$6:$CS$16,MATCH("天猫淘宝",'假设-人工成本固定额'!$A$6:$A$16,0),41)/10000,0)</f>
        <v>1.3510793232895699</v>
      </c>
      <c r="R41" s="165">
        <f>IFERROR(INDEX('假设-人工成本固定额'!$B$6:$CS$16,MATCH("天猫淘宝",'假设-人工成本固定额'!$A$6:$A$16,0),41)/10000,0)</f>
        <v>1.3510793232895699</v>
      </c>
      <c r="S41" s="165">
        <f>IFERROR(INDEX('假设-人工成本固定额'!$B$6:$CS$16,MATCH("天猫淘宝",'假设-人工成本固定额'!$A$6:$A$16,0),41)/10000,0)</f>
        <v>1.3510793232895699</v>
      </c>
      <c r="T41" s="165">
        <f>IFERROR(INDEX('假设-人工成本固定额'!$B$6:$CS$16,MATCH("天猫淘宝",'假设-人工成本固定额'!$A$6:$A$16,0),41)/10000,0)</f>
        <v>1.3510793232895699</v>
      </c>
      <c r="U41" s="165"/>
      <c r="V41" s="165">
        <f t="shared" si="1"/>
        <v>15.497191968171798</v>
      </c>
      <c r="W41" s="165">
        <f t="shared" si="2"/>
        <v>8.10647593973742</v>
      </c>
    </row>
    <row r="42" spans="1:23" s="13" customFormat="1">
      <c r="A42" s="102"/>
      <c r="B42" s="102"/>
      <c r="C42" s="102"/>
      <c r="D42" s="67" t="s">
        <v>52</v>
      </c>
      <c r="E42" s="67" t="s">
        <v>79</v>
      </c>
      <c r="F42" s="67" t="s">
        <v>147</v>
      </c>
      <c r="G42" s="102"/>
      <c r="H42" s="102"/>
      <c r="I42" s="165">
        <f>I$8*'假设-销售费用率'!K80</f>
        <v>0.13962112083061926</v>
      </c>
      <c r="J42" s="165">
        <f>J$8*'假设-销售费用率'!L80</f>
        <v>0</v>
      </c>
      <c r="K42" s="165">
        <f>K$8*'假设-销售费用率'!M80</f>
        <v>0.23312849780103703</v>
      </c>
      <c r="L42" s="165">
        <f>L$8*'假设-销售费用率'!N80</f>
        <v>0.2065010944775042</v>
      </c>
      <c r="M42" s="165">
        <f>M$8*'假设-销售费用率'!O80</f>
        <v>3.5447151800293859E-3</v>
      </c>
      <c r="N42" s="165">
        <f>N$8*'假设-销售费用率'!P80</f>
        <v>5.8262426274316983E-3</v>
      </c>
      <c r="O42" s="165">
        <f>O$8*'假设-销售费用率'!Q80</f>
        <v>7.4825473744240367E-2</v>
      </c>
      <c r="P42" s="165">
        <f>P$8*'假设-销售费用率'!R80</f>
        <v>0.10007522208591821</v>
      </c>
      <c r="Q42" s="165">
        <f>Q$8*'假设-销售费用率'!S80</f>
        <v>0.12655666546865346</v>
      </c>
      <c r="R42" s="165">
        <f>R$8*'假设-销售费用率'!T80</f>
        <v>0.13687211143750969</v>
      </c>
      <c r="S42" s="165">
        <f>S$8*'假设-销售费用率'!U80</f>
        <v>0.16627883054275638</v>
      </c>
      <c r="T42" s="165">
        <f>T$8*'假设-销售费用率'!V80</f>
        <v>0.1416449297216073</v>
      </c>
      <c r="U42" s="165"/>
      <c r="V42" s="165">
        <f t="shared" si="1"/>
        <v>1.3348749039173071</v>
      </c>
      <c r="W42" s="165">
        <f t="shared" si="2"/>
        <v>0.74625323300068547</v>
      </c>
    </row>
    <row r="43" spans="1:23">
      <c r="A43" s="69"/>
      <c r="B43" s="69"/>
      <c r="C43" s="69"/>
      <c r="D43" s="67" t="s">
        <v>52</v>
      </c>
      <c r="E43" s="67" t="s">
        <v>79</v>
      </c>
      <c r="F43" s="67" t="s">
        <v>148</v>
      </c>
      <c r="G43" s="69"/>
      <c r="H43" s="69"/>
      <c r="I43" s="165">
        <f>I$22*'假设-销售费用率'!K81</f>
        <v>0</v>
      </c>
      <c r="J43" s="165">
        <f>J$22*'假设-销售费用率'!L81</f>
        <v>0</v>
      </c>
      <c r="K43" s="165">
        <f>K$22*'假设-销售费用率'!M81</f>
        <v>0</v>
      </c>
      <c r="L43" s="165">
        <f>L$22*'假设-销售费用率'!N81</f>
        <v>0</v>
      </c>
      <c r="M43" s="165">
        <f>M$22*'假设-销售费用率'!O81</f>
        <v>0</v>
      </c>
      <c r="N43" s="165">
        <f>N$22*'假设-销售费用率'!P81</f>
        <v>0</v>
      </c>
      <c r="O43" s="165">
        <f>O$22*'假设-销售费用率'!Q81</f>
        <v>0</v>
      </c>
      <c r="P43" s="165">
        <f>P$22*'假设-销售费用率'!R81</f>
        <v>0</v>
      </c>
      <c r="Q43" s="165">
        <f>Q$22*'假设-销售费用率'!S81</f>
        <v>0</v>
      </c>
      <c r="R43" s="165">
        <f>R$22*'假设-销售费用率'!T81</f>
        <v>0</v>
      </c>
      <c r="S43" s="165">
        <f>S$22*'假设-销售费用率'!U81</f>
        <v>0</v>
      </c>
      <c r="T43" s="165">
        <f>T$22*'假设-销售费用率'!V81</f>
        <v>0</v>
      </c>
      <c r="U43" s="165"/>
      <c r="V43" s="165">
        <f t="shared" si="1"/>
        <v>0</v>
      </c>
      <c r="W43" s="165">
        <f t="shared" si="2"/>
        <v>0</v>
      </c>
    </row>
    <row r="44" spans="1:23">
      <c r="A44" s="67"/>
      <c r="B44" s="102"/>
      <c r="C44" s="102"/>
      <c r="D44" s="67" t="s">
        <v>52</v>
      </c>
      <c r="E44" s="67" t="s">
        <v>79</v>
      </c>
      <c r="F44" s="67" t="s">
        <v>82</v>
      </c>
      <c r="G44" s="67"/>
      <c r="H44" s="67"/>
      <c r="I44" s="165">
        <f>I$8*'假设-销售费用率'!K82</f>
        <v>0</v>
      </c>
      <c r="J44" s="165">
        <f>J$8*'假设-销售费用率'!L82</f>
        <v>0</v>
      </c>
      <c r="K44" s="165">
        <f>K$8*'假设-销售费用率'!M82</f>
        <v>0</v>
      </c>
      <c r="L44" s="165">
        <f>L$8*'假设-销售费用率'!N82</f>
        <v>0</v>
      </c>
      <c r="M44" s="165">
        <f>M$8*'假设-销售费用率'!O82</f>
        <v>0</v>
      </c>
      <c r="N44" s="165">
        <f>N$8*'假设-销售费用率'!P82</f>
        <v>0</v>
      </c>
      <c r="O44" s="165">
        <f>O$8*'假设-销售费用率'!Q82</f>
        <v>0</v>
      </c>
      <c r="P44" s="165">
        <f>P$8*'假设-销售费用率'!R82</f>
        <v>0</v>
      </c>
      <c r="Q44" s="165">
        <f>Q$8*'假设-销售费用率'!S82</f>
        <v>0</v>
      </c>
      <c r="R44" s="165">
        <f>R$8*'假设-销售费用率'!T82</f>
        <v>0</v>
      </c>
      <c r="S44" s="165">
        <f>S$8*'假设-销售费用率'!U82</f>
        <v>0</v>
      </c>
      <c r="T44" s="165">
        <f>T$8*'假设-销售费用率'!V82</f>
        <v>0</v>
      </c>
      <c r="U44" s="165"/>
      <c r="V44" s="165">
        <f t="shared" si="1"/>
        <v>0</v>
      </c>
      <c r="W44" s="165">
        <f t="shared" si="2"/>
        <v>0</v>
      </c>
    </row>
    <row r="45" spans="1:23">
      <c r="A45" s="67"/>
      <c r="B45" s="67"/>
      <c r="C45" s="224"/>
      <c r="D45" s="224"/>
      <c r="E45" s="224"/>
      <c r="F45" s="224"/>
      <c r="G45" s="151" t="s">
        <v>373</v>
      </c>
      <c r="H45" s="67"/>
      <c r="I45" s="225">
        <f t="shared" ref="I45:T45" si="15">I8-I18-I20-I26-I31-I35-I40</f>
        <v>8.9345600405621415</v>
      </c>
      <c r="J45" s="225">
        <f t="shared" si="15"/>
        <v>3.0905371706219205</v>
      </c>
      <c r="K45" s="225">
        <f t="shared" si="15"/>
        <v>9.777158219758844</v>
      </c>
      <c r="L45" s="225">
        <f t="shared" si="15"/>
        <v>6.9496352649760791</v>
      </c>
      <c r="M45" s="225">
        <f t="shared" si="15"/>
        <v>9.1483669981190587</v>
      </c>
      <c r="N45" s="225">
        <f t="shared" si="15"/>
        <v>5.5417208164197831</v>
      </c>
      <c r="O45" s="225">
        <f t="shared" si="15"/>
        <v>5.9504487339249277</v>
      </c>
      <c r="P45" s="225">
        <f t="shared" si="15"/>
        <v>8.4143388602277653</v>
      </c>
      <c r="Q45" s="225">
        <f t="shared" si="15"/>
        <v>10.99841874878927</v>
      </c>
      <c r="R45" s="225">
        <f t="shared" si="15"/>
        <v>12.005008007705676</v>
      </c>
      <c r="S45" s="225">
        <f t="shared" si="15"/>
        <v>14.874538581631533</v>
      </c>
      <c r="T45" s="225">
        <f t="shared" si="15"/>
        <v>12.470743336458037</v>
      </c>
      <c r="U45" s="165"/>
      <c r="V45" s="225">
        <f t="shared" si="1"/>
        <v>108.15547477919503</v>
      </c>
      <c r="W45" s="225">
        <f t="shared" si="2"/>
        <v>64.713496268737217</v>
      </c>
    </row>
    <row r="46" spans="1:23">
      <c r="B46" s="13"/>
      <c r="C46" s="13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</row>
    <row r="47" spans="1:23">
      <c r="B47" s="13"/>
      <c r="C47" s="1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</sheetData>
  <phoneticPr fontId="14" type="noConversion"/>
  <hyperlinks>
    <hyperlink ref="A1" location="'目录及说明'!A1" display="返回目录" xr:uid="{00000000-0004-0000-11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W57"/>
  <sheetViews>
    <sheetView showGridLines="0" zoomScaleNormal="100" workbookViewId="0"/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" style="16" customWidth="1"/>
    <col min="10" max="11" width="15.59765625" customWidth="1"/>
    <col min="12" max="12" width="12.796875" style="16" customWidth="1"/>
    <col min="13" max="14" width="15.59765625" customWidth="1"/>
    <col min="15" max="16" width="12.796875" style="16" customWidth="1"/>
    <col min="17" max="17" width="13" style="16" customWidth="1"/>
    <col min="18" max="20" width="13.796875" style="16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>
        <v>46023</v>
      </c>
      <c r="J2" s="153">
        <v>46054</v>
      </c>
      <c r="K2" s="153">
        <v>46082</v>
      </c>
      <c r="L2" s="153">
        <v>46113</v>
      </c>
      <c r="M2" s="153">
        <v>46143</v>
      </c>
      <c r="N2" s="153">
        <v>46174</v>
      </c>
      <c r="O2" s="153">
        <v>46204</v>
      </c>
      <c r="P2" s="153">
        <v>46235</v>
      </c>
      <c r="Q2" s="153">
        <v>46266</v>
      </c>
      <c r="R2" s="153">
        <v>46296</v>
      </c>
      <c r="S2" s="153">
        <v>46327</v>
      </c>
      <c r="T2" s="153">
        <v>46357</v>
      </c>
      <c r="U2" s="165"/>
      <c r="V2" s="171" t="s">
        <v>799</v>
      </c>
      <c r="W2" s="171"/>
    </row>
    <row r="3" spans="1:23">
      <c r="A3" s="67"/>
      <c r="B3" s="67" t="s">
        <v>367</v>
      </c>
      <c r="C3" s="67"/>
      <c r="D3" s="67"/>
      <c r="E3" s="214">
        <f>'假设-产品价值链定价'!L7</f>
        <v>2.1842009464870764</v>
      </c>
      <c r="F3" s="67"/>
      <c r="G3" s="67"/>
      <c r="H3" s="67"/>
      <c r="I3" s="214">
        <f>'假设-ROI月度滚动'!J13</f>
        <v>4.4569365164464401</v>
      </c>
      <c r="J3" s="214">
        <f>'假设-ROI月度滚动'!K13</f>
        <v>2.4602806170243801</v>
      </c>
      <c r="K3" s="214">
        <f>'假设-ROI月度滚动'!L13</f>
        <v>3.7855710139979499</v>
      </c>
      <c r="L3" s="214">
        <f>'假设-ROI月度滚动'!M13</f>
        <v>5.5295297744287302</v>
      </c>
      <c r="M3" s="214">
        <f>'假设-ROI月度滚动'!N13</f>
        <v>1.7485534041455599</v>
      </c>
      <c r="N3" s="214">
        <f>'假设-ROI月度滚动'!O13</f>
        <v>3.33</v>
      </c>
      <c r="O3" s="214">
        <f>'假设-ROI月度滚动'!P13</f>
        <v>3.33</v>
      </c>
      <c r="P3" s="214">
        <f>'假设-ROI月度滚动'!Q13</f>
        <v>3.33</v>
      </c>
      <c r="Q3" s="214">
        <f>'假设-ROI月度滚动'!R13</f>
        <v>3.33</v>
      </c>
      <c r="R3" s="214">
        <f>'假设-ROI月度滚动'!S13</f>
        <v>3.33</v>
      </c>
      <c r="S3" s="214">
        <f>'假设-ROI月度滚动'!T13</f>
        <v>3.33</v>
      </c>
      <c r="T3" s="214">
        <f>'假设-ROI月度滚动'!U13</f>
        <v>3.33</v>
      </c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67"/>
      <c r="B7" s="192" t="s">
        <v>110</v>
      </c>
      <c r="C7" s="129"/>
      <c r="D7" s="130"/>
      <c r="E7" s="215" t="s">
        <v>111</v>
      </c>
      <c r="F7" s="216" t="s">
        <v>112</v>
      </c>
      <c r="G7" s="192" t="s">
        <v>368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102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0.15453599999999998</v>
      </c>
      <c r="J8" s="218">
        <f t="shared" si="0"/>
        <v>0.27626899999999999</v>
      </c>
      <c r="K8" s="218">
        <f t="shared" si="0"/>
        <v>0.366398</v>
      </c>
      <c r="L8" s="218">
        <f t="shared" si="0"/>
        <v>0.117881</v>
      </c>
      <c r="M8" s="218">
        <f t="shared" si="0"/>
        <v>0.45122099999999998</v>
      </c>
      <c r="N8" s="218">
        <f t="shared" si="0"/>
        <v>4.9102750000000004</v>
      </c>
      <c r="O8" s="218">
        <f t="shared" si="0"/>
        <v>2.9054295145125022</v>
      </c>
      <c r="P8" s="218">
        <f t="shared" si="0"/>
        <v>3.8858625194097254</v>
      </c>
      <c r="Q8" s="218">
        <f t="shared" si="0"/>
        <v>4.9141215245458358</v>
      </c>
      <c r="R8" s="218">
        <f t="shared" si="0"/>
        <v>5.3146642765465328</v>
      </c>
      <c r="S8" s="218">
        <f t="shared" si="0"/>
        <v>6.4565100322500051</v>
      </c>
      <c r="T8" s="218">
        <f t="shared" si="0"/>
        <v>5.4999900274722275</v>
      </c>
      <c r="U8" s="165"/>
      <c r="V8" s="218">
        <f t="shared" ref="V8:V46" si="1">SUM(I8:T8)</f>
        <v>35.25315789473683</v>
      </c>
      <c r="W8" s="218">
        <f t="shared" ref="W8:W46" si="2">SUM(O8:T8)</f>
        <v>28.976577894736828</v>
      </c>
    </row>
    <row r="9" spans="1:23">
      <c r="A9" s="67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 t="shared" ref="I9:T9" si="3">I$17</f>
        <v>0.15453599999999998</v>
      </c>
      <c r="J9" s="165">
        <f t="shared" si="3"/>
        <v>0.27626899999999999</v>
      </c>
      <c r="K9" s="165">
        <f t="shared" si="3"/>
        <v>0.366398</v>
      </c>
      <c r="L9" s="165">
        <f t="shared" si="3"/>
        <v>0.117881</v>
      </c>
      <c r="M9" s="165">
        <f t="shared" si="3"/>
        <v>0.45122099999999998</v>
      </c>
      <c r="N9" s="165">
        <f t="shared" si="3"/>
        <v>4.9102750000000004</v>
      </c>
      <c r="O9" s="165">
        <f t="shared" si="3"/>
        <v>2.9054295145125022</v>
      </c>
      <c r="P9" s="165">
        <f t="shared" si="3"/>
        <v>3.8858625194097254</v>
      </c>
      <c r="Q9" s="165">
        <f t="shared" si="3"/>
        <v>4.9141215245458358</v>
      </c>
      <c r="R9" s="165">
        <f t="shared" si="3"/>
        <v>5.3146642765465328</v>
      </c>
      <c r="S9" s="165">
        <f t="shared" si="3"/>
        <v>6.4565100322500051</v>
      </c>
      <c r="T9" s="165">
        <f t="shared" si="3"/>
        <v>5.4999900274722275</v>
      </c>
      <c r="U9" s="165"/>
      <c r="V9" s="165">
        <f t="shared" si="1"/>
        <v>35.25315789473683</v>
      </c>
      <c r="W9" s="165">
        <f t="shared" si="2"/>
        <v>28.976577894736828</v>
      </c>
    </row>
    <row r="10" spans="1:23">
      <c r="A10" s="67"/>
      <c r="B10" s="102"/>
      <c r="C10" s="102"/>
      <c r="D10" s="67"/>
      <c r="E10" s="67"/>
      <c r="F10" s="67" t="s">
        <v>369</v>
      </c>
      <c r="G10" s="178">
        <v>0</v>
      </c>
      <c r="H10" s="67"/>
      <c r="I10" s="165">
        <f t="shared" ref="I10:T12" si="4">I$9*$G10</f>
        <v>0</v>
      </c>
      <c r="J10" s="165">
        <f t="shared" si="4"/>
        <v>0</v>
      </c>
      <c r="K10" s="165">
        <f t="shared" si="4"/>
        <v>0</v>
      </c>
      <c r="L10" s="165">
        <f t="shared" si="4"/>
        <v>0</v>
      </c>
      <c r="M10" s="165">
        <f t="shared" si="4"/>
        <v>0</v>
      </c>
      <c r="N10" s="165">
        <f t="shared" si="4"/>
        <v>0</v>
      </c>
      <c r="O10" s="165">
        <f t="shared" si="4"/>
        <v>0</v>
      </c>
      <c r="P10" s="165">
        <f t="shared" si="4"/>
        <v>0</v>
      </c>
      <c r="Q10" s="165">
        <f t="shared" si="4"/>
        <v>0</v>
      </c>
      <c r="R10" s="165">
        <f t="shared" si="4"/>
        <v>0</v>
      </c>
      <c r="S10" s="165">
        <f t="shared" si="4"/>
        <v>0</v>
      </c>
      <c r="T10" s="165">
        <f t="shared" si="4"/>
        <v>0</v>
      </c>
      <c r="U10" s="165"/>
      <c r="V10" s="165">
        <f t="shared" si="1"/>
        <v>0</v>
      </c>
      <c r="W10" s="165">
        <f t="shared" si="2"/>
        <v>0</v>
      </c>
    </row>
    <row r="11" spans="1:23">
      <c r="A11" s="67"/>
      <c r="B11" s="102"/>
      <c r="C11" s="102"/>
      <c r="D11" s="67"/>
      <c r="E11" s="67"/>
      <c r="F11" s="67" t="s">
        <v>805</v>
      </c>
      <c r="G11" s="178">
        <v>0</v>
      </c>
      <c r="H11" s="67"/>
      <c r="I11" s="165">
        <f t="shared" si="4"/>
        <v>0</v>
      </c>
      <c r="J11" s="165">
        <f t="shared" si="4"/>
        <v>0</v>
      </c>
      <c r="K11" s="165">
        <f t="shared" si="4"/>
        <v>0</v>
      </c>
      <c r="L11" s="165">
        <f t="shared" si="4"/>
        <v>0</v>
      </c>
      <c r="M11" s="165">
        <f t="shared" si="4"/>
        <v>0</v>
      </c>
      <c r="N11" s="165">
        <f t="shared" si="4"/>
        <v>0</v>
      </c>
      <c r="O11" s="165">
        <f t="shared" si="4"/>
        <v>0</v>
      </c>
      <c r="P11" s="165">
        <f t="shared" si="4"/>
        <v>0</v>
      </c>
      <c r="Q11" s="165">
        <f t="shared" si="4"/>
        <v>0</v>
      </c>
      <c r="R11" s="165">
        <f t="shared" si="4"/>
        <v>0</v>
      </c>
      <c r="S11" s="165">
        <f t="shared" si="4"/>
        <v>0</v>
      </c>
      <c r="T11" s="165">
        <f t="shared" si="4"/>
        <v>0</v>
      </c>
      <c r="U11" s="165"/>
      <c r="V11" s="165">
        <f t="shared" si="1"/>
        <v>0</v>
      </c>
      <c r="W11" s="165">
        <f t="shared" si="2"/>
        <v>0</v>
      </c>
    </row>
    <row r="12" spans="1:23">
      <c r="A12" s="67"/>
      <c r="B12" s="102"/>
      <c r="C12" s="102"/>
      <c r="D12" s="67"/>
      <c r="E12" s="67"/>
      <c r="F12" s="67" t="s">
        <v>806</v>
      </c>
      <c r="G12" s="178">
        <v>0</v>
      </c>
      <c r="H12" s="67"/>
      <c r="I12" s="165">
        <f t="shared" si="4"/>
        <v>0</v>
      </c>
      <c r="J12" s="165">
        <f t="shared" si="4"/>
        <v>0</v>
      </c>
      <c r="K12" s="165">
        <f t="shared" si="4"/>
        <v>0</v>
      </c>
      <c r="L12" s="165">
        <f t="shared" si="4"/>
        <v>0</v>
      </c>
      <c r="M12" s="165">
        <f t="shared" si="4"/>
        <v>0</v>
      </c>
      <c r="N12" s="165">
        <f t="shared" si="4"/>
        <v>0</v>
      </c>
      <c r="O12" s="165">
        <f t="shared" si="4"/>
        <v>0</v>
      </c>
      <c r="P12" s="165">
        <f t="shared" si="4"/>
        <v>0</v>
      </c>
      <c r="Q12" s="165">
        <f t="shared" si="4"/>
        <v>0</v>
      </c>
      <c r="R12" s="165">
        <f t="shared" si="4"/>
        <v>0</v>
      </c>
      <c r="S12" s="165">
        <f t="shared" si="4"/>
        <v>0</v>
      </c>
      <c r="T12" s="165">
        <f t="shared" si="4"/>
        <v>0</v>
      </c>
      <c r="U12" s="165"/>
      <c r="V12" s="165">
        <f t="shared" si="1"/>
        <v>0</v>
      </c>
      <c r="W12" s="165">
        <f t="shared" si="2"/>
        <v>0</v>
      </c>
    </row>
    <row r="13" spans="1:23" s="13" customFormat="1">
      <c r="A13" s="102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219">
        <f>IFERROR(SUMPRODUCT(('辅助-机制测算'!$A$2:$A$200="拼多多平台")*'辅助-机制测算'!$F$2:$F$200*IFERROR('辅助-机制测算'!$G$2:$G$200/'辅助-机制测算'!$H$2:$H$200,0))*'假设-目标渠道分解'!L$13,0)</f>
        <v>2.5839715263157883</v>
      </c>
      <c r="J13" s="219">
        <f>IFERROR(SUMPRODUCT(('辅助-机制测算'!$A$2:$A$200="拼多多平台")*'辅助-机制测算'!$F$2:$F$200*IFERROR('辅助-机制测算'!$G$2:$G$200/'辅助-机制测算'!$H$2:$H$200,0))*'假设-目标渠道分解'!M$13,0)</f>
        <v>2.4664893157894725</v>
      </c>
      <c r="K13" s="219">
        <f>IFERROR(SUMPRODUCT(('辅助-机制测算'!$A$2:$A$200="拼多多平台")*'辅助-机制测算'!$F$2:$F$200*IFERROR('辅助-机制测算'!$G$2:$G$200/'辅助-机制测算'!$H$2:$H$200,0))*'假设-目标渠道分解'!N$13,0)</f>
        <v>3.5071115684210517</v>
      </c>
      <c r="L13" s="219">
        <f>IFERROR(SUMPRODUCT(('辅助-机制测算'!$A$2:$A$200="拼多多平台")*'辅助-机制测算'!$F$2:$F$200*IFERROR('辅助-机制测算'!$G$2:$G$200/'辅助-机制测算'!$H$2:$H$200,0))*'假设-目标渠道分解'!O$13,0)</f>
        <v>3.8991606631578928</v>
      </c>
      <c r="M13" s="219">
        <f>IFERROR(SUMPRODUCT(('辅助-机制测算'!$A$2:$A$200="拼多多平台")*'辅助-机制测算'!$F$2:$F$200*IFERROR('辅助-机制测算'!$G$2:$G$200/'辅助-机制测算'!$H$2:$H$200,0))*'假设-目标渠道分解'!P$13,0)</f>
        <v>4.5336410526315776</v>
      </c>
      <c r="N13" s="219">
        <f>IFERROR(SUMPRODUCT(('辅助-机制测算'!$A$2:$A$200="拼多多平台")*'辅助-机制测算'!$F$2:$F$200*IFERROR('辅助-机制测算'!$G$2:$G$200/'辅助-机制测算'!$H$2:$H$200,0))*'假设-目标渠道分解'!Q$13,0)</f>
        <v>3.1104878208796545</v>
      </c>
      <c r="O13" s="219">
        <f>IFERROR(SUMPRODUCT(('辅助-机制测算'!$A$2:$A$200="拼多多平台")*'辅助-机制测算'!$F$2:$F$200*IFERROR('辅助-机制测算'!$G$2:$G$200/'辅助-机制测算'!$H$2:$H$200,0))*'假设-目标渠道分解'!R$13,0)</f>
        <v>1.5192935486909669</v>
      </c>
      <c r="P13" s="219">
        <f>IFERROR(SUMPRODUCT(('辅助-机制测算'!$A$2:$A$200="拼多多平台")*'辅助-机制测算'!$F$2:$F$200*IFERROR('辅助-机制测算'!$G$2:$G$200/'辅助-机制测算'!$H$2:$H$200,0))*'假设-目标渠道分解'!S$13,0)</f>
        <v>2.0319769684138449</v>
      </c>
      <c r="Q13" s="219">
        <f>IFERROR(SUMPRODUCT(('辅助-机制测算'!$A$2:$A$200="拼多多平台")*'辅助-机制测算'!$F$2:$F$200*IFERROR('辅助-机制测算'!$G$2:$G$200/'辅助-机制测算'!$H$2:$H$200,0))*'假设-目标渠道分解'!T$13,0)</f>
        <v>2.5696693354402771</v>
      </c>
      <c r="R13" s="219">
        <f>IFERROR(SUMPRODUCT(('辅助-机制测算'!$A$2:$A$200="拼多多平台")*'辅助-机制测算'!$F$2:$F$200*IFERROR('辅助-机制测算'!$G$2:$G$200/'辅助-机制测算'!$H$2:$H$200,0))*'假设-目标渠道分解'!U$13,0)</f>
        <v>2.7791192691075515</v>
      </c>
      <c r="S13" s="219">
        <f>IFERROR(SUMPRODUCT(('辅助-机制测算'!$A$2:$A$200="拼多多平台")*'辅助-机制测算'!$F$2:$F$200*IFERROR('辅助-机制测算'!$G$2:$G$200/'辅助-机制测算'!$H$2:$H$200,0))*'假设-目标渠道分解'!V$13,0)</f>
        <v>3.3762078859799267</v>
      </c>
      <c r="T13" s="219">
        <f>IFERROR(SUMPRODUCT(('辅助-机制测算'!$A$2:$A$200="拼多多平台")*'辅助-机制测算'!$F$2:$F$200*IFERROR('辅助-机制测算'!$G$2:$G$200/'辅助-机制测算'!$H$2:$H$200,0))*'假设-目标渠道分解'!W$13,0)</f>
        <v>2.8760289399088266</v>
      </c>
      <c r="U13" s="219"/>
      <c r="V13" s="219">
        <f t="shared" si="1"/>
        <v>35.25315789473683</v>
      </c>
      <c r="W13" s="219">
        <f t="shared" si="2"/>
        <v>15.152295947541393</v>
      </c>
    </row>
    <row r="14" spans="1:23">
      <c r="A14" s="67"/>
      <c r="B14" s="102"/>
      <c r="C14" s="102"/>
      <c r="D14" s="67"/>
      <c r="E14" s="67"/>
      <c r="F14" s="67" t="s">
        <v>371</v>
      </c>
      <c r="G14" s="67"/>
      <c r="H14" s="67"/>
      <c r="I14" s="220">
        <f t="shared" ref="I14:T14" si="5">IFERROR(I$13/$V$13,0)</f>
        <v>7.3297590361445772E-2</v>
      </c>
      <c r="J14" s="220">
        <f t="shared" si="5"/>
        <v>6.9965060240963842E-2</v>
      </c>
      <c r="K14" s="220">
        <f t="shared" si="5"/>
        <v>9.9483614457831326E-2</v>
      </c>
      <c r="L14" s="220">
        <f t="shared" si="5"/>
        <v>0.11060457831325299</v>
      </c>
      <c r="M14" s="220">
        <f t="shared" si="5"/>
        <v>0.12860240963855421</v>
      </c>
      <c r="N14" s="220">
        <f t="shared" si="5"/>
        <v>8.8232884843035264E-2</v>
      </c>
      <c r="O14" s="220">
        <f t="shared" si="5"/>
        <v>4.3096665360517733E-2</v>
      </c>
      <c r="P14" s="220">
        <f t="shared" si="5"/>
        <v>5.7639573013038126E-2</v>
      </c>
      <c r="Q14" s="220">
        <f t="shared" si="5"/>
        <v>7.2891890794949732E-2</v>
      </c>
      <c r="R14" s="220">
        <f t="shared" si="5"/>
        <v>7.8833200628601385E-2</v>
      </c>
      <c r="S14" s="220">
        <f t="shared" si="5"/>
        <v>9.5770367467817183E-2</v>
      </c>
      <c r="T14" s="220">
        <f t="shared" si="5"/>
        <v>8.1582164879992425E-2</v>
      </c>
      <c r="U14" s="155"/>
      <c r="V14" s="220">
        <f t="shared" si="1"/>
        <v>1</v>
      </c>
      <c r="W14" s="220">
        <f t="shared" si="2"/>
        <v>0.42981386214491663</v>
      </c>
    </row>
    <row r="15" spans="1:23">
      <c r="A15" s="67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B$6:$B$532,"拼多多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拼多多",'参考值-平台费用率分析'!$C$6:$C$532,"主营业务收入",'参考值-平台费用率分析'!$E$6:$E$532,"主营业务收入")/10000)</f>
        <v>0.15453599999999998</v>
      </c>
      <c r="J15" s="165">
        <f>IF(COUNTIFS('参考值-平台费用率分析'!$B$6:$B$532,"拼多多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拼多多",'参考值-平台费用率分析'!$C$6:$C$532,"主营业务收入",'参考值-平台费用率分析'!$E$6:$E$532,"主营业务收入")/10000)</f>
        <v>0.27626899999999999</v>
      </c>
      <c r="K15" s="165">
        <f>IF(COUNTIFS('参考值-平台费用率分析'!$B$6:$B$532,"拼多多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拼多多",'参考值-平台费用率分析'!$C$6:$C$532,"主营业务收入",'参考值-平台费用率分析'!$E$6:$E$532,"主营业务收入")/10000)</f>
        <v>0.366398</v>
      </c>
      <c r="L15" s="165">
        <f>IF(COUNTIFS('参考值-平台费用率分析'!$B$6:$B$532,"拼多多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拼多多",'参考值-平台费用率分析'!$C$6:$C$532,"主营业务收入",'参考值-平台费用率分析'!$E$6:$E$532,"主营业务收入")/10000)</f>
        <v>0.117881</v>
      </c>
      <c r="M15" s="165">
        <f>IF(COUNTIFS('参考值-平台费用率分析'!$B$6:$B$532,"拼多多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拼多多",'参考值-平台费用率分析'!$C$6:$C$532,"主营业务收入",'参考值-平台费用率分析'!$E$6:$E$532,"主营业务收入")/10000)</f>
        <v>0.45122099999999998</v>
      </c>
      <c r="N15" s="165">
        <f>IF(COUNTIFS('参考值-平台费用率分析'!$B$6:$B$532,"拼多多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拼多多",'参考值-平台费用率分析'!$C$6:$C$532,"主营业务收入",'参考值-平台费用率分析'!$E$6:$E$532,"主营业务收入")/10000)</f>
        <v>4.9102750000000004</v>
      </c>
      <c r="O15" s="165" t="str">
        <f>IF(COUNTIFS('参考值-平台费用率分析'!$B$6:$B$532,"拼多多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拼多多",'参考值-平台费用率分析'!$C$6:$C$532,"主营业务收入",'参考值-平台费用率分析'!$E$6:$E$532,"主营业务收入")/10000)</f>
        <v/>
      </c>
      <c r="P15" s="165" t="str">
        <f>IF(COUNTIFS('参考值-平台费用率分析'!$B$6:$B$532,"拼多多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拼多多",'参考值-平台费用率分析'!$C$6:$C$532,"主营业务收入",'参考值-平台费用率分析'!$E$6:$E$532,"主营业务收入")/10000)</f>
        <v/>
      </c>
      <c r="Q15" s="165" t="str">
        <f>IF(COUNTIFS('参考值-平台费用率分析'!$B$6:$B$532,"拼多多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拼多多",'参考值-平台费用率分析'!$C$6:$C$532,"主营业务收入",'参考值-平台费用率分析'!$E$6:$E$532,"主营业务收入")/10000)</f>
        <v/>
      </c>
      <c r="R15" s="165" t="str">
        <f>IF(COUNTIFS('参考值-平台费用率分析'!$B$6:$B$532,"拼多多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拼多多",'参考值-平台费用率分析'!$C$6:$C$532,"主营业务收入",'参考值-平台费用率分析'!$E$6:$E$532,"主营业务收入")/10000)</f>
        <v/>
      </c>
      <c r="S15" s="165" t="str">
        <f>IF(COUNTIFS('参考值-平台费用率分析'!$B$6:$B$532,"拼多多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拼多多",'参考值-平台费用率分析'!$C$6:$C$532,"主营业务收入",'参考值-平台费用率分析'!$E$6:$E$532,"主营业务收入")/10000)</f>
        <v/>
      </c>
      <c r="T15" s="165" t="str">
        <f>IF(COUNTIFS('参考值-平台费用率分析'!$B$6:$B$532,"拼多多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拼多多",'参考值-平台费用率分析'!$C$6:$C$532,"主营业务收入",'参考值-平台费用率分析'!$E$6:$E$532,"主营业务收入")/10000)</f>
        <v/>
      </c>
      <c r="U15" s="165"/>
      <c r="V15" s="165">
        <f t="shared" si="1"/>
        <v>6.2765800000000009</v>
      </c>
      <c r="W15" s="165">
        <f t="shared" si="2"/>
        <v>0</v>
      </c>
    </row>
    <row r="16" spans="1:23" s="13" customFormat="1">
      <c r="A16" s="102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19">
        <f t="shared" ref="I16:T16" si="6">IF(ISNUMBER(I$15),I$15,I$13*IFERROR(SUM($I$15:$T$15)/SUMPRODUCT(($I$15:$T$15&lt;&gt;"")*$I$13:$T$13),1))</f>
        <v>0.15453599999999998</v>
      </c>
      <c r="J16" s="219">
        <f t="shared" si="6"/>
        <v>0.27626899999999999</v>
      </c>
      <c r="K16" s="219">
        <f t="shared" si="6"/>
        <v>0.366398</v>
      </c>
      <c r="L16" s="219">
        <f t="shared" si="6"/>
        <v>0.117881</v>
      </c>
      <c r="M16" s="219">
        <f t="shared" si="6"/>
        <v>0.45122099999999998</v>
      </c>
      <c r="N16" s="219">
        <f t="shared" si="6"/>
        <v>4.9102750000000004</v>
      </c>
      <c r="O16" s="219">
        <f t="shared" si="6"/>
        <v>0.47440589995063631</v>
      </c>
      <c r="P16" s="219">
        <f t="shared" si="6"/>
        <v>0.63449348758829971</v>
      </c>
      <c r="Q16" s="219">
        <f t="shared" si="6"/>
        <v>0.80239022584243413</v>
      </c>
      <c r="R16" s="219">
        <f t="shared" si="6"/>
        <v>0.8677918622553823</v>
      </c>
      <c r="S16" s="219">
        <f t="shared" si="6"/>
        <v>1.0542353332236363</v>
      </c>
      <c r="T16" s="219">
        <f t="shared" si="6"/>
        <v>0.89805232089420872</v>
      </c>
      <c r="U16" s="219"/>
      <c r="V16" s="219">
        <f t="shared" si="1"/>
        <v>11.007949129754598</v>
      </c>
      <c r="W16" s="219">
        <f t="shared" si="2"/>
        <v>4.7313691297545972</v>
      </c>
    </row>
    <row r="17" spans="1:23">
      <c r="A17" s="67"/>
      <c r="B17" s="102"/>
      <c r="C17" s="102"/>
      <c r="D17" s="67"/>
      <c r="E17" s="79" t="s">
        <v>165</v>
      </c>
      <c r="F17" s="67" t="s">
        <v>808</v>
      </c>
      <c r="G17" s="67"/>
      <c r="H17" s="67"/>
      <c r="I17" s="165">
        <f t="shared" ref="I17:T17" si="7">IF(ISNUMBER(I$15),I$15,IFERROR(I$13+(SUMPRODUCT(($I$15:$T$15&lt;&gt;"")*$I$13:$T$13)-SUM($I$15:$T$15))*(I$14/(SUMPRODUCT(($I$15:$T$15="")*$I$14:$T$14))),I$13))</f>
        <v>0.15453599999999998</v>
      </c>
      <c r="J17" s="165">
        <f t="shared" si="7"/>
        <v>0.27626899999999999</v>
      </c>
      <c r="K17" s="165">
        <f t="shared" si="7"/>
        <v>0.366398</v>
      </c>
      <c r="L17" s="165">
        <f t="shared" si="7"/>
        <v>0.117881</v>
      </c>
      <c r="M17" s="165">
        <f t="shared" si="7"/>
        <v>0.45122099999999998</v>
      </c>
      <c r="N17" s="165">
        <f t="shared" si="7"/>
        <v>4.9102750000000004</v>
      </c>
      <c r="O17" s="165">
        <f t="shared" si="7"/>
        <v>2.9054295145125022</v>
      </c>
      <c r="P17" s="165">
        <f t="shared" si="7"/>
        <v>3.8858625194097254</v>
      </c>
      <c r="Q17" s="165">
        <f t="shared" si="7"/>
        <v>4.9141215245458358</v>
      </c>
      <c r="R17" s="165">
        <f t="shared" si="7"/>
        <v>5.3146642765465328</v>
      </c>
      <c r="S17" s="165">
        <f t="shared" si="7"/>
        <v>6.4565100322500051</v>
      </c>
      <c r="T17" s="165">
        <f t="shared" si="7"/>
        <v>5.4999900274722275</v>
      </c>
      <c r="U17" s="165"/>
      <c r="V17" s="165">
        <f t="shared" si="1"/>
        <v>35.25315789473683</v>
      </c>
      <c r="W17" s="165">
        <f t="shared" si="2"/>
        <v>28.976577894736828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4.7808906618904162E-2</v>
      </c>
      <c r="J18" s="218">
        <f t="shared" si="8"/>
        <v>8.54695269885207E-2</v>
      </c>
      <c r="K18" s="218">
        <f t="shared" si="8"/>
        <v>0.11335279654807456</v>
      </c>
      <c r="L18" s="218">
        <f t="shared" si="8"/>
        <v>3.6468924529837986E-2</v>
      </c>
      <c r="M18" s="218">
        <f t="shared" si="8"/>
        <v>0.13959454530652118</v>
      </c>
      <c r="N18" s="218">
        <f t="shared" si="8"/>
        <v>1.5190950907758689</v>
      </c>
      <c r="O18" s="218">
        <f t="shared" si="8"/>
        <v>0.89885468982720074</v>
      </c>
      <c r="P18" s="218">
        <f t="shared" si="8"/>
        <v>1.2021719102627171</v>
      </c>
      <c r="Q18" s="218">
        <f t="shared" si="8"/>
        <v>1.5202850926706972</v>
      </c>
      <c r="R18" s="218">
        <f t="shared" si="8"/>
        <v>1.6442012741900858</v>
      </c>
      <c r="S18" s="218">
        <f t="shared" si="8"/>
        <v>1.9974548662826683</v>
      </c>
      <c r="T18" s="218">
        <f t="shared" si="8"/>
        <v>1.7015356268333846</v>
      </c>
      <c r="U18" s="165"/>
      <c r="V18" s="218">
        <f t="shared" si="1"/>
        <v>10.906293250834482</v>
      </c>
      <c r="W18" s="218">
        <f t="shared" si="2"/>
        <v>8.9645034600667532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IFERROR(I$9*SUMPRODUCT(('辅助-机制测算'!$A$2:$A$200="拼多多平台")*'辅助-机制测算'!$F$2:$F$200*IFERROR('辅助-机制测算'!$H$2:$H$200/'辅助-机制测算'!$G$2:$G$200,0)),0)</f>
        <v>4.7808906618904162E-2</v>
      </c>
      <c r="J19" s="165">
        <f>IFERROR(J$9*SUMPRODUCT(('辅助-机制测算'!$A$2:$A$200="拼多多平台")*'辅助-机制测算'!$F$2:$F$200*IFERROR('辅助-机制测算'!$H$2:$H$200/'辅助-机制测算'!$G$2:$G$200,0)),0)</f>
        <v>8.54695269885207E-2</v>
      </c>
      <c r="K19" s="165">
        <f>IFERROR(K$9*SUMPRODUCT(('辅助-机制测算'!$A$2:$A$200="拼多多平台")*'辅助-机制测算'!$F$2:$F$200*IFERROR('辅助-机制测算'!$H$2:$H$200/'辅助-机制测算'!$G$2:$G$200,0)),0)</f>
        <v>0.11335279654807456</v>
      </c>
      <c r="L19" s="165">
        <f>IFERROR(L$9*SUMPRODUCT(('辅助-机制测算'!$A$2:$A$200="拼多多平台")*'辅助-机制测算'!$F$2:$F$200*IFERROR('辅助-机制测算'!$H$2:$H$200/'辅助-机制测算'!$G$2:$G$200,0)),0)</f>
        <v>3.6468924529837986E-2</v>
      </c>
      <c r="M19" s="165">
        <f>IFERROR(M$9*SUMPRODUCT(('辅助-机制测算'!$A$2:$A$200="拼多多平台")*'辅助-机制测算'!$F$2:$F$200*IFERROR('辅助-机制测算'!$H$2:$H$200/'辅助-机制测算'!$G$2:$G$200,0)),0)</f>
        <v>0.13959454530652118</v>
      </c>
      <c r="N19" s="165">
        <f>IFERROR(N$9*SUMPRODUCT(('辅助-机制测算'!$A$2:$A$200="拼多多平台")*'辅助-机制测算'!$F$2:$F$200*IFERROR('辅助-机制测算'!$H$2:$H$200/'辅助-机制测算'!$G$2:$G$200,0)),0)</f>
        <v>1.5190950907758689</v>
      </c>
      <c r="O19" s="165">
        <f>IFERROR(O$9*SUMPRODUCT(('辅助-机制测算'!$A$2:$A$200="拼多多平台")*'辅助-机制测算'!$F$2:$F$200*IFERROR('辅助-机制测算'!$H$2:$H$200/'辅助-机制测算'!$G$2:$G$200,0)),0)</f>
        <v>0.89885468982720074</v>
      </c>
      <c r="P19" s="165">
        <f>IFERROR(P$9*SUMPRODUCT(('辅助-机制测算'!$A$2:$A$200="拼多多平台")*'辅助-机制测算'!$F$2:$F$200*IFERROR('辅助-机制测算'!$H$2:$H$200/'辅助-机制测算'!$G$2:$G$200,0)),0)</f>
        <v>1.2021719102627171</v>
      </c>
      <c r="Q19" s="165">
        <f>IFERROR(Q$9*SUMPRODUCT(('辅助-机制测算'!$A$2:$A$200="拼多多平台")*'辅助-机制测算'!$F$2:$F$200*IFERROR('辅助-机制测算'!$H$2:$H$200/'辅助-机制测算'!$G$2:$G$200,0)),0)</f>
        <v>1.5202850926706972</v>
      </c>
      <c r="R19" s="165">
        <f>IFERROR(R$9*SUMPRODUCT(('辅助-机制测算'!$A$2:$A$200="拼多多平台")*'辅助-机制测算'!$F$2:$F$200*IFERROR('辅助-机制测算'!$H$2:$H$200/'辅助-机制测算'!$G$2:$G$200,0)),0)</f>
        <v>1.6442012741900858</v>
      </c>
      <c r="S19" s="165">
        <f>IFERROR(S$9*SUMPRODUCT(('辅助-机制测算'!$A$2:$A$200="拼多多平台")*'辅助-机制测算'!$F$2:$F$200*IFERROR('辅助-机制测算'!$H$2:$H$200/'辅助-机制测算'!$G$2:$G$200,0)),0)</f>
        <v>1.9974548662826683</v>
      </c>
      <c r="T19" s="165">
        <f>IFERROR(T$9*SUMPRODUCT(('辅助-机制测算'!$A$2:$A$200="拼多多平台")*'辅助-机制测算'!$F$2:$F$200*IFERROR('辅助-机制测算'!$H$2:$H$200/'辅助-机制测算'!$G$2:$G$200,0)),0)</f>
        <v>1.7015356268333846</v>
      </c>
      <c r="U19" s="219"/>
      <c r="V19" s="165">
        <f t="shared" si="1"/>
        <v>10.906293250834482</v>
      </c>
      <c r="W19" s="165">
        <f t="shared" si="2"/>
        <v>8.9645034600667532</v>
      </c>
    </row>
    <row r="20" spans="1:23" s="13" customFormat="1">
      <c r="A20" s="102"/>
      <c r="B20" s="217" t="s">
        <v>52</v>
      </c>
      <c r="C20" s="217"/>
      <c r="D20" s="217"/>
      <c r="E20" s="217"/>
      <c r="F20" s="217"/>
      <c r="G20" s="217"/>
      <c r="H20" s="102"/>
      <c r="I20" s="218">
        <f t="shared" ref="I20:T20" si="9">I21+I27+I32+I36+I41</f>
        <v>6.2721334670190698E-2</v>
      </c>
      <c r="J20" s="218">
        <f t="shared" si="9"/>
        <v>0.15901469937628604</v>
      </c>
      <c r="K20" s="218">
        <f t="shared" si="9"/>
        <v>0.15759851604096498</v>
      </c>
      <c r="L20" s="218">
        <f t="shared" si="9"/>
        <v>3.2302403822592161E-2</v>
      </c>
      <c r="M20" s="218">
        <f t="shared" si="9"/>
        <v>0.29194483954896067</v>
      </c>
      <c r="N20" s="218">
        <f t="shared" si="9"/>
        <v>1.9239376744824341</v>
      </c>
      <c r="O20" s="218">
        <f t="shared" si="9"/>
        <v>1.1379731226266603</v>
      </c>
      <c r="P20" s="218">
        <f t="shared" si="9"/>
        <v>1.5219805138010887</v>
      </c>
      <c r="Q20" s="218">
        <f t="shared" si="9"/>
        <v>1.9247199728376838</v>
      </c>
      <c r="R20" s="218">
        <f t="shared" si="9"/>
        <v>2.0816010411833354</v>
      </c>
      <c r="S20" s="218">
        <f t="shared" si="9"/>
        <v>2.5288291613925784</v>
      </c>
      <c r="T20" s="218">
        <f t="shared" si="9"/>
        <v>2.1541878041492337</v>
      </c>
      <c r="U20" s="165"/>
      <c r="V20" s="218">
        <f t="shared" si="1"/>
        <v>13.976811083932009</v>
      </c>
      <c r="W20" s="218">
        <f t="shared" si="2"/>
        <v>11.34929161599058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SUM(I22:I26)</f>
        <v>3.8202730633468948E-2</v>
      </c>
      <c r="J21" s="223">
        <f t="shared" si="10"/>
        <v>0.11522710261458834</v>
      </c>
      <c r="K21" s="223">
        <f t="shared" si="10"/>
        <v>0.10377373223662711</v>
      </c>
      <c r="L21" s="223">
        <f t="shared" si="10"/>
        <v>1.9899123773053907E-2</v>
      </c>
      <c r="M21" s="223">
        <f t="shared" si="10"/>
        <v>0.26045806713201858</v>
      </c>
      <c r="N21" s="223">
        <f t="shared" si="10"/>
        <v>1.4925016082201557</v>
      </c>
      <c r="O21" s="223">
        <f t="shared" si="10"/>
        <v>0.88311921898065071</v>
      </c>
      <c r="P21" s="223">
        <f t="shared" si="10"/>
        <v>1.1811265274432572</v>
      </c>
      <c r="Q21" s="223">
        <f t="shared" si="10"/>
        <v>1.4936707777820879</v>
      </c>
      <c r="R21" s="223">
        <f t="shared" si="10"/>
        <v>1.6154176659954704</v>
      </c>
      <c r="S21" s="223">
        <f t="shared" si="10"/>
        <v>1.9624871532903352</v>
      </c>
      <c r="T21" s="223">
        <f t="shared" si="10"/>
        <v>1.6717483157658413</v>
      </c>
      <c r="U21" s="165"/>
      <c r="V21" s="223">
        <f t="shared" si="1"/>
        <v>10.837632023867554</v>
      </c>
      <c r="W21" s="223">
        <f t="shared" si="2"/>
        <v>8.8075696592576431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55</v>
      </c>
      <c r="G22" s="67"/>
      <c r="H22" s="67"/>
      <c r="I22" s="165">
        <f>I$9*'假设-ROI月度滚动'!J14</f>
        <v>3.4673143633468947E-2</v>
      </c>
      <c r="J22" s="165">
        <f>J$9*'假设-ROI月度滚动'!K14</f>
        <v>0.11229166221458833</v>
      </c>
      <c r="K22" s="165">
        <f>K$9*'假设-ROI月度滚动'!L14</f>
        <v>9.6788040336627121E-2</v>
      </c>
      <c r="L22" s="165">
        <f>L$9*'假设-ROI月度滚动'!M14</f>
        <v>2.1318449273053906E-2</v>
      </c>
      <c r="M22" s="165">
        <f>M$9*'假设-ROI月度滚动'!N14</f>
        <v>0.25805388553201858</v>
      </c>
      <c r="N22" s="165">
        <f>N$9*'假设-ROI月度滚动'!O14</f>
        <v>1.4745570570570572</v>
      </c>
      <c r="O22" s="165">
        <f>O$9*'假设-ROI月度滚动'!P14</f>
        <v>0.87250135570946008</v>
      </c>
      <c r="P22" s="165">
        <f>P$9*'假设-ROI月度滚动'!Q14</f>
        <v>1.166925681504422</v>
      </c>
      <c r="Q22" s="165">
        <f>Q$9*'假设-ROI月度滚动'!R14</f>
        <v>1.475712169533284</v>
      </c>
      <c r="R22" s="165">
        <f>R$9*'假设-ROI月度滚动'!S14</f>
        <v>1.595995278242202</v>
      </c>
      <c r="S22" s="165">
        <f>S$9*'假设-ROI月度滚动'!T14</f>
        <v>1.9388919015765782</v>
      </c>
      <c r="T22" s="165">
        <f>T$9*'假设-ROI月度滚动'!U14</f>
        <v>1.6516486568985669</v>
      </c>
      <c r="U22" s="165"/>
      <c r="V22" s="165">
        <f t="shared" si="1"/>
        <v>10.699357281511327</v>
      </c>
      <c r="W22" s="165">
        <f t="shared" si="2"/>
        <v>8.7016750434645136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>
        <f>I$9*'假设-销售费用率'!K112</f>
        <v>0</v>
      </c>
      <c r="J23" s="165">
        <f>J$9*'假设-销售费用率'!L112</f>
        <v>0</v>
      </c>
      <c r="K23" s="165">
        <f>K$9*'假设-销售费用率'!M112</f>
        <v>0</v>
      </c>
      <c r="L23" s="165">
        <f>L$9*'假设-销售费用率'!N112</f>
        <v>0</v>
      </c>
      <c r="M23" s="165">
        <f>M$9*'假设-销售费用率'!O112</f>
        <v>0</v>
      </c>
      <c r="N23" s="165">
        <f>N$9*'假设-销售费用率'!P112</f>
        <v>0</v>
      </c>
      <c r="O23" s="165">
        <f>O$9*'假设-销售费用率'!Q112</f>
        <v>0</v>
      </c>
      <c r="P23" s="165">
        <f>P$9*'假设-销售费用率'!R112</f>
        <v>0</v>
      </c>
      <c r="Q23" s="165">
        <f>Q$9*'假设-销售费用率'!S112</f>
        <v>0</v>
      </c>
      <c r="R23" s="165">
        <f>R$9*'假设-销售费用率'!T112</f>
        <v>0</v>
      </c>
      <c r="S23" s="165">
        <f>S$9*'假设-销售费用率'!U112</f>
        <v>0</v>
      </c>
      <c r="T23" s="165">
        <f>T$9*'假设-销售费用率'!V112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f>I$9*'假设-销售费用率'!K113</f>
        <v>0</v>
      </c>
      <c r="J24" s="165">
        <f>J$9*'假设-销售费用率'!L113</f>
        <v>0</v>
      </c>
      <c r="K24" s="165">
        <f>K$9*'假设-销售费用率'!M113</f>
        <v>0</v>
      </c>
      <c r="L24" s="165">
        <f>L$9*'假设-销售费用率'!N113</f>
        <v>0</v>
      </c>
      <c r="M24" s="165">
        <f>M$9*'假设-销售费用率'!O113</f>
        <v>0</v>
      </c>
      <c r="N24" s="165">
        <f>N$9*'假设-销售费用率'!P113</f>
        <v>0</v>
      </c>
      <c r="O24" s="165">
        <f>O$9*'假设-销售费用率'!Q113</f>
        <v>0</v>
      </c>
      <c r="P24" s="165">
        <f>P$9*'假设-销售费用率'!R113</f>
        <v>0</v>
      </c>
      <c r="Q24" s="165">
        <f>Q$9*'假设-销售费用率'!S113</f>
        <v>0</v>
      </c>
      <c r="R24" s="165">
        <f>R$9*'假设-销售费用率'!T113</f>
        <v>0</v>
      </c>
      <c r="S24" s="165">
        <f>S$9*'假设-销售费用率'!U113</f>
        <v>0</v>
      </c>
      <c r="T24" s="165">
        <f>T$9*'假设-销售费用率'!V113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I$9*'假设-销售费用率'!K114</f>
        <v>0</v>
      </c>
      <c r="J25" s="165">
        <f>J$9*'假设-销售费用率'!L114</f>
        <v>0</v>
      </c>
      <c r="K25" s="165">
        <f>K$9*'假设-销售费用率'!M114</f>
        <v>0</v>
      </c>
      <c r="L25" s="165">
        <f>L$9*'假设-销售费用率'!N114</f>
        <v>0</v>
      </c>
      <c r="M25" s="165">
        <f>M$9*'假设-销售费用率'!O114</f>
        <v>0</v>
      </c>
      <c r="N25" s="165">
        <f>N$9*'假设-销售费用率'!P114</f>
        <v>0</v>
      </c>
      <c r="O25" s="165">
        <f>O$9*'假设-销售费用率'!Q114</f>
        <v>0</v>
      </c>
      <c r="P25" s="165">
        <f>P$9*'假设-销售费用率'!R114</f>
        <v>0</v>
      </c>
      <c r="Q25" s="165">
        <f>Q$9*'假设-销售费用率'!S114</f>
        <v>0</v>
      </c>
      <c r="R25" s="165">
        <f>R$9*'假设-销售费用率'!T114</f>
        <v>0</v>
      </c>
      <c r="S25" s="165">
        <f>S$9*'假设-销售费用率'!U114</f>
        <v>0</v>
      </c>
      <c r="T25" s="165">
        <f>T$9*'假设-销售费用率'!V114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I$9*'假设-销售费用率'!K115</f>
        <v>3.5295869999999998E-3</v>
      </c>
      <c r="J26" s="165">
        <f>J$9*'假设-销售费用率'!L115</f>
        <v>2.9354403999999998E-3</v>
      </c>
      <c r="K26" s="165">
        <f>K$9*'假设-销售费用率'!M115</f>
        <v>6.9856919000000003E-3</v>
      </c>
      <c r="L26" s="165">
        <f>L$9*'假设-销售费用率'!N115</f>
        <v>-1.4193255000000001E-3</v>
      </c>
      <c r="M26" s="165">
        <f>M$9*'假设-销售费用率'!O115</f>
        <v>2.4041815999999998E-3</v>
      </c>
      <c r="N26" s="165">
        <f>N$9*'假设-销售费用率'!P115</f>
        <v>1.7944551163098378E-2</v>
      </c>
      <c r="O26" s="165">
        <f>O$9*'假设-销售费用率'!Q115</f>
        <v>1.0617863271190651E-2</v>
      </c>
      <c r="P26" s="165">
        <f>P$9*'假设-销售费用率'!R115</f>
        <v>1.4200845938835234E-2</v>
      </c>
      <c r="Q26" s="165">
        <f>Q$9*'假设-销售费用率'!S115</f>
        <v>1.7958608248803937E-2</v>
      </c>
      <c r="R26" s="165">
        <f>R$9*'假设-销售费用率'!T115</f>
        <v>1.9422387753268499E-2</v>
      </c>
      <c r="S26" s="165">
        <f>S$9*'假设-销售费用率'!U115</f>
        <v>2.3595251713757003E-2</v>
      </c>
      <c r="T26" s="165">
        <f>T$9*'假设-销售费用率'!V115</f>
        <v>2.0099658867274488E-2</v>
      </c>
      <c r="U26" s="165"/>
      <c r="V26" s="165">
        <f t="shared" si="1"/>
        <v>0.13827474235622819</v>
      </c>
      <c r="W26" s="165">
        <f t="shared" si="2"/>
        <v>0.10589461579312981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SUM(I28:I31)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0</v>
      </c>
      <c r="P27" s="223">
        <f t="shared" si="11"/>
        <v>0</v>
      </c>
      <c r="Q27" s="223">
        <f t="shared" si="11"/>
        <v>0</v>
      </c>
      <c r="R27" s="223">
        <f t="shared" si="11"/>
        <v>0</v>
      </c>
      <c r="S27" s="223">
        <f t="shared" si="11"/>
        <v>0</v>
      </c>
      <c r="T27" s="223">
        <f t="shared" si="11"/>
        <v>0</v>
      </c>
      <c r="U27" s="165"/>
      <c r="V27" s="223">
        <f t="shared" si="1"/>
        <v>0</v>
      </c>
      <c r="W27" s="223">
        <f t="shared" si="2"/>
        <v>0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>
        <f>I$9*'假设-销售费用率'!K117</f>
        <v>0</v>
      </c>
      <c r="J28" s="165">
        <f>J$9*'假设-销售费用率'!L117</f>
        <v>0</v>
      </c>
      <c r="K28" s="165">
        <f>K$9*'假设-销售费用率'!M117</f>
        <v>0</v>
      </c>
      <c r="L28" s="165">
        <f>L$9*'假设-销售费用率'!N117</f>
        <v>0</v>
      </c>
      <c r="M28" s="165">
        <f>M$9*'假设-销售费用率'!O117</f>
        <v>0</v>
      </c>
      <c r="N28" s="165">
        <f>N$9*'假设-销售费用率'!P117</f>
        <v>0</v>
      </c>
      <c r="O28" s="165">
        <f>O$9*'假设-销售费用率'!Q117</f>
        <v>0</v>
      </c>
      <c r="P28" s="165">
        <f>P$9*'假设-销售费用率'!R117</f>
        <v>0</v>
      </c>
      <c r="Q28" s="165">
        <f>Q$9*'假设-销售费用率'!S117</f>
        <v>0</v>
      </c>
      <c r="R28" s="165">
        <f>R$9*'假设-销售费用率'!T117</f>
        <v>0</v>
      </c>
      <c r="S28" s="165">
        <f>S$9*'假设-销售费用率'!U117</f>
        <v>0</v>
      </c>
      <c r="T28" s="165">
        <f>T$9*'假设-销售费用率'!V117</f>
        <v>0</v>
      </c>
      <c r="U28" s="165"/>
      <c r="V28" s="165">
        <f t="shared" si="1"/>
        <v>0</v>
      </c>
      <c r="W28" s="165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>
        <f>I$9*'假设-销售费用率'!K118</f>
        <v>0</v>
      </c>
      <c r="J29" s="165">
        <f>J$9*'假设-销售费用率'!L118</f>
        <v>0</v>
      </c>
      <c r="K29" s="165">
        <f>K$9*'假设-销售费用率'!M118</f>
        <v>0</v>
      </c>
      <c r="L29" s="165">
        <f>L$9*'假设-销售费用率'!N118</f>
        <v>0</v>
      </c>
      <c r="M29" s="165">
        <f>M$9*'假设-销售费用率'!O118</f>
        <v>0</v>
      </c>
      <c r="N29" s="165">
        <f>N$9*'假设-销售费用率'!P118</f>
        <v>0</v>
      </c>
      <c r="O29" s="165">
        <f>O$9*'假设-销售费用率'!Q118</f>
        <v>0</v>
      </c>
      <c r="P29" s="165">
        <f>P$9*'假设-销售费用率'!R118</f>
        <v>0</v>
      </c>
      <c r="Q29" s="165">
        <f>Q$9*'假设-销售费用率'!S118</f>
        <v>0</v>
      </c>
      <c r="R29" s="165">
        <f>R$9*'假设-销售费用率'!T118</f>
        <v>0</v>
      </c>
      <c r="S29" s="165">
        <f>S$9*'假设-销售费用率'!U118</f>
        <v>0</v>
      </c>
      <c r="T29" s="165">
        <f>T$9*'假设-销售费用率'!V118</f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>
        <f>I$9*'假设-销售费用率'!K119</f>
        <v>0</v>
      </c>
      <c r="J30" s="165">
        <f>J$9*'假设-销售费用率'!L119</f>
        <v>0</v>
      </c>
      <c r="K30" s="165">
        <f>K$9*'假设-销售费用率'!M119</f>
        <v>0</v>
      </c>
      <c r="L30" s="165">
        <f>L$9*'假设-销售费用率'!N119</f>
        <v>0</v>
      </c>
      <c r="M30" s="165">
        <f>M$9*'假设-销售费用率'!O119</f>
        <v>0</v>
      </c>
      <c r="N30" s="165">
        <f>N$9*'假设-销售费用率'!P119</f>
        <v>0</v>
      </c>
      <c r="O30" s="165">
        <f>O$9*'假设-销售费用率'!Q119</f>
        <v>0</v>
      </c>
      <c r="P30" s="165">
        <f>P$9*'假设-销售费用率'!R119</f>
        <v>0</v>
      </c>
      <c r="Q30" s="165">
        <f>Q$9*'假设-销售费用率'!S119</f>
        <v>0</v>
      </c>
      <c r="R30" s="165">
        <f>R$9*'假设-销售费用率'!T119</f>
        <v>0</v>
      </c>
      <c r="S30" s="165">
        <f>S$9*'假设-销售费用率'!U119</f>
        <v>0</v>
      </c>
      <c r="T30" s="165">
        <f>T$9*'假设-销售费用率'!V119</f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>
        <f>I$9*'假设-销售费用率'!K120</f>
        <v>0</v>
      </c>
      <c r="J31" s="165">
        <f>J$9*'假设-销售费用率'!L120</f>
        <v>0</v>
      </c>
      <c r="K31" s="165">
        <f>K$9*'假设-销售费用率'!M120</f>
        <v>0</v>
      </c>
      <c r="L31" s="165">
        <f>L$9*'假设-销售费用率'!N120</f>
        <v>0</v>
      </c>
      <c r="M31" s="165">
        <f>M$9*'假设-销售费用率'!O120</f>
        <v>0</v>
      </c>
      <c r="N31" s="165">
        <f>N$9*'假设-销售费用率'!P120</f>
        <v>0</v>
      </c>
      <c r="O31" s="165">
        <f>O$9*'假设-销售费用率'!Q120</f>
        <v>0</v>
      </c>
      <c r="P31" s="165">
        <f>P$9*'假设-销售费用率'!R120</f>
        <v>0</v>
      </c>
      <c r="Q31" s="165">
        <f>Q$9*'假设-销售费用率'!S120</f>
        <v>0</v>
      </c>
      <c r="R31" s="165">
        <f>R$9*'假设-销售费用率'!T120</f>
        <v>0</v>
      </c>
      <c r="S31" s="165">
        <f>S$9*'假设-销售费用率'!U120</f>
        <v>0</v>
      </c>
      <c r="T31" s="165">
        <f>T$9*'假设-销售费用率'!V120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SUM(I33:I35)</f>
        <v>0</v>
      </c>
      <c r="J32" s="223">
        <f t="shared" si="12"/>
        <v>0</v>
      </c>
      <c r="K32" s="223">
        <f t="shared" si="12"/>
        <v>0</v>
      </c>
      <c r="L32" s="223">
        <f t="shared" si="12"/>
        <v>0</v>
      </c>
      <c r="M32" s="223">
        <f t="shared" si="12"/>
        <v>0</v>
      </c>
      <c r="N32" s="223">
        <f t="shared" si="12"/>
        <v>0</v>
      </c>
      <c r="O32" s="223">
        <f t="shared" si="12"/>
        <v>0</v>
      </c>
      <c r="P32" s="223">
        <f t="shared" si="12"/>
        <v>0</v>
      </c>
      <c r="Q32" s="223">
        <f t="shared" si="12"/>
        <v>0</v>
      </c>
      <c r="R32" s="223">
        <f t="shared" si="12"/>
        <v>0</v>
      </c>
      <c r="S32" s="223">
        <f t="shared" si="12"/>
        <v>0</v>
      </c>
      <c r="T32" s="223">
        <f t="shared" si="12"/>
        <v>0</v>
      </c>
      <c r="U32" s="165"/>
      <c r="V32" s="223">
        <f t="shared" si="1"/>
        <v>0</v>
      </c>
      <c r="W32" s="223">
        <f t="shared" si="2"/>
        <v>0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>
        <f>I$9*'假设-销售费用率'!K122</f>
        <v>0</v>
      </c>
      <c r="J33" s="165">
        <f>J$9*'假设-销售费用率'!L122</f>
        <v>0</v>
      </c>
      <c r="K33" s="165">
        <f>K$9*'假设-销售费用率'!M122</f>
        <v>0</v>
      </c>
      <c r="L33" s="165">
        <f>L$9*'假设-销售费用率'!N122</f>
        <v>0</v>
      </c>
      <c r="M33" s="165">
        <f>M$9*'假设-销售费用率'!O122</f>
        <v>0</v>
      </c>
      <c r="N33" s="165">
        <f>N$9*'假设-销售费用率'!P122</f>
        <v>0</v>
      </c>
      <c r="O33" s="165">
        <f>O$9*'假设-销售费用率'!Q122</f>
        <v>0</v>
      </c>
      <c r="P33" s="165">
        <f>P$9*'假设-销售费用率'!R122</f>
        <v>0</v>
      </c>
      <c r="Q33" s="165">
        <f>Q$9*'假设-销售费用率'!S122</f>
        <v>0</v>
      </c>
      <c r="R33" s="165">
        <f>R$9*'假设-销售费用率'!T122</f>
        <v>0</v>
      </c>
      <c r="S33" s="165">
        <f>S$9*'假设-销售费用率'!U122</f>
        <v>0</v>
      </c>
      <c r="T33" s="165">
        <f>T$9*'假设-销售费用率'!V122</f>
        <v>0</v>
      </c>
      <c r="U33" s="165"/>
      <c r="V33" s="165">
        <f t="shared" si="1"/>
        <v>0</v>
      </c>
      <c r="W33" s="165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>
        <f>I$9*'假设-销售费用率'!K123</f>
        <v>0</v>
      </c>
      <c r="J34" s="165">
        <f>J$9*'假设-销售费用率'!L123</f>
        <v>0</v>
      </c>
      <c r="K34" s="165">
        <f>K$9*'假设-销售费用率'!M123</f>
        <v>0</v>
      </c>
      <c r="L34" s="165">
        <f>L$9*'假设-销售费用率'!N123</f>
        <v>0</v>
      </c>
      <c r="M34" s="165">
        <f>M$9*'假设-销售费用率'!O123</f>
        <v>0</v>
      </c>
      <c r="N34" s="165">
        <f>N$9*'假设-销售费用率'!P123</f>
        <v>0</v>
      </c>
      <c r="O34" s="165">
        <f>O$9*'假设-销售费用率'!Q123</f>
        <v>0</v>
      </c>
      <c r="P34" s="165">
        <f>P$9*'假设-销售费用率'!R123</f>
        <v>0</v>
      </c>
      <c r="Q34" s="165">
        <f>Q$9*'假设-销售费用率'!S123</f>
        <v>0</v>
      </c>
      <c r="R34" s="165">
        <f>R$9*'假设-销售费用率'!T123</f>
        <v>0</v>
      </c>
      <c r="S34" s="165">
        <f>S$9*'假设-销售费用率'!U123</f>
        <v>0</v>
      </c>
      <c r="T34" s="165">
        <f>T$9*'假设-销售费用率'!V123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IFERROR(I$9*SUMPRODUCT(('辅助-机制测算'!$A$2:$A$200="拼多多平台")*'辅助-机制测算'!$F$2:$F$200*IFERROR('辅助-机制测算'!$I$2:$I$200/'辅助-机制测算'!$G$2:$G$200,0)),0)</f>
        <v>0</v>
      </c>
      <c r="J35" s="165">
        <f>IFERROR(J$9*SUMPRODUCT(('辅助-机制测算'!$A$2:$A$200="拼多多平台")*'辅助-机制测算'!$F$2:$F$200*IFERROR('辅助-机制测算'!$I$2:$I$200/'辅助-机制测算'!$G$2:$G$200,0)),0)</f>
        <v>0</v>
      </c>
      <c r="K35" s="165">
        <f>IFERROR(K$9*SUMPRODUCT(('辅助-机制测算'!$A$2:$A$200="拼多多平台")*'辅助-机制测算'!$F$2:$F$200*IFERROR('辅助-机制测算'!$I$2:$I$200/'辅助-机制测算'!$G$2:$G$200,0)),0)</f>
        <v>0</v>
      </c>
      <c r="L35" s="165">
        <f>IFERROR(L$9*SUMPRODUCT(('辅助-机制测算'!$A$2:$A$200="拼多多平台")*'辅助-机制测算'!$F$2:$F$200*IFERROR('辅助-机制测算'!$I$2:$I$200/'辅助-机制测算'!$G$2:$G$200,0)),0)</f>
        <v>0</v>
      </c>
      <c r="M35" s="165">
        <f>IFERROR(M$9*SUMPRODUCT(('辅助-机制测算'!$A$2:$A$200="拼多多平台")*'辅助-机制测算'!$F$2:$F$200*IFERROR('辅助-机制测算'!$I$2:$I$200/'辅助-机制测算'!$G$2:$G$200,0)),0)</f>
        <v>0</v>
      </c>
      <c r="N35" s="165">
        <f>IFERROR(N$9*SUMPRODUCT(('辅助-机制测算'!$A$2:$A$200="拼多多平台")*'辅助-机制测算'!$F$2:$F$200*IFERROR('辅助-机制测算'!$I$2:$I$200/'辅助-机制测算'!$G$2:$G$200,0)),0)</f>
        <v>0</v>
      </c>
      <c r="O35" s="165">
        <f>IFERROR(O$9*SUMPRODUCT(('辅助-机制测算'!$A$2:$A$200="拼多多平台")*'辅助-机制测算'!$F$2:$F$200*IFERROR('辅助-机制测算'!$I$2:$I$200/'辅助-机制测算'!$G$2:$G$200,0)),0)</f>
        <v>0</v>
      </c>
      <c r="P35" s="165">
        <f>IFERROR(P$9*SUMPRODUCT(('辅助-机制测算'!$A$2:$A$200="拼多多平台")*'辅助-机制测算'!$F$2:$F$200*IFERROR('辅助-机制测算'!$I$2:$I$200/'辅助-机制测算'!$G$2:$G$200,0)),0)</f>
        <v>0</v>
      </c>
      <c r="Q35" s="165">
        <f>IFERROR(Q$9*SUMPRODUCT(('辅助-机制测算'!$A$2:$A$200="拼多多平台")*'辅助-机制测算'!$F$2:$F$200*IFERROR('辅助-机制测算'!$I$2:$I$200/'辅助-机制测算'!$G$2:$G$200,0)),0)</f>
        <v>0</v>
      </c>
      <c r="R35" s="165">
        <f>IFERROR(R$9*SUMPRODUCT(('辅助-机制测算'!$A$2:$A$200="拼多多平台")*'辅助-机制测算'!$F$2:$F$200*IFERROR('辅助-机制测算'!$I$2:$I$200/'辅助-机制测算'!$G$2:$G$200,0)),0)</f>
        <v>0</v>
      </c>
      <c r="S35" s="165">
        <f>IFERROR(S$9*SUMPRODUCT(('辅助-机制测算'!$A$2:$A$200="拼多多平台")*'辅助-机制测算'!$F$2:$F$200*IFERROR('辅助-机制测算'!$I$2:$I$200/'辅助-机制测算'!$G$2:$G$200,0)),0)</f>
        <v>0</v>
      </c>
      <c r="T35" s="165">
        <f>IFERROR(T$9*SUMPRODUCT(('辅助-机制测算'!$A$2:$A$200="拼多多平台")*'辅助-机制测算'!$F$2:$F$200*IFERROR('辅助-机制测算'!$I$2:$I$200/'辅助-机制测算'!$G$2:$G$200,0)),0)</f>
        <v>0</v>
      </c>
      <c r="U35" s="165"/>
      <c r="V35" s="165">
        <f t="shared" si="1"/>
        <v>0</v>
      </c>
      <c r="W35" s="165">
        <f t="shared" si="2"/>
        <v>0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SUM(I37:I40)</f>
        <v>2.4510934544116937E-2</v>
      </c>
      <c r="J36" s="223">
        <f t="shared" si="13"/>
        <v>4.378759676169771E-2</v>
      </c>
      <c r="K36" s="223">
        <f t="shared" si="13"/>
        <v>5.3812519430937081E-2</v>
      </c>
      <c r="L36" s="223">
        <f t="shared" si="13"/>
        <v>1.2399511610117851E-2</v>
      </c>
      <c r="M36" s="223">
        <f t="shared" si="13"/>
        <v>3.1437704192388574E-2</v>
      </c>
      <c r="N36" s="223">
        <f t="shared" si="13"/>
        <v>0.43034713752015352</v>
      </c>
      <c r="O36" s="223">
        <f t="shared" si="13"/>
        <v>0.25463813632373433</v>
      </c>
      <c r="P36" s="223">
        <f t="shared" si="13"/>
        <v>0.34056540866343077</v>
      </c>
      <c r="Q36" s="223">
        <f t="shared" si="13"/>
        <v>0.43068425526359994</v>
      </c>
      <c r="R36" s="223">
        <f t="shared" si="13"/>
        <v>0.46578868969506149</v>
      </c>
      <c r="S36" s="223">
        <f t="shared" si="13"/>
        <v>0.56586252516385416</v>
      </c>
      <c r="T36" s="223">
        <f t="shared" si="13"/>
        <v>0.48203103995439434</v>
      </c>
      <c r="U36" s="165"/>
      <c r="V36" s="223">
        <f t="shared" si="1"/>
        <v>3.1358654591234867</v>
      </c>
      <c r="W36" s="223">
        <f t="shared" si="2"/>
        <v>2.5395700550640754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I$9*'假设-销售费用率'!K126</f>
        <v>1.0889999999999999E-2</v>
      </c>
      <c r="J37" s="165">
        <f>J$9*'假设-销售费用率'!L126</f>
        <v>1.8669999999999999E-2</v>
      </c>
      <c r="K37" s="165">
        <f>K$9*'假设-销售费用率'!M126</f>
        <v>3.5319999999999997E-2</v>
      </c>
      <c r="L37" s="165">
        <f>L$9*'假设-销售费用率'!N126</f>
        <v>6.6800000000000002E-3</v>
      </c>
      <c r="M37" s="165">
        <f>M$9*'假设-销售费用率'!O126</f>
        <v>2.0389999999999998E-2</v>
      </c>
      <c r="N37" s="165">
        <f>N$9*'假设-销售费用率'!P126</f>
        <v>0.25465981760767803</v>
      </c>
      <c r="O37" s="165">
        <f>O$9*'假设-销售费用率'!Q126</f>
        <v>0.15068324080376727</v>
      </c>
      <c r="P37" s="165">
        <f>P$9*'假设-销售费用率'!R126</f>
        <v>0.20153108337952413</v>
      </c>
      <c r="Q37" s="165">
        <f>Q$9*'假设-销售费用率'!S126</f>
        <v>0.25485930851995198</v>
      </c>
      <c r="R37" s="165">
        <f>R$9*'假设-销售费用率'!T126</f>
        <v>0.27563251249907228</v>
      </c>
      <c r="S37" s="165">
        <f>S$9*'假设-销售费用率'!U126</f>
        <v>0.33485164623059394</v>
      </c>
      <c r="T37" s="165">
        <f>T$9*'假设-销售费用率'!V126</f>
        <v>0.28524399493717267</v>
      </c>
      <c r="U37" s="165"/>
      <c r="V37" s="165">
        <f t="shared" si="1"/>
        <v>1.8494116039777602</v>
      </c>
      <c r="W37" s="165">
        <f t="shared" si="2"/>
        <v>1.5028017863700822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I$9*'假设-销售费用率'!K127</f>
        <v>6.0311339999999996E-3</v>
      </c>
      <c r="J38" s="165">
        <f>J$9*'假设-销售费用率'!L127</f>
        <v>7.2105967782532098E-3</v>
      </c>
      <c r="K38" s="165">
        <f>K$9*'假设-销售费用率'!M127</f>
        <v>1.3076000000000001E-2</v>
      </c>
      <c r="L38" s="165">
        <f>L$9*'假设-销售费用率'!N127</f>
        <v>3.63E-3</v>
      </c>
      <c r="M38" s="165">
        <f>M$9*'假设-销售费用率'!O127</f>
        <v>7.3529999999999993E-3</v>
      </c>
      <c r="N38" s="165">
        <f>N$9*'假设-销售费用率'!P127</f>
        <v>8.8711403654089846E-2</v>
      </c>
      <c r="O38" s="165">
        <f>O$9*'假设-销售费用率'!Q127</f>
        <v>5.249089520453027E-2</v>
      </c>
      <c r="P38" s="165">
        <f>P$9*'假设-销售费用率'!R127</f>
        <v>7.0203872187128966E-2</v>
      </c>
      <c r="Q38" s="165">
        <f>Q$9*'假设-销售费用率'!S127</f>
        <v>8.878089682741537E-2</v>
      </c>
      <c r="R38" s="165">
        <f>R$9*'假设-销售费用率'!T127</f>
        <v>9.6017295960550253E-2</v>
      </c>
      <c r="S38" s="165">
        <f>S$9*'假设-销售费用率'!U127</f>
        <v>0.11664643378784505</v>
      </c>
      <c r="T38" s="165">
        <f>T$9*'假设-销售费用率'!V127</f>
        <v>9.9365480634090245E-2</v>
      </c>
      <c r="U38" s="165"/>
      <c r="V38" s="165">
        <f t="shared" si="1"/>
        <v>0.64951700903390319</v>
      </c>
      <c r="W38" s="165">
        <f t="shared" si="2"/>
        <v>0.52350487460156014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77</v>
      </c>
      <c r="G39" s="67"/>
      <c r="H39" s="67"/>
      <c r="I39" s="165">
        <f>I$9*'假设-销售费用率'!K128</f>
        <v>0</v>
      </c>
      <c r="J39" s="165">
        <f>J$9*'假设-销售费用率'!L128</f>
        <v>0</v>
      </c>
      <c r="K39" s="165">
        <f>K$9*'假设-销售费用率'!M128</f>
        <v>0</v>
      </c>
      <c r="L39" s="165">
        <f>L$9*'假设-销售费用率'!N128</f>
        <v>0</v>
      </c>
      <c r="M39" s="165">
        <f>M$9*'假设-销售费用率'!O128</f>
        <v>0</v>
      </c>
      <c r="N39" s="165">
        <f>N$9*'假设-销售费用率'!P128</f>
        <v>0</v>
      </c>
      <c r="O39" s="165">
        <f>O$9*'假设-销售费用率'!Q128</f>
        <v>0</v>
      </c>
      <c r="P39" s="165">
        <f>P$9*'假设-销售费用率'!R128</f>
        <v>0</v>
      </c>
      <c r="Q39" s="165">
        <f>Q$9*'假设-销售费用率'!S128</f>
        <v>0</v>
      </c>
      <c r="R39" s="165">
        <f>R$9*'假设-销售费用率'!T128</f>
        <v>0</v>
      </c>
      <c r="S39" s="165">
        <f>S$9*'假设-销售费用率'!U128</f>
        <v>0</v>
      </c>
      <c r="T39" s="165">
        <f>T$9*'假设-销售费用率'!V128</f>
        <v>0</v>
      </c>
      <c r="U39" s="165"/>
      <c r="V39" s="165">
        <f t="shared" si="1"/>
        <v>0</v>
      </c>
      <c r="W39" s="165">
        <f t="shared" si="2"/>
        <v>0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I$9*'假设-销售费用率'!K129</f>
        <v>7.5898005441169397E-3</v>
      </c>
      <c r="J40" s="165">
        <f>J$9*'假设-销售费用率'!L129</f>
        <v>1.7906999983444499E-2</v>
      </c>
      <c r="K40" s="165">
        <f>K$9*'假设-销售费用率'!M129</f>
        <v>5.4165194309370897E-3</v>
      </c>
      <c r="L40" s="165">
        <f>L$9*'假设-销售费用率'!N129</f>
        <v>2.08951161011785E-3</v>
      </c>
      <c r="M40" s="165">
        <f>M$9*'假设-销售费用率'!O129</f>
        <v>3.6947041923885795E-3</v>
      </c>
      <c r="N40" s="165">
        <f>N$9*'假设-销售费用率'!P129</f>
        <v>8.697591625838566E-2</v>
      </c>
      <c r="O40" s="165">
        <f>O$9*'假设-销售费用率'!Q129</f>
        <v>5.1464000315436811E-2</v>
      </c>
      <c r="P40" s="165">
        <f>P$9*'假设-销售费用率'!R129</f>
        <v>6.8830453096777627E-2</v>
      </c>
      <c r="Q40" s="165">
        <f>Q$9*'假设-销售费用率'!S129</f>
        <v>8.7044049916232602E-2</v>
      </c>
      <c r="R40" s="165">
        <f>R$9*'假设-销售费用率'!T129</f>
        <v>9.4138881235438954E-2</v>
      </c>
      <c r="S40" s="165">
        <f>S$9*'假设-销售费用率'!U129</f>
        <v>0.11436444514541513</v>
      </c>
      <c r="T40" s="165">
        <f>T$9*'假设-销售费用率'!V129</f>
        <v>9.7421564383131432E-2</v>
      </c>
      <c r="U40" s="165"/>
      <c r="V40" s="165">
        <f t="shared" si="1"/>
        <v>0.63693684611182322</v>
      </c>
      <c r="W40" s="165">
        <f t="shared" si="2"/>
        <v>0.5132633940924326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SUM(I42:I45)</f>
        <v>7.6694926048088443E-6</v>
      </c>
      <c r="J41" s="223">
        <f t="shared" si="14"/>
        <v>0</v>
      </c>
      <c r="K41" s="223">
        <f t="shared" si="14"/>
        <v>1.2264373400794303E-5</v>
      </c>
      <c r="L41" s="223">
        <f t="shared" si="14"/>
        <v>3.7684394204058258E-6</v>
      </c>
      <c r="M41" s="223">
        <f t="shared" si="14"/>
        <v>4.9068224553533888E-5</v>
      </c>
      <c r="N41" s="223">
        <f t="shared" si="14"/>
        <v>1.0889287421250013E-3</v>
      </c>
      <c r="O41" s="223">
        <f t="shared" si="14"/>
        <v>2.1576732227503878E-4</v>
      </c>
      <c r="P41" s="223">
        <f t="shared" si="14"/>
        <v>2.8857769440077206E-4</v>
      </c>
      <c r="Q41" s="223">
        <f t="shared" si="14"/>
        <v>3.6493979199605316E-4</v>
      </c>
      <c r="R41" s="223">
        <f t="shared" si="14"/>
        <v>3.9468549280351754E-4</v>
      </c>
      <c r="S41" s="223">
        <f t="shared" si="14"/>
        <v>4.7948293838897507E-4</v>
      </c>
      <c r="T41" s="223">
        <f t="shared" si="14"/>
        <v>4.0844842899801588E-4</v>
      </c>
      <c r="U41" s="165"/>
      <c r="V41" s="223">
        <f t="shared" si="1"/>
        <v>3.3136009409669167E-3</v>
      </c>
      <c r="W41" s="223">
        <f t="shared" si="2"/>
        <v>2.1519016688623725E-3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IFERROR(INDEX('假设-人工成本固定额'!$B$6:$CS$9,MATCH("拼多多",'假设-人工成本固定额'!$A$6:$A$16,0),1)/10000,0)</f>
        <v>0</v>
      </c>
      <c r="J42" s="165">
        <f>IFERROR(INDEX('假设-人工成本固定额'!$B$6:$CS$9,MATCH("拼多多",'假设-人工成本固定额'!$A$6:$A$16,0),9)/10000,0)</f>
        <v>0</v>
      </c>
      <c r="K42" s="165">
        <f>IFERROR(INDEX('假设-人工成本固定额'!$B$6:$CS$9,MATCH("拼多多",'假设-人工成本固定额'!$A$6:$A$16,0),17)/10000,0)</f>
        <v>0</v>
      </c>
      <c r="L42" s="165">
        <f>IFERROR(INDEX('假设-人工成本固定额'!$B$6:$CS$9,MATCH("拼多多",'假设-人工成本固定额'!$A$6:$A$16,0),25)/10000,0)</f>
        <v>0</v>
      </c>
      <c r="M42" s="165">
        <f>IFERROR(INDEX('假设-人工成本固定额'!$B$6:$CS$9,MATCH("拼多多",'假设-人工成本固定额'!$A$6:$A$16,0),33)/10000,0)</f>
        <v>0</v>
      </c>
      <c r="N42" s="165">
        <f>IFERROR(INDEX('假设-人工成本固定额'!$B$6:$CS$9,MATCH("拼多多",'假设-人工成本固定额'!$A$6:$A$16,0),41)/10000,0)</f>
        <v>0</v>
      </c>
      <c r="O42" s="165">
        <f>IFERROR(INDEX('假设-人工成本固定额'!$B$6:$CS$9,MATCH("拼多多",'假设-人工成本固定额'!$A$6:$A$16,0),41)/10000,0)</f>
        <v>0</v>
      </c>
      <c r="P42" s="165">
        <f>IFERROR(INDEX('假设-人工成本固定额'!$B$6:$CS$9,MATCH("拼多多",'假设-人工成本固定额'!$A$6:$A$16,0),41)/10000,0)</f>
        <v>0</v>
      </c>
      <c r="Q42" s="165">
        <f>IFERROR(INDEX('假设-人工成本固定额'!$B$6:$CS$9,MATCH("拼多多",'假设-人工成本固定额'!$A$6:$A$16,0),41)/10000,0)</f>
        <v>0</v>
      </c>
      <c r="R42" s="165">
        <f>IFERROR(INDEX('假设-人工成本固定额'!$B$6:$CS$9,MATCH("拼多多",'假设-人工成本固定额'!$A$6:$A$16,0),41)/10000,0)</f>
        <v>0</v>
      </c>
      <c r="S42" s="165">
        <f>IFERROR(INDEX('假设-人工成本固定额'!$B$6:$CS$9,MATCH("拼多多",'假设-人工成本固定额'!$A$6:$A$16,0),41)/10000,0)</f>
        <v>0</v>
      </c>
      <c r="T42" s="165">
        <f>IFERROR(INDEX('假设-人工成本固定额'!$B$6:$CS$9,MATCH("拼多多",'假设-人工成本固定额'!$A$6:$A$16,0),41)/10000,0)</f>
        <v>0</v>
      </c>
      <c r="U42" s="165"/>
      <c r="V42" s="165">
        <f t="shared" si="1"/>
        <v>0</v>
      </c>
      <c r="W42" s="165">
        <f t="shared" si="2"/>
        <v>0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>
        <f>I$9*'假设-销售费用率'!K132</f>
        <v>7.6694926048088443E-6</v>
      </c>
      <c r="J43" s="165">
        <f>J$9*'假设-销售费用率'!L132</f>
        <v>0</v>
      </c>
      <c r="K43" s="165">
        <f>K$9*'假设-销售费用率'!M132</f>
        <v>1.2264373400794303E-5</v>
      </c>
      <c r="L43" s="165">
        <f>L$9*'假设-销售费用率'!N132</f>
        <v>3.7684394204058258E-6</v>
      </c>
      <c r="M43" s="165">
        <f>M$9*'假设-销售费用率'!O132</f>
        <v>4.9068224553533888E-5</v>
      </c>
      <c r="N43" s="165">
        <f>N$9*'假设-销售费用率'!P132</f>
        <v>1.0889287421250013E-3</v>
      </c>
      <c r="O43" s="165">
        <f>O$9*'假设-销售费用率'!Q132</f>
        <v>2.1576732227503878E-4</v>
      </c>
      <c r="P43" s="165">
        <f>P$9*'假设-销售费用率'!R132</f>
        <v>2.8857769440077206E-4</v>
      </c>
      <c r="Q43" s="165">
        <f>Q$9*'假设-销售费用率'!S132</f>
        <v>3.6493979199605316E-4</v>
      </c>
      <c r="R43" s="165">
        <f>R$9*'假设-销售费用率'!T132</f>
        <v>3.9468549280351754E-4</v>
      </c>
      <c r="S43" s="165">
        <f>S$9*'假设-销售费用率'!U132</f>
        <v>4.7948293838897507E-4</v>
      </c>
      <c r="T43" s="165">
        <f>T$9*'假设-销售费用率'!V132</f>
        <v>4.0844842899801588E-4</v>
      </c>
      <c r="U43" s="165"/>
      <c r="V43" s="165">
        <f t="shared" si="1"/>
        <v>3.3136009409669167E-3</v>
      </c>
      <c r="W43" s="165">
        <f t="shared" si="2"/>
        <v>2.1519016688623725E-3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>
        <f>I$22*'假设-销售费用率'!K133</f>
        <v>0</v>
      </c>
      <c r="J44" s="165">
        <f>J$22*'假设-销售费用率'!L133</f>
        <v>0</v>
      </c>
      <c r="K44" s="165">
        <f>K$22*'假设-销售费用率'!M133</f>
        <v>0</v>
      </c>
      <c r="L44" s="165">
        <f>L$22*'假设-销售费用率'!N133</f>
        <v>0</v>
      </c>
      <c r="M44" s="165">
        <f>M$22*'假设-销售费用率'!O133</f>
        <v>0</v>
      </c>
      <c r="N44" s="165">
        <f>N$22*'假设-销售费用率'!P133</f>
        <v>0</v>
      </c>
      <c r="O44" s="165">
        <f>O$22*'假设-销售费用率'!Q133</f>
        <v>0</v>
      </c>
      <c r="P44" s="165">
        <f>P$22*'假设-销售费用率'!R133</f>
        <v>0</v>
      </c>
      <c r="Q44" s="165">
        <f>Q$22*'假设-销售费用率'!S133</f>
        <v>0</v>
      </c>
      <c r="R44" s="165">
        <f>R$22*'假设-销售费用率'!T133</f>
        <v>0</v>
      </c>
      <c r="S44" s="165">
        <f>S$22*'假设-销售费用率'!U133</f>
        <v>0</v>
      </c>
      <c r="T44" s="165">
        <f>T$22*'假设-销售费用率'!V133</f>
        <v>0</v>
      </c>
      <c r="U44" s="165"/>
      <c r="V44" s="165">
        <f t="shared" si="1"/>
        <v>0</v>
      </c>
      <c r="W44" s="165">
        <f t="shared" si="2"/>
        <v>0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>
        <f>I$9*'假设-销售费用率'!K134</f>
        <v>0</v>
      </c>
      <c r="J45" s="165">
        <f>J$9*'假设-销售费用率'!L134</f>
        <v>0</v>
      </c>
      <c r="K45" s="165">
        <f>K$9*'假设-销售费用率'!M134</f>
        <v>0</v>
      </c>
      <c r="L45" s="165">
        <f>L$9*'假设-销售费用率'!N134</f>
        <v>0</v>
      </c>
      <c r="M45" s="165">
        <f>M$9*'假设-销售费用率'!O134</f>
        <v>0</v>
      </c>
      <c r="N45" s="165">
        <f>N$9*'假设-销售费用率'!P134</f>
        <v>0</v>
      </c>
      <c r="O45" s="165">
        <f>O$9*'假设-销售费用率'!Q134</f>
        <v>0</v>
      </c>
      <c r="P45" s="165">
        <f>P$9*'假设-销售费用率'!R134</f>
        <v>0</v>
      </c>
      <c r="Q45" s="165">
        <f>Q$9*'假设-销售费用率'!S134</f>
        <v>0</v>
      </c>
      <c r="R45" s="165">
        <f>R$9*'假设-销售费用率'!T134</f>
        <v>0</v>
      </c>
      <c r="S45" s="165">
        <f>S$9*'假设-销售费用率'!U134</f>
        <v>0</v>
      </c>
      <c r="T45" s="165">
        <f>T$9*'假设-销售费用率'!V134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 t="shared" ref="I46:T46" si="15">I9-I19-I21-I27-I32-I36-I41</f>
        <v>4.4005758710905125E-2</v>
      </c>
      <c r="J46" s="225">
        <f t="shared" si="15"/>
        <v>3.1784773635193241E-2</v>
      </c>
      <c r="K46" s="225">
        <f t="shared" si="15"/>
        <v>9.5446687410960449E-2</v>
      </c>
      <c r="L46" s="225">
        <f t="shared" si="15"/>
        <v>4.9109671647569866E-2</v>
      </c>
      <c r="M46" s="225">
        <f t="shared" si="15"/>
        <v>1.968161514451814E-2</v>
      </c>
      <c r="N46" s="225">
        <f t="shared" si="15"/>
        <v>1.4672422347416976</v>
      </c>
      <c r="O46" s="225">
        <f t="shared" si="15"/>
        <v>0.8686017020586414</v>
      </c>
      <c r="P46" s="225">
        <f t="shared" si="15"/>
        <v>1.1617100953459196</v>
      </c>
      <c r="Q46" s="225">
        <f t="shared" si="15"/>
        <v>1.4691164590374548</v>
      </c>
      <c r="R46" s="225">
        <f t="shared" si="15"/>
        <v>1.5888619611731123</v>
      </c>
      <c r="S46" s="225">
        <f t="shared" si="15"/>
        <v>1.9302260045747583</v>
      </c>
      <c r="T46" s="225">
        <f t="shared" si="15"/>
        <v>1.644266596489609</v>
      </c>
      <c r="U46" s="165"/>
      <c r="V46" s="225">
        <f t="shared" si="1"/>
        <v>10.370053559970341</v>
      </c>
      <c r="W46" s="225">
        <f t="shared" si="2"/>
        <v>8.6627828186794957</v>
      </c>
    </row>
    <row r="47" spans="1:23">
      <c r="B47" s="13"/>
      <c r="C47" s="1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</sheetData>
  <phoneticPr fontId="14" type="noConversion"/>
  <hyperlinks>
    <hyperlink ref="A1" location="'目录及说明'!A1" display="返回目录" xr:uid="{00000000-0004-0000-12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W57"/>
  <sheetViews>
    <sheetView showGridLines="0" zoomScaleNormal="100" workbookViewId="0"/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" style="16" customWidth="1"/>
    <col min="10" max="11" width="15.59765625" customWidth="1"/>
    <col min="12" max="12" width="12.796875" style="16" customWidth="1"/>
    <col min="13" max="14" width="15.59765625" customWidth="1"/>
    <col min="15" max="16" width="12.796875" style="16" customWidth="1"/>
    <col min="17" max="17" width="13" style="16" customWidth="1"/>
    <col min="18" max="20" width="13.796875" style="16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>
        <v>46023</v>
      </c>
      <c r="J2" s="153">
        <v>46054</v>
      </c>
      <c r="K2" s="153">
        <v>46082</v>
      </c>
      <c r="L2" s="153">
        <v>46113</v>
      </c>
      <c r="M2" s="153">
        <v>46143</v>
      </c>
      <c r="N2" s="153">
        <v>46174</v>
      </c>
      <c r="O2" s="153">
        <v>46204</v>
      </c>
      <c r="P2" s="153">
        <v>46235</v>
      </c>
      <c r="Q2" s="153">
        <v>46266</v>
      </c>
      <c r="R2" s="153">
        <v>46296</v>
      </c>
      <c r="S2" s="153">
        <v>46327</v>
      </c>
      <c r="T2" s="153">
        <v>46357</v>
      </c>
      <c r="U2" s="165"/>
      <c r="V2" s="171" t="s">
        <v>799</v>
      </c>
      <c r="W2" s="171"/>
    </row>
    <row r="3" spans="1:23">
      <c r="A3" s="67"/>
      <c r="B3" s="67" t="s">
        <v>367</v>
      </c>
      <c r="C3" s="67"/>
      <c r="D3" s="67"/>
      <c r="E3" s="214">
        <f>'假设-产品价值链定价'!L7</f>
        <v>2.1842009464870764</v>
      </c>
      <c r="F3" s="67"/>
      <c r="G3" s="67"/>
      <c r="H3" s="67"/>
      <c r="I3" s="214">
        <f>'假设-ROI月度滚动'!J15</f>
        <v>3.9267433485948899</v>
      </c>
      <c r="J3" s="214">
        <f>'假设-ROI月度滚动'!K15</f>
        <v>3.9940938618617801</v>
      </c>
      <c r="K3" s="214">
        <f>'假设-ROI月度滚动'!L15</f>
        <v>4.7464670577688803</v>
      </c>
      <c r="L3" s="214">
        <f>'假设-ROI月度滚动'!M15</f>
        <v>4.7583660627964202</v>
      </c>
      <c r="M3" s="214">
        <f>'假设-ROI月度滚动'!N15</f>
        <v>3.8864281941760801</v>
      </c>
      <c r="N3" s="214">
        <f>'假设-ROI月度滚动'!O15</f>
        <v>3.4759682969008741</v>
      </c>
      <c r="O3" s="214">
        <f>'假设-ROI月度滚动'!P15</f>
        <v>3.48</v>
      </c>
      <c r="P3" s="214">
        <f>'假设-ROI月度滚动'!Q15</f>
        <v>3.48</v>
      </c>
      <c r="Q3" s="214">
        <f>'假设-ROI月度滚动'!R15</f>
        <v>3.48</v>
      </c>
      <c r="R3" s="214">
        <f>'假设-ROI月度滚动'!S15</f>
        <v>3.48</v>
      </c>
      <c r="S3" s="214">
        <f>'假设-ROI月度滚动'!T15</f>
        <v>3.48</v>
      </c>
      <c r="T3" s="214">
        <f>'假设-ROI月度滚动'!U15</f>
        <v>3.48</v>
      </c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67"/>
      <c r="B7" s="192" t="s">
        <v>110</v>
      </c>
      <c r="C7" s="129"/>
      <c r="D7" s="130"/>
      <c r="E7" s="215" t="s">
        <v>111</v>
      </c>
      <c r="F7" s="216" t="s">
        <v>112</v>
      </c>
      <c r="G7" s="192" t="s">
        <v>368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102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13.6692</v>
      </c>
      <c r="J8" s="218">
        <f t="shared" si="0"/>
        <v>8.5720729999999996</v>
      </c>
      <c r="K8" s="218">
        <f t="shared" si="0"/>
        <v>23.263656000000001</v>
      </c>
      <c r="L8" s="218">
        <f t="shared" si="0"/>
        <v>19.4663</v>
      </c>
      <c r="M8" s="218">
        <f t="shared" si="0"/>
        <v>19.221454999999999</v>
      </c>
      <c r="N8" s="218">
        <f t="shared" si="0"/>
        <v>16.670736999999999</v>
      </c>
      <c r="O8" s="218">
        <f t="shared" si="0"/>
        <v>25.234314991215399</v>
      </c>
      <c r="P8" s="218">
        <f t="shared" si="0"/>
        <v>33.749598239279855</v>
      </c>
      <c r="Q8" s="218">
        <f t="shared" si="0"/>
        <v>42.680261157981604</v>
      </c>
      <c r="R8" s="218">
        <f t="shared" si="0"/>
        <v>46.159065899568915</v>
      </c>
      <c r="S8" s="218">
        <f t="shared" si="0"/>
        <v>56.076255536034225</v>
      </c>
      <c r="T8" s="218">
        <f t="shared" si="0"/>
        <v>47.768662123288401</v>
      </c>
      <c r="U8" s="165"/>
      <c r="V8" s="218">
        <f t="shared" ref="V8:V46" si="1">SUM(I8:T8)</f>
        <v>352.53157894736842</v>
      </c>
      <c r="W8" s="218">
        <f t="shared" ref="W8:W46" si="2">SUM(O8:T8)</f>
        <v>251.66815794736843</v>
      </c>
    </row>
    <row r="9" spans="1:23">
      <c r="A9" s="67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 t="shared" ref="I9:T9" si="3">I$17</f>
        <v>13.6692</v>
      </c>
      <c r="J9" s="165">
        <f t="shared" si="3"/>
        <v>8.5720729999999996</v>
      </c>
      <c r="K9" s="165">
        <f t="shared" si="3"/>
        <v>23.263656000000001</v>
      </c>
      <c r="L9" s="165">
        <f t="shared" si="3"/>
        <v>19.4663</v>
      </c>
      <c r="M9" s="165">
        <f t="shared" si="3"/>
        <v>19.221454999999999</v>
      </c>
      <c r="N9" s="165">
        <f t="shared" si="3"/>
        <v>16.670736999999999</v>
      </c>
      <c r="O9" s="165">
        <f t="shared" si="3"/>
        <v>25.234314991215399</v>
      </c>
      <c r="P9" s="165">
        <f t="shared" si="3"/>
        <v>33.749598239279855</v>
      </c>
      <c r="Q9" s="165">
        <f t="shared" si="3"/>
        <v>42.680261157981604</v>
      </c>
      <c r="R9" s="165">
        <f t="shared" si="3"/>
        <v>46.159065899568915</v>
      </c>
      <c r="S9" s="165">
        <f t="shared" si="3"/>
        <v>56.076255536034225</v>
      </c>
      <c r="T9" s="165">
        <f t="shared" si="3"/>
        <v>47.768662123288401</v>
      </c>
      <c r="U9" s="165"/>
      <c r="V9" s="165">
        <f t="shared" si="1"/>
        <v>352.53157894736842</v>
      </c>
      <c r="W9" s="165">
        <f t="shared" si="2"/>
        <v>251.66815794736843</v>
      </c>
    </row>
    <row r="10" spans="1:23">
      <c r="A10" s="67"/>
      <c r="B10" s="102"/>
      <c r="C10" s="102"/>
      <c r="D10" s="67"/>
      <c r="E10" s="67"/>
      <c r="F10" s="67" t="s">
        <v>369</v>
      </c>
      <c r="G10" s="178">
        <v>0</v>
      </c>
      <c r="H10" s="67"/>
      <c r="I10" s="165">
        <f t="shared" ref="I10:T12" si="4">I$9*$G10</f>
        <v>0</v>
      </c>
      <c r="J10" s="165">
        <f t="shared" si="4"/>
        <v>0</v>
      </c>
      <c r="K10" s="165">
        <f t="shared" si="4"/>
        <v>0</v>
      </c>
      <c r="L10" s="165">
        <f t="shared" si="4"/>
        <v>0</v>
      </c>
      <c r="M10" s="165">
        <f t="shared" si="4"/>
        <v>0</v>
      </c>
      <c r="N10" s="165">
        <f t="shared" si="4"/>
        <v>0</v>
      </c>
      <c r="O10" s="165">
        <f t="shared" si="4"/>
        <v>0</v>
      </c>
      <c r="P10" s="165">
        <f t="shared" si="4"/>
        <v>0</v>
      </c>
      <c r="Q10" s="165">
        <f t="shared" si="4"/>
        <v>0</v>
      </c>
      <c r="R10" s="165">
        <f t="shared" si="4"/>
        <v>0</v>
      </c>
      <c r="S10" s="165">
        <f t="shared" si="4"/>
        <v>0</v>
      </c>
      <c r="T10" s="165">
        <f t="shared" si="4"/>
        <v>0</v>
      </c>
      <c r="U10" s="165"/>
      <c r="V10" s="165">
        <f t="shared" si="1"/>
        <v>0</v>
      </c>
      <c r="W10" s="165">
        <f t="shared" si="2"/>
        <v>0</v>
      </c>
    </row>
    <row r="11" spans="1:23">
      <c r="A11" s="67"/>
      <c r="B11" s="102"/>
      <c r="C11" s="102"/>
      <c r="D11" s="67"/>
      <c r="E11" s="67"/>
      <c r="F11" s="67" t="s">
        <v>805</v>
      </c>
      <c r="G11" s="178">
        <v>0</v>
      </c>
      <c r="H11" s="67"/>
      <c r="I11" s="165">
        <f t="shared" si="4"/>
        <v>0</v>
      </c>
      <c r="J11" s="165">
        <f t="shared" si="4"/>
        <v>0</v>
      </c>
      <c r="K11" s="165">
        <f t="shared" si="4"/>
        <v>0</v>
      </c>
      <c r="L11" s="165">
        <f t="shared" si="4"/>
        <v>0</v>
      </c>
      <c r="M11" s="165">
        <f t="shared" si="4"/>
        <v>0</v>
      </c>
      <c r="N11" s="165">
        <f t="shared" si="4"/>
        <v>0</v>
      </c>
      <c r="O11" s="165">
        <f t="shared" si="4"/>
        <v>0</v>
      </c>
      <c r="P11" s="165">
        <f t="shared" si="4"/>
        <v>0</v>
      </c>
      <c r="Q11" s="165">
        <f t="shared" si="4"/>
        <v>0</v>
      </c>
      <c r="R11" s="165">
        <f t="shared" si="4"/>
        <v>0</v>
      </c>
      <c r="S11" s="165">
        <f t="shared" si="4"/>
        <v>0</v>
      </c>
      <c r="T11" s="165">
        <f t="shared" si="4"/>
        <v>0</v>
      </c>
      <c r="U11" s="165"/>
      <c r="V11" s="165">
        <f t="shared" si="1"/>
        <v>0</v>
      </c>
      <c r="W11" s="165">
        <f t="shared" si="2"/>
        <v>0</v>
      </c>
    </row>
    <row r="12" spans="1:23">
      <c r="A12" s="67"/>
      <c r="B12" s="102"/>
      <c r="C12" s="102"/>
      <c r="D12" s="67"/>
      <c r="E12" s="67"/>
      <c r="F12" s="67" t="s">
        <v>806</v>
      </c>
      <c r="G12" s="178">
        <v>0</v>
      </c>
      <c r="H12" s="67"/>
      <c r="I12" s="165">
        <f t="shared" si="4"/>
        <v>0</v>
      </c>
      <c r="J12" s="165">
        <f t="shared" si="4"/>
        <v>0</v>
      </c>
      <c r="K12" s="165">
        <f t="shared" si="4"/>
        <v>0</v>
      </c>
      <c r="L12" s="165">
        <f t="shared" si="4"/>
        <v>0</v>
      </c>
      <c r="M12" s="165">
        <f t="shared" si="4"/>
        <v>0</v>
      </c>
      <c r="N12" s="165">
        <f t="shared" si="4"/>
        <v>0</v>
      </c>
      <c r="O12" s="165">
        <f t="shared" si="4"/>
        <v>0</v>
      </c>
      <c r="P12" s="165">
        <f t="shared" si="4"/>
        <v>0</v>
      </c>
      <c r="Q12" s="165">
        <f t="shared" si="4"/>
        <v>0</v>
      </c>
      <c r="R12" s="165">
        <f t="shared" si="4"/>
        <v>0</v>
      </c>
      <c r="S12" s="165">
        <f t="shared" si="4"/>
        <v>0</v>
      </c>
      <c r="T12" s="165">
        <f t="shared" si="4"/>
        <v>0</v>
      </c>
      <c r="U12" s="165"/>
      <c r="V12" s="165">
        <f t="shared" si="1"/>
        <v>0</v>
      </c>
      <c r="W12" s="165">
        <f t="shared" si="2"/>
        <v>0</v>
      </c>
    </row>
    <row r="13" spans="1:23" s="13" customFormat="1">
      <c r="A13" s="102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219">
        <f>IFERROR(SUMPRODUCT(('辅助-机制测算'!$A$2:$A$200="京东POP")*'辅助-机制测算'!$F$2:$F$200*IFERROR('辅助-机制测算'!$G$2:$G$200/'辅助-机制测算'!$H$2:$H$200,0))*'假设-目标渠道分解'!L$11,0)</f>
        <v>25.839715263157888</v>
      </c>
      <c r="J13" s="219">
        <f>IFERROR(SUMPRODUCT(('辅助-机制测算'!$A$2:$A$200="京东POP")*'辅助-机制测算'!$F$2:$F$200*IFERROR('辅助-机制测算'!$G$2:$G$200/'辅助-机制测算'!$H$2:$H$200,0))*'假设-目标渠道分解'!M$11,0)</f>
        <v>24.664893157894731</v>
      </c>
      <c r="K13" s="219">
        <f>IFERROR(SUMPRODUCT(('辅助-机制测算'!$A$2:$A$200="京东POP")*'辅助-机制测算'!$F$2:$F$200*IFERROR('辅助-机制测算'!$G$2:$G$200/'辅助-机制测算'!$H$2:$H$200,0))*'假设-目标渠道分解'!N$11,0)</f>
        <v>35.071115684210525</v>
      </c>
      <c r="L13" s="219">
        <f>IFERROR(SUMPRODUCT(('辅助-机制测算'!$A$2:$A$200="京东POP")*'辅助-机制测算'!$F$2:$F$200*IFERROR('辅助-机制测算'!$G$2:$G$200/'辅助-机制测算'!$H$2:$H$200,0))*'假设-目标渠道分解'!O$11,0)</f>
        <v>38.991606631578939</v>
      </c>
      <c r="M13" s="219">
        <f>IFERROR(SUMPRODUCT(('辅助-机制测算'!$A$2:$A$200="京东POP")*'辅助-机制测算'!$F$2:$F$200*IFERROR('辅助-机制测算'!$G$2:$G$200/'辅助-机制测算'!$H$2:$H$200,0))*'假设-目标渠道分解'!P$11,0)</f>
        <v>45.336410526315788</v>
      </c>
      <c r="N13" s="219">
        <f>IFERROR(SUMPRODUCT(('辅助-机制测算'!$A$2:$A$200="京东POP")*'辅助-机制测算'!$F$2:$F$200*IFERROR('辅助-机制测算'!$G$2:$G$200/'辅助-机制测算'!$H$2:$H$200,0))*'假设-目标渠道分解'!Q$11,0)</f>
        <v>31.104878208796553</v>
      </c>
      <c r="O13" s="219">
        <f>IFERROR(SUMPRODUCT(('辅助-机制测算'!$A$2:$A$200="京东POP")*'辅助-机制测算'!$F$2:$F$200*IFERROR('辅助-机制测算'!$G$2:$G$200/'辅助-机制测算'!$H$2:$H$200,0))*'假设-目标渠道分解'!R$11,0)</f>
        <v>15.192935486909674</v>
      </c>
      <c r="P13" s="219">
        <f>IFERROR(SUMPRODUCT(('辅助-机制测算'!$A$2:$A$200="京东POP")*'辅助-机制测算'!$F$2:$F$200*IFERROR('辅助-机制测算'!$G$2:$G$200/'辅助-机制测算'!$H$2:$H$200,0))*'假设-目标渠道分解'!S$11,0)</f>
        <v>20.319769684138453</v>
      </c>
      <c r="Q13" s="219">
        <f>IFERROR(SUMPRODUCT(('辅助-机制测算'!$A$2:$A$200="京东POP")*'辅助-机制测算'!$F$2:$F$200*IFERROR('辅助-机制测算'!$G$2:$G$200/'辅助-机制测算'!$H$2:$H$200,0))*'假设-目标渠道分解'!T$11,0)</f>
        <v>25.696693354402782</v>
      </c>
      <c r="R13" s="219">
        <f>IFERROR(SUMPRODUCT(('辅助-机制测算'!$A$2:$A$200="京东POP")*'辅助-机制测算'!$F$2:$F$200*IFERROR('辅助-机制测算'!$G$2:$G$200/'辅助-机制测算'!$H$2:$H$200,0))*'假设-目标渠道分解'!U$11,0)</f>
        <v>27.791192691075519</v>
      </c>
      <c r="S13" s="219">
        <f>IFERROR(SUMPRODUCT(('辅助-机制测算'!$A$2:$A$200="京东POP")*'辅助-机制测算'!$F$2:$F$200*IFERROR('辅助-机制测算'!$G$2:$G$200/'辅助-机制测算'!$H$2:$H$200,0))*'假设-目标渠道分解'!V$11,0)</f>
        <v>33.762078859799281</v>
      </c>
      <c r="T13" s="219">
        <f>IFERROR(SUMPRODUCT(('辅助-机制测算'!$A$2:$A$200="京东POP")*'辅助-机制测算'!$F$2:$F$200*IFERROR('辅助-机制测算'!$G$2:$G$200/'辅助-机制测算'!$H$2:$H$200,0))*'假设-目标渠道分解'!W$11,0)</f>
        <v>28.760289399088268</v>
      </c>
      <c r="U13" s="219"/>
      <c r="V13" s="219">
        <f t="shared" si="1"/>
        <v>352.53157894736842</v>
      </c>
      <c r="W13" s="219">
        <f t="shared" si="2"/>
        <v>151.52295947541398</v>
      </c>
    </row>
    <row r="14" spans="1:23">
      <c r="A14" s="67"/>
      <c r="B14" s="102"/>
      <c r="C14" s="102"/>
      <c r="D14" s="67"/>
      <c r="E14" s="67"/>
      <c r="F14" s="67" t="s">
        <v>371</v>
      </c>
      <c r="G14" s="67"/>
      <c r="H14" s="67"/>
      <c r="I14" s="220">
        <f t="shared" ref="I14:T14" si="5">IFERROR(I$13/$V$13,0)</f>
        <v>7.3297590361445772E-2</v>
      </c>
      <c r="J14" s="220">
        <f t="shared" si="5"/>
        <v>6.9965060240963842E-2</v>
      </c>
      <c r="K14" s="220">
        <f t="shared" si="5"/>
        <v>9.9483614457831326E-2</v>
      </c>
      <c r="L14" s="220">
        <f t="shared" si="5"/>
        <v>0.11060457831325299</v>
      </c>
      <c r="M14" s="220">
        <f t="shared" si="5"/>
        <v>0.12860240963855421</v>
      </c>
      <c r="N14" s="220">
        <f t="shared" si="5"/>
        <v>8.8232884843035264E-2</v>
      </c>
      <c r="O14" s="220">
        <f t="shared" si="5"/>
        <v>4.3096665360517733E-2</v>
      </c>
      <c r="P14" s="220">
        <f t="shared" si="5"/>
        <v>5.7639573013038119E-2</v>
      </c>
      <c r="Q14" s="220">
        <f t="shared" si="5"/>
        <v>7.2891890794949746E-2</v>
      </c>
      <c r="R14" s="220">
        <f t="shared" si="5"/>
        <v>7.8833200628601371E-2</v>
      </c>
      <c r="S14" s="220">
        <f t="shared" si="5"/>
        <v>9.5770367467817197E-2</v>
      </c>
      <c r="T14" s="220">
        <f t="shared" si="5"/>
        <v>8.1582164879992397E-2</v>
      </c>
      <c r="U14" s="155"/>
      <c r="V14" s="220">
        <f t="shared" si="1"/>
        <v>0.99999999999999989</v>
      </c>
      <c r="W14" s="220">
        <f t="shared" si="2"/>
        <v>0.42981386214491657</v>
      </c>
    </row>
    <row r="15" spans="1:23">
      <c r="A15" s="67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B$6:$B$532,"京东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京东",'参考值-平台费用率分析'!$C$6:$C$532,"主营业务收入",'参考值-平台费用率分析'!$E$6:$E$532,"主营业务收入")/10000)</f>
        <v>13.6692</v>
      </c>
      <c r="J15" s="165">
        <f>IF(COUNTIFS('参考值-平台费用率分析'!$B$6:$B$532,"京东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京东",'参考值-平台费用率分析'!$C$6:$C$532,"主营业务收入",'参考值-平台费用率分析'!$E$6:$E$532,"主营业务收入")/10000)</f>
        <v>8.5720729999999996</v>
      </c>
      <c r="K15" s="165">
        <f>IF(COUNTIFS('参考值-平台费用率分析'!$B$6:$B$532,"京东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京东",'参考值-平台费用率分析'!$C$6:$C$532,"主营业务收入",'参考值-平台费用率分析'!$E$6:$E$532,"主营业务收入")/10000)</f>
        <v>23.263656000000001</v>
      </c>
      <c r="L15" s="165">
        <f>IF(COUNTIFS('参考值-平台费用率分析'!$B$6:$B$532,"京东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京东",'参考值-平台费用率分析'!$C$6:$C$532,"主营业务收入",'参考值-平台费用率分析'!$E$6:$E$532,"主营业务收入")/10000)</f>
        <v>19.4663</v>
      </c>
      <c r="M15" s="165">
        <f>IF(COUNTIFS('参考值-平台费用率分析'!$B$6:$B$532,"京东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京东",'参考值-平台费用率分析'!$C$6:$C$532,"主营业务收入",'参考值-平台费用率分析'!$E$6:$E$532,"主营业务收入")/10000)</f>
        <v>19.221454999999999</v>
      </c>
      <c r="N15" s="165">
        <f>IF(COUNTIFS('参考值-平台费用率分析'!$B$6:$B$532,"京东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京东",'参考值-平台费用率分析'!$C$6:$C$532,"主营业务收入",'参考值-平台费用率分析'!$E$6:$E$532,"主营业务收入")/10000)</f>
        <v>16.670736999999999</v>
      </c>
      <c r="O15" s="165" t="str">
        <f>IF(COUNTIFS('参考值-平台费用率分析'!$B$6:$B$532,"京东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京东",'参考值-平台费用率分析'!$C$6:$C$532,"主营业务收入",'参考值-平台费用率分析'!$E$6:$E$532,"主营业务收入")/10000)</f>
        <v/>
      </c>
      <c r="P15" s="165" t="str">
        <f>IF(COUNTIFS('参考值-平台费用率分析'!$B$6:$B$532,"京东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京东",'参考值-平台费用率分析'!$C$6:$C$532,"主营业务收入",'参考值-平台费用率分析'!$E$6:$E$532,"主营业务收入")/10000)</f>
        <v/>
      </c>
      <c r="Q15" s="165" t="str">
        <f>IF(COUNTIFS('参考值-平台费用率分析'!$B$6:$B$532,"京东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京东",'参考值-平台费用率分析'!$C$6:$C$532,"主营业务收入",'参考值-平台费用率分析'!$E$6:$E$532,"主营业务收入")/10000)</f>
        <v/>
      </c>
      <c r="R15" s="165" t="str">
        <f>IF(COUNTIFS('参考值-平台费用率分析'!$B$6:$B$532,"京东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京东",'参考值-平台费用率分析'!$C$6:$C$532,"主营业务收入",'参考值-平台费用率分析'!$E$6:$E$532,"主营业务收入")/10000)</f>
        <v/>
      </c>
      <c r="S15" s="165" t="str">
        <f>IF(COUNTIFS('参考值-平台费用率分析'!$B$6:$B$532,"京东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京东",'参考值-平台费用率分析'!$C$6:$C$532,"主营业务收入",'参考值-平台费用率分析'!$E$6:$E$532,"主营业务收入")/10000)</f>
        <v/>
      </c>
      <c r="T15" s="165" t="str">
        <f>IF(COUNTIFS('参考值-平台费用率分析'!$B$6:$B$532,"京东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京东",'参考值-平台费用率分析'!$C$6:$C$532,"主营业务收入",'参考值-平台费用率分析'!$E$6:$E$532,"主营业务收入")/10000)</f>
        <v/>
      </c>
      <c r="U15" s="165"/>
      <c r="V15" s="165">
        <f t="shared" si="1"/>
        <v>100.86342100000002</v>
      </c>
      <c r="W15" s="165">
        <f t="shared" si="2"/>
        <v>0</v>
      </c>
    </row>
    <row r="16" spans="1:23" s="13" customFormat="1">
      <c r="A16" s="102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19">
        <f t="shared" ref="I16:T16" si="6">IF(ISNUMBER(I$15),I$15,I$13*IFERROR(SUM($I$15:$T$15)/SUMPRODUCT(($I$15:$T$15&lt;&gt;"")*$I$13:$T$13),1))</f>
        <v>13.6692</v>
      </c>
      <c r="J16" s="219">
        <f t="shared" si="6"/>
        <v>8.5720729999999996</v>
      </c>
      <c r="K16" s="219">
        <f t="shared" si="6"/>
        <v>23.263656000000001</v>
      </c>
      <c r="L16" s="219">
        <f t="shared" si="6"/>
        <v>19.4663</v>
      </c>
      <c r="M16" s="219">
        <f t="shared" si="6"/>
        <v>19.221454999999999</v>
      </c>
      <c r="N16" s="219">
        <f t="shared" si="6"/>
        <v>16.670736999999999</v>
      </c>
      <c r="O16" s="219">
        <f t="shared" si="6"/>
        <v>7.623610630567109</v>
      </c>
      <c r="P16" s="219">
        <f t="shared" si="6"/>
        <v>10.196187057342842</v>
      </c>
      <c r="Q16" s="219">
        <f t="shared" si="6"/>
        <v>12.894255017132023</v>
      </c>
      <c r="R16" s="219">
        <f t="shared" si="6"/>
        <v>13.945246606119673</v>
      </c>
      <c r="S16" s="219">
        <f t="shared" si="6"/>
        <v>16.941356956815799</v>
      </c>
      <c r="T16" s="219">
        <f t="shared" si="6"/>
        <v>14.431526296546789</v>
      </c>
      <c r="U16" s="219"/>
      <c r="V16" s="219">
        <f t="shared" si="1"/>
        <v>176.89560356452427</v>
      </c>
      <c r="W16" s="219">
        <f t="shared" si="2"/>
        <v>76.032182564524234</v>
      </c>
    </row>
    <row r="17" spans="1:23">
      <c r="A17" s="67"/>
      <c r="B17" s="102"/>
      <c r="C17" s="102"/>
      <c r="D17" s="67"/>
      <c r="E17" s="79" t="s">
        <v>165</v>
      </c>
      <c r="F17" s="67" t="s">
        <v>808</v>
      </c>
      <c r="G17" s="67"/>
      <c r="H17" s="67"/>
      <c r="I17" s="165">
        <f t="shared" ref="I17:T17" si="7">IF(ISNUMBER(I$15),I$15,IFERROR(I$13+(SUMPRODUCT(($I$15:$T$15&lt;&gt;"")*$I$13:$T$13)-SUM($I$15:$T$15))*(I$14/(SUMPRODUCT(($I$15:$T$15="")*$I$14:$T$14))),I$13))</f>
        <v>13.6692</v>
      </c>
      <c r="J17" s="165">
        <f t="shared" si="7"/>
        <v>8.5720729999999996</v>
      </c>
      <c r="K17" s="165">
        <f t="shared" si="7"/>
        <v>23.263656000000001</v>
      </c>
      <c r="L17" s="165">
        <f t="shared" si="7"/>
        <v>19.4663</v>
      </c>
      <c r="M17" s="165">
        <f t="shared" si="7"/>
        <v>19.221454999999999</v>
      </c>
      <c r="N17" s="165">
        <f t="shared" si="7"/>
        <v>16.670736999999999</v>
      </c>
      <c r="O17" s="165">
        <f t="shared" si="7"/>
        <v>25.234314991215399</v>
      </c>
      <c r="P17" s="165">
        <f t="shared" si="7"/>
        <v>33.749598239279855</v>
      </c>
      <c r="Q17" s="165">
        <f t="shared" si="7"/>
        <v>42.680261157981604</v>
      </c>
      <c r="R17" s="165">
        <f t="shared" si="7"/>
        <v>46.159065899568915</v>
      </c>
      <c r="S17" s="165">
        <f t="shared" si="7"/>
        <v>56.076255536034225</v>
      </c>
      <c r="T17" s="165">
        <f t="shared" si="7"/>
        <v>47.768662123288401</v>
      </c>
      <c r="U17" s="165"/>
      <c r="V17" s="165">
        <f t="shared" si="1"/>
        <v>352.53157894736842</v>
      </c>
      <c r="W17" s="165">
        <f t="shared" si="2"/>
        <v>251.66815794736843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4.2288496295693232</v>
      </c>
      <c r="J18" s="218">
        <f t="shared" si="8"/>
        <v>2.6519480094439465</v>
      </c>
      <c r="K18" s="218">
        <f t="shared" si="8"/>
        <v>7.1970929577464782</v>
      </c>
      <c r="L18" s="218">
        <f t="shared" si="8"/>
        <v>6.0223023691280622</v>
      </c>
      <c r="M18" s="218">
        <f t="shared" si="8"/>
        <v>5.9465545062281189</v>
      </c>
      <c r="N18" s="218">
        <f t="shared" si="8"/>
        <v>5.1574371570463233</v>
      </c>
      <c r="O18" s="218">
        <f t="shared" si="8"/>
        <v>7.806757059889156</v>
      </c>
      <c r="P18" s="218">
        <f t="shared" si="8"/>
        <v>10.44113598544846</v>
      </c>
      <c r="Q18" s="218">
        <f t="shared" si="8"/>
        <v>13.204021200059438</v>
      </c>
      <c r="R18" s="218">
        <f t="shared" si="8"/>
        <v>14.280261370867203</v>
      </c>
      <c r="S18" s="218">
        <f t="shared" si="8"/>
        <v>17.348349021975903</v>
      </c>
      <c r="T18" s="218">
        <f t="shared" si="8"/>
        <v>14.778223240942433</v>
      </c>
      <c r="U18" s="165"/>
      <c r="V18" s="218">
        <f t="shared" si="1"/>
        <v>109.06293250834486</v>
      </c>
      <c r="W18" s="218">
        <f t="shared" si="2"/>
        <v>77.858747879182602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IFERROR(I$9*SUMPRODUCT(('辅助-机制测算'!$A$2:$A$200="京东POP")*'辅助-机制测算'!$F$2:$F$200*IFERROR('辅助-机制测算'!$H$2:$H$200/'辅助-机制测算'!$G$2:$G$200,0)),0)</f>
        <v>4.2288496295693232</v>
      </c>
      <c r="J19" s="165">
        <f>IFERROR(J$9*SUMPRODUCT(('辅助-机制测算'!$A$2:$A$200="京东POP")*'辅助-机制测算'!$F$2:$F$200*IFERROR('辅助-机制测算'!$H$2:$H$200/'辅助-机制测算'!$G$2:$G$200,0)),0)</f>
        <v>2.6519480094439465</v>
      </c>
      <c r="K19" s="165">
        <f>IFERROR(K$9*SUMPRODUCT(('辅助-机制测算'!$A$2:$A$200="京东POP")*'辅助-机制测算'!$F$2:$F$200*IFERROR('辅助-机制测算'!$H$2:$H$200/'辅助-机制测算'!$G$2:$G$200,0)),0)</f>
        <v>7.1970929577464782</v>
      </c>
      <c r="L19" s="165">
        <f>IFERROR(L$9*SUMPRODUCT(('辅助-机制测算'!$A$2:$A$200="京东POP")*'辅助-机制测算'!$F$2:$F$200*IFERROR('辅助-机制测算'!$H$2:$H$200/'辅助-机制测算'!$G$2:$G$200,0)),0)</f>
        <v>6.0223023691280622</v>
      </c>
      <c r="M19" s="165">
        <f>IFERROR(M$9*SUMPRODUCT(('辅助-机制测算'!$A$2:$A$200="京东POP")*'辅助-机制测算'!$F$2:$F$200*IFERROR('辅助-机制测算'!$H$2:$H$200/'辅助-机制测算'!$G$2:$G$200,0)),0)</f>
        <v>5.9465545062281189</v>
      </c>
      <c r="N19" s="165">
        <f>IFERROR(N$9*SUMPRODUCT(('辅助-机制测算'!$A$2:$A$200="京东POP")*'辅助-机制测算'!$F$2:$F$200*IFERROR('辅助-机制测算'!$H$2:$H$200/'辅助-机制测算'!$G$2:$G$200,0)),0)</f>
        <v>5.1574371570463233</v>
      </c>
      <c r="O19" s="165">
        <f>IFERROR(O$9*SUMPRODUCT(('辅助-机制测算'!$A$2:$A$200="京东POP")*'辅助-机制测算'!$F$2:$F$200*IFERROR('辅助-机制测算'!$H$2:$H$200/'辅助-机制测算'!$G$2:$G$200,0)),0)</f>
        <v>7.806757059889156</v>
      </c>
      <c r="P19" s="165">
        <f>IFERROR(P$9*SUMPRODUCT(('辅助-机制测算'!$A$2:$A$200="京东POP")*'辅助-机制测算'!$F$2:$F$200*IFERROR('辅助-机制测算'!$H$2:$H$200/'辅助-机制测算'!$G$2:$G$200,0)),0)</f>
        <v>10.44113598544846</v>
      </c>
      <c r="Q19" s="165">
        <f>IFERROR(Q$9*SUMPRODUCT(('辅助-机制测算'!$A$2:$A$200="京东POP")*'辅助-机制测算'!$F$2:$F$200*IFERROR('辅助-机制测算'!$H$2:$H$200/'辅助-机制测算'!$G$2:$G$200,0)),0)</f>
        <v>13.204021200059438</v>
      </c>
      <c r="R19" s="165">
        <f>IFERROR(R$9*SUMPRODUCT(('辅助-机制测算'!$A$2:$A$200="京东POP")*'辅助-机制测算'!$F$2:$F$200*IFERROR('辅助-机制测算'!$H$2:$H$200/'辅助-机制测算'!$G$2:$G$200,0)),0)</f>
        <v>14.280261370867203</v>
      </c>
      <c r="S19" s="165">
        <f>IFERROR(S$9*SUMPRODUCT(('辅助-机制测算'!$A$2:$A$200="京东POP")*'辅助-机制测算'!$F$2:$F$200*IFERROR('辅助-机制测算'!$H$2:$H$200/'辅助-机制测算'!$G$2:$G$200,0)),0)</f>
        <v>17.348349021975903</v>
      </c>
      <c r="T19" s="165">
        <f>IFERROR(T$9*SUMPRODUCT(('辅助-机制测算'!$A$2:$A$200="京东POP")*'辅助-机制测算'!$F$2:$F$200*IFERROR('辅助-机制测算'!$H$2:$H$200/'辅助-机制测算'!$G$2:$G$200,0)),0)</f>
        <v>14.778223240942433</v>
      </c>
      <c r="U19" s="219"/>
      <c r="V19" s="165">
        <f t="shared" si="1"/>
        <v>109.06293250834486</v>
      </c>
      <c r="W19" s="165">
        <f t="shared" si="2"/>
        <v>77.858747879182602</v>
      </c>
    </row>
    <row r="20" spans="1:23" s="13" customFormat="1">
      <c r="A20" s="102"/>
      <c r="B20" s="217" t="s">
        <v>52</v>
      </c>
      <c r="C20" s="217"/>
      <c r="D20" s="217"/>
      <c r="E20" s="217"/>
      <c r="F20" s="217"/>
      <c r="G20" s="217"/>
      <c r="H20" s="102"/>
      <c r="I20" s="218">
        <f t="shared" ref="I20:T20" si="9">I21+I27+I32+I36+I41</f>
        <v>5.6659252761763073</v>
      </c>
      <c r="J20" s="218">
        <f t="shared" si="9"/>
        <v>4.2449910957102226</v>
      </c>
      <c r="K20" s="218">
        <f t="shared" si="9"/>
        <v>8.3678421756994474</v>
      </c>
      <c r="L20" s="218">
        <f t="shared" si="9"/>
        <v>7.0236871959602469</v>
      </c>
      <c r="M20" s="218">
        <f t="shared" si="9"/>
        <v>7.4856342692035494</v>
      </c>
      <c r="N20" s="218">
        <f t="shared" si="9"/>
        <v>7.4944360798153724</v>
      </c>
      <c r="O20" s="218">
        <f t="shared" si="9"/>
        <v>10.868216331219426</v>
      </c>
      <c r="P20" s="218">
        <f t="shared" si="9"/>
        <v>14.184122805113361</v>
      </c>
      <c r="Q20" s="218">
        <f t="shared" si="9"/>
        <v>17.661780814319197</v>
      </c>
      <c r="R20" s="218">
        <f t="shared" si="9"/>
        <v>19.016449922556355</v>
      </c>
      <c r="S20" s="218">
        <f t="shared" si="9"/>
        <v>22.878267828127953</v>
      </c>
      <c r="T20" s="218">
        <f t="shared" si="9"/>
        <v>19.64323712188996</v>
      </c>
      <c r="U20" s="165"/>
      <c r="V20" s="218">
        <f t="shared" si="1"/>
        <v>144.5345909157914</v>
      </c>
      <c r="W20" s="218">
        <f t="shared" si="2"/>
        <v>104.25207482322625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SUM(I22:I26)</f>
        <v>4.1284941235425814</v>
      </c>
      <c r="J21" s="223">
        <f t="shared" si="10"/>
        <v>2.8897997636733468</v>
      </c>
      <c r="K21" s="223">
        <f t="shared" si="10"/>
        <v>6.5920523137032605</v>
      </c>
      <c r="L21" s="223">
        <f t="shared" si="10"/>
        <v>5.2982316599728403</v>
      </c>
      <c r="M21" s="223">
        <f t="shared" si="10"/>
        <v>5.9426698592673155</v>
      </c>
      <c r="N21" s="223">
        <f t="shared" si="10"/>
        <v>5.8582644629380605</v>
      </c>
      <c r="O21" s="223">
        <f t="shared" si="10"/>
        <v>8.8591812404030374</v>
      </c>
      <c r="P21" s="223">
        <f t="shared" si="10"/>
        <v>11.848699189839452</v>
      </c>
      <c r="Q21" s="223">
        <f t="shared" si="10"/>
        <v>14.984047283150817</v>
      </c>
      <c r="R21" s="223">
        <f t="shared" si="10"/>
        <v>16.205374738103501</v>
      </c>
      <c r="S21" s="223">
        <f t="shared" si="10"/>
        <v>19.687069423117862</v>
      </c>
      <c r="T21" s="223">
        <f t="shared" si="10"/>
        <v>16.770466545618913</v>
      </c>
      <c r="U21" s="165"/>
      <c r="V21" s="223">
        <f t="shared" si="1"/>
        <v>119.06435060333099</v>
      </c>
      <c r="W21" s="223">
        <f t="shared" si="2"/>
        <v>88.354838420233591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55</v>
      </c>
      <c r="G22" s="67"/>
      <c r="H22" s="67"/>
      <c r="I22" s="165">
        <f>I$9*'假设-ROI月度滚动'!J16</f>
        <v>3.4810525635425815</v>
      </c>
      <c r="J22" s="165">
        <f>J$9*'假设-ROI月度滚动'!K16</f>
        <v>2.1461871694733468</v>
      </c>
      <c r="K22" s="165">
        <f>K$9*'假设-ROI月度滚动'!L16</f>
        <v>4.9012572334032605</v>
      </c>
      <c r="L22" s="165">
        <f>L$9*'假设-ROI月度滚动'!M16</f>
        <v>4.0909631043728405</v>
      </c>
      <c r="M22" s="165">
        <f>M$9*'假设-ROI月度滚动'!N16</f>
        <v>4.9457893056673159</v>
      </c>
      <c r="N22" s="165">
        <f>N$9*'假设-ROI月度滚动'!O16</f>
        <v>4.795998</v>
      </c>
      <c r="O22" s="165">
        <f>O$9*'假设-ROI月度滚动'!P16</f>
        <v>7.2512399400044245</v>
      </c>
      <c r="P22" s="165">
        <f>P$9*'假设-ROI月度滚动'!Q16</f>
        <v>9.6981604135861641</v>
      </c>
      <c r="Q22" s="165">
        <f>Q$9*'假设-ROI月度滚动'!R16</f>
        <v>12.264442861488966</v>
      </c>
      <c r="R22" s="165">
        <f>R$9*'假设-ROI月度滚动'!S16</f>
        <v>13.264099396427849</v>
      </c>
      <c r="S22" s="165">
        <f>S$9*'假设-ROI月度滚动'!T16</f>
        <v>16.113866533343167</v>
      </c>
      <c r="T22" s="165">
        <f>T$9*'假设-ROI月度滚动'!U16</f>
        <v>13.726627046921953</v>
      </c>
      <c r="U22" s="165"/>
      <c r="V22" s="165">
        <f t="shared" si="1"/>
        <v>96.679683568231866</v>
      </c>
      <c r="W22" s="165">
        <f t="shared" si="2"/>
        <v>72.31843619177252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>
        <f>I$9*'假设-销售费用率'!K138</f>
        <v>0</v>
      </c>
      <c r="J23" s="165">
        <f>J$9*'假设-销售费用率'!L138</f>
        <v>0</v>
      </c>
      <c r="K23" s="165">
        <f>K$9*'假设-销售费用率'!M138</f>
        <v>0</v>
      </c>
      <c r="L23" s="165">
        <f>L$9*'假设-销售费用率'!N138</f>
        <v>0</v>
      </c>
      <c r="M23" s="165">
        <f>M$9*'假设-销售费用率'!O138</f>
        <v>0</v>
      </c>
      <c r="N23" s="165">
        <f>N$9*'假设-销售费用率'!P138</f>
        <v>0</v>
      </c>
      <c r="O23" s="165">
        <f>O$9*'假设-销售费用率'!Q138</f>
        <v>0</v>
      </c>
      <c r="P23" s="165">
        <f>P$9*'假设-销售费用率'!R138</f>
        <v>0</v>
      </c>
      <c r="Q23" s="165">
        <f>Q$9*'假设-销售费用率'!S138</f>
        <v>0</v>
      </c>
      <c r="R23" s="165">
        <f>R$9*'假设-销售费用率'!T138</f>
        <v>0</v>
      </c>
      <c r="S23" s="165">
        <f>S$9*'假设-销售费用率'!U138</f>
        <v>0</v>
      </c>
      <c r="T23" s="165">
        <f>T$9*'假设-销售费用率'!V138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f>I$9*'假设-销售费用率'!K139</f>
        <v>0</v>
      </c>
      <c r="J24" s="165">
        <f>J$9*'假设-销售费用率'!L139</f>
        <v>0</v>
      </c>
      <c r="K24" s="165">
        <f>K$9*'假设-销售费用率'!M139</f>
        <v>0</v>
      </c>
      <c r="L24" s="165">
        <f>L$9*'假设-销售费用率'!N139</f>
        <v>0</v>
      </c>
      <c r="M24" s="165">
        <f>M$9*'假设-销售费用率'!O139</f>
        <v>0</v>
      </c>
      <c r="N24" s="165">
        <f>N$9*'假设-销售费用率'!P139</f>
        <v>0</v>
      </c>
      <c r="O24" s="165">
        <f>O$9*'假设-销售费用率'!Q139</f>
        <v>0</v>
      </c>
      <c r="P24" s="165">
        <f>P$9*'假设-销售费用率'!R139</f>
        <v>0</v>
      </c>
      <c r="Q24" s="165">
        <f>Q$9*'假设-销售费用率'!S139</f>
        <v>0</v>
      </c>
      <c r="R24" s="165">
        <f>R$9*'假设-销售费用率'!T139</f>
        <v>0</v>
      </c>
      <c r="S24" s="165">
        <f>S$9*'假设-销售费用率'!U139</f>
        <v>0</v>
      </c>
      <c r="T24" s="165">
        <f>T$9*'假设-销售费用率'!V139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I$9*'假设-销售费用率'!K140</f>
        <v>0</v>
      </c>
      <c r="J25" s="165">
        <f>J$9*'假设-销售费用率'!L140</f>
        <v>0</v>
      </c>
      <c r="K25" s="165">
        <f>K$9*'假设-销售费用率'!M140</f>
        <v>0</v>
      </c>
      <c r="L25" s="165">
        <f>L$9*'假设-销售费用率'!N140</f>
        <v>0</v>
      </c>
      <c r="M25" s="165">
        <f>M$9*'假设-销售费用率'!O140</f>
        <v>0</v>
      </c>
      <c r="N25" s="165">
        <f>N$9*'假设-销售费用率'!P140</f>
        <v>0</v>
      </c>
      <c r="O25" s="165">
        <f>O$9*'假设-销售费用率'!Q140</f>
        <v>0</v>
      </c>
      <c r="P25" s="165">
        <f>P$9*'假设-销售费用率'!R140</f>
        <v>0</v>
      </c>
      <c r="Q25" s="165">
        <f>Q$9*'假设-销售费用率'!S140</f>
        <v>0</v>
      </c>
      <c r="R25" s="165">
        <f>R$9*'假设-销售费用率'!T140</f>
        <v>0</v>
      </c>
      <c r="S25" s="165">
        <f>S$9*'假设-销售费用率'!U140</f>
        <v>0</v>
      </c>
      <c r="T25" s="165">
        <f>T$9*'假设-销售费用率'!V140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I$9*'假设-销售费用率'!K141</f>
        <v>0.64744156000000008</v>
      </c>
      <c r="J26" s="165">
        <f>J$9*'假设-销售费用率'!L141</f>
        <v>0.74361259419999992</v>
      </c>
      <c r="K26" s="165">
        <f>K$9*'假设-销售费用率'!M141</f>
        <v>1.6907950803000003</v>
      </c>
      <c r="L26" s="165">
        <f>L$9*'假设-销售费用率'!N141</f>
        <v>1.2072685556</v>
      </c>
      <c r="M26" s="165">
        <f>M$9*'假设-销售费用率'!O141</f>
        <v>0.99688055360000005</v>
      </c>
      <c r="N26" s="165">
        <f>N$9*'假设-销售费用率'!P141</f>
        <v>1.0622664629380605</v>
      </c>
      <c r="O26" s="165">
        <f>O$9*'假设-销售费用率'!Q141</f>
        <v>1.6079413003986123</v>
      </c>
      <c r="P26" s="165">
        <f>P$9*'假设-销售费用率'!R141</f>
        <v>2.1505387762532879</v>
      </c>
      <c r="Q26" s="165">
        <f>Q$9*'假设-销售费用率'!S141</f>
        <v>2.7196044216618507</v>
      </c>
      <c r="R26" s="165">
        <f>R$9*'假设-销售费用率'!T141</f>
        <v>2.941275341675651</v>
      </c>
      <c r="S26" s="165">
        <f>S$9*'假设-销售费用率'!U141</f>
        <v>3.5732028897746941</v>
      </c>
      <c r="T26" s="165">
        <f>T$9*'假设-销售费用率'!V141</f>
        <v>3.0438394986969608</v>
      </c>
      <c r="U26" s="165"/>
      <c r="V26" s="165">
        <f t="shared" si="1"/>
        <v>22.384667035099117</v>
      </c>
      <c r="W26" s="165">
        <f t="shared" si="2"/>
        <v>16.036402228461057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SUM(I28:I31)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0</v>
      </c>
      <c r="P27" s="223">
        <f t="shared" si="11"/>
        <v>0</v>
      </c>
      <c r="Q27" s="223">
        <f t="shared" si="11"/>
        <v>0</v>
      </c>
      <c r="R27" s="223">
        <f t="shared" si="11"/>
        <v>0</v>
      </c>
      <c r="S27" s="223">
        <f t="shared" si="11"/>
        <v>0</v>
      </c>
      <c r="T27" s="223">
        <f t="shared" si="11"/>
        <v>0</v>
      </c>
      <c r="U27" s="165"/>
      <c r="V27" s="223">
        <f t="shared" si="1"/>
        <v>0</v>
      </c>
      <c r="W27" s="223">
        <f t="shared" si="2"/>
        <v>0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>
        <f>I$9*'假设-销售费用率'!K143</f>
        <v>0</v>
      </c>
      <c r="J28" s="165">
        <f>J$9*'假设-销售费用率'!L143</f>
        <v>0</v>
      </c>
      <c r="K28" s="165">
        <f>K$9*'假设-销售费用率'!M143</f>
        <v>0</v>
      </c>
      <c r="L28" s="165">
        <f>L$9*'假设-销售费用率'!N143</f>
        <v>0</v>
      </c>
      <c r="M28" s="165">
        <f>M$9*'假设-销售费用率'!O143</f>
        <v>0</v>
      </c>
      <c r="N28" s="165">
        <f>N$9*'假设-销售费用率'!P143</f>
        <v>0</v>
      </c>
      <c r="O28" s="165">
        <f>O$9*'假设-销售费用率'!Q143</f>
        <v>0</v>
      </c>
      <c r="P28" s="165">
        <f>P$9*'假设-销售费用率'!R143</f>
        <v>0</v>
      </c>
      <c r="Q28" s="165">
        <f>Q$9*'假设-销售费用率'!S143</f>
        <v>0</v>
      </c>
      <c r="R28" s="165">
        <f>R$9*'假设-销售费用率'!T143</f>
        <v>0</v>
      </c>
      <c r="S28" s="165">
        <f>S$9*'假设-销售费用率'!U143</f>
        <v>0</v>
      </c>
      <c r="T28" s="165">
        <f>T$9*'假设-销售费用率'!V143</f>
        <v>0</v>
      </c>
      <c r="U28" s="165"/>
      <c r="V28" s="165">
        <f t="shared" si="1"/>
        <v>0</v>
      </c>
      <c r="W28" s="165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>
        <f>I$9*'假设-销售费用率'!K144</f>
        <v>0</v>
      </c>
      <c r="J29" s="165">
        <f>J$9*'假设-销售费用率'!L144</f>
        <v>0</v>
      </c>
      <c r="K29" s="165">
        <f>K$9*'假设-销售费用率'!M144</f>
        <v>0</v>
      </c>
      <c r="L29" s="165">
        <f>L$9*'假设-销售费用率'!N144</f>
        <v>0</v>
      </c>
      <c r="M29" s="165">
        <f>M$9*'假设-销售费用率'!O144</f>
        <v>0</v>
      </c>
      <c r="N29" s="165">
        <f>N$9*'假设-销售费用率'!P144</f>
        <v>0</v>
      </c>
      <c r="O29" s="165">
        <f>O$9*'假设-销售费用率'!Q144</f>
        <v>0</v>
      </c>
      <c r="P29" s="165">
        <f>P$9*'假设-销售费用率'!R144</f>
        <v>0</v>
      </c>
      <c r="Q29" s="165">
        <f>Q$9*'假设-销售费用率'!S144</f>
        <v>0</v>
      </c>
      <c r="R29" s="165">
        <f>R$9*'假设-销售费用率'!T144</f>
        <v>0</v>
      </c>
      <c r="S29" s="165">
        <f>S$9*'假设-销售费用率'!U144</f>
        <v>0</v>
      </c>
      <c r="T29" s="165">
        <f>T$9*'假设-销售费用率'!V144</f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>
        <f>I$9*'假设-销售费用率'!K145</f>
        <v>0</v>
      </c>
      <c r="J30" s="165">
        <f>J$9*'假设-销售费用率'!L145</f>
        <v>0</v>
      </c>
      <c r="K30" s="165">
        <f>K$9*'假设-销售费用率'!M145</f>
        <v>0</v>
      </c>
      <c r="L30" s="165">
        <f>L$9*'假设-销售费用率'!N145</f>
        <v>0</v>
      </c>
      <c r="M30" s="165">
        <f>M$9*'假设-销售费用率'!O145</f>
        <v>0</v>
      </c>
      <c r="N30" s="165">
        <f>N$9*'假设-销售费用率'!P145</f>
        <v>0</v>
      </c>
      <c r="O30" s="165">
        <f>O$9*'假设-销售费用率'!Q145</f>
        <v>0</v>
      </c>
      <c r="P30" s="165">
        <f>P$9*'假设-销售费用率'!R145</f>
        <v>0</v>
      </c>
      <c r="Q30" s="165">
        <f>Q$9*'假设-销售费用率'!S145</f>
        <v>0</v>
      </c>
      <c r="R30" s="165">
        <f>R$9*'假设-销售费用率'!T145</f>
        <v>0</v>
      </c>
      <c r="S30" s="165">
        <f>S$9*'假设-销售费用率'!U145</f>
        <v>0</v>
      </c>
      <c r="T30" s="165">
        <f>T$9*'假设-销售费用率'!V145</f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>
        <f>I$9*'假设-销售费用率'!K146</f>
        <v>0</v>
      </c>
      <c r="J31" s="165">
        <f>J$9*'假设-销售费用率'!L146</f>
        <v>0</v>
      </c>
      <c r="K31" s="165">
        <f>K$9*'假设-销售费用率'!M146</f>
        <v>0</v>
      </c>
      <c r="L31" s="165">
        <f>L$9*'假设-销售费用率'!N146</f>
        <v>0</v>
      </c>
      <c r="M31" s="165">
        <f>M$9*'假设-销售费用率'!O146</f>
        <v>0</v>
      </c>
      <c r="N31" s="165">
        <f>N$9*'假设-销售费用率'!P146</f>
        <v>0</v>
      </c>
      <c r="O31" s="165">
        <f>O$9*'假设-销售费用率'!Q146</f>
        <v>0</v>
      </c>
      <c r="P31" s="165">
        <f>P$9*'假设-销售费用率'!R146</f>
        <v>0</v>
      </c>
      <c r="Q31" s="165">
        <f>Q$9*'假设-销售费用率'!S146</f>
        <v>0</v>
      </c>
      <c r="R31" s="165">
        <f>R$9*'假设-销售费用率'!T146</f>
        <v>0</v>
      </c>
      <c r="S31" s="165">
        <f>S$9*'假设-销售费用率'!U146</f>
        <v>0</v>
      </c>
      <c r="T31" s="165">
        <f>T$9*'假设-销售费用率'!V146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SUM(I33:I35)</f>
        <v>0</v>
      </c>
      <c r="J32" s="223">
        <f t="shared" si="12"/>
        <v>0</v>
      </c>
      <c r="K32" s="223">
        <f t="shared" si="12"/>
        <v>0</v>
      </c>
      <c r="L32" s="223">
        <f t="shared" si="12"/>
        <v>0</v>
      </c>
      <c r="M32" s="223">
        <f t="shared" si="12"/>
        <v>0</v>
      </c>
      <c r="N32" s="223">
        <f t="shared" si="12"/>
        <v>0</v>
      </c>
      <c r="O32" s="223">
        <f t="shared" si="12"/>
        <v>0</v>
      </c>
      <c r="P32" s="223">
        <f t="shared" si="12"/>
        <v>0</v>
      </c>
      <c r="Q32" s="223">
        <f t="shared" si="12"/>
        <v>0</v>
      </c>
      <c r="R32" s="223">
        <f t="shared" si="12"/>
        <v>0</v>
      </c>
      <c r="S32" s="223">
        <f t="shared" si="12"/>
        <v>0</v>
      </c>
      <c r="T32" s="223">
        <f t="shared" si="12"/>
        <v>0</v>
      </c>
      <c r="U32" s="165"/>
      <c r="V32" s="223">
        <f t="shared" si="1"/>
        <v>0</v>
      </c>
      <c r="W32" s="223">
        <f t="shared" si="2"/>
        <v>0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>
        <f>I$9*'假设-销售费用率'!K148</f>
        <v>0</v>
      </c>
      <c r="J33" s="165">
        <f>J$9*'假设-销售费用率'!L148</f>
        <v>0</v>
      </c>
      <c r="K33" s="165">
        <f>K$9*'假设-销售费用率'!M148</f>
        <v>0</v>
      </c>
      <c r="L33" s="165">
        <f>L$9*'假设-销售费用率'!N148</f>
        <v>0</v>
      </c>
      <c r="M33" s="165">
        <f>M$9*'假设-销售费用率'!O148</f>
        <v>0</v>
      </c>
      <c r="N33" s="165">
        <f>N$9*'假设-销售费用率'!P148</f>
        <v>0</v>
      </c>
      <c r="O33" s="165">
        <f>O$9*'假设-销售费用率'!Q148</f>
        <v>0</v>
      </c>
      <c r="P33" s="165">
        <f>P$9*'假设-销售费用率'!R148</f>
        <v>0</v>
      </c>
      <c r="Q33" s="165">
        <f>Q$9*'假设-销售费用率'!S148</f>
        <v>0</v>
      </c>
      <c r="R33" s="165">
        <f>R$9*'假设-销售费用率'!T148</f>
        <v>0</v>
      </c>
      <c r="S33" s="165">
        <f>S$9*'假设-销售费用率'!U148</f>
        <v>0</v>
      </c>
      <c r="T33" s="165">
        <f>T$9*'假设-销售费用率'!V148</f>
        <v>0</v>
      </c>
      <c r="U33" s="165"/>
      <c r="V33" s="165">
        <f t="shared" si="1"/>
        <v>0</v>
      </c>
      <c r="W33" s="165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>
        <f>I$9*'假设-销售费用率'!K149</f>
        <v>0</v>
      </c>
      <c r="J34" s="165">
        <f>J$9*'假设-销售费用率'!L149</f>
        <v>0</v>
      </c>
      <c r="K34" s="165">
        <f>K$9*'假设-销售费用率'!M149</f>
        <v>0</v>
      </c>
      <c r="L34" s="165">
        <f>L$9*'假设-销售费用率'!N149</f>
        <v>0</v>
      </c>
      <c r="M34" s="165">
        <f>M$9*'假设-销售费用率'!O149</f>
        <v>0</v>
      </c>
      <c r="N34" s="165">
        <f>N$9*'假设-销售费用率'!P149</f>
        <v>0</v>
      </c>
      <c r="O34" s="165">
        <f>O$9*'假设-销售费用率'!Q149</f>
        <v>0</v>
      </c>
      <c r="P34" s="165">
        <f>P$9*'假设-销售费用率'!R149</f>
        <v>0</v>
      </c>
      <c r="Q34" s="165">
        <f>Q$9*'假设-销售费用率'!S149</f>
        <v>0</v>
      </c>
      <c r="R34" s="165">
        <f>R$9*'假设-销售费用率'!T149</f>
        <v>0</v>
      </c>
      <c r="S34" s="165">
        <f>S$9*'假设-销售费用率'!U149</f>
        <v>0</v>
      </c>
      <c r="T34" s="165">
        <f>T$9*'假设-销售费用率'!V149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IFERROR(I$9*SUMPRODUCT(('辅助-机制测算'!$A$2:$A$200="京东POP")*'辅助-机制测算'!$F$2:$F$200*IFERROR('辅助-机制测算'!$I$2:$I$200/'辅助-机制测算'!$G$2:$G$200,0)),0)</f>
        <v>0</v>
      </c>
      <c r="J35" s="165">
        <f>IFERROR(J$9*SUMPRODUCT(('辅助-机制测算'!$A$2:$A$200="京东POP")*'辅助-机制测算'!$F$2:$F$200*IFERROR('辅助-机制测算'!$I$2:$I$200/'辅助-机制测算'!$G$2:$G$200,0)),0)</f>
        <v>0</v>
      </c>
      <c r="K35" s="165">
        <f>IFERROR(K$9*SUMPRODUCT(('辅助-机制测算'!$A$2:$A$200="京东POP")*'辅助-机制测算'!$F$2:$F$200*IFERROR('辅助-机制测算'!$I$2:$I$200/'辅助-机制测算'!$G$2:$G$200,0)),0)</f>
        <v>0</v>
      </c>
      <c r="L35" s="165">
        <f>IFERROR(L$9*SUMPRODUCT(('辅助-机制测算'!$A$2:$A$200="京东POP")*'辅助-机制测算'!$F$2:$F$200*IFERROR('辅助-机制测算'!$I$2:$I$200/'辅助-机制测算'!$G$2:$G$200,0)),0)</f>
        <v>0</v>
      </c>
      <c r="M35" s="165">
        <f>IFERROR(M$9*SUMPRODUCT(('辅助-机制测算'!$A$2:$A$200="京东POP")*'辅助-机制测算'!$F$2:$F$200*IFERROR('辅助-机制测算'!$I$2:$I$200/'辅助-机制测算'!$G$2:$G$200,0)),0)</f>
        <v>0</v>
      </c>
      <c r="N35" s="165">
        <f>IFERROR(N$9*SUMPRODUCT(('辅助-机制测算'!$A$2:$A$200="京东POP")*'辅助-机制测算'!$F$2:$F$200*IFERROR('辅助-机制测算'!$I$2:$I$200/'辅助-机制测算'!$G$2:$G$200,0)),0)</f>
        <v>0</v>
      </c>
      <c r="O35" s="165">
        <f>IFERROR(O$9*SUMPRODUCT(('辅助-机制测算'!$A$2:$A$200="京东POP")*'辅助-机制测算'!$F$2:$F$200*IFERROR('辅助-机制测算'!$I$2:$I$200/'辅助-机制测算'!$G$2:$G$200,0)),0)</f>
        <v>0</v>
      </c>
      <c r="P35" s="165">
        <f>IFERROR(P$9*SUMPRODUCT(('辅助-机制测算'!$A$2:$A$200="京东POP")*'辅助-机制测算'!$F$2:$F$200*IFERROR('辅助-机制测算'!$I$2:$I$200/'辅助-机制测算'!$G$2:$G$200,0)),0)</f>
        <v>0</v>
      </c>
      <c r="Q35" s="165">
        <f>IFERROR(Q$9*SUMPRODUCT(('辅助-机制测算'!$A$2:$A$200="京东POP")*'辅助-机制测算'!$F$2:$F$200*IFERROR('辅助-机制测算'!$I$2:$I$200/'辅助-机制测算'!$G$2:$G$200,0)),0)</f>
        <v>0</v>
      </c>
      <c r="R35" s="165">
        <f>IFERROR(R$9*SUMPRODUCT(('辅助-机制测算'!$A$2:$A$200="京东POP")*'辅助-机制测算'!$F$2:$F$200*IFERROR('辅助-机制测算'!$I$2:$I$200/'辅助-机制测算'!$G$2:$G$200,0)),0)</f>
        <v>0</v>
      </c>
      <c r="S35" s="165">
        <f>IFERROR(S$9*SUMPRODUCT(('辅助-机制测算'!$A$2:$A$200="京东POP")*'辅助-机制测算'!$F$2:$F$200*IFERROR('辅助-机制测算'!$I$2:$I$200/'辅助-机制测算'!$G$2:$G$200,0)),0)</f>
        <v>0</v>
      </c>
      <c r="T35" s="165">
        <f>IFERROR(T$9*SUMPRODUCT(('辅助-机制测算'!$A$2:$A$200="京东POP")*'辅助-机制测算'!$F$2:$F$200*IFERROR('辅助-机制测算'!$I$2:$I$200/'辅助-机制测算'!$G$2:$G$200,0)),0)</f>
        <v>0</v>
      </c>
      <c r="U35" s="165"/>
      <c r="V35" s="165">
        <f t="shared" si="1"/>
        <v>0</v>
      </c>
      <c r="W35" s="165">
        <f t="shared" si="2"/>
        <v>0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SUM(I37:I40)</f>
        <v>0.59660366522498798</v>
      </c>
      <c r="J36" s="223">
        <f t="shared" si="13"/>
        <v>0.43343218735643385</v>
      </c>
      <c r="K36" s="223">
        <f t="shared" si="13"/>
        <v>0.66106208401611988</v>
      </c>
      <c r="L36" s="223">
        <f t="shared" si="13"/>
        <v>0.67559413741556562</v>
      </c>
      <c r="M36" s="223">
        <f t="shared" si="13"/>
        <v>0.60362588161420527</v>
      </c>
      <c r="N36" s="223">
        <f t="shared" si="13"/>
        <v>0.59066406440993435</v>
      </c>
      <c r="O36" s="223">
        <f t="shared" si="13"/>
        <v>0.89408183065402702</v>
      </c>
      <c r="P36" s="223">
        <f t="shared" si="13"/>
        <v>1.1957884566360444</v>
      </c>
      <c r="Q36" s="223">
        <f t="shared" si="13"/>
        <v>1.5122124790074287</v>
      </c>
      <c r="R36" s="223">
        <f t="shared" si="13"/>
        <v>1.6354706737683748</v>
      </c>
      <c r="S36" s="223">
        <f t="shared" si="13"/>
        <v>1.9868485125645048</v>
      </c>
      <c r="T36" s="223">
        <f t="shared" si="13"/>
        <v>1.6925005847771701</v>
      </c>
      <c r="U36" s="165"/>
      <c r="V36" s="223">
        <f t="shared" si="1"/>
        <v>12.477884557444796</v>
      </c>
      <c r="W36" s="223">
        <f t="shared" si="2"/>
        <v>8.9169025374075499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I$9*'假设-销售费用率'!K152</f>
        <v>0.28599999999999998</v>
      </c>
      <c r="J37" s="165">
        <f>J$9*'假设-销售费用率'!L152</f>
        <v>0.21459000000000003</v>
      </c>
      <c r="K37" s="165">
        <f>K$9*'假设-销售费用率'!M152</f>
        <v>0.43329500000000004</v>
      </c>
      <c r="L37" s="165">
        <f>L$9*'假设-销售费用率'!N152</f>
        <v>0.391011</v>
      </c>
      <c r="M37" s="165">
        <f>M$9*'假设-销售费用率'!O152</f>
        <v>0.38518000000000002</v>
      </c>
      <c r="N37" s="165">
        <f>N$9*'假设-销售费用率'!P152</f>
        <v>0.34135275307737178</v>
      </c>
      <c r="O37" s="165">
        <f>O$9*'假设-销售费用率'!Q152</f>
        <v>0.51670198469767536</v>
      </c>
      <c r="P37" s="165">
        <f>P$9*'假设-销售费用率'!R152</f>
        <v>0.69106232521294042</v>
      </c>
      <c r="Q37" s="165">
        <f>Q$9*'假设-销售费用率'!S152</f>
        <v>0.87392804819236469</v>
      </c>
      <c r="R37" s="165">
        <f>R$9*'假设-销售费用率'!T152</f>
        <v>0.94516062632969855</v>
      </c>
      <c r="S37" s="165">
        <f>S$9*'假设-销售费用率'!U152</f>
        <v>1.1482266326615009</v>
      </c>
      <c r="T37" s="165">
        <f>T$9*'假设-销售费用率'!V152</f>
        <v>0.97811898337831538</v>
      </c>
      <c r="U37" s="165"/>
      <c r="V37" s="165">
        <f t="shared" si="1"/>
        <v>7.2046273535498679</v>
      </c>
      <c r="W37" s="165">
        <f t="shared" si="2"/>
        <v>5.1531986004724954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I$9*'假设-销售费用率'!K153</f>
        <v>0.17727616900000001</v>
      </c>
      <c r="J38" s="165">
        <f>J$9*'假设-销售费用率'!L153</f>
        <v>7.6033862488463791E-2</v>
      </c>
      <c r="K38" s="165">
        <f>K$9*'假设-销售费用率'!M153</f>
        <v>0.17615800000000001</v>
      </c>
      <c r="L38" s="165">
        <f>L$9*'假设-销售费用率'!N153</f>
        <v>0.19633199999999998</v>
      </c>
      <c r="M38" s="165">
        <f>M$9*'假设-销售费用率'!O153</f>
        <v>0.152529</v>
      </c>
      <c r="N38" s="165">
        <f>N$9*'假设-销售费用率'!P153</f>
        <v>0.15076952595154286</v>
      </c>
      <c r="O38" s="165">
        <f>O$9*'假设-销售费用率'!Q153</f>
        <v>0.22821820708571297</v>
      </c>
      <c r="P38" s="165">
        <f>P$9*'假设-销售费用率'!R153</f>
        <v>0.30523011235743502</v>
      </c>
      <c r="Q38" s="165">
        <f>Q$9*'假设-销售费用率'!S153</f>
        <v>0.38599869593509478</v>
      </c>
      <c r="R38" s="165">
        <f>R$9*'假设-销售费用率'!T153</f>
        <v>0.41746087674732274</v>
      </c>
      <c r="S38" s="165">
        <f>S$9*'假设-销售费用率'!U153</f>
        <v>0.50715157130158439</v>
      </c>
      <c r="T38" s="165">
        <f>T$9*'假设-销售费用率'!V153</f>
        <v>0.43201800518283107</v>
      </c>
      <c r="U38" s="165"/>
      <c r="V38" s="165">
        <f t="shared" si="1"/>
        <v>3.2051760260499877</v>
      </c>
      <c r="W38" s="165">
        <f t="shared" si="2"/>
        <v>2.2760774686099809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77</v>
      </c>
      <c r="G39" s="67"/>
      <c r="H39" s="67"/>
      <c r="I39" s="165">
        <f>I$9*'假设-销售费用率'!K154</f>
        <v>0</v>
      </c>
      <c r="J39" s="165">
        <f>J$9*'假设-销售费用率'!L154</f>
        <v>0</v>
      </c>
      <c r="K39" s="165">
        <f>K$9*'假设-销售费用率'!M154</f>
        <v>0</v>
      </c>
      <c r="L39" s="165">
        <f>L$9*'假设-销售费用率'!N154</f>
        <v>0</v>
      </c>
      <c r="M39" s="165">
        <f>M$9*'假设-销售费用率'!O154</f>
        <v>0</v>
      </c>
      <c r="N39" s="165">
        <f>N$9*'假设-销售费用率'!P154</f>
        <v>0</v>
      </c>
      <c r="O39" s="165">
        <f>O$9*'假设-销售费用率'!Q154</f>
        <v>0</v>
      </c>
      <c r="P39" s="165">
        <f>P$9*'假设-销售费用率'!R154</f>
        <v>0</v>
      </c>
      <c r="Q39" s="165">
        <f>Q$9*'假设-销售费用率'!S154</f>
        <v>0</v>
      </c>
      <c r="R39" s="165">
        <f>R$9*'假设-销售费用率'!T154</f>
        <v>0</v>
      </c>
      <c r="S39" s="165">
        <f>S$9*'假设-销售费用率'!U154</f>
        <v>0</v>
      </c>
      <c r="T39" s="165">
        <f>T$9*'假设-销售费用率'!V154</f>
        <v>0</v>
      </c>
      <c r="U39" s="165"/>
      <c r="V39" s="165">
        <f t="shared" si="1"/>
        <v>0</v>
      </c>
      <c r="W39" s="165">
        <f t="shared" si="2"/>
        <v>0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I$9*'假设-销售费用率'!K155</f>
        <v>0.13332749622498799</v>
      </c>
      <c r="J40" s="165">
        <f>J$9*'假设-销售费用率'!L155</f>
        <v>0.14280832486797002</v>
      </c>
      <c r="K40" s="165">
        <f>K$9*'假设-销售费用率'!M155</f>
        <v>5.1609084016119799E-2</v>
      </c>
      <c r="L40" s="165">
        <f>L$9*'假设-销售费用率'!N155</f>
        <v>8.82511374155657E-2</v>
      </c>
      <c r="M40" s="165">
        <f>M$9*'假设-销售费用率'!O155</f>
        <v>6.5916881614205294E-2</v>
      </c>
      <c r="N40" s="165">
        <f>N$9*'假设-销售费用率'!P155</f>
        <v>9.8541785381019653E-2</v>
      </c>
      <c r="O40" s="165">
        <f>O$9*'假设-销售费用率'!Q155</f>
        <v>0.14916163887063871</v>
      </c>
      <c r="P40" s="165">
        <f>P$9*'假设-销售费用率'!R155</f>
        <v>0.19949601906566905</v>
      </c>
      <c r="Q40" s="165">
        <f>Q$9*'假设-销售费用率'!S155</f>
        <v>0.25228573487996919</v>
      </c>
      <c r="R40" s="165">
        <f>R$9*'假设-销售费用率'!T155</f>
        <v>0.27284917069135356</v>
      </c>
      <c r="S40" s="165">
        <f>S$9*'假设-销售费用率'!U155</f>
        <v>0.33147030860141935</v>
      </c>
      <c r="T40" s="165">
        <f>T$9*'假设-销售费用率'!V155</f>
        <v>0.28236359621602386</v>
      </c>
      <c r="U40" s="165"/>
      <c r="V40" s="165">
        <f t="shared" si="1"/>
        <v>2.0680811778449422</v>
      </c>
      <c r="W40" s="165">
        <f t="shared" si="2"/>
        <v>1.4876264683250735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SUM(I42:I45)</f>
        <v>0.94082748740873756</v>
      </c>
      <c r="J41" s="223">
        <f t="shared" si="14"/>
        <v>0.92175914468044207</v>
      </c>
      <c r="K41" s="223">
        <f t="shared" si="14"/>
        <v>1.1147277779800682</v>
      </c>
      <c r="L41" s="223">
        <f t="shared" si="14"/>
        <v>1.0498613985718412</v>
      </c>
      <c r="M41" s="223">
        <f t="shared" si="14"/>
        <v>0.93933852832202924</v>
      </c>
      <c r="N41" s="223">
        <f t="shared" si="14"/>
        <v>1.0455075524673769</v>
      </c>
      <c r="O41" s="223">
        <f t="shared" si="14"/>
        <v>1.1149532601623602</v>
      </c>
      <c r="P41" s="223">
        <f t="shared" si="14"/>
        <v>1.1396351586378632</v>
      </c>
      <c r="Q41" s="223">
        <f t="shared" si="14"/>
        <v>1.1655210521609518</v>
      </c>
      <c r="R41" s="223">
        <f t="shared" si="14"/>
        <v>1.1756045106844806</v>
      </c>
      <c r="S41" s="223">
        <f t="shared" si="14"/>
        <v>1.2043498924455849</v>
      </c>
      <c r="T41" s="223">
        <f t="shared" si="14"/>
        <v>1.1802699914938746</v>
      </c>
      <c r="U41" s="165"/>
      <c r="V41" s="223">
        <f t="shared" si="1"/>
        <v>12.992355755015609</v>
      </c>
      <c r="W41" s="223">
        <f t="shared" si="2"/>
        <v>6.9803338655851146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IFERROR(INDEX('假设-人工成本固定额'!$B$6:$CS$9,MATCH("京东",'假设-人工成本固定额'!$A$6:$A$16,0),1)/10000,0)</f>
        <v>0.89054088642984808</v>
      </c>
      <c r="J42" s="165">
        <f>IFERROR(INDEX('假设-人工成本固定额'!$B$6:$CS$9,MATCH("京东",'假设-人工成本固定额'!$A$6:$A$16,0),9)/10000,0)</f>
        <v>0.89290108868044205</v>
      </c>
      <c r="K42" s="165">
        <f>IFERROR(INDEX('假设-人工成本固定额'!$B$6:$CS$9,MATCH("京东",'假设-人工成本固定额'!$A$6:$A$16,0),17)/10000,0)</f>
        <v>0.98964975986748105</v>
      </c>
      <c r="L42" s="165">
        <f>IFERROR(INDEX('假设-人工成本固定额'!$B$6:$CS$9,MATCH("京东",'假设-人工成本固定额'!$A$6:$A$16,0),25)/10000,0)</f>
        <v>0.95956018165474311</v>
      </c>
      <c r="M42" s="165">
        <f>IFERROR(INDEX('假设-人工成本固定额'!$B$6:$CS$9,MATCH("京东",'假设-人工成本固定额'!$A$6:$A$16,0),33)/10000,0)</f>
        <v>0.93724828280999495</v>
      </c>
      <c r="N42" s="165">
        <f>IFERROR(INDEX('假设-人工成本固定额'!$B$6:$CS$9,MATCH("京东",'假设-人工成本固定额'!$A$6:$A$16,0),41)/10000,0)</f>
        <v>1.04181056102154</v>
      </c>
      <c r="O42" s="165">
        <f>IFERROR(INDEX('假设-人工成本固定额'!$B$6:$CS$9,MATCH("京东",'假设-人工成本固定额'!$A$6:$A$16,0),41)/10000,0)</f>
        <v>1.04181056102154</v>
      </c>
      <c r="P42" s="165">
        <f>IFERROR(INDEX('假设-人工成本固定额'!$B$6:$CS$9,MATCH("京东",'假设-人工成本固定额'!$A$6:$A$16,0),41)/10000,0)</f>
        <v>1.04181056102154</v>
      </c>
      <c r="Q42" s="165">
        <f>IFERROR(INDEX('假设-人工成本固定额'!$B$6:$CS$9,MATCH("京东",'假设-人工成本固定额'!$A$6:$A$16,0),41)/10000,0)</f>
        <v>1.04181056102154</v>
      </c>
      <c r="R42" s="165">
        <f>IFERROR(INDEX('假设-人工成本固定额'!$B$6:$CS$9,MATCH("京东",'假设-人工成本固定额'!$A$6:$A$16,0),41)/10000,0)</f>
        <v>1.04181056102154</v>
      </c>
      <c r="S42" s="165">
        <f>IFERROR(INDEX('假设-人工成本固定额'!$B$6:$CS$9,MATCH("京东",'假设-人工成本固定额'!$A$6:$A$16,0),41)/10000,0)</f>
        <v>1.04181056102154</v>
      </c>
      <c r="T42" s="165">
        <f>IFERROR(INDEX('假设-人工成本固定额'!$B$6:$CS$9,MATCH("京东",'假设-人工成本固定额'!$A$6:$A$16,0),41)/10000,0)</f>
        <v>1.04181056102154</v>
      </c>
      <c r="U42" s="165"/>
      <c r="V42" s="165">
        <f t="shared" si="1"/>
        <v>11.962574126593291</v>
      </c>
      <c r="W42" s="165">
        <f t="shared" si="2"/>
        <v>6.2508633661292405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>
        <f>I$9*'假设-销售费用率'!K158</f>
        <v>5.0286600978889449E-2</v>
      </c>
      <c r="J43" s="165">
        <f>J$9*'假设-销售费用率'!L158</f>
        <v>2.8858056000000045E-2</v>
      </c>
      <c r="K43" s="165">
        <f>K$9*'假设-销售费用率'!M158</f>
        <v>0.12507801811258701</v>
      </c>
      <c r="L43" s="165">
        <f>L$9*'假设-销售费用率'!N158</f>
        <v>9.0301216917098179E-2</v>
      </c>
      <c r="M43" s="165">
        <f>M$9*'假设-销售费用率'!O158</f>
        <v>2.0902455120343395E-3</v>
      </c>
      <c r="N43" s="165">
        <f>N$9*'假设-销售费用率'!P158</f>
        <v>3.6969914458368858E-3</v>
      </c>
      <c r="O43" s="165">
        <f>O$9*'假设-销售费用率'!Q158</f>
        <v>7.3142699140820167E-2</v>
      </c>
      <c r="P43" s="165">
        <f>P$9*'假设-销售费用率'!R158</f>
        <v>9.7824597616323269E-2</v>
      </c>
      <c r="Q43" s="165">
        <f>Q$9*'假设-销售费用率'!S158</f>
        <v>0.12371049113941189</v>
      </c>
      <c r="R43" s="165">
        <f>R$9*'假设-销售费用率'!T158</f>
        <v>0.13379394966294061</v>
      </c>
      <c r="S43" s="165">
        <f>S$9*'假设-销售费用率'!U158</f>
        <v>0.16253933142404484</v>
      </c>
      <c r="T43" s="165">
        <f>T$9*'假设-销售费用率'!V158</f>
        <v>0.13845943047233444</v>
      </c>
      <c r="U43" s="165"/>
      <c r="V43" s="165">
        <f t="shared" si="1"/>
        <v>1.0297816284223211</v>
      </c>
      <c r="W43" s="165">
        <f t="shared" si="2"/>
        <v>0.72947049945587528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>
        <f>I$22*'假设-销售费用率'!K159</f>
        <v>0</v>
      </c>
      <c r="J44" s="165">
        <f>J$22*'假设-销售费用率'!L159</f>
        <v>0</v>
      </c>
      <c r="K44" s="165">
        <f>K$22*'假设-销售费用率'!M159</f>
        <v>0</v>
      </c>
      <c r="L44" s="165">
        <f>L$22*'假设-销售费用率'!N159</f>
        <v>0</v>
      </c>
      <c r="M44" s="165">
        <f>M$22*'假设-销售费用率'!O159</f>
        <v>0</v>
      </c>
      <c r="N44" s="165">
        <f>N$22*'假设-销售费用率'!P159</f>
        <v>0</v>
      </c>
      <c r="O44" s="165">
        <f>O$22*'假设-销售费用率'!Q159</f>
        <v>0</v>
      </c>
      <c r="P44" s="165">
        <f>P$22*'假设-销售费用率'!R159</f>
        <v>0</v>
      </c>
      <c r="Q44" s="165">
        <f>Q$22*'假设-销售费用率'!S159</f>
        <v>0</v>
      </c>
      <c r="R44" s="165">
        <f>R$22*'假设-销售费用率'!T159</f>
        <v>0</v>
      </c>
      <c r="S44" s="165">
        <f>S$22*'假设-销售费用率'!U159</f>
        <v>0</v>
      </c>
      <c r="T44" s="165">
        <f>T$22*'假设-销售费用率'!V159</f>
        <v>0</v>
      </c>
      <c r="U44" s="165"/>
      <c r="V44" s="165">
        <f t="shared" si="1"/>
        <v>0</v>
      </c>
      <c r="W44" s="165">
        <f t="shared" si="2"/>
        <v>0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>
        <f>I$9*'假设-销售费用率'!K160</f>
        <v>0</v>
      </c>
      <c r="J45" s="165">
        <f>J$9*'假设-销售费用率'!L160</f>
        <v>0</v>
      </c>
      <c r="K45" s="165">
        <f>K$9*'假设-销售费用率'!M160</f>
        <v>0</v>
      </c>
      <c r="L45" s="165">
        <f>L$9*'假设-销售费用率'!N160</f>
        <v>0</v>
      </c>
      <c r="M45" s="165">
        <f>M$9*'假设-销售费用率'!O160</f>
        <v>0</v>
      </c>
      <c r="N45" s="165">
        <f>N$9*'假设-销售费用率'!P160</f>
        <v>0</v>
      </c>
      <c r="O45" s="165">
        <f>O$9*'假设-销售费用率'!Q160</f>
        <v>0</v>
      </c>
      <c r="P45" s="165">
        <f>P$9*'假设-销售费用率'!R160</f>
        <v>0</v>
      </c>
      <c r="Q45" s="165">
        <f>Q$9*'假设-销售费用率'!S160</f>
        <v>0</v>
      </c>
      <c r="R45" s="165">
        <f>R$9*'假设-销售费用率'!T160</f>
        <v>0</v>
      </c>
      <c r="S45" s="165">
        <f>S$9*'假设-销售费用率'!U160</f>
        <v>0</v>
      </c>
      <c r="T45" s="165">
        <f>T$9*'假设-销售费用率'!V160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 t="shared" ref="I46:T46" si="15">I9-I19-I21-I27-I32-I36-I41</f>
        <v>3.77442509425437</v>
      </c>
      <c r="J46" s="225">
        <f t="shared" si="15"/>
        <v>1.6751338948458301</v>
      </c>
      <c r="K46" s="225">
        <f t="shared" si="15"/>
        <v>7.6987208665540763</v>
      </c>
      <c r="L46" s="225">
        <f t="shared" si="15"/>
        <v>6.4203104349116904</v>
      </c>
      <c r="M46" s="225">
        <f t="shared" si="15"/>
        <v>5.7892662245683315</v>
      </c>
      <c r="N46" s="225">
        <f t="shared" si="15"/>
        <v>4.0188637631383024</v>
      </c>
      <c r="O46" s="225">
        <f t="shared" si="15"/>
        <v>6.5593416001068165</v>
      </c>
      <c r="P46" s="225">
        <f t="shared" si="15"/>
        <v>9.1243394487180325</v>
      </c>
      <c r="Q46" s="225">
        <f t="shared" si="15"/>
        <v>11.814459143602971</v>
      </c>
      <c r="R46" s="225">
        <f t="shared" si="15"/>
        <v>12.862354606145358</v>
      </c>
      <c r="S46" s="225">
        <f t="shared" si="15"/>
        <v>15.849638685930366</v>
      </c>
      <c r="T46" s="225">
        <f t="shared" si="15"/>
        <v>13.347201760456013</v>
      </c>
      <c r="U46" s="165"/>
      <c r="V46" s="225">
        <f t="shared" si="1"/>
        <v>98.934055523232161</v>
      </c>
      <c r="W46" s="225">
        <f t="shared" si="2"/>
        <v>69.55733524495956</v>
      </c>
    </row>
    <row r="47" spans="1:23">
      <c r="B47" s="13"/>
      <c r="C47" s="13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</row>
    <row r="48" spans="1:23">
      <c r="B48" s="13"/>
      <c r="C48" s="13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</sheetData>
  <phoneticPr fontId="14" type="noConversion"/>
  <hyperlinks>
    <hyperlink ref="A1" location="'目录及说明'!A1" display="返回目录" xr:uid="{00000000-0004-0000-13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58"/>
  <sheetViews>
    <sheetView showGridLines="0" zoomScaleNormal="100" workbookViewId="0">
      <selection activeCell="I27" sqref="I27"/>
    </sheetView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" style="16" customWidth="1"/>
    <col min="10" max="11" width="15.59765625" customWidth="1"/>
    <col min="12" max="12" width="12.796875" style="16" customWidth="1"/>
    <col min="13" max="14" width="15.59765625" customWidth="1"/>
    <col min="15" max="16" width="12.796875" style="16" customWidth="1"/>
    <col min="17" max="17" width="13" style="16" customWidth="1"/>
    <col min="18" max="20" width="13.796875" style="16" customWidth="1"/>
    <col min="21" max="21" width="4.3984375" style="16" customWidth="1"/>
  </cols>
  <sheetData>
    <row r="1" spans="1:23">
      <c r="A1" s="70" t="s">
        <v>28</v>
      </c>
      <c r="B1" s="192" t="s">
        <v>804</v>
      </c>
      <c r="C1" s="129"/>
      <c r="D1" s="130"/>
      <c r="E1" s="192" t="s">
        <v>366</v>
      </c>
      <c r="F1" s="192"/>
      <c r="G1" s="192"/>
      <c r="H1" s="67"/>
      <c r="I1" s="153">
        <v>46023</v>
      </c>
      <c r="J1" s="153">
        <v>46054</v>
      </c>
      <c r="K1" s="153">
        <v>46082</v>
      </c>
      <c r="L1" s="153">
        <v>46113</v>
      </c>
      <c r="M1" s="153">
        <v>46143</v>
      </c>
      <c r="N1" s="153">
        <v>46174</v>
      </c>
      <c r="O1" s="153">
        <v>46204</v>
      </c>
      <c r="P1" s="153">
        <v>46235</v>
      </c>
      <c r="Q1" s="153">
        <v>46266</v>
      </c>
      <c r="R1" s="153">
        <v>46296</v>
      </c>
      <c r="S1" s="153">
        <v>46327</v>
      </c>
      <c r="T1" s="153">
        <v>46357</v>
      </c>
      <c r="U1" s="165"/>
      <c r="V1" s="171" t="s">
        <v>799</v>
      </c>
      <c r="W1" s="171"/>
    </row>
    <row r="2" spans="1:23">
      <c r="A2" s="67"/>
      <c r="B2" s="67" t="s">
        <v>367</v>
      </c>
      <c r="C2" s="67"/>
      <c r="D2" s="67"/>
      <c r="E2" s="214">
        <f>'假设-产品价值链定价'!L7</f>
        <v>2.1842009464870764</v>
      </c>
      <c r="F2" s="67"/>
      <c r="G2" s="67"/>
      <c r="H2" s="67"/>
      <c r="I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J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K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L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M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N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O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P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Q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R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S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T2" s="165">
        <f>IFERROR(SUMIFS('参考值-平台费用率分析'!$I$6:$I$532,'参考值-平台费用率分析'!$B$6:$B$532,"京东自营",'参考值-平台费用率分析'!$C$6:$C$532,"主营业务收入",'参考值-平台费用率分析'!$E$6:$E$532,"主营业务收入")/SUMIFS('参考值-平台费用率分析'!$H$6:$H$532,'参考值-平台费用率分析'!$B$6:$B$532,"京东自营",'参考值-平台费用率分析'!$C$6:$C$532,"销售费用",'参考值-平台费用率分析'!$E$6:$E$532,"广告投流费"),IFERROR(SUMIFS('参考值-平台费用率分析'!$AA$6:$AA$532,'参考值-平台费用率分析'!$B$6:$B$532,"京东自营",'参考值-平台费用率分析'!$C$6:$C$532,"主营业务收入",'参考值-平台费用率分析'!$E$6:$E$532,"主营业务收入")/SUMIFS('参考值-平台费用率分析'!$Z$6:$Z$532,'参考值-平台费用率分析'!$B$6:$B$532,"京东自营",'参考值-平台费用率分析'!$C$6:$C$532,"销售费用",'参考值-平台费用率分析'!$E$6:$E$532,"广告投流费"),0))</f>
        <v>3.0261965518742602</v>
      </c>
      <c r="U2" s="165"/>
      <c r="V2" s="165"/>
      <c r="W2" s="165"/>
    </row>
    <row r="3" spans="1:23">
      <c r="A3" s="67"/>
      <c r="B3" s="67"/>
      <c r="C3" s="67"/>
      <c r="D3" s="67"/>
      <c r="E3" s="67"/>
      <c r="F3" s="67"/>
      <c r="G3" s="67"/>
      <c r="H3" s="67"/>
      <c r="I3" s="165"/>
      <c r="J3" s="165"/>
      <c r="K3" s="165"/>
      <c r="L3" s="165"/>
      <c r="M3" s="165"/>
      <c r="N3" s="165"/>
      <c r="O3" s="165"/>
      <c r="P3" s="165"/>
      <c r="Q3" s="165"/>
      <c r="R3" s="165"/>
      <c r="S3" s="165"/>
      <c r="T3" s="165"/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67"/>
      <c r="B6" s="192" t="s">
        <v>110</v>
      </c>
      <c r="C6" s="129"/>
      <c r="D6" s="130"/>
      <c r="E6" s="215" t="s">
        <v>111</v>
      </c>
      <c r="F6" s="216" t="s">
        <v>112</v>
      </c>
      <c r="G6" s="192" t="s">
        <v>368</v>
      </c>
      <c r="H6" s="67"/>
      <c r="I6" s="153">
        <v>46023</v>
      </c>
      <c r="J6" s="153">
        <v>46054</v>
      </c>
      <c r="K6" s="153">
        <v>46082</v>
      </c>
      <c r="L6" s="153">
        <v>46113</v>
      </c>
      <c r="M6" s="153">
        <v>46143</v>
      </c>
      <c r="N6" s="153">
        <v>46174</v>
      </c>
      <c r="O6" s="153">
        <v>46204</v>
      </c>
      <c r="P6" s="153">
        <v>46235</v>
      </c>
      <c r="Q6" s="153">
        <v>46266</v>
      </c>
      <c r="R6" s="153">
        <v>46296</v>
      </c>
      <c r="S6" s="153">
        <v>46327</v>
      </c>
      <c r="T6" s="153">
        <v>46357</v>
      </c>
      <c r="U6" s="165"/>
      <c r="V6" s="171" t="s">
        <v>44</v>
      </c>
      <c r="W6" s="171" t="s">
        <v>45</v>
      </c>
    </row>
    <row r="7" spans="1:23" s="13" customFormat="1">
      <c r="A7" s="102"/>
      <c r="B7" s="217" t="s">
        <v>46</v>
      </c>
      <c r="C7" s="217"/>
      <c r="D7" s="217"/>
      <c r="E7" s="217"/>
      <c r="F7" s="217"/>
      <c r="G7" s="217"/>
      <c r="H7" s="102"/>
      <c r="I7" s="218">
        <f t="shared" ref="I7:T7" si="0">I$8</f>
        <v>400.66293999999999</v>
      </c>
      <c r="J7" s="218">
        <f t="shared" si="0"/>
        <v>301.16879999999998</v>
      </c>
      <c r="K7" s="218">
        <f t="shared" si="0"/>
        <v>40.522410000000001</v>
      </c>
      <c r="L7" s="218">
        <f t="shared" si="0"/>
        <v>438.91120999999998</v>
      </c>
      <c r="M7" s="218">
        <f t="shared" si="0"/>
        <v>446.22897</v>
      </c>
      <c r="N7" s="218">
        <f t="shared" si="0"/>
        <v>660.27603822906804</v>
      </c>
      <c r="O7" s="218">
        <f t="shared" si="0"/>
        <v>322.50668801942413</v>
      </c>
      <c r="P7" s="218">
        <f t="shared" si="0"/>
        <v>431.33610537577317</v>
      </c>
      <c r="Q7" s="218">
        <f t="shared" si="0"/>
        <v>545.47427479828536</v>
      </c>
      <c r="R7" s="218">
        <f t="shared" si="0"/>
        <v>589.93507335240372</v>
      </c>
      <c r="S7" s="218">
        <f t="shared" si="0"/>
        <v>716.68152893205388</v>
      </c>
      <c r="T7" s="218">
        <f t="shared" si="0"/>
        <v>610.50648760878653</v>
      </c>
      <c r="U7" s="165"/>
      <c r="V7" s="218">
        <f t="shared" ref="V7:V47" si="1">SUM(I7:T7)</f>
        <v>5504.2105263157946</v>
      </c>
      <c r="W7" s="218">
        <f t="shared" ref="W7:W47" si="2">SUM(O7:T7)</f>
        <v>3216.440158086727</v>
      </c>
    </row>
    <row r="8" spans="1:23">
      <c r="A8" s="67"/>
      <c r="B8" s="102"/>
      <c r="C8" s="102"/>
      <c r="D8" s="67" t="s">
        <v>46</v>
      </c>
      <c r="E8" s="67" t="s">
        <v>46</v>
      </c>
      <c r="F8" s="67" t="s">
        <v>46</v>
      </c>
      <c r="G8" s="67"/>
      <c r="H8" s="67"/>
      <c r="I8" s="165">
        <f t="shared" ref="I8:T8" si="3">I$16</f>
        <v>400.66293999999999</v>
      </c>
      <c r="J8" s="165">
        <f t="shared" si="3"/>
        <v>301.16879999999998</v>
      </c>
      <c r="K8" s="165">
        <f t="shared" si="3"/>
        <v>40.522410000000001</v>
      </c>
      <c r="L8" s="165">
        <f t="shared" si="3"/>
        <v>438.91120999999998</v>
      </c>
      <c r="M8" s="165">
        <f t="shared" si="3"/>
        <v>446.22897</v>
      </c>
      <c r="N8" s="165">
        <f t="shared" si="3"/>
        <v>660.27603822906804</v>
      </c>
      <c r="O8" s="165">
        <f t="shared" si="3"/>
        <v>322.50668801942413</v>
      </c>
      <c r="P8" s="165">
        <f t="shared" si="3"/>
        <v>431.33610537577317</v>
      </c>
      <c r="Q8" s="165">
        <f t="shared" si="3"/>
        <v>545.47427479828536</v>
      </c>
      <c r="R8" s="165">
        <f t="shared" si="3"/>
        <v>589.93507335240372</v>
      </c>
      <c r="S8" s="165">
        <f t="shared" si="3"/>
        <v>716.68152893205388</v>
      </c>
      <c r="T8" s="165">
        <f t="shared" si="3"/>
        <v>610.50648760878653</v>
      </c>
      <c r="U8" s="165"/>
      <c r="V8" s="165">
        <f t="shared" si="1"/>
        <v>5504.2105263157946</v>
      </c>
      <c r="W8" s="165">
        <f t="shared" si="2"/>
        <v>3216.440158086727</v>
      </c>
    </row>
    <row r="9" spans="1:23">
      <c r="A9" s="67"/>
      <c r="B9" s="102"/>
      <c r="C9" s="102"/>
      <c r="D9" s="67"/>
      <c r="E9" s="67"/>
      <c r="F9" s="67" t="s">
        <v>369</v>
      </c>
      <c r="G9" s="178">
        <v>0</v>
      </c>
      <c r="H9" s="67"/>
      <c r="I9" s="165">
        <f t="shared" ref="I9:T11" si="4">I$8*$G9</f>
        <v>0</v>
      </c>
      <c r="J9" s="165">
        <f t="shared" si="4"/>
        <v>0</v>
      </c>
      <c r="K9" s="165">
        <f t="shared" si="4"/>
        <v>0</v>
      </c>
      <c r="L9" s="165">
        <f t="shared" si="4"/>
        <v>0</v>
      </c>
      <c r="M9" s="165">
        <f t="shared" si="4"/>
        <v>0</v>
      </c>
      <c r="N9" s="165">
        <f t="shared" si="4"/>
        <v>0</v>
      </c>
      <c r="O9" s="165">
        <f t="shared" si="4"/>
        <v>0</v>
      </c>
      <c r="P9" s="165">
        <f t="shared" si="4"/>
        <v>0</v>
      </c>
      <c r="Q9" s="165">
        <f t="shared" si="4"/>
        <v>0</v>
      </c>
      <c r="R9" s="165">
        <f t="shared" si="4"/>
        <v>0</v>
      </c>
      <c r="S9" s="165">
        <f t="shared" si="4"/>
        <v>0</v>
      </c>
      <c r="T9" s="165">
        <f t="shared" si="4"/>
        <v>0</v>
      </c>
      <c r="U9" s="165"/>
      <c r="V9" s="165">
        <f t="shared" si="1"/>
        <v>0</v>
      </c>
      <c r="W9" s="165">
        <f t="shared" si="2"/>
        <v>0</v>
      </c>
    </row>
    <row r="10" spans="1:23">
      <c r="A10" s="67"/>
      <c r="B10" s="102"/>
      <c r="C10" s="102"/>
      <c r="D10" s="67"/>
      <c r="E10" s="67"/>
      <c r="F10" s="67" t="s">
        <v>805</v>
      </c>
      <c r="G10" s="178">
        <v>0</v>
      </c>
      <c r="H10" s="67"/>
      <c r="I10" s="165">
        <f t="shared" si="4"/>
        <v>0</v>
      </c>
      <c r="J10" s="165">
        <f t="shared" si="4"/>
        <v>0</v>
      </c>
      <c r="K10" s="165">
        <f t="shared" si="4"/>
        <v>0</v>
      </c>
      <c r="L10" s="165">
        <f t="shared" si="4"/>
        <v>0</v>
      </c>
      <c r="M10" s="165">
        <f t="shared" si="4"/>
        <v>0</v>
      </c>
      <c r="N10" s="165">
        <f t="shared" si="4"/>
        <v>0</v>
      </c>
      <c r="O10" s="165">
        <f t="shared" si="4"/>
        <v>0</v>
      </c>
      <c r="P10" s="165">
        <f t="shared" si="4"/>
        <v>0</v>
      </c>
      <c r="Q10" s="165">
        <f t="shared" si="4"/>
        <v>0</v>
      </c>
      <c r="R10" s="165">
        <f t="shared" si="4"/>
        <v>0</v>
      </c>
      <c r="S10" s="165">
        <f t="shared" si="4"/>
        <v>0</v>
      </c>
      <c r="T10" s="165">
        <f t="shared" si="4"/>
        <v>0</v>
      </c>
      <c r="U10" s="165"/>
      <c r="V10" s="165">
        <f t="shared" si="1"/>
        <v>0</v>
      </c>
      <c r="W10" s="165">
        <f t="shared" si="2"/>
        <v>0</v>
      </c>
    </row>
    <row r="11" spans="1:23">
      <c r="A11" s="67"/>
      <c r="B11" s="102"/>
      <c r="C11" s="102"/>
      <c r="D11" s="67"/>
      <c r="E11" s="67"/>
      <c r="F11" s="67" t="s">
        <v>806</v>
      </c>
      <c r="G11" s="178">
        <v>0</v>
      </c>
      <c r="H11" s="67"/>
      <c r="I11" s="165">
        <f t="shared" si="4"/>
        <v>0</v>
      </c>
      <c r="J11" s="165">
        <f t="shared" si="4"/>
        <v>0</v>
      </c>
      <c r="K11" s="165">
        <f t="shared" si="4"/>
        <v>0</v>
      </c>
      <c r="L11" s="165">
        <f t="shared" si="4"/>
        <v>0</v>
      </c>
      <c r="M11" s="165">
        <f t="shared" si="4"/>
        <v>0</v>
      </c>
      <c r="N11" s="165">
        <f t="shared" si="4"/>
        <v>0</v>
      </c>
      <c r="O11" s="165">
        <f t="shared" si="4"/>
        <v>0</v>
      </c>
      <c r="P11" s="165">
        <f t="shared" si="4"/>
        <v>0</v>
      </c>
      <c r="Q11" s="165">
        <f t="shared" si="4"/>
        <v>0</v>
      </c>
      <c r="R11" s="165">
        <f t="shared" si="4"/>
        <v>0</v>
      </c>
      <c r="S11" s="165">
        <f t="shared" si="4"/>
        <v>0</v>
      </c>
      <c r="T11" s="165">
        <f t="shared" si="4"/>
        <v>0</v>
      </c>
      <c r="U11" s="165"/>
      <c r="V11" s="165">
        <f t="shared" si="1"/>
        <v>0</v>
      </c>
      <c r="W11" s="165">
        <f t="shared" si="2"/>
        <v>0</v>
      </c>
    </row>
    <row r="12" spans="1:23" s="13" customFormat="1">
      <c r="A12" s="102"/>
      <c r="B12" s="102"/>
      <c r="C12" s="102"/>
      <c r="D12" s="102"/>
      <c r="E12" s="79" t="s">
        <v>165</v>
      </c>
      <c r="F12" s="102" t="s">
        <v>370</v>
      </c>
      <c r="G12" s="102"/>
      <c r="H12" s="102"/>
      <c r="I12" s="219">
        <f>IFERROR(SUMPRODUCT(('辅助-机制测算'!$A$2:$A$200="京东自营")*'辅助-机制测算'!$F$2:$F$200*IFERROR('辅助-机制测算'!$G$2:$G$200/'辅助-机制测算'!$H$2:$H$200,0))*'假设-目标渠道分解'!L$10,0)</f>
        <v>403.44536842105299</v>
      </c>
      <c r="J12" s="219">
        <f>IFERROR(SUMPRODUCT(('辅助-机制测算'!$A$2:$A$200="京东自营")*'辅助-机制测算'!$F$2:$F$200*IFERROR('辅助-机制测算'!$G$2:$G$200/'辅助-机制测算'!$H$2:$H$200,0))*'假设-目标渠道分解'!M$10,0)</f>
        <v>385.10242105263194</v>
      </c>
      <c r="K12" s="219">
        <f>IFERROR(SUMPRODUCT(('辅助-机制测算'!$A$2:$A$200="京东自营")*'辅助-机制测算'!$F$2:$F$200*IFERROR('辅助-机制测算'!$G$2:$G$200/'辅助-机制测算'!$H$2:$H$200,0))*'假设-目标渠道分解'!N$10,0)</f>
        <v>547.57875789473735</v>
      </c>
      <c r="L12" s="219">
        <f>IFERROR(SUMPRODUCT(('辅助-机制测算'!$A$2:$A$200="京东自营")*'辅助-机制测算'!$F$2:$F$200*IFERROR('辅助-机制测算'!$G$2:$G$200/'辅助-机制测算'!$H$2:$H$200,0))*'假设-目标渠道分解'!O$10,0)</f>
        <v>608.79088421052688</v>
      </c>
      <c r="M12" s="219">
        <f>IFERROR(SUMPRODUCT(('辅助-机制测算'!$A$2:$A$200="京东自营")*'辅助-机制测算'!$F$2:$F$200*IFERROR('辅助-机制测算'!$G$2:$G$200/'辅助-机制测算'!$H$2:$H$200,0))*'假设-目标渠道分解'!P$10,0)</f>
        <v>707.85473684210592</v>
      </c>
      <c r="N12" s="219">
        <f>IFERROR(SUMPRODUCT(('辅助-机制测算'!$A$2:$A$200="京东自营")*'辅助-机制测算'!$F$2:$F$200*IFERROR('辅助-机制测算'!$G$2:$G$200/'辅助-机制测算'!$H$2:$H$200,0))*'假设-目标渠道分解'!Q$10,0)</f>
        <v>485.65237352024411</v>
      </c>
      <c r="O12" s="219">
        <f>IFERROR(SUMPRODUCT(('辅助-机制测算'!$A$2:$A$200="京东自营")*'辅助-机制测算'!$F$2:$F$200*IFERROR('辅助-机制测算'!$G$2:$G$200/'辅助-机制测算'!$H$2:$H$200,0))*'假设-目标渠道分解'!R$10,0)</f>
        <v>237.21311912647096</v>
      </c>
      <c r="P12" s="219">
        <f>IFERROR(SUMPRODUCT(('辅助-机制测算'!$A$2:$A$200="京东自营")*'辅助-机制测算'!$F$2:$F$200*IFERROR('辅助-机制测算'!$G$2:$G$200/'辅助-机制测算'!$H$2:$H$200,0))*'假设-目标渠道分解'!S$10,0)</f>
        <v>317.26034451071229</v>
      </c>
      <c r="Q12" s="219">
        <f>IFERROR(SUMPRODUCT(('辅助-机制测算'!$A$2:$A$200="京东自营")*'辅助-机制测算'!$F$2:$F$200*IFERROR('辅助-机制测算'!$G$2:$G$200/'辅助-机制测算'!$H$2:$H$200,0))*'假设-目标渠道分解'!T$10,0)</f>
        <v>401.21231259662375</v>
      </c>
      <c r="R12" s="219">
        <f>IFERROR(SUMPRODUCT(('辅助-机制测算'!$A$2:$A$200="京东自营")*'辅助-机制测算'!$F$2:$F$200*IFERROR('辅助-机制测算'!$G$2:$G$200/'辅助-机制测算'!$H$2:$H$200,0))*'假设-目标渠道分解'!U$10,0)</f>
        <v>433.9145327231127</v>
      </c>
      <c r="S12" s="219">
        <f>IFERROR(SUMPRODUCT(('辅助-机制测算'!$A$2:$A$200="京东自营")*'辅助-机制测算'!$F$2:$F$200*IFERROR('辅助-机制测算'!$G$2:$G$200/'辅助-机制测算'!$H$2:$H$200,0))*'假设-目标渠道分解'!V$10,0)</f>
        <v>527.14026472549119</v>
      </c>
      <c r="T12" s="219">
        <f>IFERROR(SUMPRODUCT(('辅助-机制测算'!$A$2:$A$200="京东自营")*'辅助-机制测算'!$F$2:$F$200*IFERROR('辅助-机制测算'!$G$2:$G$200/'辅助-机制测算'!$H$2:$H$200,0))*'假设-目标渠道分解'!W$10,0)</f>
        <v>449.045410692085</v>
      </c>
      <c r="U12" s="219"/>
      <c r="V12" s="219">
        <f t="shared" si="1"/>
        <v>5504.2105263157955</v>
      </c>
      <c r="W12" s="219">
        <f t="shared" si="2"/>
        <v>2365.7859843744959</v>
      </c>
    </row>
    <row r="13" spans="1:23">
      <c r="A13" s="67"/>
      <c r="B13" s="102"/>
      <c r="C13" s="102"/>
      <c r="D13" s="67"/>
      <c r="E13" s="67"/>
      <c r="F13" s="67" t="s">
        <v>371</v>
      </c>
      <c r="G13" s="67"/>
      <c r="H13" s="67"/>
      <c r="I13" s="220">
        <f t="shared" ref="I13:T13" si="5">IFERROR(I$12/$V$12,0)</f>
        <v>7.3297590361445772E-2</v>
      </c>
      <c r="J13" s="220">
        <f t="shared" si="5"/>
        <v>6.9965060240963842E-2</v>
      </c>
      <c r="K13" s="220">
        <f t="shared" si="5"/>
        <v>9.9483614457831313E-2</v>
      </c>
      <c r="L13" s="220">
        <f t="shared" si="5"/>
        <v>0.11060457831325299</v>
      </c>
      <c r="M13" s="220">
        <f t="shared" si="5"/>
        <v>0.12860240963855418</v>
      </c>
      <c r="N13" s="220">
        <f t="shared" si="5"/>
        <v>8.8232884843035264E-2</v>
      </c>
      <c r="O13" s="220">
        <f t="shared" si="5"/>
        <v>4.3096665360517719E-2</v>
      </c>
      <c r="P13" s="220">
        <f t="shared" si="5"/>
        <v>5.7639573013038126E-2</v>
      </c>
      <c r="Q13" s="220">
        <f t="shared" si="5"/>
        <v>7.2891890794949732E-2</v>
      </c>
      <c r="R13" s="220">
        <f t="shared" si="5"/>
        <v>7.8833200628601385E-2</v>
      </c>
      <c r="S13" s="220">
        <f t="shared" si="5"/>
        <v>9.5770367467817183E-2</v>
      </c>
      <c r="T13" s="220">
        <f t="shared" si="5"/>
        <v>8.1582164879992411E-2</v>
      </c>
      <c r="U13" s="155"/>
      <c r="V13" s="220">
        <f t="shared" si="1"/>
        <v>1</v>
      </c>
      <c r="W13" s="220">
        <f t="shared" si="2"/>
        <v>0.42981386214491657</v>
      </c>
    </row>
    <row r="14" spans="1:23">
      <c r="A14" s="67"/>
      <c r="B14" s="102"/>
      <c r="C14" s="102"/>
      <c r="D14" s="67"/>
      <c r="E14" s="79" t="s">
        <v>165</v>
      </c>
      <c r="F14" s="67" t="s">
        <v>372</v>
      </c>
      <c r="G14" s="67"/>
      <c r="H14" s="67"/>
      <c r="I14" s="165">
        <f>IF(COUNTIFS('参考值-平台费用率分析'!$B$6:$B$532,"京东自营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京东自营",'参考值-平台费用率分析'!$C$6:$C$532,"主营业务收入",'参考值-平台费用率分析'!$E$6:$E$532,"主营业务收入")/10000)</f>
        <v>400.66293999999999</v>
      </c>
      <c r="J14" s="165">
        <f>IF(COUNTIFS('参考值-平台费用率分析'!$B$6:$B$532,"京东自营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京东自营",'参考值-平台费用率分析'!$C$6:$C$532,"主营业务收入",'参考值-平台费用率分析'!$E$6:$E$532,"主营业务收入")/10000)</f>
        <v>301.16879999999998</v>
      </c>
      <c r="K14" s="165">
        <f>IF(COUNTIFS('参考值-平台费用率分析'!$B$6:$B$532,"京东自营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京东自营",'参考值-平台费用率分析'!$C$6:$C$532,"主营业务收入",'参考值-平台费用率分析'!$E$6:$E$532,"主营业务收入")/10000)</f>
        <v>40.522410000000001</v>
      </c>
      <c r="L14" s="165">
        <f>IF(COUNTIFS('参考值-平台费用率分析'!$B$6:$B$532,"京东自营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京东自营",'参考值-平台费用率分析'!$C$6:$C$532,"主营业务收入",'参考值-平台费用率分析'!$E$6:$E$532,"主营业务收入")/10000)</f>
        <v>438.91120999999998</v>
      </c>
      <c r="M14" s="165">
        <f>IF(COUNTIFS('参考值-平台费用率分析'!$B$6:$B$532,"京东自营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京东自营",'参考值-平台费用率分析'!$C$6:$C$532,"主营业务收入",'参考值-平台费用率分析'!$E$6:$E$532,"主营业务收入")/10000)</f>
        <v>446.22897</v>
      </c>
      <c r="N14" s="165" t="str">
        <f>IF(COUNTIFS('参考值-平台费用率分析'!$B$6:$B$532,"京东自营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京东自营",'参考值-平台费用率分析'!$C$6:$C$532,"主营业务收入",'参考值-平台费用率分析'!$E$6:$E$532,"主营业务收入")/10000)</f>
        <v/>
      </c>
      <c r="O14" s="165" t="str">
        <f>IF(COUNTIFS('参考值-平台费用率分析'!$B$6:$B$532,"京东自营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京东自营",'参考值-平台费用率分析'!$C$6:$C$532,"主营业务收入",'参考值-平台费用率分析'!$E$6:$E$532,"主营业务收入")/10000)</f>
        <v/>
      </c>
      <c r="P14" s="165" t="str">
        <f>IF(COUNTIFS('参考值-平台费用率分析'!$B$6:$B$532,"京东自营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京东自营",'参考值-平台费用率分析'!$C$6:$C$532,"主营业务收入",'参考值-平台费用率分析'!$E$6:$E$532,"主营业务收入")/10000)</f>
        <v/>
      </c>
      <c r="Q14" s="165" t="str">
        <f>IF(COUNTIFS('参考值-平台费用率分析'!$B$6:$B$532,"京东自营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京东自营",'参考值-平台费用率分析'!$C$6:$C$532,"主营业务收入",'参考值-平台费用率分析'!$E$6:$E$532,"主营业务收入")/10000)</f>
        <v/>
      </c>
      <c r="R14" s="165" t="str">
        <f>IF(COUNTIFS('参考值-平台费用率分析'!$B$6:$B$532,"京东自营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京东自营",'参考值-平台费用率分析'!$C$6:$C$532,"主营业务收入",'参考值-平台费用率分析'!$E$6:$E$532,"主营业务收入")/10000)</f>
        <v/>
      </c>
      <c r="S14" s="165" t="str">
        <f>IF(COUNTIFS('参考值-平台费用率分析'!$B$6:$B$532,"京东自营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京东自营",'参考值-平台费用率分析'!$C$6:$C$532,"主营业务收入",'参考值-平台费用率分析'!$E$6:$E$532,"主营业务收入")/10000)</f>
        <v/>
      </c>
      <c r="T14" s="165" t="str">
        <f>IF(COUNTIFS('参考值-平台费用率分析'!$B$6:$B$532,"京东自营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京东自营",'参考值-平台费用率分析'!$C$6:$C$532,"主营业务收入",'参考值-平台费用率分析'!$E$6:$E$532,"主营业务收入")/10000)</f>
        <v/>
      </c>
      <c r="U14" s="165"/>
      <c r="V14" s="165">
        <f t="shared" si="1"/>
        <v>1627.49433</v>
      </c>
      <c r="W14" s="165">
        <f t="shared" si="2"/>
        <v>0</v>
      </c>
    </row>
    <row r="15" spans="1:23" s="13" customFormat="1">
      <c r="A15" s="102"/>
      <c r="B15" s="102"/>
      <c r="C15" s="102"/>
      <c r="D15" s="102"/>
      <c r="E15" s="79" t="s">
        <v>165</v>
      </c>
      <c r="F15" s="102" t="s">
        <v>807</v>
      </c>
      <c r="G15" s="102"/>
      <c r="H15" s="102"/>
      <c r="I15" s="219">
        <f t="shared" ref="I15:T15" si="6">IF(I$14&lt;&gt;"",I$14,I$12*IFERROR(SUM($I$14:$T$14)/SUMPRODUCT(($I$14:$T$14&lt;&gt;"")*$I$12:$T$12),1))</f>
        <v>400.66293999999999</v>
      </c>
      <c r="J15" s="219">
        <f t="shared" si="6"/>
        <v>301.16879999999998</v>
      </c>
      <c r="K15" s="219">
        <f t="shared" si="6"/>
        <v>40.522410000000001</v>
      </c>
      <c r="L15" s="219">
        <f t="shared" si="6"/>
        <v>438.91120999999998</v>
      </c>
      <c r="M15" s="219">
        <f t="shared" si="6"/>
        <v>446.22897</v>
      </c>
      <c r="N15" s="219">
        <f t="shared" si="6"/>
        <v>297.95113717801399</v>
      </c>
      <c r="O15" s="219">
        <f t="shared" si="6"/>
        <v>145.53191222966311</v>
      </c>
      <c r="P15" s="219">
        <f t="shared" si="6"/>
        <v>194.64144639769762</v>
      </c>
      <c r="Q15" s="219">
        <f t="shared" si="6"/>
        <v>246.14656759831908</v>
      </c>
      <c r="R15" s="219">
        <f t="shared" si="6"/>
        <v>266.20960899623572</v>
      </c>
      <c r="S15" s="219">
        <f t="shared" si="6"/>
        <v>323.40424939925146</v>
      </c>
      <c r="T15" s="219">
        <f t="shared" si="6"/>
        <v>275.49250874751044</v>
      </c>
      <c r="U15" s="219"/>
      <c r="V15" s="219">
        <f t="shared" si="1"/>
        <v>3376.8717605466913</v>
      </c>
      <c r="W15" s="219">
        <f t="shared" si="2"/>
        <v>1451.4262933686773</v>
      </c>
    </row>
    <row r="16" spans="1:23">
      <c r="A16" s="67"/>
      <c r="B16" s="102"/>
      <c r="C16" s="102"/>
      <c r="D16" s="67"/>
      <c r="E16" s="79" t="s">
        <v>165</v>
      </c>
      <c r="F16" s="67" t="s">
        <v>808</v>
      </c>
      <c r="G16" s="67"/>
      <c r="H16" s="67"/>
      <c r="I16" s="165">
        <f t="shared" ref="I16:T16" si="7">IF(I$14&lt;&gt;"",I$14,IFERROR(I$12+(SUMPRODUCT(($I$14:$T$14&lt;&gt;"")*$I$12:$T$12)-SUM($I$14:$T$14))*(I$13/(SUMPRODUCT(($I$14:$T$14="")*$I$13:$T$13))),I$12))</f>
        <v>400.66293999999999</v>
      </c>
      <c r="J16" s="165">
        <f t="shared" si="7"/>
        <v>301.16879999999998</v>
      </c>
      <c r="K16" s="165">
        <f t="shared" si="7"/>
        <v>40.522410000000001</v>
      </c>
      <c r="L16" s="165">
        <f t="shared" si="7"/>
        <v>438.91120999999998</v>
      </c>
      <c r="M16" s="165">
        <f t="shared" si="7"/>
        <v>446.22897</v>
      </c>
      <c r="N16" s="165">
        <f t="shared" si="7"/>
        <v>660.27603822906804</v>
      </c>
      <c r="O16" s="165">
        <f t="shared" si="7"/>
        <v>322.50668801942413</v>
      </c>
      <c r="P16" s="165">
        <f t="shared" si="7"/>
        <v>431.33610537577317</v>
      </c>
      <c r="Q16" s="165">
        <f t="shared" si="7"/>
        <v>545.47427479828536</v>
      </c>
      <c r="R16" s="165">
        <f t="shared" si="7"/>
        <v>589.93507335240372</v>
      </c>
      <c r="S16" s="165">
        <f t="shared" si="7"/>
        <v>716.68152893205388</v>
      </c>
      <c r="T16" s="165">
        <f t="shared" si="7"/>
        <v>610.50648760878653</v>
      </c>
      <c r="U16" s="165"/>
      <c r="V16" s="165">
        <f t="shared" si="1"/>
        <v>5504.2105263157946</v>
      </c>
      <c r="W16" s="165">
        <f t="shared" si="2"/>
        <v>3216.440158086727</v>
      </c>
    </row>
    <row r="17" spans="1:23" s="13" customFormat="1">
      <c r="A17" s="102"/>
      <c r="B17" s="217" t="s">
        <v>48</v>
      </c>
      <c r="C17" s="217"/>
      <c r="D17" s="217"/>
      <c r="E17" s="217"/>
      <c r="F17" s="217"/>
      <c r="G17" s="217"/>
      <c r="H17" s="102"/>
      <c r="I17" s="218">
        <f t="shared" ref="I17:T17" si="8">I$18</f>
        <v>124.11841076086942</v>
      </c>
      <c r="J17" s="218">
        <f t="shared" si="8"/>
        <v>93.296856521739016</v>
      </c>
      <c r="K17" s="218">
        <f t="shared" si="8"/>
        <v>12.553137880434768</v>
      </c>
      <c r="L17" s="218">
        <f t="shared" si="8"/>
        <v>135.96705961956505</v>
      </c>
      <c r="M17" s="218">
        <f t="shared" si="8"/>
        <v>138.23397440217377</v>
      </c>
      <c r="N17" s="218">
        <f t="shared" si="8"/>
        <v>204.54203358183062</v>
      </c>
      <c r="O17" s="218">
        <f t="shared" si="8"/>
        <v>99.906963136451935</v>
      </c>
      <c r="P17" s="218">
        <f t="shared" si="8"/>
        <v>133.62042394792959</v>
      </c>
      <c r="Q17" s="218">
        <f t="shared" si="8"/>
        <v>168.9784438233817</v>
      </c>
      <c r="R17" s="218">
        <f t="shared" si="8"/>
        <v>182.75162598416833</v>
      </c>
      <c r="S17" s="218">
        <f t="shared" si="8"/>
        <v>222.01547363655993</v>
      </c>
      <c r="T17" s="218">
        <f t="shared" si="8"/>
        <v>189.12429235706952</v>
      </c>
      <c r="U17" s="165"/>
      <c r="V17" s="218">
        <f t="shared" si="1"/>
        <v>1705.1086956521735</v>
      </c>
      <c r="W17" s="218">
        <f t="shared" si="2"/>
        <v>996.39722288556095</v>
      </c>
    </row>
    <row r="18" spans="1:23">
      <c r="A18" s="67"/>
      <c r="B18" s="102"/>
      <c r="C18" s="102"/>
      <c r="D18" s="67" t="s">
        <v>48</v>
      </c>
      <c r="E18" s="67" t="s">
        <v>127</v>
      </c>
      <c r="F18" s="67" t="s">
        <v>127</v>
      </c>
      <c r="G18" s="67"/>
      <c r="H18" s="67"/>
      <c r="I18" s="165">
        <f>IFERROR(I$8*SUMPRODUCT(('辅助-机制测算'!$A$2:$A$200="京东自营")*'辅助-机制测算'!$F$2:$F$200*IFERROR('辅助-机制测算'!$H$2:$H$200/'辅助-机制测算'!$G$2:$G$200,0)),0)</f>
        <v>124.11841076086942</v>
      </c>
      <c r="J18" s="165">
        <f>IFERROR(J$8*SUMPRODUCT(('辅助-机制测算'!$A$2:$A$200="京东自营")*'辅助-机制测算'!$F$2:$F$200*IFERROR('辅助-机制测算'!$H$2:$H$200/'辅助-机制测算'!$G$2:$G$200,0)),0)</f>
        <v>93.296856521739016</v>
      </c>
      <c r="K18" s="165">
        <f>IFERROR(K$8*SUMPRODUCT(('辅助-机制测算'!$A$2:$A$200="京东自营")*'辅助-机制测算'!$F$2:$F$200*IFERROR('辅助-机制测算'!$H$2:$H$200/'辅助-机制测算'!$G$2:$G$200,0)),0)</f>
        <v>12.553137880434768</v>
      </c>
      <c r="L18" s="165">
        <f>IFERROR(L$8*SUMPRODUCT(('辅助-机制测算'!$A$2:$A$200="京东自营")*'辅助-机制测算'!$F$2:$F$200*IFERROR('辅助-机制测算'!$H$2:$H$200/'辅助-机制测算'!$G$2:$G$200,0)),0)</f>
        <v>135.96705961956505</v>
      </c>
      <c r="M18" s="165">
        <f>IFERROR(M$8*SUMPRODUCT(('辅助-机制测算'!$A$2:$A$200="京东自营")*'辅助-机制测算'!$F$2:$F$200*IFERROR('辅助-机制测算'!$H$2:$H$200/'辅助-机制测算'!$G$2:$G$200,0)),0)</f>
        <v>138.23397440217377</v>
      </c>
      <c r="N18" s="165">
        <f>IFERROR(N$8*SUMPRODUCT(('辅助-机制测算'!$A$2:$A$200="京东自营")*'辅助-机制测算'!$F$2:$F$200*IFERROR('辅助-机制测算'!$H$2:$H$200/'辅助-机制测算'!$G$2:$G$200,0)),0)</f>
        <v>204.54203358183062</v>
      </c>
      <c r="O18" s="165">
        <f>IFERROR(O$8*SUMPRODUCT(('辅助-机制测算'!$A$2:$A$200="京东自营")*'辅助-机制测算'!$F$2:$F$200*IFERROR('辅助-机制测算'!$H$2:$H$200/'辅助-机制测算'!$G$2:$G$200,0)),0)</f>
        <v>99.906963136451935</v>
      </c>
      <c r="P18" s="165">
        <f>IFERROR(P$8*SUMPRODUCT(('辅助-机制测算'!$A$2:$A$200="京东自营")*'辅助-机制测算'!$F$2:$F$200*IFERROR('辅助-机制测算'!$H$2:$H$200/'辅助-机制测算'!$G$2:$G$200,0)),0)</f>
        <v>133.62042394792959</v>
      </c>
      <c r="Q18" s="165">
        <f>IFERROR(Q$8*SUMPRODUCT(('辅助-机制测算'!$A$2:$A$200="京东自营")*'辅助-机制测算'!$F$2:$F$200*IFERROR('辅助-机制测算'!$H$2:$H$200/'辅助-机制测算'!$G$2:$G$200,0)),0)</f>
        <v>168.9784438233817</v>
      </c>
      <c r="R18" s="165">
        <f>IFERROR(R$8*SUMPRODUCT(('辅助-机制测算'!$A$2:$A$200="京东自营")*'辅助-机制测算'!$F$2:$F$200*IFERROR('辅助-机制测算'!$H$2:$H$200/'辅助-机制测算'!$G$2:$G$200,0)),0)</f>
        <v>182.75162598416833</v>
      </c>
      <c r="S18" s="165">
        <f>IFERROR(S$8*SUMPRODUCT(('辅助-机制测算'!$A$2:$A$200="京东自营")*'辅助-机制测算'!$F$2:$F$200*IFERROR('辅助-机制测算'!$H$2:$H$200/'辅助-机制测算'!$G$2:$G$200,0)),0)</f>
        <v>222.01547363655993</v>
      </c>
      <c r="T18" s="165">
        <f>IFERROR(T$8*SUMPRODUCT(('辅助-机制测算'!$A$2:$A$200="京东自营")*'辅助-机制测算'!$F$2:$F$200*IFERROR('辅助-机制测算'!$H$2:$H$200/'辅助-机制测算'!$G$2:$G$200,0)),0)</f>
        <v>189.12429235706952</v>
      </c>
      <c r="U18" s="219"/>
      <c r="V18" s="165">
        <f t="shared" si="1"/>
        <v>1705.1086956521735</v>
      </c>
      <c r="W18" s="165">
        <f t="shared" si="2"/>
        <v>996.39722288556095</v>
      </c>
    </row>
    <row r="19" spans="1:23" s="13" customFormat="1">
      <c r="A19" s="102"/>
      <c r="B19" s="217" t="s">
        <v>52</v>
      </c>
      <c r="C19" s="217"/>
      <c r="D19" s="217"/>
      <c r="E19" s="217"/>
      <c r="F19" s="217"/>
      <c r="G19" s="217"/>
      <c r="H19" s="102"/>
      <c r="I19" s="218">
        <f t="shared" ref="I19:T19" si="9">I$20+I$28+I$33+I$37+I$42</f>
        <v>200.12232864753747</v>
      </c>
      <c r="J19" s="218">
        <f t="shared" si="9"/>
        <v>146.47120395933345</v>
      </c>
      <c r="K19" s="218">
        <f t="shared" si="9"/>
        <v>267.27736185604613</v>
      </c>
      <c r="L19" s="218">
        <f t="shared" si="9"/>
        <v>193.06433399125189</v>
      </c>
      <c r="M19" s="218">
        <f t="shared" si="9"/>
        <v>211.50160552956865</v>
      </c>
      <c r="N19" s="218">
        <f t="shared" si="9"/>
        <v>406.1050840169666</v>
      </c>
      <c r="O19" s="218">
        <f t="shared" si="9"/>
        <v>201.64004184976793</v>
      </c>
      <c r="P19" s="218">
        <f t="shared" si="9"/>
        <v>267.51875877593812</v>
      </c>
      <c r="Q19" s="218">
        <f t="shared" si="9"/>
        <v>336.61107164972623</v>
      </c>
      <c r="R19" s="218">
        <f t="shared" si="9"/>
        <v>363.52493771102752</v>
      </c>
      <c r="S19" s="218">
        <f t="shared" si="9"/>
        <v>440.24954096040852</v>
      </c>
      <c r="T19" s="218">
        <f t="shared" si="9"/>
        <v>375.97762200804738</v>
      </c>
      <c r="U19" s="165"/>
      <c r="V19" s="218">
        <f t="shared" si="1"/>
        <v>3410.0638909556201</v>
      </c>
      <c r="W19" s="218">
        <f t="shared" si="2"/>
        <v>1985.5219729549156</v>
      </c>
    </row>
    <row r="20" spans="1:23" s="13" customFormat="1">
      <c r="A20" s="102"/>
      <c r="B20" s="102"/>
      <c r="C20" s="222" t="s">
        <v>54</v>
      </c>
      <c r="D20" s="222"/>
      <c r="E20" s="222"/>
      <c r="F20" s="222"/>
      <c r="G20" s="222"/>
      <c r="H20" s="102"/>
      <c r="I20" s="223">
        <f>SUM(I$21:I$27)</f>
        <v>179.33214800000002</v>
      </c>
      <c r="J20" s="223">
        <f t="shared" ref="J20:T20" si="10">SUM(J$21:J$27)</f>
        <v>117.67010699999997</v>
      </c>
      <c r="K20" s="223">
        <f t="shared" si="10"/>
        <v>248.90642899999997</v>
      </c>
      <c r="L20" s="223">
        <f t="shared" si="10"/>
        <v>173.27693300000001</v>
      </c>
      <c r="M20" s="223">
        <f t="shared" si="10"/>
        <v>188.87316999999999</v>
      </c>
      <c r="N20" s="223">
        <f t="shared" si="10"/>
        <v>368.40033621466023</v>
      </c>
      <c r="O20" s="223">
        <f t="shared" si="10"/>
        <v>179.94227477419582</v>
      </c>
      <c r="P20" s="223">
        <f t="shared" si="10"/>
        <v>240.66353622063235</v>
      </c>
      <c r="Q20" s="223">
        <f t="shared" si="10"/>
        <v>304.34681042055348</v>
      </c>
      <c r="R20" s="223">
        <f t="shared" si="10"/>
        <v>329.15366723098799</v>
      </c>
      <c r="S20" s="223">
        <f t="shared" si="10"/>
        <v>399.87172172043529</v>
      </c>
      <c r="T20" s="223">
        <f t="shared" si="10"/>
        <v>340.63146665074112</v>
      </c>
      <c r="U20" s="165"/>
      <c r="V20" s="223">
        <f t="shared" si="1"/>
        <v>3071.0686002322059</v>
      </c>
      <c r="W20" s="223">
        <f t="shared" si="2"/>
        <v>1794.6094770175459</v>
      </c>
    </row>
    <row r="21" spans="1:23" s="13" customFormat="1">
      <c r="A21" s="102"/>
      <c r="B21" s="102"/>
      <c r="C21" s="102"/>
      <c r="D21" s="67" t="s">
        <v>52</v>
      </c>
      <c r="E21" s="67" t="s">
        <v>54</v>
      </c>
      <c r="F21" s="67" t="s">
        <v>899</v>
      </c>
      <c r="G21" s="102"/>
      <c r="H21" s="102"/>
      <c r="I21" s="165">
        <f>I$8*'假设-销售费用率'!K164</f>
        <v>132.398188</v>
      </c>
      <c r="J21" s="165">
        <f>J$8*'假设-销售费用率'!L164</f>
        <v>91.432031999999992</v>
      </c>
      <c r="K21" s="165">
        <f>K$8*'假设-销售费用率'!M164</f>
        <v>187.47319899999999</v>
      </c>
      <c r="L21" s="165">
        <f>L$8*'假设-销售费用率'!N164</f>
        <v>142.93852799999999</v>
      </c>
      <c r="M21" s="165">
        <f>M$8*'假设-销售费用率'!O164</f>
        <v>142.24938299999999</v>
      </c>
      <c r="N21" s="165">
        <f>N$8*'假设-销售费用率'!P164</f>
        <v>282.56721240515441</v>
      </c>
      <c r="O21" s="165">
        <f>O$8*'假设-销售费用率'!Q164</f>
        <v>138.01775399889951</v>
      </c>
      <c r="P21" s="165">
        <f>P$8*'假设-销售费用率'!R164</f>
        <v>184.5916462948245</v>
      </c>
      <c r="Q21" s="165">
        <f>Q$8*'假设-销售费用率'!S164</f>
        <v>233.4374357759165</v>
      </c>
      <c r="R21" s="165">
        <f>R$8*'假设-销售费用率'!T164</f>
        <v>252.46457470169079</v>
      </c>
      <c r="S21" s="165">
        <f>S$8*'假设-销售费用率'!U164</f>
        <v>306.70611999755454</v>
      </c>
      <c r="T21" s="165">
        <f>T$8*'假设-销售费用率'!V164</f>
        <v>261.26817629421311</v>
      </c>
      <c r="U21" s="165"/>
      <c r="V21" s="165">
        <f t="shared" ref="V21" si="11">SUM(I21:T21)</f>
        <v>2355.5442494682534</v>
      </c>
      <c r="W21" s="165">
        <f t="shared" ref="W21" si="12">SUM(O21:T21)</f>
        <v>1376.485707063099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62</v>
      </c>
      <c r="G22" s="67"/>
      <c r="H22" s="67"/>
      <c r="I22" s="165">
        <f>I$8*'假设-销售费用率'!K165</f>
        <v>0.16028299999999998</v>
      </c>
      <c r="J22" s="165">
        <f>J$8*'假设-销售费用率'!L165</f>
        <v>0.15701899999999999</v>
      </c>
      <c r="K22" s="165">
        <f>K$8*'假设-销售费用率'!M165</f>
        <v>0.50476700000000008</v>
      </c>
      <c r="L22" s="165">
        <f>L$8*'假设-销售费用率'!N165</f>
        <v>0.36718100000000004</v>
      </c>
      <c r="M22" s="165">
        <f>M$8*'假设-销售费用率'!O165</f>
        <v>4.2320289999999998</v>
      </c>
      <c r="N22" s="165">
        <f>N$8*'假设-销售费用率'!P165</f>
        <v>2.1994181818467187</v>
      </c>
      <c r="O22" s="165">
        <f>O$8*'假设-销售费用率'!Q165</f>
        <v>1.0742886797763871</v>
      </c>
      <c r="P22" s="165">
        <f>P$8*'假设-销售费用率'!R165</f>
        <v>1.4368058474375554</v>
      </c>
      <c r="Q22" s="165">
        <f>Q$8*'假设-销售费用率'!S165</f>
        <v>1.8170067793748772</v>
      </c>
      <c r="R22" s="165">
        <f>R$8*'假设-销售费用率'!T165</f>
        <v>1.9651083051876721</v>
      </c>
      <c r="S22" s="165">
        <f>S$8*'假设-销售费用率'!U165</f>
        <v>2.3873081772808611</v>
      </c>
      <c r="T22" s="165">
        <f>T$8*'假设-销售费用率'!V165</f>
        <v>2.0336328917577702</v>
      </c>
      <c r="U22" s="165"/>
      <c r="V22" s="165">
        <f t="shared" si="1"/>
        <v>18.334847862661839</v>
      </c>
      <c r="W22" s="165">
        <f t="shared" si="2"/>
        <v>10.714150680815125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63</v>
      </c>
      <c r="G23" s="67"/>
      <c r="H23" s="67"/>
      <c r="I23" s="165">
        <f>I$8*'假设-销售费用率'!K166</f>
        <v>2.7892900000000003</v>
      </c>
      <c r="J23" s="165">
        <f>J$8*'假设-销售费用率'!L166</f>
        <v>2.9230830000000001</v>
      </c>
      <c r="K23" s="165">
        <f>K$8*'假设-销售费用率'!M166</f>
        <v>16.47138</v>
      </c>
      <c r="L23" s="165">
        <f>L$8*'假设-销售费用率'!N166</f>
        <v>3.142293</v>
      </c>
      <c r="M23" s="165">
        <f>M$8*'假设-销售费用率'!O166</f>
        <v>7.2249889999999999</v>
      </c>
      <c r="N23" s="165">
        <f>N$8*'假设-销售费用率'!P166</f>
        <v>13.205986671582279</v>
      </c>
      <c r="O23" s="165">
        <f>O$8*'假设-销售费用率'!Q166</f>
        <v>6.4503613290341573</v>
      </c>
      <c r="P23" s="165">
        <f>P$8*'假设-销售费用率'!R166</f>
        <v>8.6270264688728471</v>
      </c>
      <c r="Q23" s="165">
        <f>Q$8*'假设-销售费用率'!S166</f>
        <v>10.909870396020736</v>
      </c>
      <c r="R23" s="165">
        <f>R$8*'假设-销售费用率'!T166</f>
        <v>11.799117739735326</v>
      </c>
      <c r="S23" s="165">
        <f>S$8*'假设-销售费用率'!U166</f>
        <v>14.334136286742575</v>
      </c>
      <c r="T23" s="165">
        <f>T$8*'假设-销售费用率'!V166</f>
        <v>12.210560540558488</v>
      </c>
      <c r="U23" s="165"/>
      <c r="V23" s="165">
        <f t="shared" si="1"/>
        <v>110.08809443254641</v>
      </c>
      <c r="W23" s="165">
        <f t="shared" si="2"/>
        <v>64.331072760964133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v>0</v>
      </c>
      <c r="J24" s="165">
        <v>0</v>
      </c>
      <c r="K24" s="165">
        <v>0</v>
      </c>
      <c r="L24" s="165">
        <v>0</v>
      </c>
      <c r="M24" s="165">
        <v>0</v>
      </c>
      <c r="N24" s="165">
        <v>0</v>
      </c>
      <c r="O24" s="165">
        <v>0</v>
      </c>
      <c r="P24" s="165">
        <v>0</v>
      </c>
      <c r="Q24" s="165">
        <v>0</v>
      </c>
      <c r="R24" s="165">
        <v>0</v>
      </c>
      <c r="S24" s="165">
        <v>0</v>
      </c>
      <c r="T24" s="165"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I$8*'假设-销售费用率'!K167</f>
        <v>37.598827</v>
      </c>
      <c r="J25" s="165">
        <f>J$8*'假设-销售费用率'!L167</f>
        <v>19.697302999999998</v>
      </c>
      <c r="K25" s="165">
        <f>K$8*'假设-销售费用率'!M167</f>
        <v>33.311613000000001</v>
      </c>
      <c r="L25" s="165">
        <f>L$8*'假设-销售费用率'!N167</f>
        <v>20.577461</v>
      </c>
      <c r="M25" s="165">
        <f>M$8*'假设-销售费用率'!O167</f>
        <v>16.509449</v>
      </c>
      <c r="N25" s="165">
        <f>N$8*'假设-销售费用率'!P167</f>
        <v>51.805845360994638</v>
      </c>
      <c r="O25" s="165">
        <f>O$8*'假设-销售费用率'!Q167</f>
        <v>25.304161653711951</v>
      </c>
      <c r="P25" s="165">
        <f>P$8*'假设-销售费用率'!R167</f>
        <v>33.84301455743369</v>
      </c>
      <c r="Q25" s="165">
        <f>Q$8*'假设-销售费用率'!S167</f>
        <v>42.798396871093061</v>
      </c>
      <c r="R25" s="165">
        <f>R$8*'假设-销售费用率'!T167</f>
        <v>46.286830679320857</v>
      </c>
      <c r="S25" s="165">
        <f>S$8*'假设-销售费用率'!U167</f>
        <v>56.231470341582131</v>
      </c>
      <c r="T25" s="165">
        <f>T$8*'假设-销售费用率'!V167</f>
        <v>47.900882142829211</v>
      </c>
      <c r="U25" s="165"/>
      <c r="V25" s="165">
        <f t="shared" si="1"/>
        <v>431.86525460696555</v>
      </c>
      <c r="W25" s="165">
        <f t="shared" si="2"/>
        <v>252.36475624597091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I$8*'假设-销售费用率'!K168</f>
        <v>0</v>
      </c>
      <c r="J26" s="165">
        <f>J$8*'假设-销售费用率'!L168</f>
        <v>0</v>
      </c>
      <c r="K26" s="165">
        <f>K$8*'假设-销售费用率'!M168</f>
        <v>0</v>
      </c>
      <c r="L26" s="165">
        <f>L$8*'假设-销售费用率'!N168</f>
        <v>0</v>
      </c>
      <c r="M26" s="165">
        <f>M$8*'假设-销售费用率'!O168</f>
        <v>0</v>
      </c>
      <c r="N26" s="165">
        <f>N$8*'假设-销售费用率'!P168</f>
        <v>0</v>
      </c>
      <c r="O26" s="165">
        <f>O$8*'假设-销售费用率'!Q168</f>
        <v>0</v>
      </c>
      <c r="P26" s="165">
        <f>P$8*'假设-销售费用率'!R168</f>
        <v>0</v>
      </c>
      <c r="Q26" s="165">
        <f>Q$8*'假设-销售费用率'!S168</f>
        <v>0</v>
      </c>
      <c r="R26" s="165">
        <f>R$8*'假设-销售费用率'!T168</f>
        <v>0</v>
      </c>
      <c r="S26" s="165">
        <f>S$8*'假设-销售费用率'!U168</f>
        <v>0</v>
      </c>
      <c r="T26" s="165">
        <f>T$8*'假设-销售费用率'!V168</f>
        <v>0</v>
      </c>
      <c r="U26" s="165"/>
      <c r="V26" s="165">
        <f t="shared" si="1"/>
        <v>0</v>
      </c>
      <c r="W26" s="165">
        <f t="shared" si="2"/>
        <v>0</v>
      </c>
    </row>
    <row r="27" spans="1:23">
      <c r="A27" s="67"/>
      <c r="B27" s="102"/>
      <c r="C27" s="102"/>
      <c r="D27" s="67" t="s">
        <v>52</v>
      </c>
      <c r="E27" s="67" t="s">
        <v>54</v>
      </c>
      <c r="F27" s="67" t="s">
        <v>900</v>
      </c>
      <c r="G27" s="67"/>
      <c r="H27" s="67"/>
      <c r="I27" s="165">
        <f>I$8*'假设-销售费用率'!K169</f>
        <v>6.3855600000000194</v>
      </c>
      <c r="J27" s="165">
        <f>J$8*'假设-销售费用率'!L169</f>
        <v>3.4606699999999697</v>
      </c>
      <c r="K27" s="165">
        <f>K$8*'假设-销售费用率'!M169</f>
        <v>11.145470000000001</v>
      </c>
      <c r="L27" s="165">
        <f>L$8*'假设-销售费用率'!N169</f>
        <v>6.2514700000000305</v>
      </c>
      <c r="M27" s="165">
        <f>M$8*'假设-销售费用率'!O169</f>
        <v>18.657320000000002</v>
      </c>
      <c r="N27" s="165">
        <f>N$8*'假设-销售费用率'!P169</f>
        <v>18.621873595082182</v>
      </c>
      <c r="O27" s="165">
        <f>O$8*'假设-销售费用率'!Q169</f>
        <v>9.0957091127738074</v>
      </c>
      <c r="P27" s="165">
        <f>P$8*'假设-销售费用率'!R169</f>
        <v>12.165043052063739</v>
      </c>
      <c r="Q27" s="165">
        <f>Q$8*'假设-销售费用率'!S169</f>
        <v>15.384100598148295</v>
      </c>
      <c r="R27" s="165">
        <f>R$8*'假设-销售费用率'!T169</f>
        <v>16.638035805053335</v>
      </c>
      <c r="S27" s="165">
        <f>S$8*'假设-销售费用率'!U169</f>
        <v>20.212686917275136</v>
      </c>
      <c r="T27" s="165">
        <f>T$8*'假设-销售费用率'!V169</f>
        <v>17.218214781382521</v>
      </c>
      <c r="U27" s="165"/>
      <c r="V27" s="165">
        <f t="shared" ref="V27" si="13">SUM(I27:T27)</f>
        <v>155.23615386177903</v>
      </c>
      <c r="W27" s="165">
        <f t="shared" ref="W27" si="14">SUM(O27:T27)</f>
        <v>90.713790266696833</v>
      </c>
    </row>
    <row r="28" spans="1:23" s="13" customFormat="1">
      <c r="A28" s="102"/>
      <c r="B28" s="102"/>
      <c r="C28" s="222" t="s">
        <v>65</v>
      </c>
      <c r="D28" s="222"/>
      <c r="E28" s="222"/>
      <c r="F28" s="222"/>
      <c r="G28" s="222"/>
      <c r="H28" s="102"/>
      <c r="I28" s="223">
        <f t="shared" ref="I28:T28" si="15">SUM(I$29:I$32)</f>
        <v>0</v>
      </c>
      <c r="J28" s="223">
        <f t="shared" si="15"/>
        <v>0</v>
      </c>
      <c r="K28" s="223">
        <f t="shared" si="15"/>
        <v>0</v>
      </c>
      <c r="L28" s="223">
        <f t="shared" si="15"/>
        <v>0</v>
      </c>
      <c r="M28" s="223">
        <f t="shared" si="15"/>
        <v>0</v>
      </c>
      <c r="N28" s="223">
        <f t="shared" si="15"/>
        <v>0</v>
      </c>
      <c r="O28" s="223">
        <f t="shared" si="15"/>
        <v>0</v>
      </c>
      <c r="P28" s="223">
        <f t="shared" si="15"/>
        <v>0</v>
      </c>
      <c r="Q28" s="223">
        <f t="shared" si="15"/>
        <v>0</v>
      </c>
      <c r="R28" s="223">
        <f t="shared" si="15"/>
        <v>0</v>
      </c>
      <c r="S28" s="223">
        <f t="shared" si="15"/>
        <v>0</v>
      </c>
      <c r="T28" s="223">
        <f t="shared" si="15"/>
        <v>0</v>
      </c>
      <c r="U28" s="165"/>
      <c r="V28" s="223">
        <f t="shared" si="1"/>
        <v>0</v>
      </c>
      <c r="W28" s="223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66</v>
      </c>
      <c r="G29" s="67"/>
      <c r="H29" s="67"/>
      <c r="I29" s="165">
        <v>0</v>
      </c>
      <c r="J29" s="165">
        <v>0</v>
      </c>
      <c r="K29" s="165">
        <v>0</v>
      </c>
      <c r="L29" s="165">
        <v>0</v>
      </c>
      <c r="M29" s="165">
        <v>0</v>
      </c>
      <c r="N29" s="165">
        <v>0</v>
      </c>
      <c r="O29" s="165">
        <v>0</v>
      </c>
      <c r="P29" s="165">
        <v>0</v>
      </c>
      <c r="Q29" s="165">
        <v>0</v>
      </c>
      <c r="R29" s="165">
        <v>0</v>
      </c>
      <c r="S29" s="165">
        <v>0</v>
      </c>
      <c r="T29" s="165"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67</v>
      </c>
      <c r="G30" s="67"/>
      <c r="H30" s="67"/>
      <c r="I30" s="165">
        <v>0</v>
      </c>
      <c r="J30" s="165">
        <v>0</v>
      </c>
      <c r="K30" s="165">
        <v>0</v>
      </c>
      <c r="L30" s="165">
        <v>0</v>
      </c>
      <c r="M30" s="165">
        <v>0</v>
      </c>
      <c r="N30" s="165">
        <v>0</v>
      </c>
      <c r="O30" s="165">
        <v>0</v>
      </c>
      <c r="P30" s="165">
        <v>0</v>
      </c>
      <c r="Q30" s="165">
        <v>0</v>
      </c>
      <c r="R30" s="165">
        <v>0</v>
      </c>
      <c r="S30" s="165">
        <v>0</v>
      </c>
      <c r="T30" s="165"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68</v>
      </c>
      <c r="G31" s="67"/>
      <c r="H31" s="67"/>
      <c r="I31" s="165">
        <v>0</v>
      </c>
      <c r="J31" s="165">
        <v>0</v>
      </c>
      <c r="K31" s="165">
        <v>0</v>
      </c>
      <c r="L31" s="165">
        <v>0</v>
      </c>
      <c r="M31" s="165">
        <v>0</v>
      </c>
      <c r="N31" s="165">
        <v>0</v>
      </c>
      <c r="O31" s="165">
        <v>0</v>
      </c>
      <c r="P31" s="165">
        <v>0</v>
      </c>
      <c r="Q31" s="165">
        <v>0</v>
      </c>
      <c r="R31" s="165">
        <v>0</v>
      </c>
      <c r="S31" s="165">
        <v>0</v>
      </c>
      <c r="T31" s="165">
        <v>0</v>
      </c>
      <c r="U31" s="165"/>
      <c r="V31" s="165">
        <f t="shared" si="1"/>
        <v>0</v>
      </c>
      <c r="W31" s="165">
        <f t="shared" si="2"/>
        <v>0</v>
      </c>
    </row>
    <row r="32" spans="1:23">
      <c r="A32" s="67"/>
      <c r="B32" s="102"/>
      <c r="C32" s="102"/>
      <c r="D32" s="67" t="s">
        <v>52</v>
      </c>
      <c r="E32" s="67" t="s">
        <v>65</v>
      </c>
      <c r="F32" s="67" t="s">
        <v>69</v>
      </c>
      <c r="G32" s="67"/>
      <c r="H32" s="67"/>
      <c r="I32" s="165">
        <v>0</v>
      </c>
      <c r="J32" s="165">
        <v>0</v>
      </c>
      <c r="K32" s="165">
        <v>0</v>
      </c>
      <c r="L32" s="165">
        <v>0</v>
      </c>
      <c r="M32" s="165">
        <v>0</v>
      </c>
      <c r="N32" s="165">
        <v>0</v>
      </c>
      <c r="O32" s="165">
        <v>0</v>
      </c>
      <c r="P32" s="165">
        <v>0</v>
      </c>
      <c r="Q32" s="165">
        <v>0</v>
      </c>
      <c r="R32" s="165">
        <v>0</v>
      </c>
      <c r="S32" s="165">
        <v>0</v>
      </c>
      <c r="T32" s="165">
        <v>0</v>
      </c>
      <c r="U32" s="165"/>
      <c r="V32" s="165">
        <f t="shared" si="1"/>
        <v>0</v>
      </c>
      <c r="W32" s="165">
        <f t="shared" si="2"/>
        <v>0</v>
      </c>
    </row>
    <row r="33" spans="1:23" s="13" customFormat="1">
      <c r="A33" s="102"/>
      <c r="B33" s="102"/>
      <c r="C33" s="222" t="s">
        <v>70</v>
      </c>
      <c r="D33" s="222"/>
      <c r="E33" s="222"/>
      <c r="F33" s="222"/>
      <c r="G33" s="222"/>
      <c r="H33" s="102"/>
      <c r="I33" s="223">
        <f t="shared" ref="I33:T33" si="16">SUM(I$34:I$36)</f>
        <v>0</v>
      </c>
      <c r="J33" s="223">
        <f t="shared" si="16"/>
        <v>0</v>
      </c>
      <c r="K33" s="223">
        <f t="shared" si="16"/>
        <v>0</v>
      </c>
      <c r="L33" s="223">
        <f t="shared" si="16"/>
        <v>0</v>
      </c>
      <c r="M33" s="223">
        <f t="shared" si="16"/>
        <v>0</v>
      </c>
      <c r="N33" s="223">
        <f t="shared" si="16"/>
        <v>0</v>
      </c>
      <c r="O33" s="223">
        <f t="shared" si="16"/>
        <v>0</v>
      </c>
      <c r="P33" s="223">
        <f t="shared" si="16"/>
        <v>0</v>
      </c>
      <c r="Q33" s="223">
        <f t="shared" si="16"/>
        <v>0</v>
      </c>
      <c r="R33" s="223">
        <f t="shared" si="16"/>
        <v>0</v>
      </c>
      <c r="S33" s="223">
        <f t="shared" si="16"/>
        <v>0</v>
      </c>
      <c r="T33" s="223">
        <f t="shared" si="16"/>
        <v>0</v>
      </c>
      <c r="U33" s="165"/>
      <c r="V33" s="223">
        <f t="shared" si="1"/>
        <v>0</v>
      </c>
      <c r="W33" s="223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71</v>
      </c>
      <c r="G34" s="67"/>
      <c r="H34" s="67"/>
      <c r="I34" s="165">
        <v>0</v>
      </c>
      <c r="J34" s="165">
        <v>0</v>
      </c>
      <c r="K34" s="165">
        <v>0</v>
      </c>
      <c r="L34" s="165">
        <v>0</v>
      </c>
      <c r="M34" s="165">
        <v>0</v>
      </c>
      <c r="N34" s="165">
        <v>0</v>
      </c>
      <c r="O34" s="165">
        <v>0</v>
      </c>
      <c r="P34" s="165">
        <v>0</v>
      </c>
      <c r="Q34" s="165">
        <v>0</v>
      </c>
      <c r="R34" s="165">
        <v>0</v>
      </c>
      <c r="S34" s="165">
        <v>0</v>
      </c>
      <c r="T34" s="165">
        <v>0</v>
      </c>
      <c r="U34" s="165"/>
      <c r="V34" s="165">
        <f t="shared" si="1"/>
        <v>0</v>
      </c>
      <c r="W34" s="165">
        <f t="shared" si="2"/>
        <v>0</v>
      </c>
    </row>
    <row r="35" spans="1:23">
      <c r="A35" s="67"/>
      <c r="B35" s="102"/>
      <c r="C35" s="102"/>
      <c r="D35" s="67" t="s">
        <v>52</v>
      </c>
      <c r="E35" s="67" t="s">
        <v>70</v>
      </c>
      <c r="F35" s="67" t="s">
        <v>72</v>
      </c>
      <c r="G35" s="67"/>
      <c r="H35" s="67"/>
      <c r="I35" s="165">
        <v>0</v>
      </c>
      <c r="J35" s="165">
        <v>0</v>
      </c>
      <c r="K35" s="165">
        <v>0</v>
      </c>
      <c r="L35" s="165">
        <v>0</v>
      </c>
      <c r="M35" s="165">
        <v>0</v>
      </c>
      <c r="N35" s="165">
        <v>0</v>
      </c>
      <c r="O35" s="165">
        <v>0</v>
      </c>
      <c r="P35" s="165">
        <v>0</v>
      </c>
      <c r="Q35" s="165">
        <v>0</v>
      </c>
      <c r="R35" s="165">
        <v>0</v>
      </c>
      <c r="S35" s="165">
        <v>0</v>
      </c>
      <c r="T35" s="165">
        <v>0</v>
      </c>
      <c r="U35" s="165"/>
      <c r="V35" s="165">
        <f t="shared" si="1"/>
        <v>0</v>
      </c>
      <c r="W35" s="165">
        <f t="shared" si="2"/>
        <v>0</v>
      </c>
    </row>
    <row r="36" spans="1:23" s="13" customFormat="1">
      <c r="A36" s="102"/>
      <c r="B36" s="102"/>
      <c r="C36" s="102"/>
      <c r="D36" s="67" t="s">
        <v>52</v>
      </c>
      <c r="E36" s="67" t="s">
        <v>70</v>
      </c>
      <c r="F36" s="67" t="s">
        <v>73</v>
      </c>
      <c r="G36" s="102"/>
      <c r="H36" s="102"/>
      <c r="I36" s="165">
        <f>I$8*'假设-销售费用率'!K178</f>
        <v>0</v>
      </c>
      <c r="J36" s="165">
        <f>J$8*'假设-销售费用率'!L178</f>
        <v>0</v>
      </c>
      <c r="K36" s="165">
        <f>K$8*'假设-销售费用率'!M178</f>
        <v>0</v>
      </c>
      <c r="L36" s="165">
        <f>L$8*'假设-销售费用率'!N178</f>
        <v>0</v>
      </c>
      <c r="M36" s="165">
        <f>M$8*'假设-销售费用率'!O178</f>
        <v>0</v>
      </c>
      <c r="N36" s="165">
        <f>N$8*'假设-销售费用率'!P178</f>
        <v>0</v>
      </c>
      <c r="O36" s="165">
        <f>O$8*'假设-销售费用率'!Q178</f>
        <v>0</v>
      </c>
      <c r="P36" s="165">
        <f>P$8*'假设-销售费用率'!R178</f>
        <v>0</v>
      </c>
      <c r="Q36" s="165">
        <f>Q$8*'假设-销售费用率'!S178</f>
        <v>0</v>
      </c>
      <c r="R36" s="165">
        <f>R$8*'假设-销售费用率'!T178</f>
        <v>0</v>
      </c>
      <c r="S36" s="165">
        <f>S$8*'假设-销售费用率'!U178</f>
        <v>0</v>
      </c>
      <c r="T36" s="165">
        <f>T$8*'假设-销售费用率'!V178</f>
        <v>0</v>
      </c>
      <c r="U36" s="165"/>
      <c r="V36" s="165">
        <f t="shared" si="1"/>
        <v>0</v>
      </c>
      <c r="W36" s="165">
        <f t="shared" si="2"/>
        <v>0</v>
      </c>
    </row>
    <row r="37" spans="1:23">
      <c r="A37" s="67"/>
      <c r="B37" s="67"/>
      <c r="C37" s="222" t="s">
        <v>74</v>
      </c>
      <c r="D37" s="222"/>
      <c r="E37" s="222"/>
      <c r="F37" s="222"/>
      <c r="G37" s="222"/>
      <c r="H37" s="67"/>
      <c r="I37" s="223">
        <f t="shared" ref="I37:T37" si="17">SUM(I$38:I$41)</f>
        <v>11.776414810841841</v>
      </c>
      <c r="J37" s="223">
        <f t="shared" si="17"/>
        <v>20.94537275581018</v>
      </c>
      <c r="K37" s="223">
        <f t="shared" si="17"/>
        <v>9.7895902698099704</v>
      </c>
      <c r="L37" s="223">
        <f t="shared" si="17"/>
        <v>10.30885157573479</v>
      </c>
      <c r="M37" s="223">
        <f t="shared" si="17"/>
        <v>13.157244179524788</v>
      </c>
      <c r="N37" s="223">
        <f t="shared" si="17"/>
        <v>26.767125434781008</v>
      </c>
      <c r="O37" s="223">
        <f t="shared" si="17"/>
        <v>13.07419393095836</v>
      </c>
      <c r="P37" s="223">
        <f t="shared" si="17"/>
        <v>17.486061841816742</v>
      </c>
      <c r="Q37" s="223">
        <f t="shared" si="17"/>
        <v>22.113142821497476</v>
      </c>
      <c r="R37" s="223">
        <f t="shared" si="17"/>
        <v>23.915552272884749</v>
      </c>
      <c r="S37" s="223">
        <f t="shared" si="17"/>
        <v>29.053764291018588</v>
      </c>
      <c r="T37" s="223">
        <f t="shared" si="17"/>
        <v>24.749502914571387</v>
      </c>
      <c r="U37" s="165"/>
      <c r="V37" s="223">
        <f t="shared" si="1"/>
        <v>223.1368170992499</v>
      </c>
      <c r="W37" s="223">
        <f t="shared" si="2"/>
        <v>130.39221807274731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75</v>
      </c>
      <c r="G38" s="67"/>
      <c r="H38" s="67"/>
      <c r="I38" s="165">
        <f>I$8*'假设-销售费用率'!K180</f>
        <v>0</v>
      </c>
      <c r="J38" s="165">
        <f>J$8*'假设-销售费用率'!L180</f>
        <v>0</v>
      </c>
      <c r="K38" s="165">
        <f>K$8*'假设-销售费用率'!M180</f>
        <v>0</v>
      </c>
      <c r="L38" s="165">
        <f>L$8*'假设-销售费用率'!N180</f>
        <v>0</v>
      </c>
      <c r="M38" s="165">
        <f>M$8*'假设-销售费用率'!O180</f>
        <v>0</v>
      </c>
      <c r="N38" s="165">
        <f>N$8*'假设-销售费用率'!P180</f>
        <v>0</v>
      </c>
      <c r="O38" s="165">
        <f>O$8*'假设-销售费用率'!Q180</f>
        <v>0</v>
      </c>
      <c r="P38" s="165">
        <f>P$8*'假设-销售费用率'!R180</f>
        <v>0</v>
      </c>
      <c r="Q38" s="165">
        <f>Q$8*'假设-销售费用率'!S180</f>
        <v>0</v>
      </c>
      <c r="R38" s="165">
        <f>R$8*'假设-销售费用率'!T180</f>
        <v>0</v>
      </c>
      <c r="S38" s="165">
        <f>S$8*'假设-销售费用率'!U180</f>
        <v>0</v>
      </c>
      <c r="T38" s="165">
        <f>T$8*'假设-销售费用率'!V180</f>
        <v>0</v>
      </c>
      <c r="U38" s="165"/>
      <c r="V38" s="165">
        <f t="shared" si="1"/>
        <v>0</v>
      </c>
      <c r="W38" s="165">
        <f t="shared" si="2"/>
        <v>0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76</v>
      </c>
      <c r="G39" s="67"/>
      <c r="H39" s="67"/>
      <c r="I39" s="165">
        <f>I$8*'假设-销售费用率'!K181</f>
        <v>0.57753563600000002</v>
      </c>
      <c r="J39" s="165">
        <f>J$8*'假设-销售费用率'!L181</f>
        <v>0.279887273764578</v>
      </c>
      <c r="K39" s="165">
        <f>K$8*'假设-销售费用率'!M181</f>
        <v>0.79141499999999998</v>
      </c>
      <c r="L39" s="165">
        <f>L$8*'假设-销售费用率'!N181</f>
        <v>0.54709799999999997</v>
      </c>
      <c r="M39" s="165">
        <f>M$8*'假设-销售费用率'!O181</f>
        <v>1.315472</v>
      </c>
      <c r="N39" s="165">
        <f>N$8*'假设-销售费用率'!P181</f>
        <v>1.4245816163707117</v>
      </c>
      <c r="O39" s="165">
        <f>O$8*'假设-销售费用率'!Q181</f>
        <v>0.69582579452880977</v>
      </c>
      <c r="P39" s="165">
        <f>P$8*'假设-销售费用率'!R181</f>
        <v>0.93063120667433441</v>
      </c>
      <c r="Q39" s="165">
        <f>Q$8*'假设-销售费用率'!S181</f>
        <v>1.1768905413635427</v>
      </c>
      <c r="R39" s="165">
        <f>R$8*'假设-销售费用率'!T181</f>
        <v>1.2728171426668975</v>
      </c>
      <c r="S39" s="165">
        <f>S$8*'假设-销售费用率'!U181</f>
        <v>1.5462795433973555</v>
      </c>
      <c r="T39" s="165">
        <f>T$8*'假设-销售费用率'!V181</f>
        <v>1.317201092523673</v>
      </c>
      <c r="U39" s="165"/>
      <c r="V39" s="165">
        <f t="shared" si="1"/>
        <v>11.875634847289902</v>
      </c>
      <c r="W39" s="165">
        <f t="shared" si="2"/>
        <v>6.9396453211546127</v>
      </c>
    </row>
    <row r="40" spans="1:23">
      <c r="A40" s="67"/>
      <c r="B40" s="102"/>
      <c r="C40" s="102"/>
      <c r="D40" s="67" t="s">
        <v>52</v>
      </c>
      <c r="E40" s="67" t="s">
        <v>74</v>
      </c>
      <c r="F40" s="67" t="s">
        <v>77</v>
      </c>
      <c r="G40" s="67"/>
      <c r="H40" s="67"/>
      <c r="I40" s="165">
        <f>I$8*'假设-销售费用率'!K182</f>
        <v>2.5295560000000004</v>
      </c>
      <c r="J40" s="165">
        <f>J$8*'假设-销售费用率'!L182</f>
        <v>1.245344</v>
      </c>
      <c r="K40" s="165">
        <f>K$8*'假设-销售费用率'!M182</f>
        <v>3.9131589999999998</v>
      </c>
      <c r="L40" s="165">
        <f>L$8*'假设-销售费用率'!N182</f>
        <v>4.5977100000000002</v>
      </c>
      <c r="M40" s="165">
        <f>M$8*'假设-销售费用率'!O182</f>
        <v>4.8395519999999994</v>
      </c>
      <c r="N40" s="165">
        <f>N$8*'假设-销售费用率'!P182</f>
        <v>6.9477594452086731</v>
      </c>
      <c r="O40" s="165">
        <f>O$8*'假设-销售费用率'!Q182</f>
        <v>3.3935789852979039</v>
      </c>
      <c r="P40" s="165">
        <f>P$8*'假设-销售费用率'!R182</f>
        <v>4.5387373260157169</v>
      </c>
      <c r="Q40" s="165">
        <f>Q$8*'假设-销售费用率'!S182</f>
        <v>5.7397570492075669</v>
      </c>
      <c r="R40" s="165">
        <f>R$8*'假设-销售费用率'!T182</f>
        <v>6.2075961274276512</v>
      </c>
      <c r="S40" s="165">
        <f>S$8*'假设-销售费用率'!U182</f>
        <v>7.5412866339953446</v>
      </c>
      <c r="T40" s="165">
        <f>T$8*'假设-销售费用率'!V182</f>
        <v>6.4240589845145522</v>
      </c>
      <c r="U40" s="165"/>
      <c r="V40" s="165">
        <f t="shared" si="1"/>
        <v>57.918095551667413</v>
      </c>
      <c r="W40" s="165">
        <f t="shared" si="2"/>
        <v>33.845015106458732</v>
      </c>
    </row>
    <row r="41" spans="1:23" s="13" customFormat="1">
      <c r="A41" s="102"/>
      <c r="B41" s="102"/>
      <c r="C41" s="102"/>
      <c r="D41" s="67" t="s">
        <v>52</v>
      </c>
      <c r="E41" s="67" t="s">
        <v>74</v>
      </c>
      <c r="F41" s="67" t="s">
        <v>78</v>
      </c>
      <c r="G41" s="102"/>
      <c r="H41" s="102"/>
      <c r="I41" s="165">
        <f>I$8*'假设-销售费用率'!K183</f>
        <v>8.6693231748418409</v>
      </c>
      <c r="J41" s="165">
        <f>J$8*'假设-销售费用率'!L183</f>
        <v>19.420141482045601</v>
      </c>
      <c r="K41" s="165">
        <f>K$8*'假设-销售费用率'!M183</f>
        <v>5.0850162698099712</v>
      </c>
      <c r="L41" s="165">
        <f>L$8*'假设-销售费用率'!N183</f>
        <v>5.16404357573479</v>
      </c>
      <c r="M41" s="165">
        <f>M$8*'假设-销售费用率'!O183</f>
        <v>7.0022201795247891</v>
      </c>
      <c r="N41" s="165">
        <f>N$8*'假设-销售费用率'!P183</f>
        <v>18.394784373201624</v>
      </c>
      <c r="O41" s="165">
        <f>O$8*'假设-销售费用率'!Q183</f>
        <v>8.9847891511316469</v>
      </c>
      <c r="P41" s="165">
        <f>P$8*'假设-销售费用率'!R183</f>
        <v>12.016693309126692</v>
      </c>
      <c r="Q41" s="165">
        <f>Q$8*'假设-销售费用率'!S183</f>
        <v>15.196495230926368</v>
      </c>
      <c r="R41" s="165">
        <f>R$8*'假设-销售费用率'!T183</f>
        <v>16.435139002790201</v>
      </c>
      <c r="S41" s="165">
        <f>S$8*'假设-销售费用率'!U183</f>
        <v>19.966198113625889</v>
      </c>
      <c r="T41" s="165">
        <f>T$8*'假设-销售费用率'!V183</f>
        <v>17.00824283753316</v>
      </c>
      <c r="U41" s="165"/>
      <c r="V41" s="165">
        <f t="shared" si="1"/>
        <v>153.34308670029259</v>
      </c>
      <c r="W41" s="165">
        <f t="shared" si="2"/>
        <v>89.607557645133951</v>
      </c>
    </row>
    <row r="42" spans="1:23">
      <c r="A42" s="67"/>
      <c r="B42" s="67"/>
      <c r="C42" s="222" t="s">
        <v>79</v>
      </c>
      <c r="D42" s="222"/>
      <c r="E42" s="222"/>
      <c r="F42" s="222"/>
      <c r="G42" s="222"/>
      <c r="H42" s="67"/>
      <c r="I42" s="223">
        <f t="shared" ref="I42:T42" si="18">SUM(I$43:I$46)</f>
        <v>9.0137658366956188</v>
      </c>
      <c r="J42" s="223">
        <f t="shared" si="18"/>
        <v>7.8557242035232902</v>
      </c>
      <c r="K42" s="223">
        <f t="shared" si="18"/>
        <v>8.5813425862361719</v>
      </c>
      <c r="L42" s="223">
        <f t="shared" si="18"/>
        <v>9.4785494155170849</v>
      </c>
      <c r="M42" s="223">
        <f t="shared" si="18"/>
        <v>9.4711913500438882</v>
      </c>
      <c r="N42" s="223">
        <f t="shared" si="18"/>
        <v>10.937622367525382</v>
      </c>
      <c r="O42" s="223">
        <f t="shared" si="18"/>
        <v>8.6235731446137347</v>
      </c>
      <c r="P42" s="223">
        <f t="shared" si="18"/>
        <v>9.369160713489002</v>
      </c>
      <c r="Q42" s="223">
        <f t="shared" si="18"/>
        <v>10.151118407675256</v>
      </c>
      <c r="R42" s="223">
        <f t="shared" si="18"/>
        <v>10.455718207154785</v>
      </c>
      <c r="S42" s="223">
        <f t="shared" si="18"/>
        <v>11.324054948954636</v>
      </c>
      <c r="T42" s="223">
        <f t="shared" si="18"/>
        <v>10.596652442734865</v>
      </c>
      <c r="U42" s="165"/>
      <c r="V42" s="223">
        <f t="shared" si="1"/>
        <v>115.85847362416372</v>
      </c>
      <c r="W42" s="223">
        <f t="shared" si="2"/>
        <v>60.520277864622287</v>
      </c>
    </row>
    <row r="43" spans="1:23">
      <c r="A43" s="67"/>
      <c r="B43" s="102"/>
      <c r="C43" s="102"/>
      <c r="D43" s="67" t="s">
        <v>52</v>
      </c>
      <c r="E43" s="67" t="s">
        <v>79</v>
      </c>
      <c r="F43" s="67" t="s">
        <v>80</v>
      </c>
      <c r="G43" s="67"/>
      <c r="H43" s="67"/>
      <c r="I43" s="165">
        <f>IFERROR(INDEX('假设-人工成本固定额'!$B$6:$CS$16,MATCH("京东自营",'假设-人工成本固定额'!$A$6:$A$16,0),1)/10000,0)</f>
        <v>5.3207634936345398</v>
      </c>
      <c r="J43" s="165">
        <f>IFERROR(INDEX('假设-人工成本固定额'!$B$6:$CS$16,MATCH("京东自营",'假设-人工成本固定额'!$A$6:$A$16,0),9)/10000,0)</f>
        <v>5.2326235155232901</v>
      </c>
      <c r="K43" s="165">
        <f>IFERROR(INDEX('假设-人工成本固定额'!$B$6:$CS$16,MATCH("京东自营",'假设-人工成本固定额'!$A$6:$A$16,0),17)/10000,0)</f>
        <v>3.22292765099998</v>
      </c>
      <c r="L43" s="165">
        <f>IFERROR(INDEX('假设-人工成本固定额'!$B$6:$CS$16,MATCH("京东自营",'假设-人工成本固定额'!$A$6:$A$16,0),25)/10000,0)</f>
        <v>6.50764066093212</v>
      </c>
      <c r="M43" s="165">
        <f>IFERROR(INDEX('假设-人工成本固定额'!$B$6:$CS$16,MATCH("京东自营",'假设-人工成本固定额'!$A$6:$A$16,0),33)/10000,0)</f>
        <v>6.4140880319711799</v>
      </c>
      <c r="N43" s="165">
        <f>IFERROR(INDEX('假设-人工成本固定额'!$B$6:$CS$16,MATCH("京东自营",'假设-人工成本固定额'!$A$6:$A$16,0),33)/10000,0)</f>
        <v>6.4140880319711799</v>
      </c>
      <c r="O43" s="165">
        <f>IFERROR(INDEX('假设-人工成本固定额'!$B$6:$CS$16,MATCH("京东自营",'假设-人工成本固定额'!$A$6:$A$16,0),33)/10000,0)</f>
        <v>6.4140880319711799</v>
      </c>
      <c r="P43" s="165">
        <f>IFERROR(INDEX('假设-人工成本固定额'!$B$6:$CS$16,MATCH("京东自营",'假设-人工成本固定额'!$A$6:$A$16,0),33)/10000,0)</f>
        <v>6.4140880319711799</v>
      </c>
      <c r="Q43" s="165">
        <f>IFERROR(INDEX('假设-人工成本固定额'!$B$6:$CS$16,MATCH("京东自营",'假设-人工成本固定额'!$A$6:$A$16,0),33)/10000,0)</f>
        <v>6.4140880319711799</v>
      </c>
      <c r="R43" s="165">
        <f>IFERROR(INDEX('假设-人工成本固定额'!$B$6:$CS$16,MATCH("京东自营",'假设-人工成本固定额'!$A$6:$A$16,0),33)/10000,0)</f>
        <v>6.4140880319711799</v>
      </c>
      <c r="S43" s="165">
        <f>IFERROR(INDEX('假设-人工成本固定额'!$B$6:$CS$16,MATCH("京东自营",'假设-人工成本固定额'!$A$6:$A$16,0),33)/10000,0)</f>
        <v>6.4140880319711799</v>
      </c>
      <c r="T43" s="165">
        <f>IFERROR(INDEX('假设-人工成本固定额'!$B$6:$CS$16,MATCH("京东自营",'假设-人工成本固定额'!$A$6:$A$16,0),33)/10000,0)</f>
        <v>6.4140880319711799</v>
      </c>
      <c r="U43" s="165"/>
      <c r="V43" s="165">
        <f t="shared" si="1"/>
        <v>71.596659576859381</v>
      </c>
      <c r="W43" s="165">
        <f t="shared" si="2"/>
        <v>38.484528191827081</v>
      </c>
    </row>
    <row r="44" spans="1:23" s="13" customFormat="1">
      <c r="A44" s="102"/>
      <c r="B44" s="102"/>
      <c r="C44" s="102"/>
      <c r="D44" s="67" t="s">
        <v>52</v>
      </c>
      <c r="E44" s="67" t="s">
        <v>79</v>
      </c>
      <c r="F44" s="67" t="s">
        <v>147</v>
      </c>
      <c r="G44" s="102"/>
      <c r="H44" s="102"/>
      <c r="I44" s="165">
        <f>I$8*'假设-销售费用率'!K186</f>
        <v>3.693002343061079</v>
      </c>
      <c r="J44" s="165">
        <f>J$8*'假设-销售费用率'!L186</f>
        <v>2.6231006880000001</v>
      </c>
      <c r="K44" s="165">
        <f>K$8*'假设-销售费用率'!M186</f>
        <v>5.3584149352361914</v>
      </c>
      <c r="L44" s="165">
        <f>L$8*'假设-销售费用率'!N186</f>
        <v>2.9709087545849648</v>
      </c>
      <c r="M44" s="165">
        <f>M$8*'假设-销售费用率'!O186</f>
        <v>3.0571033180727083</v>
      </c>
      <c r="N44" s="165">
        <f>N$8*'假设-销售费用率'!P186</f>
        <v>4.5235343355542028</v>
      </c>
      <c r="O44" s="165">
        <f>O$8*'假设-销售费用率'!Q186</f>
        <v>2.2094851126425548</v>
      </c>
      <c r="P44" s="165">
        <f>P$8*'假设-销售费用率'!R186</f>
        <v>2.9550726815178212</v>
      </c>
      <c r="Q44" s="165">
        <f>Q$8*'假设-销售费用率'!S186</f>
        <v>3.7370303757040748</v>
      </c>
      <c r="R44" s="165">
        <f>R$8*'假设-销售费用率'!T186</f>
        <v>4.0416301751836059</v>
      </c>
      <c r="S44" s="165">
        <f>S$8*'假设-销售费用率'!U186</f>
        <v>4.909966916983457</v>
      </c>
      <c r="T44" s="165">
        <f>T$8*'假设-销售费用率'!V186</f>
        <v>4.1825644107636846</v>
      </c>
      <c r="U44" s="165"/>
      <c r="V44" s="165">
        <f t="shared" si="1"/>
        <v>44.261814047304341</v>
      </c>
      <c r="W44" s="165">
        <f t="shared" si="2"/>
        <v>22.035749672795198</v>
      </c>
    </row>
    <row r="45" spans="1:23">
      <c r="A45" s="69"/>
      <c r="B45" s="69"/>
      <c r="C45" s="69"/>
      <c r="D45" s="67" t="s">
        <v>52</v>
      </c>
      <c r="E45" s="67" t="s">
        <v>79</v>
      </c>
      <c r="F45" s="67" t="s">
        <v>148</v>
      </c>
      <c r="G45" s="69"/>
      <c r="H45" s="69"/>
      <c r="I45" s="165">
        <f>I$23*'假设-销售费用率'!K187</f>
        <v>0</v>
      </c>
      <c r="J45" s="165">
        <f>J$23*'假设-销售费用率'!L187</f>
        <v>0</v>
      </c>
      <c r="K45" s="165">
        <f>K$23*'假设-销售费用率'!M187</f>
        <v>0</v>
      </c>
      <c r="L45" s="165">
        <f>L$23*'假设-销售费用率'!N187</f>
        <v>0</v>
      </c>
      <c r="M45" s="165">
        <f>M$23*'假设-销售费用率'!O187</f>
        <v>0</v>
      </c>
      <c r="N45" s="165">
        <f>N$23*'假设-销售费用率'!P187</f>
        <v>0</v>
      </c>
      <c r="O45" s="165">
        <f>O$23*'假设-销售费用率'!Q187</f>
        <v>0</v>
      </c>
      <c r="P45" s="165">
        <f>P$23*'假设-销售费用率'!R187</f>
        <v>0</v>
      </c>
      <c r="Q45" s="165">
        <f>Q$23*'假设-销售费用率'!S187</f>
        <v>0</v>
      </c>
      <c r="R45" s="165">
        <f>R$23*'假设-销售费用率'!T187</f>
        <v>0</v>
      </c>
      <c r="S45" s="165">
        <f>S$23*'假设-销售费用率'!U187</f>
        <v>0</v>
      </c>
      <c r="T45" s="165">
        <f>T$23*'假设-销售费用率'!V187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102"/>
      <c r="C46" s="102"/>
      <c r="D46" s="67" t="s">
        <v>52</v>
      </c>
      <c r="E46" s="67" t="s">
        <v>79</v>
      </c>
      <c r="F46" s="67" t="s">
        <v>82</v>
      </c>
      <c r="G46" s="67"/>
      <c r="H46" s="67"/>
      <c r="I46" s="165">
        <f>I$8*'假设-销售费用率'!K188</f>
        <v>0</v>
      </c>
      <c r="J46" s="165">
        <f>J$8*'假设-销售费用率'!L188</f>
        <v>0</v>
      </c>
      <c r="K46" s="165">
        <f>K$8*'假设-销售费用率'!M188</f>
        <v>0</v>
      </c>
      <c r="L46" s="165">
        <f>L$8*'假设-销售费用率'!N188</f>
        <v>0</v>
      </c>
      <c r="M46" s="165">
        <f>M$8*'假设-销售费用率'!O188</f>
        <v>0</v>
      </c>
      <c r="N46" s="165">
        <f>N$8*'假设-销售费用率'!P188</f>
        <v>0</v>
      </c>
      <c r="O46" s="165">
        <f>O$8*'假设-销售费用率'!Q188</f>
        <v>0</v>
      </c>
      <c r="P46" s="165">
        <f>P$8*'假设-销售费用率'!R188</f>
        <v>0</v>
      </c>
      <c r="Q46" s="165">
        <f>Q$8*'假设-销售费用率'!S188</f>
        <v>0</v>
      </c>
      <c r="R46" s="165">
        <f>R$8*'假设-销售费用率'!T188</f>
        <v>0</v>
      </c>
      <c r="S46" s="165">
        <f>S$8*'假设-销售费用率'!U188</f>
        <v>0</v>
      </c>
      <c r="T46" s="165">
        <f>T$8*'假设-销售费用率'!V188</f>
        <v>0</v>
      </c>
      <c r="U46" s="165"/>
      <c r="V46" s="165">
        <f t="shared" si="1"/>
        <v>0</v>
      </c>
      <c r="W46" s="165">
        <f t="shared" si="2"/>
        <v>0</v>
      </c>
    </row>
    <row r="47" spans="1:23">
      <c r="A47" s="67"/>
      <c r="B47" s="67"/>
      <c r="C47" s="224"/>
      <c r="D47" s="224"/>
      <c r="E47" s="224"/>
      <c r="F47" s="224"/>
      <c r="G47" s="151" t="s">
        <v>373</v>
      </c>
      <c r="H47" s="67"/>
      <c r="I47" s="225">
        <f t="shared" ref="I47:T47" si="19">I$8-I$18-I$19</f>
        <v>76.422200591593082</v>
      </c>
      <c r="J47" s="225">
        <f t="shared" si="19"/>
        <v>61.400739518927509</v>
      </c>
      <c r="K47" s="225">
        <f t="shared" si="19"/>
        <v>-239.30808973648089</v>
      </c>
      <c r="L47" s="225">
        <f t="shared" si="19"/>
        <v>109.87981638918308</v>
      </c>
      <c r="M47" s="225">
        <f t="shared" si="19"/>
        <v>96.493390068257582</v>
      </c>
      <c r="N47" s="225">
        <f t="shared" si="19"/>
        <v>49.628920630270784</v>
      </c>
      <c r="O47" s="225">
        <f t="shared" si="19"/>
        <v>20.959683033204271</v>
      </c>
      <c r="P47" s="225">
        <f t="shared" si="19"/>
        <v>30.196922651905481</v>
      </c>
      <c r="Q47" s="225">
        <f t="shared" si="19"/>
        <v>39.88475932517747</v>
      </c>
      <c r="R47" s="225">
        <f t="shared" si="19"/>
        <v>43.658509657207901</v>
      </c>
      <c r="S47" s="225">
        <f t="shared" si="19"/>
        <v>54.416514335085424</v>
      </c>
      <c r="T47" s="225">
        <f t="shared" si="19"/>
        <v>45.404573243669631</v>
      </c>
      <c r="U47" s="165"/>
      <c r="V47" s="225">
        <f t="shared" si="1"/>
        <v>389.03793970800132</v>
      </c>
      <c r="W47" s="225">
        <f t="shared" si="2"/>
        <v>234.52096224625018</v>
      </c>
    </row>
    <row r="48" spans="1:23">
      <c r="B48" s="13"/>
      <c r="C48" s="13"/>
      <c r="I48" s="19"/>
      <c r="J48" s="19"/>
      <c r="K48" s="19"/>
      <c r="L48" s="19"/>
      <c r="M48" s="19"/>
      <c r="N48" s="19"/>
      <c r="O48" s="19">
        <f>O47/O7</f>
        <v>6.4989917455423124E-2</v>
      </c>
      <c r="P48" s="19"/>
      <c r="Q48" s="19"/>
      <c r="R48" s="19"/>
      <c r="S48" s="19"/>
      <c r="T48" s="19"/>
      <c r="U48" s="19"/>
      <c r="V48" s="19"/>
      <c r="W48" s="19"/>
    </row>
    <row r="49" spans="2:23">
      <c r="B49" s="13"/>
      <c r="C49" s="13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23">
      <c r="B50" s="13"/>
      <c r="C50" s="13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</row>
    <row r="51" spans="2:23">
      <c r="B51" s="13"/>
      <c r="C51" s="13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</row>
    <row r="52" spans="2:23">
      <c r="B52" s="13"/>
      <c r="C52" s="13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</row>
    <row r="53" spans="2:23">
      <c r="B53" s="13"/>
      <c r="C53" s="13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</row>
    <row r="54" spans="2:23">
      <c r="B54" s="13"/>
      <c r="C54" s="13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</row>
    <row r="55" spans="2:23">
      <c r="B55" s="13"/>
      <c r="C55" s="13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</row>
    <row r="56" spans="2:23">
      <c r="B56" s="13"/>
      <c r="C56" s="13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</row>
    <row r="57" spans="2:23">
      <c r="B57" s="13"/>
      <c r="C57" s="13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</row>
    <row r="58" spans="2:23"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</sheetData>
  <phoneticPr fontId="14" type="noConversion"/>
  <hyperlinks>
    <hyperlink ref="A1" location="'目录及说明'!A1" display="返回目录" xr:uid="{00000000-0004-0000-14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W46"/>
  <sheetViews>
    <sheetView showGridLines="0" topLeftCell="A4" zoomScale="107" zoomScaleNormal="100" workbookViewId="0">
      <selection activeCell="I13" sqref="I13"/>
    </sheetView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" style="16" customWidth="1"/>
    <col min="10" max="11" width="15.59765625" customWidth="1"/>
    <col min="12" max="12" width="12.796875" style="16" customWidth="1"/>
    <col min="13" max="14" width="15.59765625" customWidth="1"/>
    <col min="15" max="16" width="12.796875" style="16" customWidth="1"/>
    <col min="17" max="17" width="13" style="16" customWidth="1"/>
    <col min="18" max="20" width="13.796875" style="16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30"/>
      <c r="E2" s="192" t="s">
        <v>366</v>
      </c>
      <c r="F2" s="192"/>
      <c r="G2" s="192"/>
      <c r="H2" s="67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65"/>
      <c r="V2" s="171"/>
      <c r="W2" s="171"/>
    </row>
    <row r="3" spans="1:23">
      <c r="A3" s="67"/>
      <c r="B3" s="67" t="s">
        <v>374</v>
      </c>
      <c r="C3" s="67"/>
      <c r="D3" s="67"/>
      <c r="E3" s="214">
        <f>'假设-产品价值链定价'!L7</f>
        <v>2.1842009464870764</v>
      </c>
      <c r="F3" s="67"/>
      <c r="G3" s="67"/>
      <c r="H3" s="67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226"/>
      <c r="B6" s="227"/>
      <c r="C6" s="227"/>
      <c r="D6" s="227"/>
      <c r="E6" s="227"/>
      <c r="F6" s="227"/>
      <c r="G6" s="227"/>
      <c r="H6" s="226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47"/>
      <c r="B7" s="192" t="s">
        <v>110</v>
      </c>
      <c r="C7" s="129"/>
      <c r="D7" s="129"/>
      <c r="E7" s="192" t="s">
        <v>111</v>
      </c>
      <c r="F7" s="192" t="s">
        <v>112</v>
      </c>
      <c r="G7" s="192" t="s">
        <v>368</v>
      </c>
      <c r="H7" s="4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59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24.7803</v>
      </c>
      <c r="J8" s="218">
        <f t="shared" si="0"/>
        <v>7.8601000000000001</v>
      </c>
      <c r="K8" s="218">
        <f t="shared" si="0"/>
        <v>26.021881</v>
      </c>
      <c r="L8" s="218">
        <f t="shared" si="0"/>
        <v>17.22148</v>
      </c>
      <c r="M8" s="218">
        <f t="shared" si="0"/>
        <v>18.578579999999999</v>
      </c>
      <c r="N8" s="218">
        <f t="shared" si="0"/>
        <v>20.101900000000001</v>
      </c>
      <c r="O8" s="218">
        <f t="shared" si="0"/>
        <v>35.9514</v>
      </c>
      <c r="P8" s="218">
        <f t="shared" si="0"/>
        <v>34.632075</v>
      </c>
      <c r="Q8" s="218">
        <f t="shared" si="0"/>
        <v>32.628174999999999</v>
      </c>
      <c r="R8" s="218">
        <f t="shared" si="0"/>
        <v>29.928999999999998</v>
      </c>
      <c r="S8" s="218">
        <f t="shared" si="0"/>
        <v>35.200724999999998</v>
      </c>
      <c r="T8" s="218">
        <f t="shared" si="0"/>
        <v>32.198574999999998</v>
      </c>
      <c r="U8" s="165"/>
      <c r="V8" s="218">
        <f t="shared" ref="V8:V46" si="1">SUM(I8:T8)</f>
        <v>315.10419100000001</v>
      </c>
      <c r="W8" s="218">
        <f t="shared" ref="W8:W46" si="2">SUM(O8:T8)</f>
        <v>200.53995</v>
      </c>
    </row>
    <row r="9" spans="1:23">
      <c r="A9" s="59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>I16</f>
        <v>24.7803</v>
      </c>
      <c r="J9" s="165">
        <f t="shared" ref="J9:T9" si="3">J16</f>
        <v>7.8601000000000001</v>
      </c>
      <c r="K9" s="165">
        <f t="shared" si="3"/>
        <v>26.021881</v>
      </c>
      <c r="L9" s="165">
        <f t="shared" si="3"/>
        <v>17.22148</v>
      </c>
      <c r="M9" s="165">
        <f t="shared" si="3"/>
        <v>18.578579999999999</v>
      </c>
      <c r="N9" s="165">
        <f t="shared" si="3"/>
        <v>20.101900000000001</v>
      </c>
      <c r="O9" s="165">
        <f t="shared" si="3"/>
        <v>35.9514</v>
      </c>
      <c r="P9" s="165">
        <f t="shared" si="3"/>
        <v>34.632075</v>
      </c>
      <c r="Q9" s="165">
        <f t="shared" si="3"/>
        <v>32.628174999999999</v>
      </c>
      <c r="R9" s="165">
        <f t="shared" si="3"/>
        <v>29.928999999999998</v>
      </c>
      <c r="S9" s="165">
        <f t="shared" si="3"/>
        <v>35.200724999999998</v>
      </c>
      <c r="T9" s="165">
        <f t="shared" si="3"/>
        <v>32.198574999999998</v>
      </c>
      <c r="U9" s="165"/>
      <c r="V9" s="165">
        <f t="shared" si="1"/>
        <v>315.10419100000001</v>
      </c>
      <c r="W9" s="165">
        <f t="shared" si="2"/>
        <v>200.53995</v>
      </c>
    </row>
    <row r="10" spans="1:23">
      <c r="A10" s="47"/>
      <c r="B10" s="102"/>
      <c r="C10" s="102"/>
      <c r="D10" s="67"/>
      <c r="E10" s="67"/>
      <c r="F10" s="67" t="s">
        <v>374</v>
      </c>
      <c r="G10" s="178">
        <v>1</v>
      </c>
      <c r="H10" s="47"/>
      <c r="I10" s="165">
        <f t="shared" ref="I10:T10" si="4">I$9*$G10</f>
        <v>24.7803</v>
      </c>
      <c r="J10" s="165">
        <f t="shared" si="4"/>
        <v>7.8601000000000001</v>
      </c>
      <c r="K10" s="165">
        <f t="shared" si="4"/>
        <v>26.021881</v>
      </c>
      <c r="L10" s="165">
        <f t="shared" si="4"/>
        <v>17.22148</v>
      </c>
      <c r="M10" s="165">
        <f t="shared" si="4"/>
        <v>18.578579999999999</v>
      </c>
      <c r="N10" s="165">
        <f t="shared" si="4"/>
        <v>20.101900000000001</v>
      </c>
      <c r="O10" s="165">
        <f t="shared" si="4"/>
        <v>35.9514</v>
      </c>
      <c r="P10" s="165">
        <f t="shared" si="4"/>
        <v>34.632075</v>
      </c>
      <c r="Q10" s="165">
        <f t="shared" si="4"/>
        <v>32.628174999999999</v>
      </c>
      <c r="R10" s="165">
        <f t="shared" si="4"/>
        <v>29.928999999999998</v>
      </c>
      <c r="S10" s="165">
        <f t="shared" si="4"/>
        <v>35.200724999999998</v>
      </c>
      <c r="T10" s="165">
        <f t="shared" si="4"/>
        <v>32.198574999999998</v>
      </c>
      <c r="U10" s="165"/>
      <c r="V10" s="165">
        <f t="shared" si="1"/>
        <v>315.10419100000001</v>
      </c>
      <c r="W10" s="165">
        <f t="shared" si="2"/>
        <v>200.53995</v>
      </c>
    </row>
    <row r="11" spans="1:23">
      <c r="A11" s="59"/>
      <c r="B11" s="102"/>
      <c r="C11" s="102"/>
      <c r="D11" s="67"/>
      <c r="E11" s="67"/>
      <c r="F11" s="67"/>
      <c r="G11" s="178">
        <v>0</v>
      </c>
      <c r="H11" s="59"/>
      <c r="I11" s="165">
        <f>0</f>
        <v>0</v>
      </c>
      <c r="J11" s="165">
        <f>0</f>
        <v>0</v>
      </c>
      <c r="K11" s="165">
        <f>0</f>
        <v>0</v>
      </c>
      <c r="L11" s="165">
        <f>0</f>
        <v>0</v>
      </c>
      <c r="M11" s="165">
        <f>0</f>
        <v>0</v>
      </c>
      <c r="N11" s="165">
        <f>0</f>
        <v>0</v>
      </c>
      <c r="O11" s="165">
        <f>0</f>
        <v>0</v>
      </c>
      <c r="P11" s="165">
        <f>0</f>
        <v>0</v>
      </c>
      <c r="Q11" s="165">
        <f>0</f>
        <v>0</v>
      </c>
      <c r="R11" s="165">
        <f>0</f>
        <v>0</v>
      </c>
      <c r="S11" s="165">
        <f>0</f>
        <v>0</v>
      </c>
      <c r="T11" s="165">
        <f>0</f>
        <v>0</v>
      </c>
      <c r="U11" s="165"/>
      <c r="V11" s="165">
        <f t="shared" si="1"/>
        <v>0</v>
      </c>
      <c r="W11" s="165">
        <f t="shared" si="2"/>
        <v>0</v>
      </c>
    </row>
    <row r="12" spans="1:23">
      <c r="A12" s="47"/>
      <c r="B12" s="102"/>
      <c r="C12" s="102"/>
      <c r="D12" s="67"/>
      <c r="E12" s="67"/>
      <c r="F12" s="67"/>
      <c r="G12" s="178">
        <v>0</v>
      </c>
      <c r="H12" s="47"/>
      <c r="I12" s="165">
        <f>0</f>
        <v>0</v>
      </c>
      <c r="J12" s="165">
        <f>0</f>
        <v>0</v>
      </c>
      <c r="K12" s="165">
        <f>0</f>
        <v>0</v>
      </c>
      <c r="L12" s="165">
        <f>0</f>
        <v>0</v>
      </c>
      <c r="M12" s="165">
        <f>0</f>
        <v>0</v>
      </c>
      <c r="N12" s="165">
        <f>0</f>
        <v>0</v>
      </c>
      <c r="O12" s="165">
        <f>0</f>
        <v>0</v>
      </c>
      <c r="P12" s="165">
        <f>0</f>
        <v>0</v>
      </c>
      <c r="Q12" s="165">
        <f>0</f>
        <v>0</v>
      </c>
      <c r="R12" s="165">
        <f>0</f>
        <v>0</v>
      </c>
      <c r="S12" s="165">
        <f>0</f>
        <v>0</v>
      </c>
      <c r="T12" s="165">
        <f>0</f>
        <v>0</v>
      </c>
      <c r="U12" s="165"/>
      <c r="V12" s="165">
        <f t="shared" si="1"/>
        <v>0</v>
      </c>
      <c r="W12" s="165">
        <f t="shared" si="2"/>
        <v>0</v>
      </c>
    </row>
    <row r="13" spans="1:23" s="13" customFormat="1">
      <c r="A13" s="59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219">
        <f>0</f>
        <v>0</v>
      </c>
      <c r="J13" s="219">
        <f>0</f>
        <v>0</v>
      </c>
      <c r="K13" s="219">
        <f>0</f>
        <v>0</v>
      </c>
      <c r="L13" s="219">
        <f>0</f>
        <v>0</v>
      </c>
      <c r="M13" s="219">
        <f>0</f>
        <v>0</v>
      </c>
      <c r="N13" s="219">
        <f>0</f>
        <v>0</v>
      </c>
      <c r="O13" s="219">
        <v>35.9514</v>
      </c>
      <c r="P13" s="219">
        <v>34.632075</v>
      </c>
      <c r="Q13" s="219">
        <v>32.628174999999999</v>
      </c>
      <c r="R13" s="219">
        <v>29.928999999999998</v>
      </c>
      <c r="S13" s="219">
        <v>35.200724999999998</v>
      </c>
      <c r="T13" s="219">
        <v>32.198574999999998</v>
      </c>
      <c r="U13" s="219"/>
      <c r="V13" s="219">
        <f t="shared" si="1"/>
        <v>200.53995</v>
      </c>
      <c r="W13" s="219">
        <f t="shared" si="2"/>
        <v>200.53995</v>
      </c>
    </row>
    <row r="14" spans="1:23">
      <c r="A14" s="59"/>
      <c r="B14" s="102"/>
      <c r="C14" s="102"/>
      <c r="D14" s="67"/>
      <c r="E14" s="79"/>
      <c r="F14" s="67" t="s">
        <v>371</v>
      </c>
      <c r="G14" s="67"/>
      <c r="H14" s="67"/>
      <c r="I14" s="220">
        <f t="shared" ref="I14:T14" si="5">IFERROR(I$13/$V$13,0)</f>
        <v>0</v>
      </c>
      <c r="J14" s="220">
        <f t="shared" si="5"/>
        <v>0</v>
      </c>
      <c r="K14" s="220">
        <f t="shared" si="5"/>
        <v>0</v>
      </c>
      <c r="L14" s="220">
        <f t="shared" si="5"/>
        <v>0</v>
      </c>
      <c r="M14" s="220">
        <f t="shared" si="5"/>
        <v>0</v>
      </c>
      <c r="N14" s="220">
        <f t="shared" si="5"/>
        <v>0</v>
      </c>
      <c r="O14" s="220">
        <f t="shared" si="5"/>
        <v>0.17927300769746876</v>
      </c>
      <c r="P14" s="220">
        <f t="shared" si="5"/>
        <v>0.17269414398477709</v>
      </c>
      <c r="Q14" s="220">
        <f t="shared" si="5"/>
        <v>0.16270162129790097</v>
      </c>
      <c r="R14" s="220">
        <f t="shared" si="5"/>
        <v>0.14924208368457256</v>
      </c>
      <c r="S14" s="220">
        <f t="shared" si="5"/>
        <v>0.17552973858824636</v>
      </c>
      <c r="T14" s="220">
        <f t="shared" si="5"/>
        <v>0.16055940474703417</v>
      </c>
      <c r="U14" s="155"/>
      <c r="V14" s="220">
        <f t="shared" si="1"/>
        <v>1</v>
      </c>
      <c r="W14" s="220">
        <f t="shared" si="2"/>
        <v>1</v>
      </c>
    </row>
    <row r="15" spans="1:23">
      <c r="A15" s="59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B$6:$B$532,"私域",'参考值-平台费用率分析'!$C$6:$C$532,"主营业务收入",'参考值-平台费用率分析'!$E$6:$E$532,"主营业务收入",'参考值-平台费用率分析'!$I$6:$I$532,"&lt;&gt;")=0,"",SUMIFS('参考值-平台费用率分析'!$I$6:$I$532,'参考值-平台费用率分析'!$B$6:$B$532,"私域",'参考值-平台费用率分析'!$C$6:$C$532,"主营业务收入",'参考值-平台费用率分析'!$E$6:$E$532,"主营业务收入")/10000)</f>
        <v>24.7803</v>
      </c>
      <c r="J15" s="165">
        <f>IF(COUNTIFS('参考值-平台费用率分析'!$B$6:$B$532,"私域",'参考值-平台费用率分析'!$C$6:$C$532,"主营业务收入",'参考值-平台费用率分析'!$E$6:$E$532,"主营业务收入",'参考值-平台费用率分析'!$L$6:$L$532,"&lt;&gt;")=0,"",SUMIFS('参考值-平台费用率分析'!$L$6:$L$532,'参考值-平台费用率分析'!$B$6:$B$532,"私域",'参考值-平台费用率分析'!$C$6:$C$532,"主营业务收入",'参考值-平台费用率分析'!$E$6:$E$532,"主营业务收入")/10000)</f>
        <v>7.8601000000000001</v>
      </c>
      <c r="K15" s="165">
        <f>IF(COUNTIFS('参考值-平台费用率分析'!$B$6:$B$532,"私域",'参考值-平台费用率分析'!$C$6:$C$532,"主营业务收入",'参考值-平台费用率分析'!$E$6:$E$532,"主营业务收入",'参考值-平台费用率分析'!$O$6:$O$532,"&lt;&gt;")=0,"",SUMIFS('参考值-平台费用率分析'!$O$6:$O$532,'参考值-平台费用率分析'!$B$6:$B$532,"私域",'参考值-平台费用率分析'!$C$6:$C$532,"主营业务收入",'参考值-平台费用率分析'!$E$6:$E$532,"主营业务收入")/10000)</f>
        <v>26.021881</v>
      </c>
      <c r="L15" s="165">
        <f>IF(COUNTIFS('参考值-平台费用率分析'!$B$6:$B$532,"私域",'参考值-平台费用率分析'!$C$6:$C$532,"主营业务收入",'参考值-平台费用率分析'!$E$6:$E$532,"主营业务收入",'参考值-平台费用率分析'!$R$6:$R$532,"&lt;&gt;")=0,"",SUMIFS('参考值-平台费用率分析'!$R$6:$R$532,'参考值-平台费用率分析'!$B$6:$B$532,"私域",'参考值-平台费用率分析'!$C$6:$C$532,"主营业务收入",'参考值-平台费用率分析'!$E$6:$E$532,"主营业务收入")/10000)</f>
        <v>17.22148</v>
      </c>
      <c r="M15" s="165">
        <f>IF(COUNTIFS('参考值-平台费用率分析'!$B$6:$B$532,"私域",'参考值-平台费用率分析'!$C$6:$C$532,"主营业务收入",'参考值-平台费用率分析'!$E$6:$E$532,"主营业务收入",'参考值-平台费用率分析'!$U$6:$U$532,"&lt;&gt;")=0,"",SUMIFS('参考值-平台费用率分析'!$U$6:$U$532,'参考值-平台费用率分析'!$B$6:$B$532,"私域",'参考值-平台费用率分析'!$C$6:$C$532,"主营业务收入",'参考值-平台费用率分析'!$E$6:$E$532,"主营业务收入")/10000)</f>
        <v>18.578579999999999</v>
      </c>
      <c r="N15" s="165">
        <f>IF(COUNTIFS('参考值-平台费用率分析'!$B$6:$B$532,"私域",'参考值-平台费用率分析'!$C$6:$C$532,"主营业务收入",'参考值-平台费用率分析'!$E$6:$E$532,"主营业务收入",'参考值-平台费用率分析'!$X$6:$X$532,"&lt;&gt;")=0,"",SUMIFS('参考值-平台费用率分析'!$X$6:$X$532,'参考值-平台费用率分析'!$B$6:$B$532,"私域",'参考值-平台费用率分析'!$C$6:$C$532,"主营业务收入",'参考值-平台费用率分析'!$E$6:$E$532,"主营业务收入")/10000)</f>
        <v>20.101900000000001</v>
      </c>
      <c r="O15" s="165" t="str">
        <f>IF(COUNTIFS('参考值-平台费用率分析'!$B$6:$B$532,"私域",'参考值-平台费用率分析'!$C$6:$C$532,"主营业务收入",'参考值-平台费用率分析'!$E$6:$E$532,"主营业务收入",'参考值-平台费用率分析'!$AD$6:$AD$532,"&lt;&gt;")=0,"",SUMIFS('参考值-平台费用率分析'!$AD$6:$AD$532,'参考值-平台费用率分析'!$B$6:$B$532,"私域",'参考值-平台费用率分析'!$C$6:$C$532,"主营业务收入",'参考值-平台费用率分析'!$E$6:$E$532,"主营业务收入")/10000)</f>
        <v/>
      </c>
      <c r="P15" s="165" t="str">
        <f>IF(COUNTIFS('参考值-平台费用率分析'!$B$6:$B$532,"私域",'参考值-平台费用率分析'!$C$6:$C$532,"主营业务收入",'参考值-平台费用率分析'!$E$6:$E$532,"主营业务收入",'参考值-平台费用率分析'!$AH$6:$AH$532,"&lt;&gt;")=0,"",SUMIFS('参考值-平台费用率分析'!$AH$6:$AH$532,'参考值-平台费用率分析'!$B$6:$B$532,"私域",'参考值-平台费用率分析'!$C$6:$C$532,"主营业务收入",'参考值-平台费用率分析'!$E$6:$E$532,"主营业务收入")/10000)</f>
        <v/>
      </c>
      <c r="Q15" s="165" t="str">
        <f>IF(COUNTIFS('参考值-平台费用率分析'!$B$6:$B$532,"私域",'参考值-平台费用率分析'!$C$6:$C$532,"主营业务收入",'参考值-平台费用率分析'!$E$6:$E$532,"主营业务收入",'参考值-平台费用率分析'!$AL$6:$AL$532,"&lt;&gt;")=0,"",SUMIFS('参考值-平台费用率分析'!$AL$6:$AL$532,'参考值-平台费用率分析'!$B$6:$B$532,"私域",'参考值-平台费用率分析'!$C$6:$C$532,"主营业务收入",'参考值-平台费用率分析'!$E$6:$E$532,"主营业务收入")/10000)</f>
        <v/>
      </c>
      <c r="R15" s="165" t="str">
        <f>IF(COUNTIFS('参考值-平台费用率分析'!$B$6:$B$532,"私域",'参考值-平台费用率分析'!$C$6:$C$532,"主营业务收入",'参考值-平台费用率分析'!$E$6:$E$532,"主营业务收入",'参考值-平台费用率分析'!$AP$6:$AP$532,"&lt;&gt;")=0,"",SUMIFS('参考值-平台费用率分析'!$AP$6:$AP$532,'参考值-平台费用率分析'!$B$6:$B$532,"私域",'参考值-平台费用率分析'!$C$6:$C$532,"主营业务收入",'参考值-平台费用率分析'!$E$6:$E$532,"主营业务收入")/10000)</f>
        <v/>
      </c>
      <c r="S15" s="165" t="str">
        <f>IF(COUNTIFS('参考值-平台费用率分析'!$B$6:$B$532,"私域",'参考值-平台费用率分析'!$C$6:$C$532,"主营业务收入",'参考值-平台费用率分析'!$E$6:$E$532,"主营业务收入",'参考值-平台费用率分析'!$AT$6:$AT$532,"&lt;&gt;")=0,"",SUMIFS('参考值-平台费用率分析'!$AT$6:$AT$532,'参考值-平台费用率分析'!$B$6:$B$532,"私域",'参考值-平台费用率分析'!$C$6:$C$532,"主营业务收入",'参考值-平台费用率分析'!$E$6:$E$532,"主营业务收入")/10000)</f>
        <v/>
      </c>
      <c r="T15" s="165" t="str">
        <f>IF(COUNTIFS('参考值-平台费用率分析'!$B$6:$B$532,"私域",'参考值-平台费用率分析'!$C$6:$C$532,"主营业务收入",'参考值-平台费用率分析'!$E$6:$E$532,"主营业务收入",'参考值-平台费用率分析'!$AX$6:$AX$532,"&lt;&gt;")=0,"",SUMIFS('参考值-平台费用率分析'!$AX$6:$AX$532,'参考值-平台费用率分析'!$B$6:$B$532,"私域",'参考值-平台费用率分析'!$C$6:$C$532,"主营业务收入",'参考值-平台费用率分析'!$E$6:$E$532,"主营业务收入")/10000)</f>
        <v/>
      </c>
      <c r="U15" s="67"/>
      <c r="V15" s="165">
        <f t="shared" si="1"/>
        <v>114.564241</v>
      </c>
      <c r="W15" s="165">
        <f t="shared" si="2"/>
        <v>0</v>
      </c>
    </row>
    <row r="16" spans="1:23" s="13" customFormat="1">
      <c r="A16" s="59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21">
        <f t="shared" ref="I16:T16" si="6">IF(ISNUMBER(I$15),I$15,I$13*IFERROR(SUM($I$15:$T$15)/SUMPRODUCT(($I$15:$T$15&lt;&gt;"")*$I$13:$T$13),1))</f>
        <v>24.7803</v>
      </c>
      <c r="J16" s="221">
        <f t="shared" si="6"/>
        <v>7.8601000000000001</v>
      </c>
      <c r="K16" s="221">
        <f t="shared" si="6"/>
        <v>26.021881</v>
      </c>
      <c r="L16" s="221">
        <f t="shared" si="6"/>
        <v>17.22148</v>
      </c>
      <c r="M16" s="221">
        <f t="shared" si="6"/>
        <v>18.578579999999999</v>
      </c>
      <c r="N16" s="221">
        <f t="shared" si="6"/>
        <v>20.101900000000001</v>
      </c>
      <c r="O16" s="221">
        <f t="shared" si="6"/>
        <v>35.9514</v>
      </c>
      <c r="P16" s="221">
        <f t="shared" si="6"/>
        <v>34.632075</v>
      </c>
      <c r="Q16" s="221">
        <f t="shared" si="6"/>
        <v>32.628174999999999</v>
      </c>
      <c r="R16" s="221">
        <f t="shared" si="6"/>
        <v>29.928999999999998</v>
      </c>
      <c r="S16" s="221">
        <f t="shared" si="6"/>
        <v>35.200724999999998</v>
      </c>
      <c r="T16" s="221">
        <f t="shared" si="6"/>
        <v>32.198574999999998</v>
      </c>
      <c r="U16" s="219"/>
      <c r="V16" s="219">
        <f t="shared" si="1"/>
        <v>315.10419100000001</v>
      </c>
      <c r="W16" s="219">
        <f t="shared" si="2"/>
        <v>200.53995</v>
      </c>
    </row>
    <row r="17" spans="1:23">
      <c r="A17" s="47"/>
      <c r="B17" s="102"/>
      <c r="C17" s="102"/>
      <c r="D17" s="67"/>
      <c r="E17" s="79" t="s">
        <v>165</v>
      </c>
      <c r="F17" s="67" t="s">
        <v>808</v>
      </c>
      <c r="G17" s="67"/>
      <c r="H17" s="67"/>
      <c r="I17" s="165">
        <f t="shared" ref="I17:T17" si="7">IF(ISNUMBER(I$15),I$15,IFERROR(I$13+(SUMPRODUCT(($I$15:$T$15&lt;&gt;"")*$I$13:$T$13)-SUM($I$15:$T$15))*(I$14/(SUMPRODUCT(($I$15:$T$15="")*$I$14:$T$14))),I$13))</f>
        <v>24.7803</v>
      </c>
      <c r="J17" s="165">
        <f t="shared" si="7"/>
        <v>7.8601000000000001</v>
      </c>
      <c r="K17" s="165">
        <f t="shared" si="7"/>
        <v>26.021881</v>
      </c>
      <c r="L17" s="165">
        <f t="shared" si="7"/>
        <v>17.22148</v>
      </c>
      <c r="M17" s="165">
        <f t="shared" si="7"/>
        <v>18.578579999999999</v>
      </c>
      <c r="N17" s="165">
        <f t="shared" si="7"/>
        <v>20.101900000000001</v>
      </c>
      <c r="O17" s="165">
        <f t="shared" si="7"/>
        <v>15.413123941352335</v>
      </c>
      <c r="P17" s="165">
        <f t="shared" si="7"/>
        <v>14.847501469239297</v>
      </c>
      <c r="Q17" s="165">
        <f t="shared" si="7"/>
        <v>13.98838724653654</v>
      </c>
      <c r="R17" s="165">
        <f t="shared" si="7"/>
        <v>12.83119395741846</v>
      </c>
      <c r="S17" s="165">
        <f t="shared" si="7"/>
        <v>15.091293725709143</v>
      </c>
      <c r="T17" s="165">
        <f t="shared" si="7"/>
        <v>13.804208659744234</v>
      </c>
      <c r="U17" s="165"/>
      <c r="V17" s="165">
        <f t="shared" si="1"/>
        <v>200.53995</v>
      </c>
      <c r="W17" s="165">
        <f t="shared" si="2"/>
        <v>85.975709000000023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0</v>
      </c>
      <c r="J18" s="218">
        <f t="shared" si="8"/>
        <v>0</v>
      </c>
      <c r="K18" s="218">
        <f t="shared" si="8"/>
        <v>0</v>
      </c>
      <c r="L18" s="218">
        <f t="shared" si="8"/>
        <v>0</v>
      </c>
      <c r="M18" s="218">
        <f t="shared" si="8"/>
        <v>0</v>
      </c>
      <c r="N18" s="218">
        <f t="shared" si="8"/>
        <v>0</v>
      </c>
      <c r="O18" s="218">
        <f t="shared" si="8"/>
        <v>14.265523664122099</v>
      </c>
      <c r="P18" s="218">
        <f t="shared" si="8"/>
        <v>13.700988778626</v>
      </c>
      <c r="Q18" s="218">
        <f t="shared" si="8"/>
        <v>12.871100025445299</v>
      </c>
      <c r="R18" s="218">
        <f t="shared" si="8"/>
        <v>11.8094300254453</v>
      </c>
      <c r="S18" s="218">
        <f t="shared" si="8"/>
        <v>13.875195038167901</v>
      </c>
      <c r="T18" s="218">
        <f t="shared" si="8"/>
        <v>12.6987800254453</v>
      </c>
      <c r="U18" s="165"/>
      <c r="V18" s="218">
        <f t="shared" si="1"/>
        <v>79.221017557251898</v>
      </c>
      <c r="W18" s="218">
        <f t="shared" si="2"/>
        <v>79.221017557251898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0</f>
        <v>0</v>
      </c>
      <c r="J19" s="165">
        <f>0</f>
        <v>0</v>
      </c>
      <c r="K19" s="165">
        <f>0</f>
        <v>0</v>
      </c>
      <c r="L19" s="165">
        <f>0</f>
        <v>0</v>
      </c>
      <c r="M19" s="165">
        <f>0</f>
        <v>0</v>
      </c>
      <c r="N19" s="165">
        <f>0</f>
        <v>0</v>
      </c>
      <c r="O19" s="165">
        <v>14.265523664122099</v>
      </c>
      <c r="P19" s="165">
        <v>13.700988778626</v>
      </c>
      <c r="Q19" s="165">
        <v>12.871100025445299</v>
      </c>
      <c r="R19" s="165">
        <v>11.8094300254453</v>
      </c>
      <c r="S19" s="165">
        <v>13.875195038167901</v>
      </c>
      <c r="T19" s="165">
        <v>12.6987800254453</v>
      </c>
      <c r="U19" s="219"/>
      <c r="V19" s="165">
        <f t="shared" si="1"/>
        <v>79.221017557251898</v>
      </c>
      <c r="W19" s="165">
        <f t="shared" si="2"/>
        <v>79.221017557251898</v>
      </c>
    </row>
    <row r="20" spans="1:23" s="13" customFormat="1">
      <c r="A20" s="47"/>
      <c r="B20" s="217" t="s">
        <v>52</v>
      </c>
      <c r="C20" s="217"/>
      <c r="D20" s="217"/>
      <c r="E20" s="217"/>
      <c r="F20" s="217"/>
      <c r="G20" s="217"/>
      <c r="H20" s="102"/>
      <c r="I20" s="218">
        <f t="shared" ref="I20:T20" si="9">I$21+I$27+I$32+I$36+I$41</f>
        <v>0</v>
      </c>
      <c r="J20" s="218">
        <f t="shared" si="9"/>
        <v>0</v>
      </c>
      <c r="K20" s="218">
        <f t="shared" si="9"/>
        <v>0</v>
      </c>
      <c r="L20" s="218">
        <f t="shared" si="9"/>
        <v>0</v>
      </c>
      <c r="M20" s="218">
        <f t="shared" si="9"/>
        <v>0</v>
      </c>
      <c r="N20" s="218">
        <f t="shared" si="9"/>
        <v>0</v>
      </c>
      <c r="O20" s="218">
        <f t="shared" si="9"/>
        <v>13.65288326666667</v>
      </c>
      <c r="P20" s="218">
        <f t="shared" si="9"/>
        <v>14.179216925</v>
      </c>
      <c r="Q20" s="218">
        <f t="shared" si="9"/>
        <v>14.966752825</v>
      </c>
      <c r="R20" s="218">
        <f t="shared" si="9"/>
        <v>13.273550999999999</v>
      </c>
      <c r="S20" s="218">
        <f t="shared" si="9"/>
        <v>15.762886275</v>
      </c>
      <c r="T20" s="218">
        <f t="shared" si="9"/>
        <v>14.473630425</v>
      </c>
      <c r="U20" s="165"/>
      <c r="V20" s="218">
        <f t="shared" si="1"/>
        <v>86.308920716666663</v>
      </c>
      <c r="W20" s="218">
        <f t="shared" si="2"/>
        <v>86.308920716666663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SUM(I$22:I$26)</f>
        <v>0</v>
      </c>
      <c r="J21" s="223">
        <f t="shared" si="10"/>
        <v>0</v>
      </c>
      <c r="K21" s="223">
        <f t="shared" si="10"/>
        <v>0</v>
      </c>
      <c r="L21" s="223">
        <f t="shared" si="10"/>
        <v>0</v>
      </c>
      <c r="M21" s="223">
        <f t="shared" si="10"/>
        <v>0</v>
      </c>
      <c r="N21" s="223">
        <f t="shared" si="10"/>
        <v>0</v>
      </c>
      <c r="O21" s="223">
        <f t="shared" si="10"/>
        <v>6.976</v>
      </c>
      <c r="P21" s="223">
        <f t="shared" si="10"/>
        <v>7.1379999999999999</v>
      </c>
      <c r="Q21" s="223">
        <f t="shared" si="10"/>
        <v>7.9240000000000004</v>
      </c>
      <c r="R21" s="223">
        <f t="shared" si="10"/>
        <v>6.5279999999999996</v>
      </c>
      <c r="S21" s="223">
        <f t="shared" si="10"/>
        <v>8.39</v>
      </c>
      <c r="T21" s="223">
        <f t="shared" si="10"/>
        <v>7.4580000000000002</v>
      </c>
      <c r="U21" s="165"/>
      <c r="V21" s="223">
        <f t="shared" si="1"/>
        <v>44.414000000000001</v>
      </c>
      <c r="W21" s="223">
        <f t="shared" si="2"/>
        <v>44.414000000000001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375</v>
      </c>
      <c r="G22" s="67"/>
      <c r="H22" s="67"/>
      <c r="I22" s="165">
        <f>0</f>
        <v>0</v>
      </c>
      <c r="J22" s="165">
        <f>0</f>
        <v>0</v>
      </c>
      <c r="K22" s="165">
        <f>0</f>
        <v>0</v>
      </c>
      <c r="L22" s="165">
        <f>0</f>
        <v>0</v>
      </c>
      <c r="M22" s="165">
        <f>0</f>
        <v>0</v>
      </c>
      <c r="N22" s="165">
        <f>0</f>
        <v>0</v>
      </c>
      <c r="O22" s="165">
        <v>6.976</v>
      </c>
      <c r="P22" s="165">
        <v>7.1379999999999999</v>
      </c>
      <c r="Q22" s="165">
        <v>7.9240000000000004</v>
      </c>
      <c r="R22" s="165">
        <v>6.5279999999999996</v>
      </c>
      <c r="S22" s="165">
        <v>8.39</v>
      </c>
      <c r="T22" s="165">
        <v>7.4580000000000002</v>
      </c>
      <c r="U22" s="165"/>
      <c r="V22" s="165">
        <f t="shared" si="1"/>
        <v>44.414000000000001</v>
      </c>
      <c r="W22" s="165">
        <f t="shared" si="2"/>
        <v>44.414000000000001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>
        <f>0</f>
        <v>0</v>
      </c>
      <c r="J23" s="165">
        <f>0</f>
        <v>0</v>
      </c>
      <c r="K23" s="165">
        <f>0</f>
        <v>0</v>
      </c>
      <c r="L23" s="165">
        <f>0</f>
        <v>0</v>
      </c>
      <c r="M23" s="165">
        <f>0</f>
        <v>0</v>
      </c>
      <c r="N23" s="165">
        <f>0</f>
        <v>0</v>
      </c>
      <c r="O23" s="165">
        <f>0</f>
        <v>0</v>
      </c>
      <c r="P23" s="165">
        <f>0</f>
        <v>0</v>
      </c>
      <c r="Q23" s="165">
        <f>0</f>
        <v>0</v>
      </c>
      <c r="R23" s="165">
        <f>0</f>
        <v>0</v>
      </c>
      <c r="S23" s="165">
        <f>0</f>
        <v>0</v>
      </c>
      <c r="T23" s="165">
        <f>0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>
        <f>0</f>
        <v>0</v>
      </c>
      <c r="J24" s="165">
        <f>0</f>
        <v>0</v>
      </c>
      <c r="K24" s="165">
        <f>0</f>
        <v>0</v>
      </c>
      <c r="L24" s="165">
        <f>0</f>
        <v>0</v>
      </c>
      <c r="M24" s="165">
        <f>0</f>
        <v>0</v>
      </c>
      <c r="N24" s="165">
        <f>0</f>
        <v>0</v>
      </c>
      <c r="O24" s="165">
        <f>0</f>
        <v>0</v>
      </c>
      <c r="P24" s="165">
        <f>0</f>
        <v>0</v>
      </c>
      <c r="Q24" s="165">
        <f>0</f>
        <v>0</v>
      </c>
      <c r="R24" s="165">
        <f>0</f>
        <v>0</v>
      </c>
      <c r="S24" s="165">
        <f>0</f>
        <v>0</v>
      </c>
      <c r="T24" s="165">
        <f>0</f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>
        <f>0</f>
        <v>0</v>
      </c>
      <c r="J25" s="165">
        <f>0</f>
        <v>0</v>
      </c>
      <c r="K25" s="165">
        <f>0</f>
        <v>0</v>
      </c>
      <c r="L25" s="165">
        <f>0</f>
        <v>0</v>
      </c>
      <c r="M25" s="165">
        <f>0</f>
        <v>0</v>
      </c>
      <c r="N25" s="165">
        <f>0</f>
        <v>0</v>
      </c>
      <c r="O25" s="165">
        <f>0</f>
        <v>0</v>
      </c>
      <c r="P25" s="165">
        <f>0</f>
        <v>0</v>
      </c>
      <c r="Q25" s="165">
        <f>0</f>
        <v>0</v>
      </c>
      <c r="R25" s="165">
        <f>0</f>
        <v>0</v>
      </c>
      <c r="S25" s="165">
        <f>0</f>
        <v>0</v>
      </c>
      <c r="T25" s="165">
        <f>0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0</f>
        <v>0</v>
      </c>
      <c r="J26" s="165">
        <f>0</f>
        <v>0</v>
      </c>
      <c r="K26" s="165">
        <f>0</f>
        <v>0</v>
      </c>
      <c r="L26" s="165">
        <f>0</f>
        <v>0</v>
      </c>
      <c r="M26" s="165">
        <f>0</f>
        <v>0</v>
      </c>
      <c r="N26" s="165">
        <f>0</f>
        <v>0</v>
      </c>
      <c r="O26" s="165">
        <f>0</f>
        <v>0</v>
      </c>
      <c r="P26" s="165">
        <f>0</f>
        <v>0</v>
      </c>
      <c r="Q26" s="165">
        <f>0</f>
        <v>0</v>
      </c>
      <c r="R26" s="165">
        <f>0</f>
        <v>0</v>
      </c>
      <c r="S26" s="165">
        <f>0</f>
        <v>0</v>
      </c>
      <c r="T26" s="165">
        <f>0</f>
        <v>0</v>
      </c>
      <c r="U26" s="165"/>
      <c r="V26" s="165">
        <f t="shared" si="1"/>
        <v>0</v>
      </c>
      <c r="W26" s="165">
        <f t="shared" si="2"/>
        <v>0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SUM(I$28:I$31)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0</v>
      </c>
      <c r="P27" s="223">
        <f t="shared" si="11"/>
        <v>0</v>
      </c>
      <c r="Q27" s="223">
        <f t="shared" si="11"/>
        <v>0</v>
      </c>
      <c r="R27" s="223">
        <f t="shared" si="11"/>
        <v>0</v>
      </c>
      <c r="S27" s="223">
        <f t="shared" si="11"/>
        <v>0</v>
      </c>
      <c r="T27" s="223">
        <f t="shared" si="11"/>
        <v>0</v>
      </c>
      <c r="U27" s="165"/>
      <c r="V27" s="223">
        <f t="shared" si="1"/>
        <v>0</v>
      </c>
      <c r="W27" s="223">
        <f t="shared" si="2"/>
        <v>0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>
        <f>0</f>
        <v>0</v>
      </c>
      <c r="J28" s="165">
        <f>0</f>
        <v>0</v>
      </c>
      <c r="K28" s="165">
        <f>0</f>
        <v>0</v>
      </c>
      <c r="L28" s="165">
        <f>0</f>
        <v>0</v>
      </c>
      <c r="M28" s="165">
        <f>0</f>
        <v>0</v>
      </c>
      <c r="N28" s="165">
        <f>0</f>
        <v>0</v>
      </c>
      <c r="O28" s="165">
        <f>0</f>
        <v>0</v>
      </c>
      <c r="P28" s="165">
        <f>0</f>
        <v>0</v>
      </c>
      <c r="Q28" s="165">
        <f>0</f>
        <v>0</v>
      </c>
      <c r="R28" s="165">
        <f>0</f>
        <v>0</v>
      </c>
      <c r="S28" s="165">
        <f>0</f>
        <v>0</v>
      </c>
      <c r="T28" s="165">
        <f>0</f>
        <v>0</v>
      </c>
      <c r="U28" s="165"/>
      <c r="V28" s="165">
        <f t="shared" si="1"/>
        <v>0</v>
      </c>
      <c r="W28" s="165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>
        <f>0</f>
        <v>0</v>
      </c>
      <c r="J29" s="165">
        <f>0</f>
        <v>0</v>
      </c>
      <c r="K29" s="165">
        <f>0</f>
        <v>0</v>
      </c>
      <c r="L29" s="165">
        <f>0</f>
        <v>0</v>
      </c>
      <c r="M29" s="165">
        <f>0</f>
        <v>0</v>
      </c>
      <c r="N29" s="165">
        <f>0</f>
        <v>0</v>
      </c>
      <c r="O29" s="165">
        <f>0</f>
        <v>0</v>
      </c>
      <c r="P29" s="165">
        <f>0</f>
        <v>0</v>
      </c>
      <c r="Q29" s="165">
        <f>0</f>
        <v>0</v>
      </c>
      <c r="R29" s="165">
        <f>0</f>
        <v>0</v>
      </c>
      <c r="S29" s="165">
        <f>0</f>
        <v>0</v>
      </c>
      <c r="T29" s="165">
        <f>0</f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>
        <f>0</f>
        <v>0</v>
      </c>
      <c r="J30" s="165">
        <f>0</f>
        <v>0</v>
      </c>
      <c r="K30" s="165">
        <f>0</f>
        <v>0</v>
      </c>
      <c r="L30" s="165">
        <f>0</f>
        <v>0</v>
      </c>
      <c r="M30" s="165">
        <f>0</f>
        <v>0</v>
      </c>
      <c r="N30" s="165">
        <f>0</f>
        <v>0</v>
      </c>
      <c r="O30" s="165">
        <f>0</f>
        <v>0</v>
      </c>
      <c r="P30" s="165">
        <f>0</f>
        <v>0</v>
      </c>
      <c r="Q30" s="165">
        <f>0</f>
        <v>0</v>
      </c>
      <c r="R30" s="165">
        <f>0</f>
        <v>0</v>
      </c>
      <c r="S30" s="165">
        <f>0</f>
        <v>0</v>
      </c>
      <c r="T30" s="165">
        <f>0</f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>
        <f>0</f>
        <v>0</v>
      </c>
      <c r="J31" s="165">
        <f>0</f>
        <v>0</v>
      </c>
      <c r="K31" s="165">
        <f>0</f>
        <v>0</v>
      </c>
      <c r="L31" s="165">
        <f>0</f>
        <v>0</v>
      </c>
      <c r="M31" s="165">
        <f>0</f>
        <v>0</v>
      </c>
      <c r="N31" s="165">
        <f>0</f>
        <v>0</v>
      </c>
      <c r="O31" s="165">
        <f>0</f>
        <v>0</v>
      </c>
      <c r="P31" s="165">
        <f>0</f>
        <v>0</v>
      </c>
      <c r="Q31" s="165">
        <f>0</f>
        <v>0</v>
      </c>
      <c r="R31" s="165">
        <f>0</f>
        <v>0</v>
      </c>
      <c r="S31" s="165">
        <f>0</f>
        <v>0</v>
      </c>
      <c r="T31" s="165">
        <f>0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SUM(I$33:I$35)</f>
        <v>0</v>
      </c>
      <c r="J32" s="223">
        <f t="shared" si="12"/>
        <v>0</v>
      </c>
      <c r="K32" s="223">
        <f t="shared" si="12"/>
        <v>0</v>
      </c>
      <c r="L32" s="223">
        <f t="shared" si="12"/>
        <v>0</v>
      </c>
      <c r="M32" s="223">
        <f t="shared" si="12"/>
        <v>0</v>
      </c>
      <c r="N32" s="223">
        <f t="shared" si="12"/>
        <v>0</v>
      </c>
      <c r="O32" s="223">
        <f t="shared" si="12"/>
        <v>1.2403233</v>
      </c>
      <c r="P32" s="223">
        <f t="shared" si="12"/>
        <v>1.1948065875</v>
      </c>
      <c r="Q32" s="223">
        <f t="shared" si="12"/>
        <v>1.1256720375</v>
      </c>
      <c r="R32" s="223">
        <f t="shared" si="12"/>
        <v>1.0325504999999999</v>
      </c>
      <c r="S32" s="223">
        <f t="shared" si="12"/>
        <v>1.2144250125</v>
      </c>
      <c r="T32" s="223">
        <f t="shared" si="12"/>
        <v>1.1108508374999999</v>
      </c>
      <c r="U32" s="165"/>
      <c r="V32" s="223">
        <f t="shared" si="1"/>
        <v>6.9186282750000005</v>
      </c>
      <c r="W32" s="223">
        <f t="shared" si="2"/>
        <v>6.9186282750000005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>
        <f>0</f>
        <v>0</v>
      </c>
      <c r="J33" s="165">
        <f>0</f>
        <v>0</v>
      </c>
      <c r="K33" s="165">
        <f>0</f>
        <v>0</v>
      </c>
      <c r="L33" s="165">
        <f>0</f>
        <v>0</v>
      </c>
      <c r="M33" s="165">
        <f>0</f>
        <v>0</v>
      </c>
      <c r="N33" s="165">
        <f>0</f>
        <v>0</v>
      </c>
      <c r="O33" s="165">
        <f>0</f>
        <v>0</v>
      </c>
      <c r="P33" s="165">
        <f>0</f>
        <v>0</v>
      </c>
      <c r="Q33" s="165">
        <f>0</f>
        <v>0</v>
      </c>
      <c r="R33" s="165">
        <f>0</f>
        <v>0</v>
      </c>
      <c r="S33" s="165">
        <f>0</f>
        <v>0</v>
      </c>
      <c r="T33" s="165">
        <f>0</f>
        <v>0</v>
      </c>
      <c r="U33" s="165"/>
      <c r="V33" s="165">
        <f t="shared" si="1"/>
        <v>0</v>
      </c>
      <c r="W33" s="165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>
        <f>0</f>
        <v>0</v>
      </c>
      <c r="J34" s="165">
        <f>0</f>
        <v>0</v>
      </c>
      <c r="K34" s="165">
        <f>0</f>
        <v>0</v>
      </c>
      <c r="L34" s="165">
        <f>0</f>
        <v>0</v>
      </c>
      <c r="M34" s="165">
        <f>0</f>
        <v>0</v>
      </c>
      <c r="N34" s="165">
        <f>0</f>
        <v>0</v>
      </c>
      <c r="O34" s="165">
        <f>0</f>
        <v>0</v>
      </c>
      <c r="P34" s="165">
        <f>0</f>
        <v>0</v>
      </c>
      <c r="Q34" s="165">
        <f>0</f>
        <v>0</v>
      </c>
      <c r="R34" s="165">
        <f>0</f>
        <v>0</v>
      </c>
      <c r="S34" s="165">
        <f>0</f>
        <v>0</v>
      </c>
      <c r="T34" s="165">
        <f>0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0</f>
        <v>0</v>
      </c>
      <c r="J35" s="165">
        <f>0</f>
        <v>0</v>
      </c>
      <c r="K35" s="165">
        <f>0</f>
        <v>0</v>
      </c>
      <c r="L35" s="165">
        <f>0</f>
        <v>0</v>
      </c>
      <c r="M35" s="165">
        <f>0</f>
        <v>0</v>
      </c>
      <c r="N35" s="165">
        <f>0</f>
        <v>0</v>
      </c>
      <c r="O35" s="165">
        <v>1.2403233</v>
      </c>
      <c r="P35" s="165">
        <v>1.1948065875</v>
      </c>
      <c r="Q35" s="165">
        <v>1.1256720375</v>
      </c>
      <c r="R35" s="165">
        <v>1.0325504999999999</v>
      </c>
      <c r="S35" s="165">
        <v>1.2144250125</v>
      </c>
      <c r="T35" s="165">
        <v>1.1108508374999999</v>
      </c>
      <c r="U35" s="165"/>
      <c r="V35" s="165">
        <f t="shared" si="1"/>
        <v>6.9186282750000005</v>
      </c>
      <c r="W35" s="165">
        <f t="shared" si="2"/>
        <v>6.9186282750000005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SUM(I$37:I$40)</f>
        <v>0</v>
      </c>
      <c r="J36" s="223">
        <f t="shared" si="13"/>
        <v>0</v>
      </c>
      <c r="K36" s="223">
        <f t="shared" si="13"/>
        <v>0</v>
      </c>
      <c r="L36" s="223">
        <f t="shared" si="13"/>
        <v>0</v>
      </c>
      <c r="M36" s="223">
        <f t="shared" si="13"/>
        <v>0</v>
      </c>
      <c r="N36" s="223">
        <f t="shared" si="13"/>
        <v>0</v>
      </c>
      <c r="O36" s="223">
        <f t="shared" si="13"/>
        <v>1.2403233</v>
      </c>
      <c r="P36" s="223">
        <f t="shared" si="13"/>
        <v>1.1948065875</v>
      </c>
      <c r="Q36" s="223">
        <f t="shared" si="13"/>
        <v>1.1256720375</v>
      </c>
      <c r="R36" s="223">
        <f t="shared" si="13"/>
        <v>1.0325504999999999</v>
      </c>
      <c r="S36" s="223">
        <f t="shared" si="13"/>
        <v>1.2144250125</v>
      </c>
      <c r="T36" s="223">
        <f t="shared" si="13"/>
        <v>1.1108508374999999</v>
      </c>
      <c r="U36" s="165"/>
      <c r="V36" s="223">
        <f t="shared" si="1"/>
        <v>6.9186282750000005</v>
      </c>
      <c r="W36" s="223">
        <f t="shared" si="2"/>
        <v>6.9186282750000005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0</f>
        <v>0</v>
      </c>
      <c r="J37" s="165">
        <f>0</f>
        <v>0</v>
      </c>
      <c r="K37" s="165">
        <f>0</f>
        <v>0</v>
      </c>
      <c r="L37" s="165">
        <f>0</f>
        <v>0</v>
      </c>
      <c r="M37" s="165">
        <f>0</f>
        <v>0</v>
      </c>
      <c r="N37" s="165">
        <f>0</f>
        <v>0</v>
      </c>
      <c r="O37" s="165">
        <f>0</f>
        <v>0</v>
      </c>
      <c r="P37" s="165">
        <f>0</f>
        <v>0</v>
      </c>
      <c r="Q37" s="165">
        <f>0</f>
        <v>0</v>
      </c>
      <c r="R37" s="165">
        <f>0</f>
        <v>0</v>
      </c>
      <c r="S37" s="165">
        <f>0</f>
        <v>0</v>
      </c>
      <c r="T37" s="165">
        <f>0</f>
        <v>0</v>
      </c>
      <c r="U37" s="165"/>
      <c r="V37" s="165">
        <f t="shared" si="1"/>
        <v>0</v>
      </c>
      <c r="W37" s="165">
        <f t="shared" si="2"/>
        <v>0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0</f>
        <v>0</v>
      </c>
      <c r="J38" s="165">
        <f>0</f>
        <v>0</v>
      </c>
      <c r="K38" s="165">
        <f>0</f>
        <v>0</v>
      </c>
      <c r="L38" s="165">
        <f>0</f>
        <v>0</v>
      </c>
      <c r="M38" s="165">
        <f>0</f>
        <v>0</v>
      </c>
      <c r="N38" s="165">
        <f>0</f>
        <v>0</v>
      </c>
      <c r="O38" s="165">
        <f>0</f>
        <v>0</v>
      </c>
      <c r="P38" s="165">
        <f>0</f>
        <v>0</v>
      </c>
      <c r="Q38" s="165">
        <f>0</f>
        <v>0</v>
      </c>
      <c r="R38" s="165">
        <f>0</f>
        <v>0</v>
      </c>
      <c r="S38" s="165">
        <f>0</f>
        <v>0</v>
      </c>
      <c r="T38" s="165">
        <f>0</f>
        <v>0</v>
      </c>
      <c r="U38" s="165"/>
      <c r="V38" s="165">
        <f t="shared" si="1"/>
        <v>0</v>
      </c>
      <c r="W38" s="165">
        <f t="shared" si="2"/>
        <v>0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376</v>
      </c>
      <c r="G39" s="67"/>
      <c r="H39" s="67"/>
      <c r="I39" s="165">
        <f>0</f>
        <v>0</v>
      </c>
      <c r="J39" s="165">
        <f>0</f>
        <v>0</v>
      </c>
      <c r="K39" s="165">
        <f>0</f>
        <v>0</v>
      </c>
      <c r="L39" s="165">
        <f>0</f>
        <v>0</v>
      </c>
      <c r="M39" s="165">
        <f>0</f>
        <v>0</v>
      </c>
      <c r="N39" s="165">
        <f>0</f>
        <v>0</v>
      </c>
      <c r="O39" s="165">
        <v>1.2403233</v>
      </c>
      <c r="P39" s="165">
        <v>1.1948065875</v>
      </c>
      <c r="Q39" s="165">
        <v>1.1256720375</v>
      </c>
      <c r="R39" s="165">
        <v>1.0325504999999999</v>
      </c>
      <c r="S39" s="165">
        <v>1.2144250125</v>
      </c>
      <c r="T39" s="165">
        <v>1.1108508374999999</v>
      </c>
      <c r="U39" s="165"/>
      <c r="V39" s="165">
        <f t="shared" si="1"/>
        <v>6.9186282750000005</v>
      </c>
      <c r="W39" s="165">
        <f t="shared" si="2"/>
        <v>6.9186282750000005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0</f>
        <v>0</v>
      </c>
      <c r="J40" s="165">
        <f>0</f>
        <v>0</v>
      </c>
      <c r="K40" s="165">
        <f>0</f>
        <v>0</v>
      </c>
      <c r="L40" s="165">
        <f>0</f>
        <v>0</v>
      </c>
      <c r="M40" s="165">
        <f>0</f>
        <v>0</v>
      </c>
      <c r="N40" s="165">
        <f>0</f>
        <v>0</v>
      </c>
      <c r="O40" s="165">
        <f>0</f>
        <v>0</v>
      </c>
      <c r="P40" s="165">
        <f>0</f>
        <v>0</v>
      </c>
      <c r="Q40" s="165">
        <f>0</f>
        <v>0</v>
      </c>
      <c r="R40" s="165">
        <f>0</f>
        <v>0</v>
      </c>
      <c r="S40" s="165">
        <f>0</f>
        <v>0</v>
      </c>
      <c r="T40" s="165">
        <f>0</f>
        <v>0</v>
      </c>
      <c r="U40" s="165"/>
      <c r="V40" s="165">
        <f t="shared" si="1"/>
        <v>0</v>
      </c>
      <c r="W40" s="165">
        <f t="shared" si="2"/>
        <v>0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SUM(I$42:I$45)</f>
        <v>0</v>
      </c>
      <c r="J41" s="223">
        <f t="shared" si="14"/>
        <v>0</v>
      </c>
      <c r="K41" s="223">
        <f t="shared" si="14"/>
        <v>0</v>
      </c>
      <c r="L41" s="223">
        <f t="shared" si="14"/>
        <v>0</v>
      </c>
      <c r="M41" s="223">
        <f t="shared" si="14"/>
        <v>0</v>
      </c>
      <c r="N41" s="223">
        <f t="shared" si="14"/>
        <v>0</v>
      </c>
      <c r="O41" s="223">
        <f t="shared" si="14"/>
        <v>4.1962366666666702</v>
      </c>
      <c r="P41" s="223">
        <f t="shared" si="14"/>
        <v>4.6516037499999996</v>
      </c>
      <c r="Q41" s="223">
        <f t="shared" si="14"/>
        <v>4.7914087500000004</v>
      </c>
      <c r="R41" s="223">
        <f t="shared" si="14"/>
        <v>4.6804500000000004</v>
      </c>
      <c r="S41" s="223">
        <f t="shared" si="14"/>
        <v>4.9440362499999999</v>
      </c>
      <c r="T41" s="223">
        <f t="shared" si="14"/>
        <v>4.7939287500000001</v>
      </c>
      <c r="U41" s="165"/>
      <c r="V41" s="223">
        <f t="shared" si="1"/>
        <v>28.057664166666672</v>
      </c>
      <c r="W41" s="223">
        <f t="shared" si="2"/>
        <v>28.057664166666672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0</f>
        <v>0</v>
      </c>
      <c r="J42" s="165">
        <f>0</f>
        <v>0</v>
      </c>
      <c r="K42" s="165">
        <f>0</f>
        <v>0</v>
      </c>
      <c r="L42" s="165">
        <f>0</f>
        <v>0</v>
      </c>
      <c r="M42" s="165">
        <f>0</f>
        <v>0</v>
      </c>
      <c r="N42" s="165">
        <f>0</f>
        <v>0</v>
      </c>
      <c r="O42" s="165">
        <v>3.1666666666666701</v>
      </c>
      <c r="P42" s="165">
        <v>3.4</v>
      </c>
      <c r="Q42" s="165">
        <v>3.4</v>
      </c>
      <c r="R42" s="165">
        <v>3.4</v>
      </c>
      <c r="S42" s="165">
        <v>3.4</v>
      </c>
      <c r="T42" s="165">
        <v>3.4</v>
      </c>
      <c r="U42" s="165"/>
      <c r="V42" s="165">
        <f t="shared" si="1"/>
        <v>20.166666666666668</v>
      </c>
      <c r="W42" s="165">
        <f t="shared" si="2"/>
        <v>20.166666666666668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>
        <f>0</f>
        <v>0</v>
      </c>
      <c r="J43" s="165">
        <f>0</f>
        <v>0</v>
      </c>
      <c r="K43" s="165">
        <f>0</f>
        <v>0</v>
      </c>
      <c r="L43" s="165">
        <f>0</f>
        <v>0</v>
      </c>
      <c r="M43" s="165">
        <f>0</f>
        <v>0</v>
      </c>
      <c r="N43" s="165">
        <f>0</f>
        <v>0</v>
      </c>
      <c r="O43" s="165">
        <v>1.0295700000000001</v>
      </c>
      <c r="P43" s="165">
        <v>1.2516037499999999</v>
      </c>
      <c r="Q43" s="165">
        <v>1.3914087500000001</v>
      </c>
      <c r="R43" s="165">
        <v>1.2804500000000001</v>
      </c>
      <c r="S43" s="165">
        <v>1.54403625</v>
      </c>
      <c r="T43" s="165">
        <v>1.3939287499999999</v>
      </c>
      <c r="U43" s="165"/>
      <c r="V43" s="165">
        <f t="shared" si="1"/>
        <v>7.8909975000000001</v>
      </c>
      <c r="W43" s="165">
        <f t="shared" si="2"/>
        <v>7.8909975000000001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>
        <f>0</f>
        <v>0</v>
      </c>
      <c r="J44" s="165">
        <f>0</f>
        <v>0</v>
      </c>
      <c r="K44" s="165">
        <f>0</f>
        <v>0</v>
      </c>
      <c r="L44" s="165">
        <f>0</f>
        <v>0</v>
      </c>
      <c r="M44" s="165">
        <f>0</f>
        <v>0</v>
      </c>
      <c r="N44" s="165">
        <f>0</f>
        <v>0</v>
      </c>
      <c r="O44" s="165">
        <f>0</f>
        <v>0</v>
      </c>
      <c r="P44" s="165">
        <f>0</f>
        <v>0</v>
      </c>
      <c r="Q44" s="165">
        <f>0</f>
        <v>0</v>
      </c>
      <c r="R44" s="165">
        <f>0</f>
        <v>0</v>
      </c>
      <c r="S44" s="165">
        <f>0</f>
        <v>0</v>
      </c>
      <c r="T44" s="165">
        <f>0</f>
        <v>0</v>
      </c>
      <c r="U44" s="165"/>
      <c r="V44" s="165">
        <f t="shared" si="1"/>
        <v>0</v>
      </c>
      <c r="W44" s="165">
        <f t="shared" si="2"/>
        <v>0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>
        <f>0</f>
        <v>0</v>
      </c>
      <c r="J45" s="165">
        <f>0</f>
        <v>0</v>
      </c>
      <c r="K45" s="165">
        <f>0</f>
        <v>0</v>
      </c>
      <c r="L45" s="165">
        <f>0</f>
        <v>0</v>
      </c>
      <c r="M45" s="165">
        <f>0</f>
        <v>0</v>
      </c>
      <c r="N45" s="165">
        <f>0</f>
        <v>0</v>
      </c>
      <c r="O45" s="165">
        <f>0</f>
        <v>0</v>
      </c>
      <c r="P45" s="165">
        <f>0</f>
        <v>0</v>
      </c>
      <c r="Q45" s="165">
        <f>0</f>
        <v>0</v>
      </c>
      <c r="R45" s="165">
        <f>0</f>
        <v>0</v>
      </c>
      <c r="S45" s="165">
        <f>0</f>
        <v>0</v>
      </c>
      <c r="T45" s="165">
        <f>0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 t="shared" ref="I46:T46" si="15">I$9-I$19-I$20</f>
        <v>24.7803</v>
      </c>
      <c r="J46" s="225">
        <f t="shared" si="15"/>
        <v>7.8601000000000001</v>
      </c>
      <c r="K46" s="225">
        <f t="shared" si="15"/>
        <v>26.021881</v>
      </c>
      <c r="L46" s="225">
        <f t="shared" si="15"/>
        <v>17.22148</v>
      </c>
      <c r="M46" s="225">
        <f t="shared" si="15"/>
        <v>18.578579999999999</v>
      </c>
      <c r="N46" s="225">
        <f t="shared" si="15"/>
        <v>20.101900000000001</v>
      </c>
      <c r="O46" s="225">
        <f t="shared" si="15"/>
        <v>8.0329930692112299</v>
      </c>
      <c r="P46" s="225">
        <f t="shared" si="15"/>
        <v>6.7518692963740019</v>
      </c>
      <c r="Q46" s="225">
        <f t="shared" si="15"/>
        <v>4.7903221495546973</v>
      </c>
      <c r="R46" s="225">
        <f t="shared" si="15"/>
        <v>4.8460189745547009</v>
      </c>
      <c r="S46" s="225">
        <f t="shared" si="15"/>
        <v>5.5626436868320965</v>
      </c>
      <c r="T46" s="225">
        <f t="shared" si="15"/>
        <v>5.0261645495546965</v>
      </c>
      <c r="U46" s="165"/>
      <c r="V46" s="225">
        <f t="shared" si="1"/>
        <v>149.57425272608143</v>
      </c>
      <c r="W46" s="225">
        <f t="shared" si="2"/>
        <v>35.01001172608143</v>
      </c>
    </row>
  </sheetData>
  <phoneticPr fontId="14" type="noConversion"/>
  <hyperlinks>
    <hyperlink ref="A1" location="'目录及说明'!A1" display="返回目录" xr:uid="{00000000-0004-0000-16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W46"/>
  <sheetViews>
    <sheetView showGridLines="0" zoomScale="106" zoomScaleNormal="87" workbookViewId="0">
      <selection activeCell="U15" sqref="U15"/>
    </sheetView>
  </sheetViews>
  <sheetFormatPr baseColWidth="10" defaultColWidth="13.19921875" defaultRowHeight="16"/>
  <cols>
    <col min="1" max="3" width="4.3984375" style="16" customWidth="1"/>
    <col min="4" max="7" width="12.796875" style="16" customWidth="1"/>
    <col min="8" max="8" width="4.3984375" style="16" customWidth="1"/>
    <col min="9" max="9" width="13.796875" style="16" bestFit="1" customWidth="1"/>
    <col min="10" max="11" width="13.796875" bestFit="1" customWidth="1"/>
    <col min="12" max="12" width="13.796875" style="16" bestFit="1" customWidth="1"/>
    <col min="13" max="14" width="13.796875" bestFit="1" customWidth="1"/>
    <col min="15" max="17" width="13.796875" style="16" bestFit="1" customWidth="1"/>
    <col min="18" max="20" width="15.3984375" style="16" bestFit="1" customWidth="1"/>
    <col min="21" max="21" width="4.3984375" style="16" customWidth="1"/>
  </cols>
  <sheetData>
    <row r="1" spans="1:23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>
      <c r="A2" s="67"/>
      <c r="B2" s="192" t="s">
        <v>804</v>
      </c>
      <c r="C2" s="129"/>
      <c r="D2" s="129"/>
      <c r="E2" s="192" t="s">
        <v>366</v>
      </c>
      <c r="F2" s="192"/>
      <c r="G2" s="192"/>
      <c r="H2" s="67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65"/>
      <c r="V2" s="171"/>
      <c r="W2" s="171"/>
    </row>
    <row r="3" spans="1:23">
      <c r="A3" s="67"/>
      <c r="B3" s="67" t="s">
        <v>377</v>
      </c>
      <c r="C3" s="67"/>
      <c r="D3" s="67"/>
      <c r="E3" s="214">
        <v>2.18420094648708</v>
      </c>
      <c r="F3" s="67"/>
      <c r="G3" s="67"/>
      <c r="H3" s="67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165"/>
      <c r="V3" s="165"/>
      <c r="W3" s="165"/>
    </row>
    <row r="4" spans="1:23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>
      <c r="A6" s="226"/>
      <c r="B6" s="227"/>
      <c r="C6" s="227"/>
      <c r="D6" s="227"/>
      <c r="E6" s="227"/>
      <c r="F6" s="227"/>
      <c r="G6" s="227"/>
      <c r="H6" s="226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>
      <c r="A7" s="47"/>
      <c r="B7" s="192" t="s">
        <v>110</v>
      </c>
      <c r="C7" s="129"/>
      <c r="D7" s="129"/>
      <c r="E7" s="192" t="s">
        <v>111</v>
      </c>
      <c r="F7" s="192" t="s">
        <v>112</v>
      </c>
      <c r="G7" s="192" t="s">
        <v>368</v>
      </c>
      <c r="H7" s="4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s="13" customFormat="1">
      <c r="A8" s="59"/>
      <c r="B8" s="217" t="s">
        <v>46</v>
      </c>
      <c r="C8" s="217"/>
      <c r="D8" s="217"/>
      <c r="E8" s="217"/>
      <c r="F8" s="217"/>
      <c r="G8" s="217"/>
      <c r="H8" s="102"/>
      <c r="I8" s="218">
        <f t="shared" ref="I8:T8" si="0">I$9</f>
        <v>149.52933200000001</v>
      </c>
      <c r="J8" s="218">
        <f t="shared" si="0"/>
        <v>86.946837999999985</v>
      </c>
      <c r="K8" s="218">
        <f t="shared" si="0"/>
        <v>207.22993500000001</v>
      </c>
      <c r="L8" s="218">
        <f t="shared" si="0"/>
        <v>132.37585200000001</v>
      </c>
      <c r="M8" s="218">
        <f t="shared" si="0"/>
        <v>169.22012900000001</v>
      </c>
      <c r="N8" s="218">
        <f t="shared" si="0"/>
        <v>142.91522800000001</v>
      </c>
      <c r="O8" s="218">
        <f t="shared" si="0"/>
        <v>53.673420039308191</v>
      </c>
      <c r="P8" s="218">
        <f t="shared" si="0"/>
        <v>71.785438324177633</v>
      </c>
      <c r="Q8" s="218">
        <f t="shared" si="0"/>
        <v>90.780969696113843</v>
      </c>
      <c r="R8" s="218">
        <f t="shared" si="0"/>
        <v>98.180391800298352</v>
      </c>
      <c r="S8" s="218">
        <f t="shared" si="0"/>
        <v>119.27426675401821</v>
      </c>
      <c r="T8" s="218">
        <f t="shared" si="0"/>
        <v>101.60400501268217</v>
      </c>
      <c r="U8" s="165"/>
      <c r="V8" s="218">
        <f t="shared" ref="V8:V46" si="1">SUM(I8:T8)</f>
        <v>1423.5158056265984</v>
      </c>
      <c r="W8" s="218">
        <f t="shared" ref="W8:W46" si="2">SUM(O8:T8)</f>
        <v>535.29849162659843</v>
      </c>
    </row>
    <row r="9" spans="1:23">
      <c r="A9" s="59"/>
      <c r="B9" s="102"/>
      <c r="C9" s="102"/>
      <c r="D9" s="67" t="s">
        <v>46</v>
      </c>
      <c r="E9" s="67" t="s">
        <v>46</v>
      </c>
      <c r="F9" s="67" t="s">
        <v>46</v>
      </c>
      <c r="G9" s="67"/>
      <c r="H9" s="67"/>
      <c r="I9" s="165">
        <f t="shared" ref="I9:T9" si="3">I$17</f>
        <v>149.52933200000001</v>
      </c>
      <c r="J9" s="165">
        <f t="shared" si="3"/>
        <v>86.946837999999985</v>
      </c>
      <c r="K9" s="165">
        <f t="shared" si="3"/>
        <v>207.22993500000001</v>
      </c>
      <c r="L9" s="165">
        <f t="shared" si="3"/>
        <v>132.37585200000001</v>
      </c>
      <c r="M9" s="165">
        <f t="shared" si="3"/>
        <v>169.22012900000001</v>
      </c>
      <c r="N9" s="165">
        <f t="shared" si="3"/>
        <v>142.91522800000001</v>
      </c>
      <c r="O9" s="165">
        <f t="shared" si="3"/>
        <v>53.673420039308191</v>
      </c>
      <c r="P9" s="165">
        <f t="shared" si="3"/>
        <v>71.785438324177633</v>
      </c>
      <c r="Q9" s="165">
        <f t="shared" si="3"/>
        <v>90.780969696113843</v>
      </c>
      <c r="R9" s="165">
        <f t="shared" si="3"/>
        <v>98.180391800298352</v>
      </c>
      <c r="S9" s="165">
        <f t="shared" si="3"/>
        <v>119.27426675401821</v>
      </c>
      <c r="T9" s="165">
        <f t="shared" si="3"/>
        <v>101.60400501268217</v>
      </c>
      <c r="U9" s="165"/>
      <c r="V9" s="165">
        <f t="shared" si="1"/>
        <v>1423.5158056265984</v>
      </c>
      <c r="W9" s="165">
        <f t="shared" si="2"/>
        <v>535.29849162659843</v>
      </c>
    </row>
    <row r="10" spans="1:23">
      <c r="A10" s="47"/>
      <c r="B10" s="102"/>
      <c r="C10" s="102"/>
      <c r="D10" s="67"/>
      <c r="E10" s="67"/>
      <c r="F10" s="67" t="s">
        <v>377</v>
      </c>
      <c r="G10" s="178">
        <v>1</v>
      </c>
      <c r="H10" s="47"/>
      <c r="I10" s="165">
        <f t="shared" ref="I10:T10" si="4">I$9*$G10</f>
        <v>149.52933200000001</v>
      </c>
      <c r="J10" s="165">
        <f t="shared" si="4"/>
        <v>86.946837999999985</v>
      </c>
      <c r="K10" s="165">
        <f t="shared" si="4"/>
        <v>207.22993500000001</v>
      </c>
      <c r="L10" s="165">
        <f t="shared" si="4"/>
        <v>132.37585200000001</v>
      </c>
      <c r="M10" s="165">
        <f t="shared" si="4"/>
        <v>169.22012900000001</v>
      </c>
      <c r="N10" s="165">
        <f t="shared" si="4"/>
        <v>142.91522800000001</v>
      </c>
      <c r="O10" s="165">
        <f t="shared" si="4"/>
        <v>53.673420039308191</v>
      </c>
      <c r="P10" s="165">
        <f t="shared" si="4"/>
        <v>71.785438324177633</v>
      </c>
      <c r="Q10" s="165">
        <f t="shared" si="4"/>
        <v>90.780969696113843</v>
      </c>
      <c r="R10" s="165">
        <f t="shared" si="4"/>
        <v>98.180391800298352</v>
      </c>
      <c r="S10" s="165">
        <f t="shared" si="4"/>
        <v>119.27426675401821</v>
      </c>
      <c r="T10" s="165">
        <f t="shared" si="4"/>
        <v>101.60400501268217</v>
      </c>
      <c r="U10" s="165"/>
      <c r="V10" s="165">
        <f t="shared" si="1"/>
        <v>1423.5158056265984</v>
      </c>
      <c r="W10" s="165">
        <f t="shared" si="2"/>
        <v>535.29849162659843</v>
      </c>
    </row>
    <row r="11" spans="1:23">
      <c r="A11" s="59"/>
      <c r="B11" s="102"/>
      <c r="C11" s="102"/>
      <c r="D11" s="67"/>
      <c r="E11" s="67"/>
      <c r="F11" s="67"/>
      <c r="G11" s="178">
        <v>0</v>
      </c>
      <c r="H11" s="59"/>
      <c r="I11" s="165">
        <f>0</f>
        <v>0</v>
      </c>
      <c r="J11" s="165">
        <f>0</f>
        <v>0</v>
      </c>
      <c r="K11" s="165">
        <f>0</f>
        <v>0</v>
      </c>
      <c r="L11" s="165">
        <f>0</f>
        <v>0</v>
      </c>
      <c r="M11" s="165">
        <f>0</f>
        <v>0</v>
      </c>
      <c r="N11" s="165">
        <f>0</f>
        <v>0</v>
      </c>
      <c r="O11" s="165">
        <f>0</f>
        <v>0</v>
      </c>
      <c r="P11" s="165">
        <f>0</f>
        <v>0</v>
      </c>
      <c r="Q11" s="165">
        <f>0</f>
        <v>0</v>
      </c>
      <c r="R11" s="165">
        <f>0</f>
        <v>0</v>
      </c>
      <c r="S11" s="165">
        <f>0</f>
        <v>0</v>
      </c>
      <c r="T11" s="165">
        <f>0</f>
        <v>0</v>
      </c>
      <c r="U11" s="165"/>
      <c r="V11" s="165">
        <f t="shared" si="1"/>
        <v>0</v>
      </c>
      <c r="W11" s="165">
        <f t="shared" si="2"/>
        <v>0</v>
      </c>
    </row>
    <row r="12" spans="1:23">
      <c r="A12" s="47"/>
      <c r="B12" s="102"/>
      <c r="C12" s="102"/>
      <c r="D12" s="67"/>
      <c r="E12" s="67"/>
      <c r="F12" s="67"/>
      <c r="G12" s="178">
        <v>0</v>
      </c>
      <c r="H12" s="47"/>
      <c r="I12" s="165">
        <f>0</f>
        <v>0</v>
      </c>
      <c r="J12" s="165">
        <f>0</f>
        <v>0</v>
      </c>
      <c r="K12" s="165">
        <f>0</f>
        <v>0</v>
      </c>
      <c r="L12" s="165">
        <f>0</f>
        <v>0</v>
      </c>
      <c r="M12" s="165">
        <f>0</f>
        <v>0</v>
      </c>
      <c r="N12" s="165">
        <f>0</f>
        <v>0</v>
      </c>
      <c r="O12" s="165">
        <f>0</f>
        <v>0</v>
      </c>
      <c r="P12" s="165">
        <f>0</f>
        <v>0</v>
      </c>
      <c r="Q12" s="165">
        <f>0</f>
        <v>0</v>
      </c>
      <c r="R12" s="165">
        <f>0</f>
        <v>0</v>
      </c>
      <c r="S12" s="165">
        <f>0</f>
        <v>0</v>
      </c>
      <c r="T12" s="165">
        <f>0</f>
        <v>0</v>
      </c>
      <c r="U12" s="165"/>
      <c r="V12" s="165">
        <f t="shared" si="1"/>
        <v>0</v>
      </c>
      <c r="W12" s="165">
        <f t="shared" si="2"/>
        <v>0</v>
      </c>
    </row>
    <row r="13" spans="1:23" s="13" customFormat="1">
      <c r="A13" s="59"/>
      <c r="B13" s="102"/>
      <c r="C13" s="102"/>
      <c r="D13" s="102"/>
      <c r="E13" s="79" t="s">
        <v>165</v>
      </c>
      <c r="F13" s="102" t="s">
        <v>370</v>
      </c>
      <c r="G13" s="102"/>
      <c r="H13" s="102"/>
      <c r="I13" s="219">
        <f>IFERROR('假设-目标渠道分解'!L$15*'假设-成本与任务量'!$N$6/'假设-成本与任务量'!$M$6,"")</f>
        <v>104.34027839386188</v>
      </c>
      <c r="J13" s="219">
        <f>IFERROR('假设-目标渠道分解'!M$15*'假设-成本与任务量'!$N$6/'假设-成本与任务量'!$M$6,"")</f>
        <v>99.596369094629154</v>
      </c>
      <c r="K13" s="219">
        <f>IFERROR('假设-目标渠道分解'!N$15*'假设-成本与任务量'!$N$6/'假设-成本与任务量'!$M$6,"")</f>
        <v>141.61649758158566</v>
      </c>
      <c r="L13" s="219">
        <f>IFERROR('假设-目标渠道分解'!O$15*'假设-成本与任务量'!$N$6/'假设-成本与任务量'!$M$6,"")</f>
        <v>157.44736540358056</v>
      </c>
      <c r="M13" s="219">
        <f>IFERROR('假设-目标渠道分解'!P$15*'假设-成本与任务量'!$N$6/'假设-成本与任务量'!$M$6,"")</f>
        <v>183.06756276214838</v>
      </c>
      <c r="N13" s="219">
        <f>IFERROR('假设-目标渠道分解'!Q$15*'假设-成本与任务量'!$N$6/'假设-成本与任务量'!$M$6,"")</f>
        <v>125.60090615009224</v>
      </c>
      <c r="O13" s="219">
        <f>IFERROR('假设-目标渠道分解'!R$15*'假设-成本与任务量'!$N$6/'假设-成本与任务量'!$M$6,"")</f>
        <v>61.348784310497315</v>
      </c>
      <c r="P13" s="219">
        <f>IFERROR('假设-目标渠道分解'!S$15*'假设-成本与任务量'!$N$6/'假设-成本与任务量'!$M$6,"")</f>
        <v>82.050843213628113</v>
      </c>
      <c r="Q13" s="219">
        <f>IFERROR('假设-目标渠道分解'!T$15*'假设-成本与任务量'!$N$6/'假设-成本与任务量'!$M$6,"")</f>
        <v>103.76275864861891</v>
      </c>
      <c r="R13" s="219">
        <f>IFERROR('假设-目标渠道分解'!U$15*'假设-成本与任务量'!$N$6/'假设-成本与任务量'!$M$6,"")</f>
        <v>112.22030710294678</v>
      </c>
      <c r="S13" s="219">
        <f>IFERROR('假设-目标渠道分解'!V$15*'假设-成本与任务量'!$N$6/'假设-成本与任务量'!$M$6,"")</f>
        <v>136.33063180110517</v>
      </c>
      <c r="T13" s="219">
        <f>IFERROR('假设-目标渠道分解'!W$15*'假设-成本与任务量'!$N$6/'假设-成本与任务量'!$M$6,"")</f>
        <v>116.13350116390438</v>
      </c>
      <c r="U13" s="219"/>
      <c r="V13" s="219">
        <f t="shared" si="1"/>
        <v>1423.5158056265984</v>
      </c>
      <c r="W13" s="219">
        <f t="shared" si="2"/>
        <v>611.84682624070069</v>
      </c>
    </row>
    <row r="14" spans="1:23">
      <c r="A14" s="59"/>
      <c r="B14" s="102"/>
      <c r="C14" s="102"/>
      <c r="D14" s="67"/>
      <c r="E14" s="79"/>
      <c r="F14" s="67" t="s">
        <v>371</v>
      </c>
      <c r="G14" s="67"/>
      <c r="H14" s="67"/>
      <c r="I14" s="220">
        <f t="shared" ref="I14:T14" si="5">IFERROR(I$13/$V$13,0)</f>
        <v>7.3297590361445772E-2</v>
      </c>
      <c r="J14" s="220">
        <f t="shared" si="5"/>
        <v>6.9965060240963856E-2</v>
      </c>
      <c r="K14" s="220">
        <f t="shared" si="5"/>
        <v>9.9483614457831313E-2</v>
      </c>
      <c r="L14" s="220">
        <f t="shared" si="5"/>
        <v>0.11060457831325302</v>
      </c>
      <c r="M14" s="220">
        <f t="shared" si="5"/>
        <v>0.12860240963855427</v>
      </c>
      <c r="N14" s="220">
        <f t="shared" si="5"/>
        <v>8.8232884843035278E-2</v>
      </c>
      <c r="O14" s="220">
        <f t="shared" si="5"/>
        <v>4.3096665360517733E-2</v>
      </c>
      <c r="P14" s="220">
        <f t="shared" si="5"/>
        <v>5.7639573013038126E-2</v>
      </c>
      <c r="Q14" s="220">
        <f t="shared" si="5"/>
        <v>7.2891890794949746E-2</v>
      </c>
      <c r="R14" s="220">
        <f t="shared" si="5"/>
        <v>7.8833200628601399E-2</v>
      </c>
      <c r="S14" s="220">
        <f t="shared" si="5"/>
        <v>9.5770367467817197E-2</v>
      </c>
      <c r="T14" s="220">
        <f t="shared" si="5"/>
        <v>8.1582164879992411E-2</v>
      </c>
      <c r="U14" s="155"/>
      <c r="V14" s="220">
        <f t="shared" si="1"/>
        <v>1.0000000000000002</v>
      </c>
      <c r="W14" s="220">
        <f t="shared" si="2"/>
        <v>0.42981386214491663</v>
      </c>
    </row>
    <row r="15" spans="1:23">
      <c r="A15" s="59"/>
      <c r="B15" s="102"/>
      <c r="C15" s="102"/>
      <c r="D15" s="67"/>
      <c r="E15" s="79" t="s">
        <v>165</v>
      </c>
      <c r="F15" s="67" t="s">
        <v>372</v>
      </c>
      <c r="G15" s="67"/>
      <c r="H15" s="67"/>
      <c r="I15" s="165">
        <f>IF(COUNTIFS('参考值-平台费用率分析'!$A$6:$A$532,"分销",'参考值-平台费用率分析'!$C$6:$C$532,"主营业务收入",'参考值-平台费用率分析'!$E$6:$E$532,"主营业务收入",'参考值-平台费用率分析'!$H$6:$H$532,"&lt;&gt;")=0,"",SUMIFS('参考值-平台费用率分析'!$H$6:$H$532,'参考值-平台费用率分析'!$A$6:$A$532,"分销",'参考值-平台费用率分析'!$C$6:$C$532,"主营业务收入",'参考值-平台费用率分析'!$E$6:$E$532,"主营业务收入")/10000)</f>
        <v>149.52933200000001</v>
      </c>
      <c r="J15" s="165">
        <f>IF(COUNTIFS('参考值-平台费用率分析'!$A$6:$A$532,"分销",'参考值-平台费用率分析'!$C$6:$C$532,"主营业务收入",'参考值-平台费用率分析'!$E$6:$E$532,"主营业务收入",'参考值-平台费用率分析'!$K$6:$K$532,"&lt;&gt;")=0,"",SUMIFS('参考值-平台费用率分析'!$K$6:$K$532,'参考值-平台费用率分析'!$A$6:$A$532,"分销",'参考值-平台费用率分析'!$C$6:$C$532,"主营业务收入",'参考值-平台费用率分析'!$E$6:$E$532,"主营业务收入")/10000)</f>
        <v>86.946837999999985</v>
      </c>
      <c r="K15" s="165">
        <f>IF(COUNTIFS('参考值-平台费用率分析'!$A$6:$A$532,"分销",'参考值-平台费用率分析'!$C$6:$C$532,"主营业务收入",'参考值-平台费用率分析'!$E$6:$E$532,"主营业务收入",'参考值-平台费用率分析'!$N$6:$N$532,"&lt;&gt;")=0,"",SUMIFS('参考值-平台费用率分析'!$N$6:$N$532,'参考值-平台费用率分析'!$A$6:$A$532,"分销",'参考值-平台费用率分析'!$C$6:$C$532,"主营业务收入",'参考值-平台费用率分析'!$E$6:$E$532,"主营业务收入")/10000)</f>
        <v>207.22993500000001</v>
      </c>
      <c r="L15" s="165">
        <f>IF(COUNTIFS('参考值-平台费用率分析'!$A$6:$A$532,"分销",'参考值-平台费用率分析'!$C$6:$C$532,"主营业务收入",'参考值-平台费用率分析'!$E$6:$E$532,"主营业务收入",'参考值-平台费用率分析'!$Q$6:$Q$532,"&lt;&gt;")=0,"",SUMIFS('参考值-平台费用率分析'!$Q$6:$Q$532,'参考值-平台费用率分析'!$A$6:$A$532,"分销",'参考值-平台费用率分析'!$C$6:$C$532,"主营业务收入",'参考值-平台费用率分析'!$E$6:$E$532,"主营业务收入")/10000)</f>
        <v>132.37585200000001</v>
      </c>
      <c r="M15" s="165">
        <f>IF(COUNTIFS('参考值-平台费用率分析'!$A$6:$A$532,"分销",'参考值-平台费用率分析'!$C$6:$C$532,"主营业务收入",'参考值-平台费用率分析'!$E$6:$E$532,"主营业务收入",'参考值-平台费用率分析'!$T$6:$T$532,"&lt;&gt;")=0,"",SUMIFS('参考值-平台费用率分析'!$T$6:$T$532,'参考值-平台费用率分析'!$A$6:$A$532,"分销",'参考值-平台费用率分析'!$C$6:$C$532,"主营业务收入",'参考值-平台费用率分析'!$E$6:$E$532,"主营业务收入")/10000)</f>
        <v>169.22012900000001</v>
      </c>
      <c r="N15" s="165">
        <f>IF(COUNTIFS('参考值-平台费用率分析'!$A$6:$A$532,"分销",'参考值-平台费用率分析'!$C$6:$C$532,"主营业务收入",'参考值-平台费用率分析'!$E$6:$E$532,"主营业务收入",'参考值-平台费用率分析'!$W$6:$W$532,"&lt;&gt;")=0,"",SUMIFS('参考值-平台费用率分析'!$W$6:$W$532,'参考值-平台费用率分析'!$A$6:$A$532,"分销",'参考值-平台费用率分析'!$C$6:$C$532,"主营业务收入",'参考值-平台费用率分析'!$E$6:$E$532,"主营业务收入")/10000)</f>
        <v>142.91522800000001</v>
      </c>
      <c r="O15" s="165" t="str">
        <f>IF(COUNTIFS('参考值-平台费用率分析'!$A$6:$A$532,"分销",'参考值-平台费用率分析'!$C$6:$C$532,"主营业务收入",'参考值-平台费用率分析'!$E$6:$E$532,"主营业务收入"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"主营业务收入",'参考值-平台费用率分析'!$E$6:$E$532,"主营业务收入",'参考值-平台费用率分析'!$AF$6:$AF$532,"已导入实际")/10000)</f>
        <v/>
      </c>
      <c r="P15" s="165" t="str">
        <f>IF(COUNTIFS('参考值-平台费用率分析'!$A$6:$A$532,"分销",'参考值-平台费用率分析'!$C$6:$C$532,"主营业务收入",'参考值-平台费用率分析'!$E$6:$E$532,"主营业务收入"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"主营业务收入",'参考值-平台费用率分析'!$E$6:$E$532,"主营业务收入",'参考值-平台费用率分析'!$AJ$6:$AJ$532,"已导入实际")/10000)</f>
        <v/>
      </c>
      <c r="Q15" s="165" t="str">
        <f>IF(COUNTIFS('参考值-平台费用率分析'!$A$6:$A$532,"分销",'参考值-平台费用率分析'!$C$6:$C$532,"主营业务收入",'参考值-平台费用率分析'!$E$6:$E$532,"主营业务收入"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"主营业务收入",'参考值-平台费用率分析'!$E$6:$E$532,"主营业务收入",'参考值-平台费用率分析'!$AN$6:$AN$532,"已导入实际")/10000)</f>
        <v/>
      </c>
      <c r="R15" s="165" t="str">
        <f>IF(COUNTIFS('参考值-平台费用率分析'!$A$6:$A$532,"分销",'参考值-平台费用率分析'!$C$6:$C$532,"主营业务收入",'参考值-平台费用率分析'!$E$6:$E$532,"主营业务收入"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"主营业务收入",'参考值-平台费用率分析'!$E$6:$E$532,"主营业务收入",'参考值-平台费用率分析'!$AR$6:$AR$532,"已导入实际")/10000)</f>
        <v/>
      </c>
      <c r="S15" s="165" t="str">
        <f>IF(COUNTIFS('参考值-平台费用率分析'!$A$6:$A$532,"分销",'参考值-平台费用率分析'!$C$6:$C$532,"主营业务收入",'参考值-平台费用率分析'!$E$6:$E$532,"主营业务收入"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"主营业务收入",'参考值-平台费用率分析'!$E$6:$E$532,"主营业务收入",'参考值-平台费用率分析'!$AV$6:$AV$532,"已导入实际")/10000)</f>
        <v/>
      </c>
      <c r="T15" s="165" t="str">
        <f>IF(COUNTIFS('参考值-平台费用率分析'!$A$6:$A$532,"分销",'参考值-平台费用率分析'!$C$6:$C$532,"主营业务收入",'参考值-平台费用率分析'!$E$6:$E$532,"主营业务收入"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"主营业务收入",'参考值-平台费用率分析'!$E$6:$E$532,"主营业务收入",'参考值-平台费用率分析'!$AZ$6:$AZ$532,"已导入实际")/10000)</f>
        <v/>
      </c>
      <c r="U15" s="165"/>
      <c r="V15" s="165">
        <f t="shared" si="1"/>
        <v>888.21731399999999</v>
      </c>
      <c r="W15" s="165">
        <f t="shared" si="2"/>
        <v>0</v>
      </c>
    </row>
    <row r="16" spans="1:23" s="13" customFormat="1">
      <c r="A16" s="59"/>
      <c r="B16" s="102"/>
      <c r="C16" s="102"/>
      <c r="D16" s="102"/>
      <c r="E16" s="79" t="s">
        <v>165</v>
      </c>
      <c r="F16" s="102" t="s">
        <v>807</v>
      </c>
      <c r="G16" s="102"/>
      <c r="H16" s="102"/>
      <c r="I16" s="221">
        <f t="shared" ref="I16:T16" si="6">IF(ISNUMBER(I$15),I$15,I$13*IFERROR(SUM($I$15:$T$15)/SUMPRODUCT(($I$15:$T$15&lt;&gt;"")*$I$13:$T$13),1))</f>
        <v>149.52933200000001</v>
      </c>
      <c r="J16" s="221">
        <f t="shared" si="6"/>
        <v>86.946837999999985</v>
      </c>
      <c r="K16" s="221">
        <f t="shared" si="6"/>
        <v>207.22993500000001</v>
      </c>
      <c r="L16" s="221">
        <f t="shared" si="6"/>
        <v>132.37585200000001</v>
      </c>
      <c r="M16" s="221">
        <f t="shared" si="6"/>
        <v>169.22012900000001</v>
      </c>
      <c r="N16" s="221">
        <f t="shared" si="6"/>
        <v>142.91522800000001</v>
      </c>
      <c r="O16" s="221">
        <f t="shared" si="6"/>
        <v>67.134575549089917</v>
      </c>
      <c r="P16" s="221">
        <f t="shared" si="6"/>
        <v>89.789041372239623</v>
      </c>
      <c r="Q16" s="221">
        <f t="shared" si="6"/>
        <v>113.54860308920146</v>
      </c>
      <c r="R16" s="221">
        <f t="shared" si="6"/>
        <v>122.80378119987853</v>
      </c>
      <c r="S16" s="221">
        <f t="shared" si="6"/>
        <v>149.1879456646443</v>
      </c>
      <c r="T16" s="221">
        <f t="shared" si="6"/>
        <v>127.08602778840067</v>
      </c>
      <c r="U16" s="219"/>
      <c r="V16" s="219">
        <f t="shared" si="1"/>
        <v>1557.7672886634546</v>
      </c>
      <c r="W16" s="219">
        <f t="shared" si="2"/>
        <v>669.54997466345446</v>
      </c>
    </row>
    <row r="17" spans="1:23">
      <c r="A17" s="228"/>
      <c r="B17" s="102"/>
      <c r="C17" s="102"/>
      <c r="D17" s="67"/>
      <c r="E17" s="79" t="s">
        <v>165</v>
      </c>
      <c r="F17" s="67" t="s">
        <v>808</v>
      </c>
      <c r="G17" s="67"/>
      <c r="H17" s="67"/>
      <c r="I17" s="165">
        <f t="shared" ref="I17:T17" si="7">IF(ISNUMBER(I$15),I$15,IFERROR(I$13+(SUMPRODUCT(($I$15:$T$15&lt;&gt;"")*$I$13:$T$13)-SUM($I$15:$T$15))*(I$14/(SUMPRODUCT(($I$15:$T$15="")*$I$14:$T$14))),I$13))</f>
        <v>149.52933200000001</v>
      </c>
      <c r="J17" s="165">
        <f t="shared" si="7"/>
        <v>86.946837999999985</v>
      </c>
      <c r="K17" s="165">
        <f t="shared" si="7"/>
        <v>207.22993500000001</v>
      </c>
      <c r="L17" s="165">
        <f t="shared" si="7"/>
        <v>132.37585200000001</v>
      </c>
      <c r="M17" s="165">
        <f t="shared" si="7"/>
        <v>169.22012900000001</v>
      </c>
      <c r="N17" s="165">
        <f t="shared" si="7"/>
        <v>142.91522800000001</v>
      </c>
      <c r="O17" s="165">
        <f t="shared" si="7"/>
        <v>53.673420039308191</v>
      </c>
      <c r="P17" s="165">
        <f t="shared" si="7"/>
        <v>71.785438324177633</v>
      </c>
      <c r="Q17" s="165">
        <f t="shared" si="7"/>
        <v>90.780969696113843</v>
      </c>
      <c r="R17" s="165">
        <f t="shared" si="7"/>
        <v>98.180391800298352</v>
      </c>
      <c r="S17" s="165">
        <f t="shared" si="7"/>
        <v>119.27426675401821</v>
      </c>
      <c r="T17" s="165">
        <f t="shared" si="7"/>
        <v>101.60400501268217</v>
      </c>
      <c r="U17" s="165"/>
      <c r="V17" s="165">
        <f t="shared" si="1"/>
        <v>1423.5158056265984</v>
      </c>
      <c r="W17" s="165">
        <f t="shared" si="2"/>
        <v>535.29849162659843</v>
      </c>
    </row>
    <row r="18" spans="1:23" s="13" customFormat="1">
      <c r="A18" s="102"/>
      <c r="B18" s="217" t="s">
        <v>48</v>
      </c>
      <c r="C18" s="217"/>
      <c r="D18" s="217"/>
      <c r="E18" s="217"/>
      <c r="F18" s="217"/>
      <c r="G18" s="217"/>
      <c r="H18" s="102"/>
      <c r="I18" s="218">
        <f t="shared" ref="I18:T18" si="8">I$19</f>
        <v>124.3532</v>
      </c>
      <c r="J18" s="218">
        <f t="shared" si="8"/>
        <v>68.154836999999986</v>
      </c>
      <c r="K18" s="218">
        <f t="shared" si="8"/>
        <v>180.773382</v>
      </c>
      <c r="L18" s="218">
        <f t="shared" si="8"/>
        <v>107.753004</v>
      </c>
      <c r="M18" s="218">
        <f t="shared" si="8"/>
        <v>137.96597700000001</v>
      </c>
      <c r="N18" s="218">
        <f t="shared" si="8"/>
        <v>115.561742</v>
      </c>
      <c r="O18" s="218">
        <f t="shared" si="8"/>
        <v>46.191431919375283</v>
      </c>
      <c r="P18" s="218">
        <f t="shared" si="8"/>
        <v>61.778664089699461</v>
      </c>
      <c r="Q18" s="218">
        <f t="shared" si="8"/>
        <v>78.126249048819915</v>
      </c>
      <c r="R18" s="218">
        <f t="shared" si="8"/>
        <v>84.494203654988965</v>
      </c>
      <c r="S18" s="218">
        <f t="shared" si="8"/>
        <v>102.64762648750063</v>
      </c>
      <c r="T18" s="218">
        <f t="shared" si="8"/>
        <v>87.440570711574594</v>
      </c>
      <c r="U18" s="165"/>
      <c r="V18" s="218">
        <f t="shared" si="1"/>
        <v>1195.2408879119589</v>
      </c>
      <c r="W18" s="218">
        <f t="shared" si="2"/>
        <v>460.67874591195886</v>
      </c>
    </row>
    <row r="19" spans="1:23">
      <c r="A19" s="67"/>
      <c r="B19" s="102"/>
      <c r="C19" s="102"/>
      <c r="D19" s="67" t="s">
        <v>48</v>
      </c>
      <c r="E19" s="67" t="s">
        <v>127</v>
      </c>
      <c r="F19" s="67" t="s">
        <v>127</v>
      </c>
      <c r="G19" s="67"/>
      <c r="H19" s="67"/>
      <c r="I19" s="165">
        <f>IF(COUNTIFS('参考值-平台费用率分析'!$A$6:$A$532,"分销",'参考值-平台费用率分析'!$C$6:$C$532,"主营业务成本",'参考值-平台费用率分析'!$E$6:$E$532,"产品成本",'参考值-平台费用率分析'!$H$6:$H$532,"&lt;&gt;")=0,"",SUMIFS('参考值-平台费用率分析'!$H$6:$H$532,'参考值-平台费用率分析'!$A$6:$A$532,"分销",'参考值-平台费用率分析'!$C$6:$C$532,"主营业务成本",'参考值-平台费用率分析'!$E$6:$E$532,"产品成本")/10000)</f>
        <v>124.3532</v>
      </c>
      <c r="J19" s="165">
        <f>IF(COUNTIFS('参考值-平台费用率分析'!$A$6:$A$532,"分销",'参考值-平台费用率分析'!$C$6:$C$532,"主营业务成本",'参考值-平台费用率分析'!$E$6:$E$532,"产品成本",'参考值-平台费用率分析'!$K$6:$K$532,"&lt;&gt;")=0,"",SUMIFS('参考值-平台费用率分析'!$K$6:$K$532,'参考值-平台费用率分析'!$A$6:$A$532,"分销",'参考值-平台费用率分析'!$C$6:$C$532,"主营业务成本",'参考值-平台费用率分析'!$E$6:$E$532,"产品成本")/10000)</f>
        <v>68.154836999999986</v>
      </c>
      <c r="K19" s="165">
        <f>IF(COUNTIFS('参考值-平台费用率分析'!$A$6:$A$532,"分销",'参考值-平台费用率分析'!$C$6:$C$532,"主营业务成本",'参考值-平台费用率分析'!$E$6:$E$532,"产品成本",'参考值-平台费用率分析'!$N$6:$N$532,"&lt;&gt;")=0,"",SUMIFS('参考值-平台费用率分析'!$N$6:$N$532,'参考值-平台费用率分析'!$A$6:$A$532,"分销",'参考值-平台费用率分析'!$C$6:$C$532,"主营业务成本",'参考值-平台费用率分析'!$E$6:$E$532,"产品成本")/10000)</f>
        <v>180.773382</v>
      </c>
      <c r="L19" s="165">
        <f>IF(COUNTIFS('参考值-平台费用率分析'!$A$6:$A$532,"分销",'参考值-平台费用率分析'!$C$6:$C$532,"主营业务成本",'参考值-平台费用率分析'!$E$6:$E$532,"产品成本",'参考值-平台费用率分析'!$Q$6:$Q$532,"&lt;&gt;")=0,"",SUMIFS('参考值-平台费用率分析'!$Q$6:$Q$532,'参考值-平台费用率分析'!$A$6:$A$532,"分销",'参考值-平台费用率分析'!$C$6:$C$532,"主营业务成本",'参考值-平台费用率分析'!$E$6:$E$532,"产品成本")/10000)</f>
        <v>107.753004</v>
      </c>
      <c r="M19" s="165">
        <f>IF(COUNTIFS('参考值-平台费用率分析'!$A$6:$A$532,"分销",'参考值-平台费用率分析'!$C$6:$C$532,"主营业务成本",'参考值-平台费用率分析'!$E$6:$E$532,"产品成本",'参考值-平台费用率分析'!$T$6:$T$532,"&lt;&gt;")=0,"",SUMIFS('参考值-平台费用率分析'!$T$6:$T$532,'参考值-平台费用率分析'!$A$6:$A$532,"分销",'参考值-平台费用率分析'!$C$6:$C$532,"主营业务成本",'参考值-平台费用率分析'!$E$6:$E$532,"产品成本")/10000)</f>
        <v>137.96597700000001</v>
      </c>
      <c r="N19" s="165">
        <f>IF(COUNTIFS('参考值-平台费用率分析'!$A$6:$A$532,"分销",'参考值-平台费用率分析'!$C$6:$C$532,"主营业务成本",'参考值-平台费用率分析'!$E$6:$E$532,"产品成本",'参考值-平台费用率分析'!$W$6:$W$532,"&lt;&gt;")=0,"",SUMIFS('参考值-平台费用率分析'!$W$6:$W$532,'参考值-平台费用率分析'!$A$6:$A$532,"分销",'参考值-平台费用率分析'!$C$6:$C$532,"主营业务成本",'参考值-平台费用率分析'!$E$6:$E$532,"产品成本")/10000)</f>
        <v>115.561742</v>
      </c>
      <c r="O19" s="165">
        <f>IF(IF(COUNTIFS('参考值-平台费用率分析'!$A$6:$A$532,"分销",'参考值-平台费用率分析'!$C$6:$C$532,"主营业务成本",'参考值-平台费用率分析'!$E$6:$E$532,"产品成本"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"主营业务成本",'参考值-平台费用率分析'!$E$6:$E$532,"产品成本",'参考值-平台费用率分析'!$AF$6:$AF$532,"已导入实际")/10000)&lt;&gt;"",IF(COUNTIFS('参考值-平台费用率分析'!$A$6:$A$532,"分销",'参考值-平台费用率分析'!$C$6:$C$532,"主营业务成本",'参考值-平台费用率分析'!$E$6:$E$532,"产品成本"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"主营业务成本",'参考值-平台费用率分析'!$E$6:$E$532,"产品成本",'参考值-平台费用率分析'!$AF$6:$AF$532,"已导入实际")/10000),IFERROR(O$9*'假设-成本与任务量'!$M$6/'假设-成本与任务量'!$N$6,""))</f>
        <v>46.191431919375283</v>
      </c>
      <c r="P19" s="165">
        <f>IF(IF(COUNTIFS('参考值-平台费用率分析'!$A$6:$A$532,"分销",'参考值-平台费用率分析'!$C$6:$C$532,"主营业务成本",'参考值-平台费用率分析'!$E$6:$E$532,"产品成本"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"主营业务成本",'参考值-平台费用率分析'!$E$6:$E$532,"产品成本",'参考值-平台费用率分析'!$AJ$6:$AJ$532,"已导入实际")/10000)&lt;&gt;"",IF(COUNTIFS('参考值-平台费用率分析'!$A$6:$A$532,"分销",'参考值-平台费用率分析'!$C$6:$C$532,"主营业务成本",'参考值-平台费用率分析'!$E$6:$E$532,"产品成本"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"主营业务成本",'参考值-平台费用率分析'!$E$6:$E$532,"产品成本",'参考值-平台费用率分析'!$AJ$6:$AJ$532,"已导入实际")/10000),IFERROR(P$9*'假设-成本与任务量'!$M$6/'假设-成本与任务量'!$N$6,""))</f>
        <v>61.778664089699461</v>
      </c>
      <c r="Q19" s="165">
        <f>IF(IF(COUNTIFS('参考值-平台费用率分析'!$A$6:$A$532,"分销",'参考值-平台费用率分析'!$C$6:$C$532,"主营业务成本",'参考值-平台费用率分析'!$E$6:$E$532,"产品成本"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"主营业务成本",'参考值-平台费用率分析'!$E$6:$E$532,"产品成本",'参考值-平台费用率分析'!$AN$6:$AN$532,"已导入实际")/10000)&lt;&gt;"",IF(COUNTIFS('参考值-平台费用率分析'!$A$6:$A$532,"分销",'参考值-平台费用率分析'!$C$6:$C$532,"主营业务成本",'参考值-平台费用率分析'!$E$6:$E$532,"产品成本"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"主营业务成本",'参考值-平台费用率分析'!$E$6:$E$532,"产品成本",'参考值-平台费用率分析'!$AN$6:$AN$532,"已导入实际")/10000),IFERROR(Q$9*'假设-成本与任务量'!$M$6/'假设-成本与任务量'!$N$6,""))</f>
        <v>78.126249048819915</v>
      </c>
      <c r="R19" s="165">
        <f>IF(IF(COUNTIFS('参考值-平台费用率分析'!$A$6:$A$532,"分销",'参考值-平台费用率分析'!$C$6:$C$532,"主营业务成本",'参考值-平台费用率分析'!$E$6:$E$532,"产品成本"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"主营业务成本",'参考值-平台费用率分析'!$E$6:$E$532,"产品成本",'参考值-平台费用率分析'!$AR$6:$AR$532,"已导入实际")/10000)&lt;&gt;"",IF(COUNTIFS('参考值-平台费用率分析'!$A$6:$A$532,"分销",'参考值-平台费用率分析'!$C$6:$C$532,"主营业务成本",'参考值-平台费用率分析'!$E$6:$E$532,"产品成本"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"主营业务成本",'参考值-平台费用率分析'!$E$6:$E$532,"产品成本",'参考值-平台费用率分析'!$AR$6:$AR$532,"已导入实际")/10000),IFERROR(R$9*'假设-成本与任务量'!$M$6/'假设-成本与任务量'!$N$6,""))</f>
        <v>84.494203654988965</v>
      </c>
      <c r="S19" s="165">
        <f>IF(IF(COUNTIFS('参考值-平台费用率分析'!$A$6:$A$532,"分销",'参考值-平台费用率分析'!$C$6:$C$532,"主营业务成本",'参考值-平台费用率分析'!$E$6:$E$532,"产品成本"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"主营业务成本",'参考值-平台费用率分析'!$E$6:$E$532,"产品成本",'参考值-平台费用率分析'!$AV$6:$AV$532,"已导入实际")/10000)&lt;&gt;"",IF(COUNTIFS('参考值-平台费用率分析'!$A$6:$A$532,"分销",'参考值-平台费用率分析'!$C$6:$C$532,"主营业务成本",'参考值-平台费用率分析'!$E$6:$E$532,"产品成本"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"主营业务成本",'参考值-平台费用率分析'!$E$6:$E$532,"产品成本",'参考值-平台费用率分析'!$AV$6:$AV$532,"已导入实际")/10000),IFERROR(S$9*'假设-成本与任务量'!$M$6/'假设-成本与任务量'!$N$6,""))</f>
        <v>102.64762648750063</v>
      </c>
      <c r="T19" s="165">
        <f>IF(IF(COUNTIFS('参考值-平台费用率分析'!$A$6:$A$532,"分销",'参考值-平台费用率分析'!$C$6:$C$532,"主营业务成本",'参考值-平台费用率分析'!$E$6:$E$532,"产品成本"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"主营业务成本",'参考值-平台费用率分析'!$E$6:$E$532,"产品成本",'参考值-平台费用率分析'!$AZ$6:$AZ$532,"已导入实际")/10000)&lt;&gt;"",IF(COUNTIFS('参考值-平台费用率分析'!$A$6:$A$532,"分销",'参考值-平台费用率分析'!$C$6:$C$532,"主营业务成本",'参考值-平台费用率分析'!$E$6:$E$532,"产品成本"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"主营业务成本",'参考值-平台费用率分析'!$E$6:$E$532,"产品成本",'参考值-平台费用率分析'!$AZ$6:$AZ$532,"已导入实际")/10000),IFERROR(T$9*'假设-成本与任务量'!$M$6/'假设-成本与任务量'!$N$6,""))</f>
        <v>87.440570711574594</v>
      </c>
      <c r="U19" s="219"/>
      <c r="V19" s="165">
        <f t="shared" si="1"/>
        <v>1195.2408879119589</v>
      </c>
      <c r="W19" s="165">
        <f t="shared" si="2"/>
        <v>460.67874591195886</v>
      </c>
    </row>
    <row r="20" spans="1:23" s="13" customFormat="1">
      <c r="A20" s="102"/>
      <c r="B20" s="217" t="s">
        <v>52</v>
      </c>
      <c r="C20" s="217"/>
      <c r="D20" s="217"/>
      <c r="E20" s="217"/>
      <c r="F20" s="217"/>
      <c r="G20" s="217"/>
      <c r="H20" s="102"/>
      <c r="I20" s="218">
        <f t="shared" ref="I20:T20" si="9">I$21+I$27+I$32+I$36+I$41</f>
        <v>8.1206104749999479</v>
      </c>
      <c r="J20" s="218">
        <f t="shared" si="9"/>
        <v>6.2483693591743226</v>
      </c>
      <c r="K20" s="218">
        <f t="shared" si="9"/>
        <v>11.865694000000001</v>
      </c>
      <c r="L20" s="218">
        <f t="shared" si="9"/>
        <v>9.5127430000000004</v>
      </c>
      <c r="M20" s="218">
        <f t="shared" si="9"/>
        <v>9.9880129999999987</v>
      </c>
      <c r="N20" s="218">
        <f t="shared" si="9"/>
        <v>10.133490999999999</v>
      </c>
      <c r="O20" s="218">
        <f t="shared" si="9"/>
        <v>3.5407512197487687</v>
      </c>
      <c r="P20" s="218">
        <f t="shared" si="9"/>
        <v>4.7355726190055556</v>
      </c>
      <c r="Q20" s="218">
        <f t="shared" si="9"/>
        <v>5.9886779889577939</v>
      </c>
      <c r="R20" s="218">
        <f t="shared" si="9"/>
        <v>6.4768062435322147</v>
      </c>
      <c r="S20" s="218">
        <f t="shared" si="9"/>
        <v>7.8683360438861545</v>
      </c>
      <c r="T20" s="218">
        <f t="shared" si="9"/>
        <v>6.7026566299770929</v>
      </c>
      <c r="U20" s="165"/>
      <c r="V20" s="218">
        <f t="shared" si="1"/>
        <v>91.181721579281856</v>
      </c>
      <c r="W20" s="218">
        <f t="shared" si="2"/>
        <v>35.31280074510758</v>
      </c>
    </row>
    <row r="21" spans="1:23" s="13" customFormat="1">
      <c r="A21" s="102"/>
      <c r="B21" s="102"/>
      <c r="C21" s="222" t="s">
        <v>65</v>
      </c>
      <c r="D21" s="222"/>
      <c r="E21" s="222"/>
      <c r="F21" s="222"/>
      <c r="G21" s="222"/>
      <c r="H21" s="102"/>
      <c r="I21" s="223">
        <f t="shared" ref="I21:T21" si="10">SUM(I$22:I$26)</f>
        <v>0</v>
      </c>
      <c r="J21" s="223">
        <f t="shared" si="10"/>
        <v>0</v>
      </c>
      <c r="K21" s="223">
        <f t="shared" si="10"/>
        <v>0</v>
      </c>
      <c r="L21" s="223">
        <f t="shared" si="10"/>
        <v>0</v>
      </c>
      <c r="M21" s="223">
        <f t="shared" si="10"/>
        <v>0</v>
      </c>
      <c r="N21" s="223">
        <f t="shared" si="10"/>
        <v>0</v>
      </c>
      <c r="O21" s="223">
        <f t="shared" si="10"/>
        <v>0</v>
      </c>
      <c r="P21" s="223">
        <f t="shared" si="10"/>
        <v>0</v>
      </c>
      <c r="Q21" s="223">
        <f t="shared" si="10"/>
        <v>0</v>
      </c>
      <c r="R21" s="223">
        <f t="shared" si="10"/>
        <v>0</v>
      </c>
      <c r="S21" s="223">
        <f t="shared" si="10"/>
        <v>0</v>
      </c>
      <c r="T21" s="223">
        <f t="shared" si="10"/>
        <v>0</v>
      </c>
      <c r="U21" s="165"/>
      <c r="V21" s="223">
        <f t="shared" si="1"/>
        <v>0</v>
      </c>
      <c r="W21" s="223">
        <f t="shared" si="2"/>
        <v>0</v>
      </c>
    </row>
    <row r="22" spans="1:23">
      <c r="A22" s="67"/>
      <c r="B22" s="102"/>
      <c r="C22" s="102"/>
      <c r="D22" s="67" t="s">
        <v>52</v>
      </c>
      <c r="E22" s="67" t="s">
        <v>54</v>
      </c>
      <c r="F22" s="67" t="s">
        <v>55</v>
      </c>
      <c r="G22" s="67"/>
      <c r="H22" s="67"/>
      <c r="I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H$6:$H$532,"&lt;&gt;")=0,"",SUMIFS('参考值-平台费用率分析'!$H$6:$H$532,'参考值-平台费用率分析'!$A$6:$A$532,"分销",'参考值-平台费用率分析'!$C$6:$C$532,$D$22,'参考值-平台费用率分析'!$D$6:$D$532,$E$22,'参考值-平台费用率分析'!$E$6:$E$532,$F$22)/10000)</f>
        <v>0</v>
      </c>
      <c r="J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K$6:$K$532,"&lt;&gt;")=0,"",SUMIFS('参考值-平台费用率分析'!$K$6:$K$532,'参考值-平台费用率分析'!$A$6:$A$532,"分销",'参考值-平台费用率分析'!$C$6:$C$532,$D$22,'参考值-平台费用率分析'!$D$6:$D$532,$E$22,'参考值-平台费用率分析'!$E$6:$E$532,$F$22)/10000)</f>
        <v>0</v>
      </c>
      <c r="K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N$6:$N$532,"&lt;&gt;")=0,"",SUMIFS('参考值-平台费用率分析'!$N$6:$N$532,'参考值-平台费用率分析'!$A$6:$A$532,"分销",'参考值-平台费用率分析'!$C$6:$C$532,$D$22,'参考值-平台费用率分析'!$D$6:$D$532,$E$22,'参考值-平台费用率分析'!$E$6:$E$532,$F$22)/10000)</f>
        <v>0</v>
      </c>
      <c r="L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Q$6:$Q$532,"&lt;&gt;")=0,"",SUMIFS('参考值-平台费用率分析'!$Q$6:$Q$532,'参考值-平台费用率分析'!$A$6:$A$532,"分销",'参考值-平台费用率分析'!$C$6:$C$532,$D$22,'参考值-平台费用率分析'!$D$6:$D$532,$E$22,'参考值-平台费用率分析'!$E$6:$E$532,$F$22)/10000)</f>
        <v>0</v>
      </c>
      <c r="M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T$6:$T$532,"&lt;&gt;")=0,"",SUMIFS('参考值-平台费用率分析'!$T$6:$T$532,'参考值-平台费用率分析'!$A$6:$A$532,"分销",'参考值-平台费用率分析'!$C$6:$C$532,$D$22,'参考值-平台费用率分析'!$D$6:$D$532,$E$22,'参考值-平台费用率分析'!$E$6:$E$532,$F$22)/10000)</f>
        <v>0</v>
      </c>
      <c r="N22" s="165">
        <f>IF(COUNTIFS('参考值-平台费用率分析'!$A$6:$A$532,"分销",'参考值-平台费用率分析'!$C$6:$C$532,$D$22,'参考值-平台费用率分析'!$D$6:$D$532,$E$22,'参考值-平台费用率分析'!$E$6:$E$532,$F$22,'参考值-平台费用率分析'!$W$6:$W$532,"&lt;&gt;")=0,"",SUMIFS('参考值-平台费用率分析'!$W$6:$W$532,'参考值-平台费用率分析'!$A$6:$A$532,"分销",'参考值-平台费用率分析'!$C$6:$C$532,$D$22,'参考值-平台费用率分析'!$D$6:$D$532,$E$22,'参考值-平台费用率分析'!$E$6:$E$532,$F$22)/10000)</f>
        <v>0</v>
      </c>
      <c r="O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$22,'参考值-平台费用率分析'!$D$6:$D$532,$E$22,'参考值-平台费用率分析'!$E$6:$E$532,$F$22,'参考值-平台费用率分析'!$AF$6:$AF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$22,'参考值-平台费用率分析'!$D$6:$D$532,$E$22,'参考值-平台费用率分析'!$E$6:$E$532,$F$22,'参考值-平台费用率分析'!$AF$6:$AF$532,"已导入实际")/10000),IF('假设-销售费用率'!Q192="","",O$9*'假设-销售费用率'!Q192))</f>
        <v>0</v>
      </c>
      <c r="P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$22,'参考值-平台费用率分析'!$D$6:$D$532,$E$22,'参考值-平台费用率分析'!$E$6:$E$532,$F$22,'参考值-平台费用率分析'!$AJ$6:$AJ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$22,'参考值-平台费用率分析'!$D$6:$D$532,$E$22,'参考值-平台费用率分析'!$E$6:$E$532,$F$22,'参考值-平台费用率分析'!$AJ$6:$AJ$532,"已导入实际")/10000),IF('假设-销售费用率'!R192="","",P$9*'假设-销售费用率'!R192))</f>
        <v>0</v>
      </c>
      <c r="Q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$22,'参考值-平台费用率分析'!$D$6:$D$532,$E$22,'参考值-平台费用率分析'!$E$6:$E$532,$F$22,'参考值-平台费用率分析'!$AN$6:$AN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$22,'参考值-平台费用率分析'!$D$6:$D$532,$E$22,'参考值-平台费用率分析'!$E$6:$E$532,$F$22,'参考值-平台费用率分析'!$AN$6:$AN$532,"已导入实际")/10000),IF('假设-销售费用率'!S192="","",Q$9*'假设-销售费用率'!S192))</f>
        <v>0</v>
      </c>
      <c r="R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$22,'参考值-平台费用率分析'!$D$6:$D$532,$E$22,'参考值-平台费用率分析'!$E$6:$E$532,$F$22,'参考值-平台费用率分析'!$AR$6:$AR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$22,'参考值-平台费用率分析'!$D$6:$D$532,$E$22,'参考值-平台费用率分析'!$E$6:$E$532,$F$22,'参考值-平台费用率分析'!$AR$6:$AR$532,"已导入实际")/10000),IF('假设-销售费用率'!T192="","",R$9*'假设-销售费用率'!T192))</f>
        <v>0</v>
      </c>
      <c r="S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$22,'参考值-平台费用率分析'!$D$6:$D$532,$E$22,'参考值-平台费用率分析'!$E$6:$E$532,$F$22,'参考值-平台费用率分析'!$AV$6:$AV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$22,'参考值-平台费用率分析'!$D$6:$D$532,$E$22,'参考值-平台费用率分析'!$E$6:$E$532,$F$22,'参考值-平台费用率分析'!$AV$6:$AV$532,"已导入实际")/10000),IF('假设-销售费用率'!U192="","",S$9*'假设-销售费用率'!U192))</f>
        <v>0</v>
      </c>
      <c r="T22" s="165">
        <f>IF(IF(COUNTIFS('参考值-平台费用率分析'!$A$6:$A$532,"分销",'参考值-平台费用率分析'!$C$6:$C$532,$D$22,'参考值-平台费用率分析'!$D$6:$D$532,$E$22,'参考值-平台费用率分析'!$E$6:$E$532,$F$22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$22,'参考值-平台费用率分析'!$D$6:$D$532,$E$22,'参考值-平台费用率分析'!$E$6:$E$532,$F$22,'参考值-平台费用率分析'!$AZ$6:$AZ$532,"已导入实际")/10000)&lt;&gt;"",IF(COUNTIFS('参考值-平台费用率分析'!$A$6:$A$532,"分销",'参考值-平台费用率分析'!$C$6:$C$532,$D$22,'参考值-平台费用率分析'!$D$6:$D$532,$E$22,'参考值-平台费用率分析'!$E$6:$E$532,$F$22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$22,'参考值-平台费用率分析'!$D$6:$D$532,$E$22,'参考值-平台费用率分析'!$E$6:$E$532,$F$22,'参考值-平台费用率分析'!$AZ$6:$AZ$532,"已导入实际")/10000),IF('假设-销售费用率'!V192="","",T$9*'假设-销售费用率'!V192))</f>
        <v>0</v>
      </c>
      <c r="U22" s="165"/>
      <c r="V22" s="165">
        <f t="shared" si="1"/>
        <v>0</v>
      </c>
      <c r="W22" s="165">
        <f t="shared" si="2"/>
        <v>0</v>
      </c>
    </row>
    <row r="23" spans="1:23">
      <c r="A23" s="67"/>
      <c r="B23" s="102"/>
      <c r="C23" s="102"/>
      <c r="D23" s="67" t="s">
        <v>52</v>
      </c>
      <c r="E23" s="67" t="s">
        <v>54</v>
      </c>
      <c r="F23" s="67" t="s">
        <v>58</v>
      </c>
      <c r="G23" s="67"/>
      <c r="H23" s="67"/>
      <c r="I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H$6:$H$532,"&lt;&gt;")=0,"",SUMIFS('参考值-平台费用率分析'!$H$6:$H$532,'参考值-平台费用率分析'!$A$6:$A$532,"分销",'参考值-平台费用率分析'!$C$6:$C$532,$D$23,'参考值-平台费用率分析'!$D$6:$D$532,$E$23,'参考值-平台费用率分析'!$E$6:$E$532,$F$23)/10000)</f>
        <v/>
      </c>
      <c r="J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K$6:$K$532,"&lt;&gt;")=0,"",SUMIFS('参考值-平台费用率分析'!$K$6:$K$532,'参考值-平台费用率分析'!$A$6:$A$532,"分销",'参考值-平台费用率分析'!$C$6:$C$532,$D$23,'参考值-平台费用率分析'!$D$6:$D$532,$E$23,'参考值-平台费用率分析'!$E$6:$E$532,$F$23)/10000)</f>
        <v/>
      </c>
      <c r="K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N$6:$N$532,"&lt;&gt;")=0,"",SUMIFS('参考值-平台费用率分析'!$N$6:$N$532,'参考值-平台费用率分析'!$A$6:$A$532,"分销",'参考值-平台费用率分析'!$C$6:$C$532,$D$23,'参考值-平台费用率分析'!$D$6:$D$532,$E$23,'参考值-平台费用率分析'!$E$6:$E$532,$F$23)/10000)</f>
        <v/>
      </c>
      <c r="L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Q$6:$Q$532,"&lt;&gt;")=0,"",SUMIFS('参考值-平台费用率分析'!$Q$6:$Q$532,'参考值-平台费用率分析'!$A$6:$A$532,"分销",'参考值-平台费用率分析'!$C$6:$C$532,$D$23,'参考值-平台费用率分析'!$D$6:$D$532,$E$23,'参考值-平台费用率分析'!$E$6:$E$532,$F$23)/10000)</f>
        <v/>
      </c>
      <c r="M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T$6:$T$532,"&lt;&gt;")=0,"",SUMIFS('参考值-平台费用率分析'!$T$6:$T$532,'参考值-平台费用率分析'!$A$6:$A$532,"分销",'参考值-平台费用率分析'!$C$6:$C$532,$D$23,'参考值-平台费用率分析'!$D$6:$D$532,$E$23,'参考值-平台费用率分析'!$E$6:$E$532,$F$23)/10000)</f>
        <v/>
      </c>
      <c r="N23" s="165" t="str">
        <f>IF(COUNTIFS('参考值-平台费用率分析'!$A$6:$A$532,"分销",'参考值-平台费用率分析'!$C$6:$C$532,$D$23,'参考值-平台费用率分析'!$D$6:$D$532,$E$23,'参考值-平台费用率分析'!$E$6:$E$532,$F$23,'参考值-平台费用率分析'!$W$6:$W$532,"&lt;&gt;")=0,"",SUMIFS('参考值-平台费用率分析'!$W$6:$W$532,'参考值-平台费用率分析'!$A$6:$A$532,"分销",'参考值-平台费用率分析'!$C$6:$C$532,$D$23,'参考值-平台费用率分析'!$D$6:$D$532,$E$23,'参考值-平台费用率分析'!$E$6:$E$532,$F$23)/10000)</f>
        <v/>
      </c>
      <c r="O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$23,'参考值-平台费用率分析'!$D$6:$D$532,$E$23,'参考值-平台费用率分析'!$E$6:$E$532,$F$23,'参考值-平台费用率分析'!$AF$6:$AF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$23,'参考值-平台费用率分析'!$D$6:$D$532,$E$23,'参考值-平台费用率分析'!$E$6:$E$532,$F$23,'参考值-平台费用率分析'!$AF$6:$AF$532,"已导入实际")/10000),IF('假设-销售费用率'!Q193="","",O$9*'假设-销售费用率'!Q193))</f>
        <v>0</v>
      </c>
      <c r="P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$23,'参考值-平台费用率分析'!$D$6:$D$532,$E$23,'参考值-平台费用率分析'!$E$6:$E$532,$F$23,'参考值-平台费用率分析'!$AJ$6:$AJ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$23,'参考值-平台费用率分析'!$D$6:$D$532,$E$23,'参考值-平台费用率分析'!$E$6:$E$532,$F$23,'参考值-平台费用率分析'!$AJ$6:$AJ$532,"已导入实际")/10000),IF('假设-销售费用率'!R193="","",P$9*'假设-销售费用率'!R193))</f>
        <v>0</v>
      </c>
      <c r="Q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$23,'参考值-平台费用率分析'!$D$6:$D$532,$E$23,'参考值-平台费用率分析'!$E$6:$E$532,$F$23,'参考值-平台费用率分析'!$AN$6:$AN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$23,'参考值-平台费用率分析'!$D$6:$D$532,$E$23,'参考值-平台费用率分析'!$E$6:$E$532,$F$23,'参考值-平台费用率分析'!$AN$6:$AN$532,"已导入实际")/10000),IF('假设-销售费用率'!S193="","",Q$9*'假设-销售费用率'!S193))</f>
        <v>0</v>
      </c>
      <c r="R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$23,'参考值-平台费用率分析'!$D$6:$D$532,$E$23,'参考值-平台费用率分析'!$E$6:$E$532,$F$23,'参考值-平台费用率分析'!$AR$6:$AR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$23,'参考值-平台费用率分析'!$D$6:$D$532,$E$23,'参考值-平台费用率分析'!$E$6:$E$532,$F$23,'参考值-平台费用率分析'!$AR$6:$AR$532,"已导入实际")/10000),IF('假设-销售费用率'!T193="","",R$9*'假设-销售费用率'!T193))</f>
        <v>0</v>
      </c>
      <c r="S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$23,'参考值-平台费用率分析'!$D$6:$D$532,$E$23,'参考值-平台费用率分析'!$E$6:$E$532,$F$23,'参考值-平台费用率分析'!$AV$6:$AV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$23,'参考值-平台费用率分析'!$D$6:$D$532,$E$23,'参考值-平台费用率分析'!$E$6:$E$532,$F$23,'参考值-平台费用率分析'!$AV$6:$AV$532,"已导入实际")/10000),IF('假设-销售费用率'!U193="","",S$9*'假设-销售费用率'!U193))</f>
        <v>0</v>
      </c>
      <c r="T23" s="165">
        <f>IF(IF(COUNTIFS('参考值-平台费用率分析'!$A$6:$A$532,"分销",'参考值-平台费用率分析'!$C$6:$C$532,$D$23,'参考值-平台费用率分析'!$D$6:$D$532,$E$23,'参考值-平台费用率分析'!$E$6:$E$532,$F$23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$23,'参考值-平台费用率分析'!$D$6:$D$532,$E$23,'参考值-平台费用率分析'!$E$6:$E$532,$F$23,'参考值-平台费用率分析'!$AZ$6:$AZ$532,"已导入实际")/10000)&lt;&gt;"",IF(COUNTIFS('参考值-平台费用率分析'!$A$6:$A$532,"分销",'参考值-平台费用率分析'!$C$6:$C$532,$D$23,'参考值-平台费用率分析'!$D$6:$D$532,$E$23,'参考值-平台费用率分析'!$E$6:$E$532,$F$23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$23,'参考值-平台费用率分析'!$D$6:$D$532,$E$23,'参考值-平台费用率分析'!$E$6:$E$532,$F$23,'参考值-平台费用率分析'!$AZ$6:$AZ$532,"已导入实际")/10000),IF('假设-销售费用率'!V193="","",T$9*'假设-销售费用率'!V193))</f>
        <v>0</v>
      </c>
      <c r="U23" s="165"/>
      <c r="V23" s="165">
        <f t="shared" si="1"/>
        <v>0</v>
      </c>
      <c r="W23" s="165">
        <f t="shared" si="2"/>
        <v>0</v>
      </c>
    </row>
    <row r="24" spans="1:23">
      <c r="A24" s="67"/>
      <c r="B24" s="102"/>
      <c r="C24" s="102"/>
      <c r="D24" s="67" t="s">
        <v>52</v>
      </c>
      <c r="E24" s="67" t="s">
        <v>54</v>
      </c>
      <c r="F24" s="67" t="s">
        <v>59</v>
      </c>
      <c r="G24" s="67"/>
      <c r="H24" s="67"/>
      <c r="I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H$6:$H$532,"&lt;&gt;")=0,"",SUMIFS('参考值-平台费用率分析'!$H$6:$H$532,'参考值-平台费用率分析'!$A$6:$A$532,"分销",'参考值-平台费用率分析'!$C$6:$C$532,$D$24,'参考值-平台费用率分析'!$D$6:$D$532,$E$24,'参考值-平台费用率分析'!$E$6:$E$532,$F$24)/10000)</f>
        <v/>
      </c>
      <c r="J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K$6:$K$532,"&lt;&gt;")=0,"",SUMIFS('参考值-平台费用率分析'!$K$6:$K$532,'参考值-平台费用率分析'!$A$6:$A$532,"分销",'参考值-平台费用率分析'!$C$6:$C$532,$D$24,'参考值-平台费用率分析'!$D$6:$D$532,$E$24,'参考值-平台费用率分析'!$E$6:$E$532,$F$24)/10000)</f>
        <v/>
      </c>
      <c r="K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N$6:$N$532,"&lt;&gt;")=0,"",SUMIFS('参考值-平台费用率分析'!$N$6:$N$532,'参考值-平台费用率分析'!$A$6:$A$532,"分销",'参考值-平台费用率分析'!$C$6:$C$532,$D$24,'参考值-平台费用率分析'!$D$6:$D$532,$E$24,'参考值-平台费用率分析'!$E$6:$E$532,$F$24)/10000)</f>
        <v/>
      </c>
      <c r="L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Q$6:$Q$532,"&lt;&gt;")=0,"",SUMIFS('参考值-平台费用率分析'!$Q$6:$Q$532,'参考值-平台费用率分析'!$A$6:$A$532,"分销",'参考值-平台费用率分析'!$C$6:$C$532,$D$24,'参考值-平台费用率分析'!$D$6:$D$532,$E$24,'参考值-平台费用率分析'!$E$6:$E$532,$F$24)/10000)</f>
        <v/>
      </c>
      <c r="M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T$6:$T$532,"&lt;&gt;")=0,"",SUMIFS('参考值-平台费用率分析'!$T$6:$T$532,'参考值-平台费用率分析'!$A$6:$A$532,"分销",'参考值-平台费用率分析'!$C$6:$C$532,$D$24,'参考值-平台费用率分析'!$D$6:$D$532,$E$24,'参考值-平台费用率分析'!$E$6:$E$532,$F$24)/10000)</f>
        <v/>
      </c>
      <c r="N24" s="165" t="str">
        <f>IF(COUNTIFS('参考值-平台费用率分析'!$A$6:$A$532,"分销",'参考值-平台费用率分析'!$C$6:$C$532,$D$24,'参考值-平台费用率分析'!$D$6:$D$532,$E$24,'参考值-平台费用率分析'!$E$6:$E$532,$F$24,'参考值-平台费用率分析'!$W$6:$W$532,"&lt;&gt;")=0,"",SUMIFS('参考值-平台费用率分析'!$W$6:$W$532,'参考值-平台费用率分析'!$A$6:$A$532,"分销",'参考值-平台费用率分析'!$C$6:$C$532,$D$24,'参考值-平台费用率分析'!$D$6:$D$532,$E$24,'参考值-平台费用率分析'!$E$6:$E$532,$F$24)/10000)</f>
        <v/>
      </c>
      <c r="O24" s="165">
        <v>0</v>
      </c>
      <c r="P24" s="165">
        <v>0</v>
      </c>
      <c r="Q24" s="165">
        <v>0</v>
      </c>
      <c r="R24" s="165">
        <v>0</v>
      </c>
      <c r="S24" s="165">
        <v>0</v>
      </c>
      <c r="T24" s="165">
        <v>0</v>
      </c>
      <c r="U24" s="165"/>
      <c r="V24" s="165">
        <f t="shared" si="1"/>
        <v>0</v>
      </c>
      <c r="W24" s="165">
        <f t="shared" si="2"/>
        <v>0</v>
      </c>
    </row>
    <row r="25" spans="1:23">
      <c r="A25" s="67"/>
      <c r="B25" s="102"/>
      <c r="C25" s="102"/>
      <c r="D25" s="67" t="s">
        <v>52</v>
      </c>
      <c r="E25" s="67" t="s">
        <v>54</v>
      </c>
      <c r="F25" s="67" t="s">
        <v>60</v>
      </c>
      <c r="G25" s="67"/>
      <c r="H25" s="67"/>
      <c r="I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H$6:$H$532,"&lt;&gt;")=0,"",SUMIFS('参考值-平台费用率分析'!$H$6:$H$532,'参考值-平台费用率分析'!$A$6:$A$532,"分销",'参考值-平台费用率分析'!$C$6:$C$532,$D$25,'参考值-平台费用率分析'!$D$6:$D$532,$E$25,'参考值-平台费用率分析'!$E$6:$E$532,$F$25)/10000)</f>
        <v/>
      </c>
      <c r="J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K$6:$K$532,"&lt;&gt;")=0,"",SUMIFS('参考值-平台费用率分析'!$K$6:$K$532,'参考值-平台费用率分析'!$A$6:$A$532,"分销",'参考值-平台费用率分析'!$C$6:$C$532,$D$25,'参考值-平台费用率分析'!$D$6:$D$532,$E$25,'参考值-平台费用率分析'!$E$6:$E$532,$F$25)/10000)</f>
        <v/>
      </c>
      <c r="K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N$6:$N$532,"&lt;&gt;")=0,"",SUMIFS('参考值-平台费用率分析'!$N$6:$N$532,'参考值-平台费用率分析'!$A$6:$A$532,"分销",'参考值-平台费用率分析'!$C$6:$C$532,$D$25,'参考值-平台费用率分析'!$D$6:$D$532,$E$25,'参考值-平台费用率分析'!$E$6:$E$532,$F$25)/10000)</f>
        <v/>
      </c>
      <c r="L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Q$6:$Q$532,"&lt;&gt;")=0,"",SUMIFS('参考值-平台费用率分析'!$Q$6:$Q$532,'参考值-平台费用率分析'!$A$6:$A$532,"分销",'参考值-平台费用率分析'!$C$6:$C$532,$D$25,'参考值-平台费用率分析'!$D$6:$D$532,$E$25,'参考值-平台费用率分析'!$E$6:$E$532,$F$25)/10000)</f>
        <v/>
      </c>
      <c r="M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T$6:$T$532,"&lt;&gt;")=0,"",SUMIFS('参考值-平台费用率分析'!$T$6:$T$532,'参考值-平台费用率分析'!$A$6:$A$532,"分销",'参考值-平台费用率分析'!$C$6:$C$532,$D$25,'参考值-平台费用率分析'!$D$6:$D$532,$E$25,'参考值-平台费用率分析'!$E$6:$E$532,$F$25)/10000)</f>
        <v/>
      </c>
      <c r="N25" s="165" t="str">
        <f>IF(COUNTIFS('参考值-平台费用率分析'!$A$6:$A$532,"分销",'参考值-平台费用率分析'!$C$6:$C$532,$D$25,'参考值-平台费用率分析'!$D$6:$D$532,$E$25,'参考值-平台费用率分析'!$E$6:$E$532,$F$25,'参考值-平台费用率分析'!$W$6:$W$532,"&lt;&gt;")=0,"",SUMIFS('参考值-平台费用率分析'!$W$6:$W$532,'参考值-平台费用率分析'!$A$6:$A$532,"分销",'参考值-平台费用率分析'!$C$6:$C$532,$D$25,'参考值-平台费用率分析'!$D$6:$D$532,$E$25,'参考值-平台费用率分析'!$E$6:$E$532,$F$25)/10000)</f>
        <v/>
      </c>
      <c r="O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$25,'参考值-平台费用率分析'!$D$6:$D$532,$E$25,'参考值-平台费用率分析'!$E$6:$E$532,$F$25,'参考值-平台费用率分析'!$AF$6:$AF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$25,'参考值-平台费用率分析'!$D$6:$D$532,$E$25,'参考值-平台费用率分析'!$E$6:$E$532,$F$25,'参考值-平台费用率分析'!$AF$6:$AF$532,"已导入实际")/10000),IF('假设-销售费用率'!Q195="","",O$9*'假设-销售费用率'!Q195))</f>
        <v>0</v>
      </c>
      <c r="P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$25,'参考值-平台费用率分析'!$D$6:$D$532,$E$25,'参考值-平台费用率分析'!$E$6:$E$532,$F$25,'参考值-平台费用率分析'!$AJ$6:$AJ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$25,'参考值-平台费用率分析'!$D$6:$D$532,$E$25,'参考值-平台费用率分析'!$E$6:$E$532,$F$25,'参考值-平台费用率分析'!$AJ$6:$AJ$532,"已导入实际")/10000),IF('假设-销售费用率'!R195="","",P$9*'假设-销售费用率'!R195))</f>
        <v>0</v>
      </c>
      <c r="Q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$25,'参考值-平台费用率分析'!$D$6:$D$532,$E$25,'参考值-平台费用率分析'!$E$6:$E$532,$F$25,'参考值-平台费用率分析'!$AN$6:$AN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$25,'参考值-平台费用率分析'!$D$6:$D$532,$E$25,'参考值-平台费用率分析'!$E$6:$E$532,$F$25,'参考值-平台费用率分析'!$AN$6:$AN$532,"已导入实际")/10000),IF('假设-销售费用率'!S195="","",Q$9*'假设-销售费用率'!S195))</f>
        <v>0</v>
      </c>
      <c r="R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$25,'参考值-平台费用率分析'!$D$6:$D$532,$E$25,'参考值-平台费用率分析'!$E$6:$E$532,$F$25,'参考值-平台费用率分析'!$AR$6:$AR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$25,'参考值-平台费用率分析'!$D$6:$D$532,$E$25,'参考值-平台费用率分析'!$E$6:$E$532,$F$25,'参考值-平台费用率分析'!$AR$6:$AR$532,"已导入实际")/10000),IF('假设-销售费用率'!T195="","",R$9*'假设-销售费用率'!T195))</f>
        <v>0</v>
      </c>
      <c r="S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$25,'参考值-平台费用率分析'!$D$6:$D$532,$E$25,'参考值-平台费用率分析'!$E$6:$E$532,$F$25,'参考值-平台费用率分析'!$AV$6:$AV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$25,'参考值-平台费用率分析'!$D$6:$D$532,$E$25,'参考值-平台费用率分析'!$E$6:$E$532,$F$25,'参考值-平台费用率分析'!$AV$6:$AV$532,"已导入实际")/10000),IF('假设-销售费用率'!U195="","",S$9*'假设-销售费用率'!U195))</f>
        <v>0</v>
      </c>
      <c r="T25" s="165">
        <f>IF(IF(COUNTIFS('参考值-平台费用率分析'!$A$6:$A$532,"分销",'参考值-平台费用率分析'!$C$6:$C$532,$D$25,'参考值-平台费用率分析'!$D$6:$D$532,$E$25,'参考值-平台费用率分析'!$E$6:$E$532,$F$25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$25,'参考值-平台费用率分析'!$D$6:$D$532,$E$25,'参考值-平台费用率分析'!$E$6:$E$532,$F$25,'参考值-平台费用率分析'!$AZ$6:$AZ$532,"已导入实际")/10000)&lt;&gt;"",IF(COUNTIFS('参考值-平台费用率分析'!$A$6:$A$532,"分销",'参考值-平台费用率分析'!$C$6:$C$532,$D$25,'参考值-平台费用率分析'!$D$6:$D$532,$E$25,'参考值-平台费用率分析'!$E$6:$E$532,$F$25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$25,'参考值-平台费用率分析'!$D$6:$D$532,$E$25,'参考值-平台费用率分析'!$E$6:$E$532,$F$25,'参考值-平台费用率分析'!$AZ$6:$AZ$532,"已导入实际")/10000),IF('假设-销售费用率'!V195="","",T$9*'假设-销售费用率'!V195))</f>
        <v>0</v>
      </c>
      <c r="U25" s="165"/>
      <c r="V25" s="165">
        <f t="shared" si="1"/>
        <v>0</v>
      </c>
      <c r="W25" s="165">
        <f t="shared" si="2"/>
        <v>0</v>
      </c>
    </row>
    <row r="26" spans="1:23">
      <c r="A26" s="67"/>
      <c r="B26" s="102"/>
      <c r="C26" s="102"/>
      <c r="D26" s="67" t="s">
        <v>52</v>
      </c>
      <c r="E26" s="67" t="s">
        <v>54</v>
      </c>
      <c r="F26" s="67" t="s">
        <v>61</v>
      </c>
      <c r="G26" s="67"/>
      <c r="H26" s="67"/>
      <c r="I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H$6:$H$532,"&lt;&gt;")=0,"",SUMIFS('参考值-平台费用率分析'!$H$6:$H$532,'参考值-平台费用率分析'!$A$6:$A$532,"分销",'参考值-平台费用率分析'!$C$6:$C$532,$D$26,'参考值-平台费用率分析'!$D$6:$D$532,$E$26,'参考值-平台费用率分析'!$E$6:$E$532,$F$26)/10000)</f>
        <v>0</v>
      </c>
      <c r="J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K$6:$K$532,"&lt;&gt;")=0,"",SUMIFS('参考值-平台费用率分析'!$K$6:$K$532,'参考值-平台费用率分析'!$A$6:$A$532,"分销",'参考值-平台费用率分析'!$C$6:$C$532,$D$26,'参考值-平台费用率分析'!$D$6:$D$532,$E$26,'参考值-平台费用率分析'!$E$6:$E$532,$F$26)/10000)</f>
        <v>0</v>
      </c>
      <c r="K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N$6:$N$532,"&lt;&gt;")=0,"",SUMIFS('参考值-平台费用率分析'!$N$6:$N$532,'参考值-平台费用率分析'!$A$6:$A$532,"分销",'参考值-平台费用率分析'!$C$6:$C$532,$D$26,'参考值-平台费用率分析'!$D$6:$D$532,$E$26,'参考值-平台费用率分析'!$E$6:$E$532,$F$26)/10000)</f>
        <v>0</v>
      </c>
      <c r="L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Q$6:$Q$532,"&lt;&gt;")=0,"",SUMIFS('参考值-平台费用率分析'!$Q$6:$Q$532,'参考值-平台费用率分析'!$A$6:$A$532,"分销",'参考值-平台费用率分析'!$C$6:$C$532,$D$26,'参考值-平台费用率分析'!$D$6:$D$532,$E$26,'参考值-平台费用率分析'!$E$6:$E$532,$F$26)/10000)</f>
        <v>0</v>
      </c>
      <c r="M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T$6:$T$532,"&lt;&gt;")=0,"",SUMIFS('参考值-平台费用率分析'!$T$6:$T$532,'参考值-平台费用率分析'!$A$6:$A$532,"分销",'参考值-平台费用率分析'!$C$6:$C$532,$D$26,'参考值-平台费用率分析'!$D$6:$D$532,$E$26,'参考值-平台费用率分析'!$E$6:$E$532,$F$26)/10000)</f>
        <v>0</v>
      </c>
      <c r="N26" s="165">
        <f>IF(COUNTIFS('参考值-平台费用率分析'!$A$6:$A$532,"分销",'参考值-平台费用率分析'!$C$6:$C$532,$D$26,'参考值-平台费用率分析'!$D$6:$D$532,$E$26,'参考值-平台费用率分析'!$E$6:$E$532,$F$26,'参考值-平台费用率分析'!$W$6:$W$532,"&lt;&gt;")=0,"",SUMIFS('参考值-平台费用率分析'!$W$6:$W$532,'参考值-平台费用率分析'!$A$6:$A$532,"分销",'参考值-平台费用率分析'!$C$6:$C$532,$D$26,'参考值-平台费用率分析'!$D$6:$D$532,$E$26,'参考值-平台费用率分析'!$E$6:$E$532,$F$26)/10000)</f>
        <v>0</v>
      </c>
      <c r="O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$26,'参考值-平台费用率分析'!$D$6:$D$532,$E$26,'参考值-平台费用率分析'!$E$6:$E$532,$F$26,'参考值-平台费用率分析'!$AF$6:$AF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$26,'参考值-平台费用率分析'!$D$6:$D$532,$E$26,'参考值-平台费用率分析'!$E$6:$E$532,$F$26,'参考值-平台费用率分析'!$AF$6:$AF$532,"已导入实际")/10000),IF('假设-销售费用率'!Q196="","",O$9*'假设-销售费用率'!Q196))</f>
        <v>0</v>
      </c>
      <c r="P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$26,'参考值-平台费用率分析'!$D$6:$D$532,$E$26,'参考值-平台费用率分析'!$E$6:$E$532,$F$26,'参考值-平台费用率分析'!$AJ$6:$AJ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$26,'参考值-平台费用率分析'!$D$6:$D$532,$E$26,'参考值-平台费用率分析'!$E$6:$E$532,$F$26,'参考值-平台费用率分析'!$AJ$6:$AJ$532,"已导入实际")/10000),IF('假设-销售费用率'!R196="","",P$9*'假设-销售费用率'!R196))</f>
        <v>0</v>
      </c>
      <c r="Q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$26,'参考值-平台费用率分析'!$D$6:$D$532,$E$26,'参考值-平台费用率分析'!$E$6:$E$532,$F$26,'参考值-平台费用率分析'!$AN$6:$AN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$26,'参考值-平台费用率分析'!$D$6:$D$532,$E$26,'参考值-平台费用率分析'!$E$6:$E$532,$F$26,'参考值-平台费用率分析'!$AN$6:$AN$532,"已导入实际")/10000),IF('假设-销售费用率'!S196="","",Q$9*'假设-销售费用率'!S196))</f>
        <v>0</v>
      </c>
      <c r="R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$26,'参考值-平台费用率分析'!$D$6:$D$532,$E$26,'参考值-平台费用率分析'!$E$6:$E$532,$F$26,'参考值-平台费用率分析'!$AR$6:$AR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$26,'参考值-平台费用率分析'!$D$6:$D$532,$E$26,'参考值-平台费用率分析'!$E$6:$E$532,$F$26,'参考值-平台费用率分析'!$AR$6:$AR$532,"已导入实际")/10000),IF('假设-销售费用率'!T196="","",R$9*'假设-销售费用率'!T196))</f>
        <v>0</v>
      </c>
      <c r="S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$26,'参考值-平台费用率分析'!$D$6:$D$532,$E$26,'参考值-平台费用率分析'!$E$6:$E$532,$F$26,'参考值-平台费用率分析'!$AV$6:$AV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$26,'参考值-平台费用率分析'!$D$6:$D$532,$E$26,'参考值-平台费用率分析'!$E$6:$E$532,$F$26,'参考值-平台费用率分析'!$AV$6:$AV$532,"已导入实际")/10000),IF('假设-销售费用率'!U196="","",S$9*'假设-销售费用率'!U196))</f>
        <v>0</v>
      </c>
      <c r="T26" s="165">
        <f>IF(IF(COUNTIFS('参考值-平台费用率分析'!$A$6:$A$532,"分销",'参考值-平台费用率分析'!$C$6:$C$532,$D$26,'参考值-平台费用率分析'!$D$6:$D$532,$E$26,'参考值-平台费用率分析'!$E$6:$E$532,$F$26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$26,'参考值-平台费用率分析'!$D$6:$D$532,$E$26,'参考值-平台费用率分析'!$E$6:$E$532,$F$26,'参考值-平台费用率分析'!$AZ$6:$AZ$532,"已导入实际")/10000)&lt;&gt;"",IF(COUNTIFS('参考值-平台费用率分析'!$A$6:$A$532,"分销",'参考值-平台费用率分析'!$C$6:$C$532,$D$26,'参考值-平台费用率分析'!$D$6:$D$532,$E$26,'参考值-平台费用率分析'!$E$6:$E$532,$F$26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$26,'参考值-平台费用率分析'!$D$6:$D$532,$E$26,'参考值-平台费用率分析'!$E$6:$E$532,$F$26,'参考值-平台费用率分析'!$AZ$6:$AZ$532,"已导入实际")/10000),IF('假设-销售费用率'!V196="","",T$9*'假设-销售费用率'!V196))</f>
        <v>0</v>
      </c>
      <c r="U26" s="165"/>
      <c r="V26" s="165">
        <f t="shared" si="1"/>
        <v>0</v>
      </c>
      <c r="W26" s="165">
        <f t="shared" si="2"/>
        <v>0</v>
      </c>
    </row>
    <row r="27" spans="1:23" s="13" customFormat="1">
      <c r="A27" s="102"/>
      <c r="B27" s="102"/>
      <c r="C27" s="222" t="s">
        <v>65</v>
      </c>
      <c r="D27" s="222"/>
      <c r="E27" s="222"/>
      <c r="F27" s="222"/>
      <c r="G27" s="222"/>
      <c r="H27" s="102"/>
      <c r="I27" s="223">
        <f t="shared" ref="I27:T27" si="11">SUM(I$28:I$31)</f>
        <v>0</v>
      </c>
      <c r="J27" s="223">
        <f t="shared" si="11"/>
        <v>0</v>
      </c>
      <c r="K27" s="223">
        <f t="shared" si="11"/>
        <v>0</v>
      </c>
      <c r="L27" s="223">
        <f t="shared" si="11"/>
        <v>0</v>
      </c>
      <c r="M27" s="223">
        <f t="shared" si="11"/>
        <v>0</v>
      </c>
      <c r="N27" s="223">
        <f t="shared" si="11"/>
        <v>0</v>
      </c>
      <c r="O27" s="223">
        <f t="shared" si="11"/>
        <v>0</v>
      </c>
      <c r="P27" s="223">
        <f t="shared" si="11"/>
        <v>0</v>
      </c>
      <c r="Q27" s="223">
        <f t="shared" si="11"/>
        <v>0</v>
      </c>
      <c r="R27" s="223">
        <f t="shared" si="11"/>
        <v>0</v>
      </c>
      <c r="S27" s="223">
        <f t="shared" si="11"/>
        <v>0</v>
      </c>
      <c r="T27" s="223">
        <f t="shared" si="11"/>
        <v>0</v>
      </c>
      <c r="U27" s="165"/>
      <c r="V27" s="223">
        <f t="shared" si="1"/>
        <v>0</v>
      </c>
      <c r="W27" s="223">
        <f t="shared" si="2"/>
        <v>0</v>
      </c>
    </row>
    <row r="28" spans="1:23">
      <c r="A28" s="67"/>
      <c r="B28" s="102"/>
      <c r="C28" s="102"/>
      <c r="D28" s="67" t="s">
        <v>52</v>
      </c>
      <c r="E28" s="67" t="s">
        <v>65</v>
      </c>
      <c r="F28" s="67" t="s">
        <v>66</v>
      </c>
      <c r="G28" s="67"/>
      <c r="H28" s="67"/>
      <c r="I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H$6:$H$532,"&lt;&gt;")=0,"",SUMIFS('参考值-平台费用率分析'!$H$6:$H$532,'参考值-平台费用率分析'!$A$6:$A$532,"分销",'参考值-平台费用率分析'!$C$6:$C$532,$D$28,'参考值-平台费用率分析'!$D$6:$D$532,$E$28,'参考值-平台费用率分析'!$E$6:$E$532,$F$28)/10000)</f>
        <v/>
      </c>
      <c r="J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K$6:$K$532,"&lt;&gt;")=0,"",SUMIFS('参考值-平台费用率分析'!$K$6:$K$532,'参考值-平台费用率分析'!$A$6:$A$532,"分销",'参考值-平台费用率分析'!$C$6:$C$532,$D$28,'参考值-平台费用率分析'!$D$6:$D$532,$E$28,'参考值-平台费用率分析'!$E$6:$E$532,$F$28)/10000)</f>
        <v/>
      </c>
      <c r="K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N$6:$N$532,"&lt;&gt;")=0,"",SUMIFS('参考值-平台费用率分析'!$N$6:$N$532,'参考值-平台费用率分析'!$A$6:$A$532,"分销",'参考值-平台费用率分析'!$C$6:$C$532,$D$28,'参考值-平台费用率分析'!$D$6:$D$532,$E$28,'参考值-平台费用率分析'!$E$6:$E$532,$F$28)/10000)</f>
        <v/>
      </c>
      <c r="L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Q$6:$Q$532,"&lt;&gt;")=0,"",SUMIFS('参考值-平台费用率分析'!$Q$6:$Q$532,'参考值-平台费用率分析'!$A$6:$A$532,"分销",'参考值-平台费用率分析'!$C$6:$C$532,$D$28,'参考值-平台费用率分析'!$D$6:$D$532,$E$28,'参考值-平台费用率分析'!$E$6:$E$532,$F$28)/10000)</f>
        <v/>
      </c>
      <c r="M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T$6:$T$532,"&lt;&gt;")=0,"",SUMIFS('参考值-平台费用率分析'!$T$6:$T$532,'参考值-平台费用率分析'!$A$6:$A$532,"分销",'参考值-平台费用率分析'!$C$6:$C$532,$D$28,'参考值-平台费用率分析'!$D$6:$D$532,$E$28,'参考值-平台费用率分析'!$E$6:$E$532,$F$28)/10000)</f>
        <v/>
      </c>
      <c r="N28" s="165" t="str">
        <f>IF(COUNTIFS('参考值-平台费用率分析'!$A$6:$A$532,"分销",'参考值-平台费用率分析'!$C$6:$C$532,$D$28,'参考值-平台费用率分析'!$D$6:$D$532,$E$28,'参考值-平台费用率分析'!$E$6:$E$532,$F$28,'参考值-平台费用率分析'!$W$6:$W$532,"&lt;&gt;")=0,"",SUMIFS('参考值-平台费用率分析'!$W$6:$W$532,'参考值-平台费用率分析'!$A$6:$A$532,"分销",'参考值-平台费用率分析'!$C$6:$C$532,$D$28,'参考值-平台费用率分析'!$D$6:$D$532,$E$28,'参考值-平台费用率分析'!$E$6:$E$532,$F$28)/10000)</f>
        <v/>
      </c>
      <c r="O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$28,'参考值-平台费用率分析'!$D$6:$D$532,$E$28,'参考值-平台费用率分析'!$E$6:$E$532,$F$28,'参考值-平台费用率分析'!$AF$6:$AF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$28,'参考值-平台费用率分析'!$D$6:$D$532,$E$28,'参考值-平台费用率分析'!$E$6:$E$532,$F$28,'参考值-平台费用率分析'!$AF$6:$AF$532,"已导入实际")/10000),IF('假设-销售费用率'!Q198="","",O$9*'假设-销售费用率'!Q198))</f>
        <v>0</v>
      </c>
      <c r="P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$28,'参考值-平台费用率分析'!$D$6:$D$532,$E$28,'参考值-平台费用率分析'!$E$6:$E$532,$F$28,'参考值-平台费用率分析'!$AJ$6:$AJ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$28,'参考值-平台费用率分析'!$D$6:$D$532,$E$28,'参考值-平台费用率分析'!$E$6:$E$532,$F$28,'参考值-平台费用率分析'!$AJ$6:$AJ$532,"已导入实际")/10000),IF('假设-销售费用率'!R198="","",P$9*'假设-销售费用率'!R198))</f>
        <v>0</v>
      </c>
      <c r="Q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$28,'参考值-平台费用率分析'!$D$6:$D$532,$E$28,'参考值-平台费用率分析'!$E$6:$E$532,$F$28,'参考值-平台费用率分析'!$AN$6:$AN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$28,'参考值-平台费用率分析'!$D$6:$D$532,$E$28,'参考值-平台费用率分析'!$E$6:$E$532,$F$28,'参考值-平台费用率分析'!$AN$6:$AN$532,"已导入实际")/10000),IF('假设-销售费用率'!S198="","",Q$9*'假设-销售费用率'!S198))</f>
        <v>0</v>
      </c>
      <c r="R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$28,'参考值-平台费用率分析'!$D$6:$D$532,$E$28,'参考值-平台费用率分析'!$E$6:$E$532,$F$28,'参考值-平台费用率分析'!$AR$6:$AR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$28,'参考值-平台费用率分析'!$D$6:$D$532,$E$28,'参考值-平台费用率分析'!$E$6:$E$532,$F$28,'参考值-平台费用率分析'!$AR$6:$AR$532,"已导入实际")/10000),IF('假设-销售费用率'!T198="","",R$9*'假设-销售费用率'!T198))</f>
        <v>0</v>
      </c>
      <c r="S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$28,'参考值-平台费用率分析'!$D$6:$D$532,$E$28,'参考值-平台费用率分析'!$E$6:$E$532,$F$28,'参考值-平台费用率分析'!$AV$6:$AV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$28,'参考值-平台费用率分析'!$D$6:$D$532,$E$28,'参考值-平台费用率分析'!$E$6:$E$532,$F$28,'参考值-平台费用率分析'!$AV$6:$AV$532,"已导入实际")/10000),IF('假设-销售费用率'!U198="","",S$9*'假设-销售费用率'!U198))</f>
        <v>0</v>
      </c>
      <c r="T28" s="165">
        <f>IF(IF(COUNTIFS('参考值-平台费用率分析'!$A$6:$A$532,"分销",'参考值-平台费用率分析'!$C$6:$C$532,$D$28,'参考值-平台费用率分析'!$D$6:$D$532,$E$28,'参考值-平台费用率分析'!$E$6:$E$532,$F$28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$28,'参考值-平台费用率分析'!$D$6:$D$532,$E$28,'参考值-平台费用率分析'!$E$6:$E$532,$F$28,'参考值-平台费用率分析'!$AZ$6:$AZ$532,"已导入实际")/10000)&lt;&gt;"",IF(COUNTIFS('参考值-平台费用率分析'!$A$6:$A$532,"分销",'参考值-平台费用率分析'!$C$6:$C$532,$D$28,'参考值-平台费用率分析'!$D$6:$D$532,$E$28,'参考值-平台费用率分析'!$E$6:$E$532,$F$28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$28,'参考值-平台费用率分析'!$D$6:$D$532,$E$28,'参考值-平台费用率分析'!$E$6:$E$532,$F$28,'参考值-平台费用率分析'!$AZ$6:$AZ$532,"已导入实际")/10000),IF('假设-销售费用率'!V198="","",T$9*'假设-销售费用率'!V198))</f>
        <v>0</v>
      </c>
      <c r="U28" s="165"/>
      <c r="V28" s="165">
        <f t="shared" si="1"/>
        <v>0</v>
      </c>
      <c r="W28" s="165">
        <f t="shared" si="2"/>
        <v>0</v>
      </c>
    </row>
    <row r="29" spans="1:23">
      <c r="A29" s="67"/>
      <c r="B29" s="102"/>
      <c r="C29" s="102"/>
      <c r="D29" s="67" t="s">
        <v>52</v>
      </c>
      <c r="E29" s="67" t="s">
        <v>65</v>
      </c>
      <c r="F29" s="67" t="s">
        <v>67</v>
      </c>
      <c r="G29" s="67"/>
      <c r="H29" s="67"/>
      <c r="I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H$6:$H$532,"&lt;&gt;")=0,"",SUMIFS('参考值-平台费用率分析'!$H$6:$H$532,'参考值-平台费用率分析'!$A$6:$A$532,"分销",'参考值-平台费用率分析'!$C$6:$C$532,$D$29,'参考值-平台费用率分析'!$D$6:$D$532,$E$29,'参考值-平台费用率分析'!$E$6:$E$532,$F$29)/10000)</f>
        <v/>
      </c>
      <c r="J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K$6:$K$532,"&lt;&gt;")=0,"",SUMIFS('参考值-平台费用率分析'!$K$6:$K$532,'参考值-平台费用率分析'!$A$6:$A$532,"分销",'参考值-平台费用率分析'!$C$6:$C$532,$D$29,'参考值-平台费用率分析'!$D$6:$D$532,$E$29,'参考值-平台费用率分析'!$E$6:$E$532,$F$29)/10000)</f>
        <v/>
      </c>
      <c r="K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N$6:$N$532,"&lt;&gt;")=0,"",SUMIFS('参考值-平台费用率分析'!$N$6:$N$532,'参考值-平台费用率分析'!$A$6:$A$532,"分销",'参考值-平台费用率分析'!$C$6:$C$532,$D$29,'参考值-平台费用率分析'!$D$6:$D$532,$E$29,'参考值-平台费用率分析'!$E$6:$E$532,$F$29)/10000)</f>
        <v/>
      </c>
      <c r="L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Q$6:$Q$532,"&lt;&gt;")=0,"",SUMIFS('参考值-平台费用率分析'!$Q$6:$Q$532,'参考值-平台费用率分析'!$A$6:$A$532,"分销",'参考值-平台费用率分析'!$C$6:$C$532,$D$29,'参考值-平台费用率分析'!$D$6:$D$532,$E$29,'参考值-平台费用率分析'!$E$6:$E$532,$F$29)/10000)</f>
        <v/>
      </c>
      <c r="M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T$6:$T$532,"&lt;&gt;")=0,"",SUMIFS('参考值-平台费用率分析'!$T$6:$T$532,'参考值-平台费用率分析'!$A$6:$A$532,"分销",'参考值-平台费用率分析'!$C$6:$C$532,$D$29,'参考值-平台费用率分析'!$D$6:$D$532,$E$29,'参考值-平台费用率分析'!$E$6:$E$532,$F$29)/10000)</f>
        <v/>
      </c>
      <c r="N29" s="165" t="str">
        <f>IF(COUNTIFS('参考值-平台费用率分析'!$A$6:$A$532,"分销",'参考值-平台费用率分析'!$C$6:$C$532,$D$29,'参考值-平台费用率分析'!$D$6:$D$532,$E$29,'参考值-平台费用率分析'!$E$6:$E$532,$F$29,'参考值-平台费用率分析'!$W$6:$W$532,"&lt;&gt;")=0,"",SUMIFS('参考值-平台费用率分析'!$W$6:$W$532,'参考值-平台费用率分析'!$A$6:$A$532,"分销",'参考值-平台费用率分析'!$C$6:$C$532,$D$29,'参考值-平台费用率分析'!$D$6:$D$532,$E$29,'参考值-平台费用率分析'!$E$6:$E$532,$F$29)/10000)</f>
        <v/>
      </c>
      <c r="O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$29,'参考值-平台费用率分析'!$D$6:$D$532,$E$29,'参考值-平台费用率分析'!$E$6:$E$532,$F$29,'参考值-平台费用率分析'!$AF$6:$AF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$29,'参考值-平台费用率分析'!$D$6:$D$532,$E$29,'参考值-平台费用率分析'!$E$6:$E$532,$F$29,'参考值-平台费用率分析'!$AF$6:$AF$532,"已导入实际")/10000),IF('假设-销售费用率'!Q199="","",O$9*'假设-销售费用率'!Q199))</f>
        <v>0</v>
      </c>
      <c r="P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$29,'参考值-平台费用率分析'!$D$6:$D$532,$E$29,'参考值-平台费用率分析'!$E$6:$E$532,$F$29,'参考值-平台费用率分析'!$AJ$6:$AJ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$29,'参考值-平台费用率分析'!$D$6:$D$532,$E$29,'参考值-平台费用率分析'!$E$6:$E$532,$F$29,'参考值-平台费用率分析'!$AJ$6:$AJ$532,"已导入实际")/10000),IF('假设-销售费用率'!R199="","",P$9*'假设-销售费用率'!R199))</f>
        <v>0</v>
      </c>
      <c r="Q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$29,'参考值-平台费用率分析'!$D$6:$D$532,$E$29,'参考值-平台费用率分析'!$E$6:$E$532,$F$29,'参考值-平台费用率分析'!$AN$6:$AN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$29,'参考值-平台费用率分析'!$D$6:$D$532,$E$29,'参考值-平台费用率分析'!$E$6:$E$532,$F$29,'参考值-平台费用率分析'!$AN$6:$AN$532,"已导入实际")/10000),IF('假设-销售费用率'!S199="","",Q$9*'假设-销售费用率'!S199))</f>
        <v>0</v>
      </c>
      <c r="R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$29,'参考值-平台费用率分析'!$D$6:$D$532,$E$29,'参考值-平台费用率分析'!$E$6:$E$532,$F$29,'参考值-平台费用率分析'!$AR$6:$AR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$29,'参考值-平台费用率分析'!$D$6:$D$532,$E$29,'参考值-平台费用率分析'!$E$6:$E$532,$F$29,'参考值-平台费用率分析'!$AR$6:$AR$532,"已导入实际")/10000),IF('假设-销售费用率'!T199="","",R$9*'假设-销售费用率'!T199))</f>
        <v>0</v>
      </c>
      <c r="S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$29,'参考值-平台费用率分析'!$D$6:$D$532,$E$29,'参考值-平台费用率分析'!$E$6:$E$532,$F$29,'参考值-平台费用率分析'!$AV$6:$AV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$29,'参考值-平台费用率分析'!$D$6:$D$532,$E$29,'参考值-平台费用率分析'!$E$6:$E$532,$F$29,'参考值-平台费用率分析'!$AV$6:$AV$532,"已导入实际")/10000),IF('假设-销售费用率'!U199="","",S$9*'假设-销售费用率'!U199))</f>
        <v>0</v>
      </c>
      <c r="T29" s="165">
        <f>IF(IF(COUNTIFS('参考值-平台费用率分析'!$A$6:$A$532,"分销",'参考值-平台费用率分析'!$C$6:$C$532,$D$29,'参考值-平台费用率分析'!$D$6:$D$532,$E$29,'参考值-平台费用率分析'!$E$6:$E$532,$F$29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$29,'参考值-平台费用率分析'!$D$6:$D$532,$E$29,'参考值-平台费用率分析'!$E$6:$E$532,$F$29,'参考值-平台费用率分析'!$AZ$6:$AZ$532,"已导入实际")/10000)&lt;&gt;"",IF(COUNTIFS('参考值-平台费用率分析'!$A$6:$A$532,"分销",'参考值-平台费用率分析'!$C$6:$C$532,$D$29,'参考值-平台费用率分析'!$D$6:$D$532,$E$29,'参考值-平台费用率分析'!$E$6:$E$532,$F$29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$29,'参考值-平台费用率分析'!$D$6:$D$532,$E$29,'参考值-平台费用率分析'!$E$6:$E$532,$F$29,'参考值-平台费用率分析'!$AZ$6:$AZ$532,"已导入实际")/10000),IF('假设-销售费用率'!V199="","",T$9*'假设-销售费用率'!V199))</f>
        <v>0</v>
      </c>
      <c r="U29" s="165"/>
      <c r="V29" s="165">
        <f t="shared" si="1"/>
        <v>0</v>
      </c>
      <c r="W29" s="165">
        <f t="shared" si="2"/>
        <v>0</v>
      </c>
    </row>
    <row r="30" spans="1:23">
      <c r="A30" s="67"/>
      <c r="B30" s="102"/>
      <c r="C30" s="102"/>
      <c r="D30" s="67" t="s">
        <v>52</v>
      </c>
      <c r="E30" s="67" t="s">
        <v>65</v>
      </c>
      <c r="F30" s="67" t="s">
        <v>68</v>
      </c>
      <c r="G30" s="67"/>
      <c r="H30" s="67"/>
      <c r="I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H$6:$H$532,"&lt;&gt;")=0,"",SUMIFS('参考值-平台费用率分析'!$H$6:$H$532,'参考值-平台费用率分析'!$A$6:$A$532,"分销",'参考值-平台费用率分析'!$C$6:$C$532,$D$30,'参考值-平台费用率分析'!$D$6:$D$532,$E$30,'参考值-平台费用率分析'!$E$6:$E$532,$F$30)/10000)</f>
        <v/>
      </c>
      <c r="J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K$6:$K$532,"&lt;&gt;")=0,"",SUMIFS('参考值-平台费用率分析'!$K$6:$K$532,'参考值-平台费用率分析'!$A$6:$A$532,"分销",'参考值-平台费用率分析'!$C$6:$C$532,$D$30,'参考值-平台费用率分析'!$D$6:$D$532,$E$30,'参考值-平台费用率分析'!$E$6:$E$532,$F$30)/10000)</f>
        <v/>
      </c>
      <c r="K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N$6:$N$532,"&lt;&gt;")=0,"",SUMIFS('参考值-平台费用率分析'!$N$6:$N$532,'参考值-平台费用率分析'!$A$6:$A$532,"分销",'参考值-平台费用率分析'!$C$6:$C$532,$D$30,'参考值-平台费用率分析'!$D$6:$D$532,$E$30,'参考值-平台费用率分析'!$E$6:$E$532,$F$30)/10000)</f>
        <v/>
      </c>
      <c r="L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Q$6:$Q$532,"&lt;&gt;")=0,"",SUMIFS('参考值-平台费用率分析'!$Q$6:$Q$532,'参考值-平台费用率分析'!$A$6:$A$532,"分销",'参考值-平台费用率分析'!$C$6:$C$532,$D$30,'参考值-平台费用率分析'!$D$6:$D$532,$E$30,'参考值-平台费用率分析'!$E$6:$E$532,$F$30)/10000)</f>
        <v/>
      </c>
      <c r="M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T$6:$T$532,"&lt;&gt;")=0,"",SUMIFS('参考值-平台费用率分析'!$T$6:$T$532,'参考值-平台费用率分析'!$A$6:$A$532,"分销",'参考值-平台费用率分析'!$C$6:$C$532,$D$30,'参考值-平台费用率分析'!$D$6:$D$532,$E$30,'参考值-平台费用率分析'!$E$6:$E$532,$F$30)/10000)</f>
        <v/>
      </c>
      <c r="N30" s="165" t="str">
        <f>IF(COUNTIFS('参考值-平台费用率分析'!$A$6:$A$532,"分销",'参考值-平台费用率分析'!$C$6:$C$532,$D$30,'参考值-平台费用率分析'!$D$6:$D$532,$E$30,'参考值-平台费用率分析'!$E$6:$E$532,$F$30,'参考值-平台费用率分析'!$W$6:$W$532,"&lt;&gt;")=0,"",SUMIFS('参考值-平台费用率分析'!$W$6:$W$532,'参考值-平台费用率分析'!$A$6:$A$532,"分销",'参考值-平台费用率分析'!$C$6:$C$532,$D$30,'参考值-平台费用率分析'!$D$6:$D$532,$E$30,'参考值-平台费用率分析'!$E$6:$E$532,$F$30)/10000)</f>
        <v/>
      </c>
      <c r="O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$30,'参考值-平台费用率分析'!$D$6:$D$532,$E$30,'参考值-平台费用率分析'!$E$6:$E$532,$F$30,'参考值-平台费用率分析'!$AF$6:$AF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$30,'参考值-平台费用率分析'!$D$6:$D$532,$E$30,'参考值-平台费用率分析'!$E$6:$E$532,$F$30,'参考值-平台费用率分析'!$AF$6:$AF$532,"已导入实际")/10000),IF('假设-销售费用率'!Q200="","",O$9*'假设-销售费用率'!Q200))</f>
        <v>0</v>
      </c>
      <c r="P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$30,'参考值-平台费用率分析'!$D$6:$D$532,$E$30,'参考值-平台费用率分析'!$E$6:$E$532,$F$30,'参考值-平台费用率分析'!$AJ$6:$AJ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$30,'参考值-平台费用率分析'!$D$6:$D$532,$E$30,'参考值-平台费用率分析'!$E$6:$E$532,$F$30,'参考值-平台费用率分析'!$AJ$6:$AJ$532,"已导入实际")/10000),IF('假设-销售费用率'!R200="","",P$9*'假设-销售费用率'!R200))</f>
        <v>0</v>
      </c>
      <c r="Q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$30,'参考值-平台费用率分析'!$D$6:$D$532,$E$30,'参考值-平台费用率分析'!$E$6:$E$532,$F$30,'参考值-平台费用率分析'!$AN$6:$AN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$30,'参考值-平台费用率分析'!$D$6:$D$532,$E$30,'参考值-平台费用率分析'!$E$6:$E$532,$F$30,'参考值-平台费用率分析'!$AN$6:$AN$532,"已导入实际")/10000),IF('假设-销售费用率'!S200="","",Q$9*'假设-销售费用率'!S200))</f>
        <v>0</v>
      </c>
      <c r="R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$30,'参考值-平台费用率分析'!$D$6:$D$532,$E$30,'参考值-平台费用率分析'!$E$6:$E$532,$F$30,'参考值-平台费用率分析'!$AR$6:$AR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$30,'参考值-平台费用率分析'!$D$6:$D$532,$E$30,'参考值-平台费用率分析'!$E$6:$E$532,$F$30,'参考值-平台费用率分析'!$AR$6:$AR$532,"已导入实际")/10000),IF('假设-销售费用率'!T200="","",R$9*'假设-销售费用率'!T200))</f>
        <v>0</v>
      </c>
      <c r="S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$30,'参考值-平台费用率分析'!$D$6:$D$532,$E$30,'参考值-平台费用率分析'!$E$6:$E$532,$F$30,'参考值-平台费用率分析'!$AV$6:$AV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$30,'参考值-平台费用率分析'!$D$6:$D$532,$E$30,'参考值-平台费用率分析'!$E$6:$E$532,$F$30,'参考值-平台费用率分析'!$AV$6:$AV$532,"已导入实际")/10000),IF('假设-销售费用率'!U200="","",S$9*'假设-销售费用率'!U200))</f>
        <v>0</v>
      </c>
      <c r="T30" s="165">
        <f>IF(IF(COUNTIFS('参考值-平台费用率分析'!$A$6:$A$532,"分销",'参考值-平台费用率分析'!$C$6:$C$532,$D$30,'参考值-平台费用率分析'!$D$6:$D$532,$E$30,'参考值-平台费用率分析'!$E$6:$E$532,$F$30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$30,'参考值-平台费用率分析'!$D$6:$D$532,$E$30,'参考值-平台费用率分析'!$E$6:$E$532,$F$30,'参考值-平台费用率分析'!$AZ$6:$AZ$532,"已导入实际")/10000)&lt;&gt;"",IF(COUNTIFS('参考值-平台费用率分析'!$A$6:$A$532,"分销",'参考值-平台费用率分析'!$C$6:$C$532,$D$30,'参考值-平台费用率分析'!$D$6:$D$532,$E$30,'参考值-平台费用率分析'!$E$6:$E$532,$F$30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$30,'参考值-平台费用率分析'!$D$6:$D$532,$E$30,'参考值-平台费用率分析'!$E$6:$E$532,$F$30,'参考值-平台费用率分析'!$AZ$6:$AZ$532,"已导入实际")/10000),IF('假设-销售费用率'!V200="","",T$9*'假设-销售费用率'!V200))</f>
        <v>0</v>
      </c>
      <c r="U30" s="165"/>
      <c r="V30" s="165">
        <f t="shared" si="1"/>
        <v>0</v>
      </c>
      <c r="W30" s="165">
        <f t="shared" si="2"/>
        <v>0</v>
      </c>
    </row>
    <row r="31" spans="1:23">
      <c r="A31" s="67"/>
      <c r="B31" s="102"/>
      <c r="C31" s="102"/>
      <c r="D31" s="67" t="s">
        <v>52</v>
      </c>
      <c r="E31" s="67" t="s">
        <v>65</v>
      </c>
      <c r="F31" s="67" t="s">
        <v>69</v>
      </c>
      <c r="G31" s="67"/>
      <c r="H31" s="67"/>
      <c r="I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H$6:$H$532,"&lt;&gt;")=0,"",SUMIFS('参考值-平台费用率分析'!$H$6:$H$532,'参考值-平台费用率分析'!$A$6:$A$532,"分销",'参考值-平台费用率分析'!$C$6:$C$532,$D$31,'参考值-平台费用率分析'!$D$6:$D$532,$E$31,'参考值-平台费用率分析'!$E$6:$E$532,$F$31)/10000)</f>
        <v/>
      </c>
      <c r="J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K$6:$K$532,"&lt;&gt;")=0,"",SUMIFS('参考值-平台费用率分析'!$K$6:$K$532,'参考值-平台费用率分析'!$A$6:$A$532,"分销",'参考值-平台费用率分析'!$C$6:$C$532,$D$31,'参考值-平台费用率分析'!$D$6:$D$532,$E$31,'参考值-平台费用率分析'!$E$6:$E$532,$F$31)/10000)</f>
        <v/>
      </c>
      <c r="K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N$6:$N$532,"&lt;&gt;")=0,"",SUMIFS('参考值-平台费用率分析'!$N$6:$N$532,'参考值-平台费用率分析'!$A$6:$A$532,"分销",'参考值-平台费用率分析'!$C$6:$C$532,$D$31,'参考值-平台费用率分析'!$D$6:$D$532,$E$31,'参考值-平台费用率分析'!$E$6:$E$532,$F$31)/10000)</f>
        <v/>
      </c>
      <c r="L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Q$6:$Q$532,"&lt;&gt;")=0,"",SUMIFS('参考值-平台费用率分析'!$Q$6:$Q$532,'参考值-平台费用率分析'!$A$6:$A$532,"分销",'参考值-平台费用率分析'!$C$6:$C$532,$D$31,'参考值-平台费用率分析'!$D$6:$D$532,$E$31,'参考值-平台费用率分析'!$E$6:$E$532,$F$31)/10000)</f>
        <v/>
      </c>
      <c r="M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T$6:$T$532,"&lt;&gt;")=0,"",SUMIFS('参考值-平台费用率分析'!$T$6:$T$532,'参考值-平台费用率分析'!$A$6:$A$532,"分销",'参考值-平台费用率分析'!$C$6:$C$532,$D$31,'参考值-平台费用率分析'!$D$6:$D$532,$E$31,'参考值-平台费用率分析'!$E$6:$E$532,$F$31)/10000)</f>
        <v/>
      </c>
      <c r="N31" s="165" t="str">
        <f>IF(COUNTIFS('参考值-平台费用率分析'!$A$6:$A$532,"分销",'参考值-平台费用率分析'!$C$6:$C$532,$D$31,'参考值-平台费用率分析'!$D$6:$D$532,$E$31,'参考值-平台费用率分析'!$E$6:$E$532,$F$31,'参考值-平台费用率分析'!$W$6:$W$532,"&lt;&gt;")=0,"",SUMIFS('参考值-平台费用率分析'!$W$6:$W$532,'参考值-平台费用率分析'!$A$6:$A$532,"分销",'参考值-平台费用率分析'!$C$6:$C$532,$D$31,'参考值-平台费用率分析'!$D$6:$D$532,$E$31,'参考值-平台费用率分析'!$E$6:$E$532,$F$31)/10000)</f>
        <v/>
      </c>
      <c r="O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$31,'参考值-平台费用率分析'!$D$6:$D$532,$E$31,'参考值-平台费用率分析'!$E$6:$E$532,$F$31,'参考值-平台费用率分析'!$AF$6:$AF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$31,'参考值-平台费用率分析'!$D$6:$D$532,$E$31,'参考值-平台费用率分析'!$E$6:$E$532,$F$31,'参考值-平台费用率分析'!$AF$6:$AF$532,"已导入实际")/10000),IF('假设-销售费用率'!Q201="","",O$9*'假设-销售费用率'!Q201))</f>
        <v>0</v>
      </c>
      <c r="P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$31,'参考值-平台费用率分析'!$D$6:$D$532,$E$31,'参考值-平台费用率分析'!$E$6:$E$532,$F$31,'参考值-平台费用率分析'!$AJ$6:$AJ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$31,'参考值-平台费用率分析'!$D$6:$D$532,$E$31,'参考值-平台费用率分析'!$E$6:$E$532,$F$31,'参考值-平台费用率分析'!$AJ$6:$AJ$532,"已导入实际")/10000),IF('假设-销售费用率'!R201="","",P$9*'假设-销售费用率'!R201))</f>
        <v>0</v>
      </c>
      <c r="Q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$31,'参考值-平台费用率分析'!$D$6:$D$532,$E$31,'参考值-平台费用率分析'!$E$6:$E$532,$F$31,'参考值-平台费用率分析'!$AN$6:$AN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$31,'参考值-平台费用率分析'!$D$6:$D$532,$E$31,'参考值-平台费用率分析'!$E$6:$E$532,$F$31,'参考值-平台费用率分析'!$AN$6:$AN$532,"已导入实际")/10000),IF('假设-销售费用率'!S201="","",Q$9*'假设-销售费用率'!S201))</f>
        <v>0</v>
      </c>
      <c r="R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$31,'参考值-平台费用率分析'!$D$6:$D$532,$E$31,'参考值-平台费用率分析'!$E$6:$E$532,$F$31,'参考值-平台费用率分析'!$AR$6:$AR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$31,'参考值-平台费用率分析'!$D$6:$D$532,$E$31,'参考值-平台费用率分析'!$E$6:$E$532,$F$31,'参考值-平台费用率分析'!$AR$6:$AR$532,"已导入实际")/10000),IF('假设-销售费用率'!T201="","",R$9*'假设-销售费用率'!T201))</f>
        <v>0</v>
      </c>
      <c r="S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$31,'参考值-平台费用率分析'!$D$6:$D$532,$E$31,'参考值-平台费用率分析'!$E$6:$E$532,$F$31,'参考值-平台费用率分析'!$AV$6:$AV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$31,'参考值-平台费用率分析'!$D$6:$D$532,$E$31,'参考值-平台费用率分析'!$E$6:$E$532,$F$31,'参考值-平台费用率分析'!$AV$6:$AV$532,"已导入实际")/10000),IF('假设-销售费用率'!U201="","",S$9*'假设-销售费用率'!U201))</f>
        <v>0</v>
      </c>
      <c r="T31" s="165">
        <f>IF(IF(COUNTIFS('参考值-平台费用率分析'!$A$6:$A$532,"分销",'参考值-平台费用率分析'!$C$6:$C$532,$D$31,'参考值-平台费用率分析'!$D$6:$D$532,$E$31,'参考值-平台费用率分析'!$E$6:$E$532,$F$31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$31,'参考值-平台费用率分析'!$D$6:$D$532,$E$31,'参考值-平台费用率分析'!$E$6:$E$532,$F$31,'参考值-平台费用率分析'!$AZ$6:$AZ$532,"已导入实际")/10000)&lt;&gt;"",IF(COUNTIFS('参考值-平台费用率分析'!$A$6:$A$532,"分销",'参考值-平台费用率分析'!$C$6:$C$532,$D$31,'参考值-平台费用率分析'!$D$6:$D$532,$E$31,'参考值-平台费用率分析'!$E$6:$E$532,$F$31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$31,'参考值-平台费用率分析'!$D$6:$D$532,$E$31,'参考值-平台费用率分析'!$E$6:$E$532,$F$31,'参考值-平台费用率分析'!$AZ$6:$AZ$532,"已导入实际")/10000),IF('假设-销售费用率'!V201="","",T$9*'假设-销售费用率'!V201))</f>
        <v>0</v>
      </c>
      <c r="U31" s="165"/>
      <c r="V31" s="165">
        <f t="shared" si="1"/>
        <v>0</v>
      </c>
      <c r="W31" s="165">
        <f t="shared" si="2"/>
        <v>0</v>
      </c>
    </row>
    <row r="32" spans="1:23" s="13" customFormat="1">
      <c r="A32" s="102"/>
      <c r="B32" s="102"/>
      <c r="C32" s="222" t="s">
        <v>70</v>
      </c>
      <c r="D32" s="222"/>
      <c r="E32" s="222"/>
      <c r="F32" s="222"/>
      <c r="G32" s="222"/>
      <c r="H32" s="102"/>
      <c r="I32" s="223">
        <f t="shared" ref="I32:T32" si="12">SUM(I$33:I$35)</f>
        <v>3.7723690000000003</v>
      </c>
      <c r="J32" s="223">
        <f t="shared" si="12"/>
        <v>2.669009</v>
      </c>
      <c r="K32" s="223">
        <f t="shared" si="12"/>
        <v>5.441306</v>
      </c>
      <c r="L32" s="223">
        <f t="shared" si="12"/>
        <v>4.3240989999999995</v>
      </c>
      <c r="M32" s="223">
        <f t="shared" si="12"/>
        <v>4.5717109999999996</v>
      </c>
      <c r="N32" s="223">
        <f t="shared" si="12"/>
        <v>4.8456669999999997</v>
      </c>
      <c r="O32" s="223">
        <f t="shared" si="12"/>
        <v>1.5650148868749905</v>
      </c>
      <c r="P32" s="223">
        <f t="shared" si="12"/>
        <v>2.0931269063142879</v>
      </c>
      <c r="Q32" s="223">
        <f t="shared" si="12"/>
        <v>2.6470004876774529</v>
      </c>
      <c r="R32" s="223">
        <f t="shared" si="12"/>
        <v>2.86275356878985</v>
      </c>
      <c r="S32" s="223">
        <f t="shared" si="12"/>
        <v>3.4778108597222013</v>
      </c>
      <c r="T32" s="223">
        <f t="shared" si="12"/>
        <v>2.9625796212448376</v>
      </c>
      <c r="U32" s="165"/>
      <c r="V32" s="223">
        <f t="shared" si="1"/>
        <v>41.232447330623621</v>
      </c>
      <c r="W32" s="223">
        <f t="shared" si="2"/>
        <v>15.608286330623621</v>
      </c>
    </row>
    <row r="33" spans="1:23">
      <c r="A33" s="67"/>
      <c r="B33" s="102"/>
      <c r="C33" s="102"/>
      <c r="D33" s="67" t="s">
        <v>52</v>
      </c>
      <c r="E33" s="67" t="s">
        <v>70</v>
      </c>
      <c r="F33" s="67" t="s">
        <v>71</v>
      </c>
      <c r="G33" s="67"/>
      <c r="H33" s="67"/>
      <c r="I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H$6:$H$532,"&lt;&gt;")=0,"",SUMIFS('参考值-平台费用率分析'!$H$6:$H$532,'参考值-平台费用率分析'!$A$6:$A$532,"分销",'参考值-平台费用率分析'!$C$6:$C$532,$D$33,'参考值-平台费用率分析'!$D$6:$D$532,$E$33,'参考值-平台费用率分析'!$E$6:$E$532,$F$33)/10000)</f>
        <v/>
      </c>
      <c r="J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K$6:$K$532,"&lt;&gt;")=0,"",SUMIFS('参考值-平台费用率分析'!$K$6:$K$532,'参考值-平台费用率分析'!$A$6:$A$532,"分销",'参考值-平台费用率分析'!$C$6:$C$532,$D$33,'参考值-平台费用率分析'!$D$6:$D$532,$E$33,'参考值-平台费用率分析'!$E$6:$E$532,$F$33)/10000)</f>
        <v/>
      </c>
      <c r="K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N$6:$N$532,"&lt;&gt;")=0,"",SUMIFS('参考值-平台费用率分析'!$N$6:$N$532,'参考值-平台费用率分析'!$A$6:$A$532,"分销",'参考值-平台费用率分析'!$C$6:$C$532,$D$33,'参考值-平台费用率分析'!$D$6:$D$532,$E$33,'参考值-平台费用率分析'!$E$6:$E$532,$F$33)/10000)</f>
        <v/>
      </c>
      <c r="L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Q$6:$Q$532,"&lt;&gt;")=0,"",SUMIFS('参考值-平台费用率分析'!$Q$6:$Q$532,'参考值-平台费用率分析'!$A$6:$A$532,"分销",'参考值-平台费用率分析'!$C$6:$C$532,$D$33,'参考值-平台费用率分析'!$D$6:$D$532,$E$33,'参考值-平台费用率分析'!$E$6:$E$532,$F$33)/10000)</f>
        <v/>
      </c>
      <c r="M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T$6:$T$532,"&lt;&gt;")=0,"",SUMIFS('参考值-平台费用率分析'!$T$6:$T$532,'参考值-平台费用率分析'!$A$6:$A$532,"分销",'参考值-平台费用率分析'!$C$6:$C$532,$D$33,'参考值-平台费用率分析'!$D$6:$D$532,$E$33,'参考值-平台费用率分析'!$E$6:$E$532,$F$33)/10000)</f>
        <v/>
      </c>
      <c r="N33" s="165" t="str">
        <f>IF(COUNTIFS('参考值-平台费用率分析'!$A$6:$A$532,"分销",'参考值-平台费用率分析'!$C$6:$C$532,$D$33,'参考值-平台费用率分析'!$D$6:$D$532,$E$33,'参考值-平台费用率分析'!$E$6:$E$532,$F$33,'参考值-平台费用率分析'!$W$6:$W$532,"&lt;&gt;")=0,"",SUMIFS('参考值-平台费用率分析'!$W$6:$W$532,'参考值-平台费用率分析'!$A$6:$A$532,"分销",'参考值-平台费用率分析'!$C$6:$C$532,$D$33,'参考值-平台费用率分析'!$D$6:$D$532,$E$33,'参考值-平台费用率分析'!$E$6:$E$532,$F$33)/10000)</f>
        <v/>
      </c>
      <c r="O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$33,'参考值-平台费用率分析'!$D$6:$D$532,$E$33,'参考值-平台费用率分析'!$E$6:$E$532,$F$33,'参考值-平台费用率分析'!$AF$6:$AF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$33,'参考值-平台费用率分析'!$D$6:$D$532,$E$33,'参考值-平台费用率分析'!$E$6:$E$532,$F$33,'参考值-平台费用率分析'!$AF$6:$AF$532,"已导入实际")/10000),IF('假设-销售费用率'!Q203="","",O$9*'假设-销售费用率'!Q203))</f>
        <v>0</v>
      </c>
      <c r="P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$33,'参考值-平台费用率分析'!$D$6:$D$532,$E$33,'参考值-平台费用率分析'!$E$6:$E$532,$F$33,'参考值-平台费用率分析'!$AJ$6:$AJ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$33,'参考值-平台费用率分析'!$D$6:$D$532,$E$33,'参考值-平台费用率分析'!$E$6:$E$532,$F$33,'参考值-平台费用率分析'!$AJ$6:$AJ$532,"已导入实际")/10000),IF('假设-销售费用率'!R203="","",P$9*'假设-销售费用率'!R203))</f>
        <v>0</v>
      </c>
      <c r="Q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$33,'参考值-平台费用率分析'!$D$6:$D$532,$E$33,'参考值-平台费用率分析'!$E$6:$E$532,$F$33,'参考值-平台费用率分析'!$AN$6:$AN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$33,'参考值-平台费用率分析'!$D$6:$D$532,$E$33,'参考值-平台费用率分析'!$E$6:$E$532,$F$33,'参考值-平台费用率分析'!$AN$6:$AN$532,"已导入实际")/10000),IF('假设-销售费用率'!S203="","",Q$9*'假设-销售费用率'!S203))</f>
        <v>0</v>
      </c>
      <c r="R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$33,'参考值-平台费用率分析'!$D$6:$D$532,$E$33,'参考值-平台费用率分析'!$E$6:$E$532,$F$33,'参考值-平台费用率分析'!$AR$6:$AR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$33,'参考值-平台费用率分析'!$D$6:$D$532,$E$33,'参考值-平台费用率分析'!$E$6:$E$532,$F$33,'参考值-平台费用率分析'!$AR$6:$AR$532,"已导入实际")/10000),IF('假设-销售费用率'!T203="","",R$9*'假设-销售费用率'!T203))</f>
        <v>0</v>
      </c>
      <c r="S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$33,'参考值-平台费用率分析'!$D$6:$D$532,$E$33,'参考值-平台费用率分析'!$E$6:$E$532,$F$33,'参考值-平台费用率分析'!$AV$6:$AV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$33,'参考值-平台费用率分析'!$D$6:$D$532,$E$33,'参考值-平台费用率分析'!$E$6:$E$532,$F$33,'参考值-平台费用率分析'!$AV$6:$AV$532,"已导入实际")/10000),IF('假设-销售费用率'!U203="","",S$9*'假设-销售费用率'!U203))</f>
        <v>0</v>
      </c>
      <c r="T33" s="165">
        <f>IF(IF(COUNTIFS('参考值-平台费用率分析'!$A$6:$A$532,"分销",'参考值-平台费用率分析'!$C$6:$C$532,$D$33,'参考值-平台费用率分析'!$D$6:$D$532,$E$33,'参考值-平台费用率分析'!$E$6:$E$532,$F$33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$33,'参考值-平台费用率分析'!$D$6:$D$532,$E$33,'参考值-平台费用率分析'!$E$6:$E$532,$F$33,'参考值-平台费用率分析'!$AZ$6:$AZ$532,"已导入实际")/10000)&lt;&gt;"",IF(COUNTIFS('参考值-平台费用率分析'!$A$6:$A$532,"分销",'参考值-平台费用率分析'!$C$6:$C$532,$D$33,'参考值-平台费用率分析'!$D$6:$D$532,$E$33,'参考值-平台费用率分析'!$E$6:$E$532,$F$33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$33,'参考值-平台费用率分析'!$D$6:$D$532,$E$33,'参考值-平台费用率分析'!$E$6:$E$532,$F$33,'参考值-平台费用率分析'!$AZ$6:$AZ$532,"已导入实际")/10000),IF('假设-销售费用率'!V203="","",T$9*'假设-销售费用率'!V203))</f>
        <v>0</v>
      </c>
      <c r="U33" s="165"/>
      <c r="V33" s="165">
        <f t="shared" si="1"/>
        <v>0</v>
      </c>
      <c r="W33" s="165">
        <f t="shared" si="2"/>
        <v>0</v>
      </c>
    </row>
    <row r="34" spans="1:23">
      <c r="A34" s="67"/>
      <c r="B34" s="102"/>
      <c r="C34" s="102"/>
      <c r="D34" s="67" t="s">
        <v>52</v>
      </c>
      <c r="E34" s="67" t="s">
        <v>70</v>
      </c>
      <c r="F34" s="67" t="s">
        <v>72</v>
      </c>
      <c r="G34" s="67"/>
      <c r="H34" s="67"/>
      <c r="I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H$6:$H$532,"&lt;&gt;")=0,"",SUMIFS('参考值-平台费用率分析'!$H$6:$H$532,'参考值-平台费用率分析'!$A$6:$A$532,"分销",'参考值-平台费用率分析'!$C$6:$C$532,$D$34,'参考值-平台费用率分析'!$D$6:$D$532,$E$34,'参考值-平台费用率分析'!$E$6:$E$532,$F$34)/10000)</f>
        <v/>
      </c>
      <c r="J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K$6:$K$532,"&lt;&gt;")=0,"",SUMIFS('参考值-平台费用率分析'!$K$6:$K$532,'参考值-平台费用率分析'!$A$6:$A$532,"分销",'参考值-平台费用率分析'!$C$6:$C$532,$D$34,'参考值-平台费用率分析'!$D$6:$D$532,$E$34,'参考值-平台费用率分析'!$E$6:$E$532,$F$34)/10000)</f>
        <v/>
      </c>
      <c r="K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N$6:$N$532,"&lt;&gt;")=0,"",SUMIFS('参考值-平台费用率分析'!$N$6:$N$532,'参考值-平台费用率分析'!$A$6:$A$532,"分销",'参考值-平台费用率分析'!$C$6:$C$532,$D$34,'参考值-平台费用率分析'!$D$6:$D$532,$E$34,'参考值-平台费用率分析'!$E$6:$E$532,$F$34)/10000)</f>
        <v/>
      </c>
      <c r="L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Q$6:$Q$532,"&lt;&gt;")=0,"",SUMIFS('参考值-平台费用率分析'!$Q$6:$Q$532,'参考值-平台费用率分析'!$A$6:$A$532,"分销",'参考值-平台费用率分析'!$C$6:$C$532,$D$34,'参考值-平台费用率分析'!$D$6:$D$532,$E$34,'参考值-平台费用率分析'!$E$6:$E$532,$F$34)/10000)</f>
        <v/>
      </c>
      <c r="M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T$6:$T$532,"&lt;&gt;")=0,"",SUMIFS('参考值-平台费用率分析'!$T$6:$T$532,'参考值-平台费用率分析'!$A$6:$A$532,"分销",'参考值-平台费用率分析'!$C$6:$C$532,$D$34,'参考值-平台费用率分析'!$D$6:$D$532,$E$34,'参考值-平台费用率分析'!$E$6:$E$532,$F$34)/10000)</f>
        <v/>
      </c>
      <c r="N34" s="165" t="str">
        <f>IF(COUNTIFS('参考值-平台费用率分析'!$A$6:$A$532,"分销",'参考值-平台费用率分析'!$C$6:$C$532,$D$34,'参考值-平台费用率分析'!$D$6:$D$532,$E$34,'参考值-平台费用率分析'!$E$6:$E$532,$F$34,'参考值-平台费用率分析'!$W$6:$W$532,"&lt;&gt;")=0,"",SUMIFS('参考值-平台费用率分析'!$W$6:$W$532,'参考值-平台费用率分析'!$A$6:$A$532,"分销",'参考值-平台费用率分析'!$C$6:$C$532,$D$34,'参考值-平台费用率分析'!$D$6:$D$532,$E$34,'参考值-平台费用率分析'!$E$6:$E$532,$F$34)/10000)</f>
        <v/>
      </c>
      <c r="O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$34,'参考值-平台费用率分析'!$D$6:$D$532,$E$34,'参考值-平台费用率分析'!$E$6:$E$532,$F$34,'参考值-平台费用率分析'!$AF$6:$AF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$34,'参考值-平台费用率分析'!$D$6:$D$532,$E$34,'参考值-平台费用率分析'!$E$6:$E$532,$F$34,'参考值-平台费用率分析'!$AF$6:$AF$532,"已导入实际")/10000),IF('假设-销售费用率'!Q204="","",O$9*'假设-销售费用率'!Q204))</f>
        <v>0</v>
      </c>
      <c r="P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$34,'参考值-平台费用率分析'!$D$6:$D$532,$E$34,'参考值-平台费用率分析'!$E$6:$E$532,$F$34,'参考值-平台费用率分析'!$AJ$6:$AJ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$34,'参考值-平台费用率分析'!$D$6:$D$532,$E$34,'参考值-平台费用率分析'!$E$6:$E$532,$F$34,'参考值-平台费用率分析'!$AJ$6:$AJ$532,"已导入实际")/10000),IF('假设-销售费用率'!R204="","",P$9*'假设-销售费用率'!R204))</f>
        <v>0</v>
      </c>
      <c r="Q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$34,'参考值-平台费用率分析'!$D$6:$D$532,$E$34,'参考值-平台费用率分析'!$E$6:$E$532,$F$34,'参考值-平台费用率分析'!$AN$6:$AN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$34,'参考值-平台费用率分析'!$D$6:$D$532,$E$34,'参考值-平台费用率分析'!$E$6:$E$532,$F$34,'参考值-平台费用率分析'!$AN$6:$AN$532,"已导入实际")/10000),IF('假设-销售费用率'!S204="","",Q$9*'假设-销售费用率'!S204))</f>
        <v>0</v>
      </c>
      <c r="R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$34,'参考值-平台费用率分析'!$D$6:$D$532,$E$34,'参考值-平台费用率分析'!$E$6:$E$532,$F$34,'参考值-平台费用率分析'!$AR$6:$AR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$34,'参考值-平台费用率分析'!$D$6:$D$532,$E$34,'参考值-平台费用率分析'!$E$6:$E$532,$F$34,'参考值-平台费用率分析'!$AR$6:$AR$532,"已导入实际")/10000),IF('假设-销售费用率'!T204="","",R$9*'假设-销售费用率'!T204))</f>
        <v>0</v>
      </c>
      <c r="S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$34,'参考值-平台费用率分析'!$D$6:$D$532,$E$34,'参考值-平台费用率分析'!$E$6:$E$532,$F$34,'参考值-平台费用率分析'!$AV$6:$AV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$34,'参考值-平台费用率分析'!$D$6:$D$532,$E$34,'参考值-平台费用率分析'!$E$6:$E$532,$F$34,'参考值-平台费用率分析'!$AV$6:$AV$532,"已导入实际")/10000),IF('假设-销售费用率'!U204="","",S$9*'假设-销售费用率'!U204))</f>
        <v>0</v>
      </c>
      <c r="T34" s="165">
        <f>IF(IF(COUNTIFS('参考值-平台费用率分析'!$A$6:$A$532,"分销",'参考值-平台费用率分析'!$C$6:$C$532,$D$34,'参考值-平台费用率分析'!$D$6:$D$532,$E$34,'参考值-平台费用率分析'!$E$6:$E$532,$F$34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$34,'参考值-平台费用率分析'!$D$6:$D$532,$E$34,'参考值-平台费用率分析'!$E$6:$E$532,$F$34,'参考值-平台费用率分析'!$AZ$6:$AZ$532,"已导入实际")/10000)&lt;&gt;"",IF(COUNTIFS('参考值-平台费用率分析'!$A$6:$A$532,"分销",'参考值-平台费用率分析'!$C$6:$C$532,$D$34,'参考值-平台费用率分析'!$D$6:$D$532,$E$34,'参考值-平台费用率分析'!$E$6:$E$532,$F$34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$34,'参考值-平台费用率分析'!$D$6:$D$532,$E$34,'参考值-平台费用率分析'!$E$6:$E$532,$F$34,'参考值-平台费用率分析'!$AZ$6:$AZ$532,"已导入实际")/10000),IF('假设-销售费用率'!V204="","",T$9*'假设-销售费用率'!V204))</f>
        <v>0</v>
      </c>
      <c r="U34" s="165"/>
      <c r="V34" s="165">
        <f t="shared" si="1"/>
        <v>0</v>
      </c>
      <c r="W34" s="165">
        <f t="shared" si="2"/>
        <v>0</v>
      </c>
    </row>
    <row r="35" spans="1:23" s="13" customFormat="1">
      <c r="A35" s="102"/>
      <c r="B35" s="102"/>
      <c r="C35" s="102"/>
      <c r="D35" s="67" t="s">
        <v>52</v>
      </c>
      <c r="E35" s="67" t="s">
        <v>70</v>
      </c>
      <c r="F35" s="67" t="s">
        <v>73</v>
      </c>
      <c r="G35" s="102"/>
      <c r="H35" s="102"/>
      <c r="I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H$6:$H$532,"&lt;&gt;")=0,"",SUMIFS('参考值-平台费用率分析'!$H$6:$H$532,'参考值-平台费用率分析'!$A$6:$A$532,"分销",'参考值-平台费用率分析'!$C$6:$C$532,$D$35,'参考值-平台费用率分析'!$D$6:$D$532,$E$35,'参考值-平台费用率分析'!$E$6:$E$532,$F$35)/10000)</f>
        <v>3.7723690000000003</v>
      </c>
      <c r="J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K$6:$K$532,"&lt;&gt;")=0,"",SUMIFS('参考值-平台费用率分析'!$K$6:$K$532,'参考值-平台费用率分析'!$A$6:$A$532,"分销",'参考值-平台费用率分析'!$C$6:$C$532,$D$35,'参考值-平台费用率分析'!$D$6:$D$532,$E$35,'参考值-平台费用率分析'!$E$6:$E$532,$F$35)/10000)</f>
        <v>2.669009</v>
      </c>
      <c r="K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N$6:$N$532,"&lt;&gt;")=0,"",SUMIFS('参考值-平台费用率分析'!$N$6:$N$532,'参考值-平台费用率分析'!$A$6:$A$532,"分销",'参考值-平台费用率分析'!$C$6:$C$532,$D$35,'参考值-平台费用率分析'!$D$6:$D$532,$E$35,'参考值-平台费用率分析'!$E$6:$E$532,$F$35)/10000)</f>
        <v>5.441306</v>
      </c>
      <c r="L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Q$6:$Q$532,"&lt;&gt;")=0,"",SUMIFS('参考值-平台费用率分析'!$Q$6:$Q$532,'参考值-平台费用率分析'!$A$6:$A$532,"分销",'参考值-平台费用率分析'!$C$6:$C$532,$D$35,'参考值-平台费用率分析'!$D$6:$D$532,$E$35,'参考值-平台费用率分析'!$E$6:$E$532,$F$35)/10000)</f>
        <v>4.3240989999999995</v>
      </c>
      <c r="M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T$6:$T$532,"&lt;&gt;")=0,"",SUMIFS('参考值-平台费用率分析'!$T$6:$T$532,'参考值-平台费用率分析'!$A$6:$A$532,"分销",'参考值-平台费用率分析'!$C$6:$C$532,$D$35,'参考值-平台费用率分析'!$D$6:$D$532,$E$35,'参考值-平台费用率分析'!$E$6:$E$532,$F$35)/10000)</f>
        <v>4.5717109999999996</v>
      </c>
      <c r="N35" s="165">
        <f>IF(COUNTIFS('参考值-平台费用率分析'!$A$6:$A$532,"分销",'参考值-平台费用率分析'!$C$6:$C$532,$D$35,'参考值-平台费用率分析'!$D$6:$D$532,$E$35,'参考值-平台费用率分析'!$E$6:$E$532,$F$35,'参考值-平台费用率分析'!$W$6:$W$532,"&lt;&gt;")=0,"",SUMIFS('参考值-平台费用率分析'!$W$6:$W$532,'参考值-平台费用率分析'!$A$6:$A$532,"分销",'参考值-平台费用率分析'!$C$6:$C$532,$D$35,'参考值-平台费用率分析'!$D$6:$D$532,$E$35,'参考值-平台费用率分析'!$E$6:$E$532,$F$35)/10000)</f>
        <v>4.8456669999999997</v>
      </c>
      <c r="O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$35,'参考值-平台费用率分析'!$D$6:$D$532,$E$35,'参考值-平台费用率分析'!$E$6:$E$532,$F$35,'参考值-平台费用率分析'!$AF$6:$AF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$35,'参考值-平台费用率分析'!$D$6:$D$532,$E$35,'参考值-平台费用率分析'!$E$6:$E$532,$F$35,'参考值-平台费用率分析'!$AF$6:$AF$532,"已导入实际")/10000),IF('假设-销售费用率'!Q205="","",O$9*'假设-销售费用率'!Q205))</f>
        <v>1.5650148868749905</v>
      </c>
      <c r="P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$35,'参考值-平台费用率分析'!$D$6:$D$532,$E$35,'参考值-平台费用率分析'!$E$6:$E$532,$F$35,'参考值-平台费用率分析'!$AJ$6:$AJ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$35,'参考值-平台费用率分析'!$D$6:$D$532,$E$35,'参考值-平台费用率分析'!$E$6:$E$532,$F$35,'参考值-平台费用率分析'!$AJ$6:$AJ$532,"已导入实际")/10000),IF('假设-销售费用率'!R205="","",P$9*'假设-销售费用率'!R205))</f>
        <v>2.0931269063142879</v>
      </c>
      <c r="Q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$35,'参考值-平台费用率分析'!$D$6:$D$532,$E$35,'参考值-平台费用率分析'!$E$6:$E$532,$F$35,'参考值-平台费用率分析'!$AN$6:$AN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$35,'参考值-平台费用率分析'!$D$6:$D$532,$E$35,'参考值-平台费用率分析'!$E$6:$E$532,$F$35,'参考值-平台费用率分析'!$AN$6:$AN$532,"已导入实际")/10000),IF('假设-销售费用率'!S205="","",Q$9*'假设-销售费用率'!S205))</f>
        <v>2.6470004876774529</v>
      </c>
      <c r="R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$35,'参考值-平台费用率分析'!$D$6:$D$532,$E$35,'参考值-平台费用率分析'!$E$6:$E$532,$F$35,'参考值-平台费用率分析'!$AR$6:$AR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$35,'参考值-平台费用率分析'!$D$6:$D$532,$E$35,'参考值-平台费用率分析'!$E$6:$E$532,$F$35,'参考值-平台费用率分析'!$AR$6:$AR$532,"已导入实际")/10000),IF('假设-销售费用率'!T205="","",R$9*'假设-销售费用率'!T205))</f>
        <v>2.86275356878985</v>
      </c>
      <c r="S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$35,'参考值-平台费用率分析'!$D$6:$D$532,$E$35,'参考值-平台费用率分析'!$E$6:$E$532,$F$35,'参考值-平台费用率分析'!$AV$6:$AV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$35,'参考值-平台费用率分析'!$D$6:$D$532,$E$35,'参考值-平台费用率分析'!$E$6:$E$532,$F$35,'参考值-平台费用率分析'!$AV$6:$AV$532,"已导入实际")/10000),IF('假设-销售费用率'!U205="","",S$9*'假设-销售费用率'!U205))</f>
        <v>3.4778108597222013</v>
      </c>
      <c r="T35" s="165">
        <f>IF(IF(COUNTIFS('参考值-平台费用率分析'!$A$6:$A$532,"分销",'参考值-平台费用率分析'!$C$6:$C$532,$D$35,'参考值-平台费用率分析'!$D$6:$D$532,$E$35,'参考值-平台费用率分析'!$E$6:$E$532,$F$35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$35,'参考值-平台费用率分析'!$D$6:$D$532,$E$35,'参考值-平台费用率分析'!$E$6:$E$532,$F$35,'参考值-平台费用率分析'!$AZ$6:$AZ$532,"已导入实际")/10000)&lt;&gt;"",IF(COUNTIFS('参考值-平台费用率分析'!$A$6:$A$532,"分销",'参考值-平台费用率分析'!$C$6:$C$532,$D$35,'参考值-平台费用率分析'!$D$6:$D$532,$E$35,'参考值-平台费用率分析'!$E$6:$E$532,$F$35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$35,'参考值-平台费用率分析'!$D$6:$D$532,$E$35,'参考值-平台费用率分析'!$E$6:$E$532,$F$35,'参考值-平台费用率分析'!$AZ$6:$AZ$532,"已导入实际")/10000),IF('假设-销售费用率'!V205="","",T$9*'假设-销售费用率'!V205))</f>
        <v>2.9625796212448376</v>
      </c>
      <c r="U35" s="165"/>
      <c r="V35" s="165">
        <f t="shared" si="1"/>
        <v>41.232447330623621</v>
      </c>
      <c r="W35" s="165">
        <f t="shared" si="2"/>
        <v>15.608286330623621</v>
      </c>
    </row>
    <row r="36" spans="1:23">
      <c r="A36" s="67"/>
      <c r="B36" s="67"/>
      <c r="C36" s="222" t="s">
        <v>74</v>
      </c>
      <c r="D36" s="222"/>
      <c r="E36" s="222"/>
      <c r="F36" s="222"/>
      <c r="G36" s="222"/>
      <c r="H36" s="67"/>
      <c r="I36" s="223">
        <f t="shared" ref="I36:T36" si="13">SUM(I$37:I$40)</f>
        <v>4.348241475</v>
      </c>
      <c r="J36" s="223">
        <f t="shared" si="13"/>
        <v>3.5793603591744274</v>
      </c>
      <c r="K36" s="223">
        <f t="shared" si="13"/>
        <v>6.4243880000000004</v>
      </c>
      <c r="L36" s="223">
        <f t="shared" si="13"/>
        <v>5.188644</v>
      </c>
      <c r="M36" s="223">
        <f t="shared" si="13"/>
        <v>5.4163019999999999</v>
      </c>
      <c r="N36" s="223">
        <f t="shared" si="13"/>
        <v>5.2878240000000005</v>
      </c>
      <c r="O36" s="223">
        <f t="shared" si="13"/>
        <v>1.975736332873788</v>
      </c>
      <c r="P36" s="223">
        <f t="shared" si="13"/>
        <v>2.6424457126912806</v>
      </c>
      <c r="Q36" s="223">
        <f t="shared" si="13"/>
        <v>3.341677501280357</v>
      </c>
      <c r="R36" s="223">
        <f t="shared" si="13"/>
        <v>3.6140526747423829</v>
      </c>
      <c r="S36" s="223">
        <f t="shared" si="13"/>
        <v>4.3905251841639741</v>
      </c>
      <c r="T36" s="223">
        <f t="shared" si="13"/>
        <v>3.740077008732273</v>
      </c>
      <c r="U36" s="165"/>
      <c r="V36" s="223">
        <f t="shared" si="1"/>
        <v>49.949274248658483</v>
      </c>
      <c r="W36" s="223">
        <f t="shared" si="2"/>
        <v>19.704514414484052</v>
      </c>
    </row>
    <row r="37" spans="1:23">
      <c r="A37" s="67"/>
      <c r="B37" s="102"/>
      <c r="C37" s="102"/>
      <c r="D37" s="67" t="s">
        <v>52</v>
      </c>
      <c r="E37" s="67" t="s">
        <v>74</v>
      </c>
      <c r="F37" s="67" t="s">
        <v>75</v>
      </c>
      <c r="G37" s="67"/>
      <c r="H37" s="67"/>
      <c r="I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H$6:$H$532,"&lt;&gt;")=0,"",SUMIFS('参考值-平台费用率分析'!$H$6:$H$532,'参考值-平台费用率分析'!$A$6:$A$532,"分销",'参考值-平台费用率分析'!$C$6:$C$532,$D$37,'参考值-平台费用率分析'!$D$6:$D$532,$E$37,'参考值-平台费用率分析'!$E$6:$E$532,$F$37)/10000)</f>
        <v>3.0892599999999999</v>
      </c>
      <c r="J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K$6:$K$532,"&lt;&gt;")=0,"",SUMIFS('参考值-平台费用率分析'!$K$6:$K$532,'参考值-平台费用率分析'!$A$6:$A$532,"分销",'参考值-平台费用率分析'!$C$6:$C$532,$D$37,'参考值-平台费用率分析'!$D$6:$D$532,$E$37,'参考值-平台费用率分析'!$E$6:$E$532,$F$37)/10000)</f>
        <v>2.6758250000000001</v>
      </c>
      <c r="K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N$6:$N$532,"&lt;&gt;")=0,"",SUMIFS('参考值-平台费用率分析'!$N$6:$N$532,'参考值-平台费用率分析'!$A$6:$A$532,"分销",'参考值-平台费用率分析'!$C$6:$C$532,$D$37,'参考值-平台费用率分析'!$D$6:$D$532,$E$37,'参考值-平台费用率分析'!$E$6:$E$532,$F$37)/10000)</f>
        <v>4.7545950000000001</v>
      </c>
      <c r="L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Q$6:$Q$532,"&lt;&gt;")=0,"",SUMIFS('参考值-平台费用率分析'!$Q$6:$Q$532,'参考值-平台费用率分析'!$A$6:$A$532,"分销",'参考值-平台费用率分析'!$C$6:$C$532,$D$37,'参考值-平台费用率分析'!$D$6:$D$532,$E$37,'参考值-平台费用率分析'!$E$6:$E$532,$F$37)/10000)</f>
        <v>3.8307230000000003</v>
      </c>
      <c r="M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T$6:$T$532,"&lt;&gt;")=0,"",SUMIFS('参考值-平台费用率分析'!$T$6:$T$532,'参考值-平台费用率分析'!$A$6:$A$532,"分销",'参考值-平台费用率分析'!$C$6:$C$532,$D$37,'参考值-平台费用率分析'!$D$6:$D$532,$E$37,'参考值-平台费用率分析'!$E$6:$E$532,$F$37)/10000)</f>
        <v>3.9498009999999995</v>
      </c>
      <c r="N37" s="165">
        <f>IF(COUNTIFS('参考值-平台费用率分析'!$A$6:$A$532,"分销",'参考值-平台费用率分析'!$C$6:$C$532,$D$37,'参考值-平台费用率分析'!$D$6:$D$532,$E$37,'参考值-平台费用率分析'!$E$6:$E$532,$F$37,'参考值-平台费用率分析'!$W$6:$W$532,"&lt;&gt;")=0,"",SUMIFS('参考值-平台费用率分析'!$W$6:$W$532,'参考值-平台费用率分析'!$A$6:$A$532,"分销",'参考值-平台费用率分析'!$C$6:$C$532,$D$37,'参考值-平台费用率分析'!$D$6:$D$532,$E$37,'参考值-平台费用率分析'!$E$6:$E$532,$F$37)/10000)</f>
        <v>3.8546550000000002</v>
      </c>
      <c r="O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$37,'参考值-平台费用率分析'!$D$6:$D$532,$E$37,'参考值-平台费用率分析'!$E$6:$E$532,$F$37,'参考值-平台费用率分析'!$AF$6:$AF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$37,'参考值-平台费用率分析'!$D$6:$D$532,$E$37,'参考值-平台费用率分析'!$E$6:$E$532,$F$37,'参考值-平台费用率分析'!$AF$6:$AF$532,"已导入实际")/10000),IF('假设-销售费用率'!Q207="","",O$9*'假设-销售费用率'!Q207))</f>
        <v>1.3531246604178129</v>
      </c>
      <c r="P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$37,'参考值-平台费用率分析'!$D$6:$D$532,$E$37,'参考值-平台费用率分析'!$E$6:$E$532,$F$37,'参考值-平台费用率分析'!$AJ$6:$AJ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$37,'参考值-平台费用率分析'!$D$6:$D$532,$E$37,'参考值-平台费用率分析'!$E$6:$E$532,$F$37,'参考值-平台费用率分析'!$AJ$6:$AJ$532,"已导入实际")/10000),IF('假设-销售费用率'!R207="","",P$9*'假设-销售费用率'!R207))</f>
        <v>1.80973462813082</v>
      </c>
      <c r="Q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$37,'参考值-平台费用率分析'!$D$6:$D$532,$E$37,'参考值-平台费用率分析'!$E$6:$E$532,$F$37,'参考值-平台费用率分析'!$AN$6:$AN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$37,'参考值-平台费用率分析'!$D$6:$D$532,$E$37,'参考值-平台费用率分析'!$E$6:$E$532,$F$37,'参考值-平台费用率分析'!$AN$6:$AN$532,"已导入实际")/10000),IF('假设-销售费用率'!S207="","",Q$9*'假设-销售费用率'!S207))</f>
        <v>2.2886182528054362</v>
      </c>
      <c r="R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$37,'参考值-平台费用率分析'!$D$6:$D$532,$E$37,'参考值-平台费用率分析'!$E$6:$E$532,$F$37,'参考值-平台费用率分析'!$AR$6:$AR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$37,'参考值-平台费用率分析'!$D$6:$D$532,$E$37,'参考值-平台费用率分析'!$E$6:$E$532,$F$37,'参考值-平台费用率分析'!$AR$6:$AR$532,"已导入实际")/10000),IF('假设-销售费用率'!T207="","",R$9*'假设-销售费用率'!T207))</f>
        <v>2.4751601298589221</v>
      </c>
      <c r="S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$37,'参考值-平台费用率分析'!$D$6:$D$532,$E$37,'参考值-平台费用率分析'!$E$6:$E$532,$F$37,'参考值-平台费用率分析'!$AV$6:$AV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$37,'参考值-平台费用率分析'!$D$6:$D$532,$E$37,'参考值-平台费用率分析'!$E$6:$E$532,$F$37,'参考值-平台费用率分析'!$AV$6:$AV$532,"已导入实际")/10000),IF('假设-销售费用率'!U207="","",S$9*'假设-销售费用率'!U207))</f>
        <v>3.0069436898173625</v>
      </c>
      <c r="T37" s="165">
        <f>IF(IF(COUNTIFS('参考值-平台费用率分析'!$A$6:$A$532,"分销",'参考值-平台费用率分析'!$C$6:$C$532,$D$37,'参考值-平台费用率分析'!$D$6:$D$532,$E$37,'参考值-平台费用率分析'!$E$6:$E$532,$F$37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$37,'参考值-平台费用率分析'!$D$6:$D$532,$E$37,'参考值-平台费用率分析'!$E$6:$E$532,$F$37,'参考值-平台费用率分析'!$AZ$6:$AZ$532,"已导入实际")/10000)&lt;&gt;"",IF(COUNTIFS('参考值-平台费用率分析'!$A$6:$A$532,"分销",'参考值-平台费用率分析'!$C$6:$C$532,$D$37,'参考值-平台费用率分析'!$D$6:$D$532,$E$37,'参考值-平台费用率分析'!$E$6:$E$532,$F$37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$37,'参考值-平台费用率分析'!$D$6:$D$532,$E$37,'参考值-平台费用率分析'!$E$6:$E$532,$F$37,'参考值-平台费用率分析'!$AZ$6:$AZ$532,"已导入实际")/10000),IF('假设-销售费用率'!V207="","",T$9*'假设-销售费用率'!V207))</f>
        <v>2.56147055058516</v>
      </c>
      <c r="U37" s="165"/>
      <c r="V37" s="165">
        <f t="shared" si="1"/>
        <v>35.649910911615514</v>
      </c>
      <c r="W37" s="165">
        <f t="shared" si="2"/>
        <v>13.495051911615514</v>
      </c>
    </row>
    <row r="38" spans="1:23">
      <c r="A38" s="67"/>
      <c r="B38" s="102"/>
      <c r="C38" s="102"/>
      <c r="D38" s="67" t="s">
        <v>52</v>
      </c>
      <c r="E38" s="67" t="s">
        <v>74</v>
      </c>
      <c r="F38" s="67" t="s">
        <v>76</v>
      </c>
      <c r="G38" s="67"/>
      <c r="H38" s="67"/>
      <c r="I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H$6:$H$532,"&lt;&gt;")=0,"",SUMIFS('参考值-平台费用率分析'!$H$6:$H$532,'参考值-平台费用率分析'!$A$6:$A$532,"分销",'参考值-平台费用率分析'!$C$6:$C$532,$D$38,'参考值-平台费用率分析'!$D$6:$D$532,$E$38,'参考值-平台费用率分析'!$E$6:$E$532,$F$38)/10000)</f>
        <v>1.2589814750000001</v>
      </c>
      <c r="J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K$6:$K$532,"&lt;&gt;")=0,"",SUMIFS('参考值-平台费用率分析'!$K$6:$K$532,'参考值-平台费用率分析'!$A$6:$A$532,"分销",'参考值-平台费用率分析'!$C$6:$C$532,$D$38,'参考值-平台费用率分析'!$D$6:$D$532,$E$38,'参考值-平台费用率分析'!$E$6:$E$532,$F$38)/10000)</f>
        <v>0.90353535917442729</v>
      </c>
      <c r="K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N$6:$N$532,"&lt;&gt;")=0,"",SUMIFS('参考值-平台费用率分析'!$N$6:$N$532,'参考值-平台费用率分析'!$A$6:$A$532,"分销",'参考值-平台费用率分析'!$C$6:$C$532,$D$38,'参考值-平台费用率分析'!$D$6:$D$532,$E$38,'参考值-平台费用率分析'!$E$6:$E$532,$F$38)/10000)</f>
        <v>1.6697930000000001</v>
      </c>
      <c r="L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Q$6:$Q$532,"&lt;&gt;")=0,"",SUMIFS('参考值-平台费用率分析'!$Q$6:$Q$532,'参考值-平台费用率分析'!$A$6:$A$532,"分销",'参考值-平台费用率分析'!$C$6:$C$532,$D$38,'参考值-平台费用率分析'!$D$6:$D$532,$E$38,'参考值-平台费用率分析'!$E$6:$E$532,$F$38)/10000)</f>
        <v>1.3579209999999999</v>
      </c>
      <c r="M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T$6:$T$532,"&lt;&gt;")=0,"",SUMIFS('参考值-平台费用率分析'!$T$6:$T$532,'参考值-平台费用率分析'!$A$6:$A$532,"分销",'参考值-平台费用率分析'!$C$6:$C$532,$D$38,'参考值-平台费用率分析'!$D$6:$D$532,$E$38,'参考值-平台费用率分析'!$E$6:$E$532,$F$38)/10000)</f>
        <v>1.4665010000000001</v>
      </c>
      <c r="N38" s="165">
        <f>IF(COUNTIFS('参考值-平台费用率分析'!$A$6:$A$532,"分销",'参考值-平台费用率分析'!$C$6:$C$532,$D$38,'参考值-平台费用率分析'!$D$6:$D$532,$E$38,'参考值-平台费用率分析'!$E$6:$E$532,$F$38,'参考值-平台费用率分析'!$W$6:$W$532,"&lt;&gt;")=0,"",SUMIFS('参考值-平台费用率分析'!$W$6:$W$532,'参考值-平台费用率分析'!$A$6:$A$532,"分销",'参考值-平台费用率分析'!$C$6:$C$532,$D$38,'参考值-平台费用率分析'!$D$6:$D$532,$E$38,'参考值-平台费用率分析'!$E$6:$E$532,$F$38)/10000)</f>
        <v>1.4331689999999999</v>
      </c>
      <c r="O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$38,'参考值-平台费用率分析'!$D$6:$D$532,$E$38,'参考值-平台费用率分析'!$E$6:$E$532,$F$38,'参考值-平台费用率分析'!$AF$6:$AF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$38,'参考值-平台费用率分析'!$D$6:$D$532,$E$38,'参考值-平台费用率分析'!$E$6:$E$532,$F$38,'参考值-平台费用率分析'!$AF$6:$AF$532,"已导入实际")/10000),IF('假设-销售费用率'!Q208="","",O$9*'假设-销售费用率'!Q208))</f>
        <v>8.5877472062893104E-2</v>
      </c>
      <c r="P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$38,'参考值-平台费用率分析'!$D$6:$D$532,$E$38,'参考值-平台费用率分析'!$E$6:$E$532,$F$38,'参考值-平台费用率分析'!$AJ$6:$AJ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$38,'参考值-平台费用率分析'!$D$6:$D$532,$E$38,'参考值-平台费用率分析'!$E$6:$E$532,$F$38,'参考值-平台费用率分析'!$AJ$6:$AJ$532,"已导入实际")/10000),IF('假设-销售费用率'!R208="","",P$9*'假设-销售费用率'!R208))</f>
        <v>0.11485670131868422</v>
      </c>
      <c r="Q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$38,'参考值-平台费用率分析'!$D$6:$D$532,$E$38,'参考值-平台费用率分析'!$E$6:$E$532,$F$38,'参考值-平台费用率分析'!$AN$6:$AN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$38,'参考值-平台费用率分析'!$D$6:$D$532,$E$38,'参考值-平台费用率分析'!$E$6:$E$532,$F$38,'参考值-平台费用率分析'!$AN$6:$AN$532,"已导入实际")/10000),IF('假设-销售费用率'!S208="","",Q$9*'假设-销售费用率'!S208))</f>
        <v>0.14524955151378216</v>
      </c>
      <c r="R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$38,'参考值-平台费用率分析'!$D$6:$D$532,$E$38,'参考值-平台费用率分析'!$E$6:$E$532,$F$38,'参考值-平台费用率分析'!$AR$6:$AR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$38,'参考值-平台费用率分析'!$D$6:$D$532,$E$38,'参考值-平台费用率分析'!$E$6:$E$532,$F$38,'参考值-平台费用率分析'!$AR$6:$AR$532,"已导入实际")/10000),IF('假设-销售费用率'!T208="","",R$9*'假设-销售费用率'!T208))</f>
        <v>0.15708862688047737</v>
      </c>
      <c r="S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$38,'参考值-平台费用率分析'!$D$6:$D$532,$E$38,'参考值-平台费用率分析'!$E$6:$E$532,$F$38,'参考值-平台费用率分析'!$AV$6:$AV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$38,'参考值-平台费用率分析'!$D$6:$D$532,$E$38,'参考值-平台费用率分析'!$E$6:$E$532,$F$38,'参考值-平台费用率分析'!$AV$6:$AV$532,"已导入实际")/10000),IF('假设-销售费用率'!U208="","",S$9*'假设-销售费用率'!U208))</f>
        <v>0.19083882680642916</v>
      </c>
      <c r="T38" s="165">
        <f>IF(IF(COUNTIFS('参考值-平台费用率分析'!$A$6:$A$532,"分销",'参考值-平台费用率分析'!$C$6:$C$532,$D$38,'参考值-平台费用率分析'!$D$6:$D$532,$E$38,'参考值-平台费用率分析'!$E$6:$E$532,$F$38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$38,'参考值-平台费用率分析'!$D$6:$D$532,$E$38,'参考值-平台费用率分析'!$E$6:$E$532,$F$38,'参考值-平台费用率分析'!$AZ$6:$AZ$532,"已导入实际")/10000)&lt;&gt;"",IF(COUNTIFS('参考值-平台费用率分析'!$A$6:$A$532,"分销",'参考值-平台费用率分析'!$C$6:$C$532,$D$38,'参考值-平台费用率分析'!$D$6:$D$532,$E$38,'参考值-平台费用率分析'!$E$6:$E$532,$F$38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$38,'参考值-平台费用率分析'!$D$6:$D$532,$E$38,'参考值-平台费用率分析'!$E$6:$E$532,$F$38,'参考值-平台费用率分析'!$AZ$6:$AZ$532,"已导入实际")/10000),IF('假设-销售费用率'!V208="","",T$9*'假设-销售费用率'!V208))</f>
        <v>0.16256640802029149</v>
      </c>
      <c r="U38" s="165"/>
      <c r="V38" s="165">
        <f t="shared" si="1"/>
        <v>8.9463784207769859</v>
      </c>
      <c r="W38" s="165">
        <f t="shared" si="2"/>
        <v>0.85647758660255757</v>
      </c>
    </row>
    <row r="39" spans="1:23">
      <c r="A39" s="67"/>
      <c r="B39" s="102"/>
      <c r="C39" s="102"/>
      <c r="D39" s="67" t="s">
        <v>52</v>
      </c>
      <c r="E39" s="67" t="s">
        <v>74</v>
      </c>
      <c r="F39" s="67" t="s">
        <v>77</v>
      </c>
      <c r="G39" s="67"/>
      <c r="H39" s="67"/>
      <c r="I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H$6:$H$532,"&lt;&gt;")=0,"",SUMIFS('参考值-平台费用率分析'!$H$6:$H$532,'参考值-平台费用率分析'!$A$6:$A$532,"分销",'参考值-平台费用率分析'!$C$6:$C$532,$D$39,'参考值-平台费用率分析'!$D$6:$D$532,$E$39,'参考值-平台费用率分析'!$E$6:$E$532,$F$39)/10000)</f>
        <v/>
      </c>
      <c r="J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K$6:$K$532,"&lt;&gt;")=0,"",SUMIFS('参考值-平台费用率分析'!$K$6:$K$532,'参考值-平台费用率分析'!$A$6:$A$532,"分销",'参考值-平台费用率分析'!$C$6:$C$532,$D$39,'参考值-平台费用率分析'!$D$6:$D$532,$E$39,'参考值-平台费用率分析'!$E$6:$E$532,$F$39)/10000)</f>
        <v/>
      </c>
      <c r="K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N$6:$N$532,"&lt;&gt;")=0,"",SUMIFS('参考值-平台费用率分析'!$N$6:$N$532,'参考值-平台费用率分析'!$A$6:$A$532,"分销",'参考值-平台费用率分析'!$C$6:$C$532,$D$39,'参考值-平台费用率分析'!$D$6:$D$532,$E$39,'参考值-平台费用率分析'!$E$6:$E$532,$F$39)/10000)</f>
        <v/>
      </c>
      <c r="L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Q$6:$Q$532,"&lt;&gt;")=0,"",SUMIFS('参考值-平台费用率分析'!$Q$6:$Q$532,'参考值-平台费用率分析'!$A$6:$A$532,"分销",'参考值-平台费用率分析'!$C$6:$C$532,$D$39,'参考值-平台费用率分析'!$D$6:$D$532,$E$39,'参考值-平台费用率分析'!$E$6:$E$532,$F$39)/10000)</f>
        <v/>
      </c>
      <c r="M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T$6:$T$532,"&lt;&gt;")=0,"",SUMIFS('参考值-平台费用率分析'!$T$6:$T$532,'参考值-平台费用率分析'!$A$6:$A$532,"分销",'参考值-平台费用率分析'!$C$6:$C$532,$D$39,'参考值-平台费用率分析'!$D$6:$D$532,$E$39,'参考值-平台费用率分析'!$E$6:$E$532,$F$39)/10000)</f>
        <v/>
      </c>
      <c r="N39" s="165" t="str">
        <f>IF(COUNTIFS('参考值-平台费用率分析'!$A$6:$A$532,"分销",'参考值-平台费用率分析'!$C$6:$C$532,$D$39,'参考值-平台费用率分析'!$D$6:$D$532,$E$39,'参考值-平台费用率分析'!$E$6:$E$532,$F$39,'参考值-平台费用率分析'!$W$6:$W$532,"&lt;&gt;")=0,"",SUMIFS('参考值-平台费用率分析'!$W$6:$W$532,'参考值-平台费用率分析'!$A$6:$A$532,"分销",'参考值-平台费用率分析'!$C$6:$C$532,$D$39,'参考值-平台费用率分析'!$D$6:$D$532,$E$39,'参考值-平台费用率分析'!$E$6:$E$532,$F$39)/10000)</f>
        <v/>
      </c>
      <c r="O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$39,'参考值-平台费用率分析'!$D$6:$D$532,$E$39,'参考值-平台费用率分析'!$E$6:$E$532,$F$39,'参考值-平台费用率分析'!$AF$6:$AF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$39,'参考值-平台费用率分析'!$D$6:$D$532,$E$39,'参考值-平台费用率分析'!$E$6:$E$532,$F$39,'参考值-平台费用率分析'!$AF$6:$AF$532,"已导入实际")/10000),IF('假设-销售费用率'!Q209="","",O$9*'假设-销售费用率'!Q209))</f>
        <v>0.53673420039308195</v>
      </c>
      <c r="P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$39,'参考值-平台费用率分析'!$D$6:$D$532,$E$39,'参考值-平台费用率分析'!$E$6:$E$532,$F$39,'参考值-平台费用率分析'!$AJ$6:$AJ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$39,'参考值-平台费用率分析'!$D$6:$D$532,$E$39,'参考值-平台费用率分析'!$E$6:$E$532,$F$39,'参考值-平台费用率分析'!$AJ$6:$AJ$532,"已导入实际")/10000),IF('假设-销售费用率'!R209="","",P$9*'假设-销售费用率'!R209))</f>
        <v>0.71785438324177631</v>
      </c>
      <c r="Q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$39,'参考值-平台费用率分析'!$D$6:$D$532,$E$39,'参考值-平台费用率分析'!$E$6:$E$532,$F$39,'参考值-平台费用率分析'!$AN$6:$AN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$39,'参考值-平台费用率分析'!$D$6:$D$532,$E$39,'参考值-平台费用率分析'!$E$6:$E$532,$F$39,'参考值-平台费用率分析'!$AN$6:$AN$532,"已导入实际")/10000),IF('假设-销售费用率'!S209="","",Q$9*'假设-销售费用率'!S209))</f>
        <v>0.90780969696113845</v>
      </c>
      <c r="R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$39,'参考值-平台费用率分析'!$D$6:$D$532,$E$39,'参考值-平台费用率分析'!$E$6:$E$532,$F$39,'参考值-平台费用率分析'!$AR$6:$AR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$39,'参考值-平台费用率分析'!$D$6:$D$532,$E$39,'参考值-平台费用率分析'!$E$6:$E$532,$F$39,'参考值-平台费用率分析'!$AR$6:$AR$532,"已导入实际")/10000),IF('假设-销售费用率'!T209="","",R$9*'假设-销售费用率'!T209))</f>
        <v>0.9818039180029835</v>
      </c>
      <c r="S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$39,'参考值-平台费用率分析'!$D$6:$D$532,$E$39,'参考值-平台费用率分析'!$E$6:$E$532,$F$39,'参考值-平台费用率分析'!$AV$6:$AV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$39,'参考值-平台费用率分析'!$D$6:$D$532,$E$39,'参考值-平台费用率分析'!$E$6:$E$532,$F$39,'参考值-平台费用率分析'!$AV$6:$AV$532,"已导入实际")/10000),IF('假设-销售费用率'!U209="","",S$9*'假设-销售费用率'!U209))</f>
        <v>1.1927426675401822</v>
      </c>
      <c r="T39" s="165">
        <f>IF(IF(COUNTIFS('参考值-平台费用率分析'!$A$6:$A$532,"分销",'参考值-平台费用率分析'!$C$6:$C$532,$D$39,'参考值-平台费用率分析'!$D$6:$D$532,$E$39,'参考值-平台费用率分析'!$E$6:$E$532,$F$39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$39,'参考值-平台费用率分析'!$D$6:$D$532,$E$39,'参考值-平台费用率分析'!$E$6:$E$532,$F$39,'参考值-平台费用率分析'!$AZ$6:$AZ$532,"已导入实际")/10000)&lt;&gt;"",IF(COUNTIFS('参考值-平台费用率分析'!$A$6:$A$532,"分销",'参考值-平台费用率分析'!$C$6:$C$532,$D$39,'参考值-平台费用率分析'!$D$6:$D$532,$E$39,'参考值-平台费用率分析'!$E$6:$E$532,$F$39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$39,'参考值-平台费用率分析'!$D$6:$D$532,$E$39,'参考值-平台费用率分析'!$E$6:$E$532,$F$39,'参考值-平台费用率分析'!$AZ$6:$AZ$532,"已导入实际")/10000),IF('假设-销售费用率'!V209="","",T$9*'假设-销售费用率'!V209))</f>
        <v>1.0160400501268216</v>
      </c>
      <c r="U39" s="165"/>
      <c r="V39" s="165">
        <f t="shared" si="1"/>
        <v>5.352984916265985</v>
      </c>
      <c r="W39" s="165">
        <f t="shared" si="2"/>
        <v>5.352984916265985</v>
      </c>
    </row>
    <row r="40" spans="1:23" s="13" customFormat="1">
      <c r="A40" s="102"/>
      <c r="B40" s="102"/>
      <c r="C40" s="102"/>
      <c r="D40" s="67" t="s">
        <v>52</v>
      </c>
      <c r="E40" s="67" t="s">
        <v>74</v>
      </c>
      <c r="F40" s="67" t="s">
        <v>78</v>
      </c>
      <c r="G40" s="102"/>
      <c r="H40" s="102"/>
      <c r="I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H$6:$H$532,"&lt;&gt;")=0,"",SUMIFS('参考值-平台费用率分析'!$H$6:$H$532,'参考值-平台费用率分析'!$A$6:$A$532,"分销",'参考值-平台费用率分析'!$C$6:$C$532,$D$40,'参考值-平台费用率分析'!$D$6:$D$532,$E$40,'参考值-平台费用率分析'!$E$6:$E$532,$F$40)/10000)</f>
        <v>0</v>
      </c>
      <c r="J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K$6:$K$532,"&lt;&gt;")=0,"",SUMIFS('参考值-平台费用率分析'!$K$6:$K$532,'参考值-平台费用率分析'!$A$6:$A$532,"分销",'参考值-平台费用率分析'!$C$6:$C$532,$D$40,'参考值-平台费用率分析'!$D$6:$D$532,$E$40,'参考值-平台费用率分析'!$E$6:$E$532,$F$40)/10000)</f>
        <v>0</v>
      </c>
      <c r="K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N$6:$N$532,"&lt;&gt;")=0,"",SUMIFS('参考值-平台费用率分析'!$N$6:$N$532,'参考值-平台费用率分析'!$A$6:$A$532,"分销",'参考值-平台费用率分析'!$C$6:$C$532,$D$40,'参考值-平台费用率分析'!$D$6:$D$532,$E$40,'参考值-平台费用率分析'!$E$6:$E$532,$F$40)/10000)</f>
        <v>0</v>
      </c>
      <c r="L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Q$6:$Q$532,"&lt;&gt;")=0,"",SUMIFS('参考值-平台费用率分析'!$Q$6:$Q$532,'参考值-平台费用率分析'!$A$6:$A$532,"分销",'参考值-平台费用率分析'!$C$6:$C$532,$D$40,'参考值-平台费用率分析'!$D$6:$D$532,$E$40,'参考值-平台费用率分析'!$E$6:$E$532,$F$40)/10000)</f>
        <v>0</v>
      </c>
      <c r="M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T$6:$T$532,"&lt;&gt;")=0,"",SUMIFS('参考值-平台费用率分析'!$T$6:$T$532,'参考值-平台费用率分析'!$A$6:$A$532,"分销",'参考值-平台费用率分析'!$C$6:$C$532,$D$40,'参考值-平台费用率分析'!$D$6:$D$532,$E$40,'参考值-平台费用率分析'!$E$6:$E$532,$F$40)/10000)</f>
        <v>0</v>
      </c>
      <c r="N40" s="165">
        <f>IF(COUNTIFS('参考值-平台费用率分析'!$A$6:$A$532,"分销",'参考值-平台费用率分析'!$C$6:$C$532,$D$40,'参考值-平台费用率分析'!$D$6:$D$532,$E$40,'参考值-平台费用率分析'!$E$6:$E$532,$F$40,'参考值-平台费用率分析'!$W$6:$W$532,"&lt;&gt;")=0,"",SUMIFS('参考值-平台费用率分析'!$W$6:$W$532,'参考值-平台费用率分析'!$A$6:$A$532,"分销",'参考值-平台费用率分析'!$C$6:$C$532,$D$40,'参考值-平台费用率分析'!$D$6:$D$532,$E$40,'参考值-平台费用率分析'!$E$6:$E$532,$F$40)/10000)</f>
        <v>0</v>
      </c>
      <c r="O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$40,'参考值-平台费用率分析'!$D$6:$D$532,$E$40,'参考值-平台费用率分析'!$E$6:$E$532,$F$40,'参考值-平台费用率分析'!$AF$6:$AF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$40,'参考值-平台费用率分析'!$D$6:$D$532,$E$40,'参考值-平台费用率分析'!$E$6:$E$532,$F$40,'参考值-平台费用率分析'!$AF$6:$AF$532,"已导入实际")/10000),IF('假设-销售费用率'!Q210="","",O$9*'假设-销售费用率'!Q210))</f>
        <v>0</v>
      </c>
      <c r="P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$40,'参考值-平台费用率分析'!$D$6:$D$532,$E$40,'参考值-平台费用率分析'!$E$6:$E$532,$F$40,'参考值-平台费用率分析'!$AJ$6:$AJ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$40,'参考值-平台费用率分析'!$D$6:$D$532,$E$40,'参考值-平台费用率分析'!$E$6:$E$532,$F$40,'参考值-平台费用率分析'!$AJ$6:$AJ$532,"已导入实际")/10000),IF('假设-销售费用率'!R210="","",P$9*'假设-销售费用率'!R210))</f>
        <v>0</v>
      </c>
      <c r="Q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$40,'参考值-平台费用率分析'!$D$6:$D$532,$E$40,'参考值-平台费用率分析'!$E$6:$E$532,$F$40,'参考值-平台费用率分析'!$AN$6:$AN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$40,'参考值-平台费用率分析'!$D$6:$D$532,$E$40,'参考值-平台费用率分析'!$E$6:$E$532,$F$40,'参考值-平台费用率分析'!$AN$6:$AN$532,"已导入实际")/10000),IF('假设-销售费用率'!S210="","",Q$9*'假设-销售费用率'!S210))</f>
        <v>0</v>
      </c>
      <c r="R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$40,'参考值-平台费用率分析'!$D$6:$D$532,$E$40,'参考值-平台费用率分析'!$E$6:$E$532,$F$40,'参考值-平台费用率分析'!$AR$6:$AR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$40,'参考值-平台费用率分析'!$D$6:$D$532,$E$40,'参考值-平台费用率分析'!$E$6:$E$532,$F$40,'参考值-平台费用率分析'!$AR$6:$AR$532,"已导入实际")/10000),IF('假设-销售费用率'!T210="","",R$9*'假设-销售费用率'!T210))</f>
        <v>0</v>
      </c>
      <c r="S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$40,'参考值-平台费用率分析'!$D$6:$D$532,$E$40,'参考值-平台费用率分析'!$E$6:$E$532,$F$40,'参考值-平台费用率分析'!$AV$6:$AV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$40,'参考值-平台费用率分析'!$D$6:$D$532,$E$40,'参考值-平台费用率分析'!$E$6:$E$532,$F$40,'参考值-平台费用率分析'!$AV$6:$AV$532,"已导入实际")/10000),IF('假设-销售费用率'!U210="","",S$9*'假设-销售费用率'!U210))</f>
        <v>0</v>
      </c>
      <c r="T40" s="165">
        <f>IF(IF(COUNTIFS('参考值-平台费用率分析'!$A$6:$A$532,"分销",'参考值-平台费用率分析'!$C$6:$C$532,$D$40,'参考值-平台费用率分析'!$D$6:$D$532,$E$40,'参考值-平台费用率分析'!$E$6:$E$532,$F$40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$40,'参考值-平台费用率分析'!$D$6:$D$532,$E$40,'参考值-平台费用率分析'!$E$6:$E$532,$F$40,'参考值-平台费用率分析'!$AZ$6:$AZ$532,"已导入实际")/10000)&lt;&gt;"",IF(COUNTIFS('参考值-平台费用率分析'!$A$6:$A$532,"分销",'参考值-平台费用率分析'!$C$6:$C$532,$D$40,'参考值-平台费用率分析'!$D$6:$D$532,$E$40,'参考值-平台费用率分析'!$E$6:$E$532,$F$40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$40,'参考值-平台费用率分析'!$D$6:$D$532,$E$40,'参考值-平台费用率分析'!$E$6:$E$532,$F$40,'参考值-平台费用率分析'!$AZ$6:$AZ$532,"已导入实际")/10000),IF('假设-销售费用率'!V210="","",T$9*'假设-销售费用率'!V210))</f>
        <v>0</v>
      </c>
      <c r="U40" s="165"/>
      <c r="V40" s="165">
        <f t="shared" si="1"/>
        <v>0</v>
      </c>
      <c r="W40" s="165">
        <f t="shared" si="2"/>
        <v>0</v>
      </c>
    </row>
    <row r="41" spans="1:23">
      <c r="A41" s="67"/>
      <c r="B41" s="67"/>
      <c r="C41" s="222" t="s">
        <v>79</v>
      </c>
      <c r="D41" s="222"/>
      <c r="E41" s="222"/>
      <c r="F41" s="222"/>
      <c r="G41" s="222"/>
      <c r="H41" s="67"/>
      <c r="I41" s="223">
        <f t="shared" ref="I41:T41" si="14">SUM(I$42:I$45)</f>
        <v>-5.2386894822120697E-14</v>
      </c>
      <c r="J41" s="223">
        <f t="shared" si="14"/>
        <v>-1.0477378964424129E-13</v>
      </c>
      <c r="K41" s="223">
        <f t="shared" si="14"/>
        <v>0</v>
      </c>
      <c r="L41" s="223">
        <f t="shared" si="14"/>
        <v>0</v>
      </c>
      <c r="M41" s="223">
        <f t="shared" si="14"/>
        <v>0</v>
      </c>
      <c r="N41" s="223">
        <f t="shared" si="14"/>
        <v>0</v>
      </c>
      <c r="O41" s="223">
        <f t="shared" si="14"/>
        <v>-9.5987068931279194E-15</v>
      </c>
      <c r="P41" s="223">
        <f t="shared" si="14"/>
        <v>-1.2837776708915944E-14</v>
      </c>
      <c r="Q41" s="223">
        <f t="shared" si="14"/>
        <v>-1.6234849930352157E-14</v>
      </c>
      <c r="R41" s="223">
        <f t="shared" si="14"/>
        <v>-1.7558128452655811E-14</v>
      </c>
      <c r="S41" s="223">
        <f t="shared" si="14"/>
        <v>-2.133045976250649E-14</v>
      </c>
      <c r="T41" s="223">
        <f t="shared" si="14"/>
        <v>-1.8170391649542562E-14</v>
      </c>
      <c r="U41" s="165"/>
      <c r="V41" s="223">
        <f t="shared" si="1"/>
        <v>-2.5289099786346287E-13</v>
      </c>
      <c r="W41" s="223">
        <f t="shared" si="2"/>
        <v>-9.5730313397100892E-14</v>
      </c>
    </row>
    <row r="42" spans="1:23">
      <c r="A42" s="67"/>
      <c r="B42" s="102"/>
      <c r="C42" s="102"/>
      <c r="D42" s="67" t="s">
        <v>52</v>
      </c>
      <c r="E42" s="67" t="s">
        <v>79</v>
      </c>
      <c r="F42" s="67" t="s">
        <v>80</v>
      </c>
      <c r="G42" s="67"/>
      <c r="H42" s="67"/>
      <c r="I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H$6:$H$532,"&lt;&gt;")=0,"",SUMIFS('参考值-平台费用率分析'!$H$6:$H$532,'参考值-平台费用率分析'!$A$6:$A$532,"分销",'参考值-平台费用率分析'!$C$6:$C$532,$D$42,'参考值-平台费用率分析'!$D$6:$D$532,$E$42,'参考值-平台费用率分析'!$E$6:$E$532,$F$42)/10000)</f>
        <v>-5.2386894822120697E-14</v>
      </c>
      <c r="J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K$6:$K$532,"&lt;&gt;")=0,"",SUMIFS('参考值-平台费用率分析'!$K$6:$K$532,'参考值-平台费用率分析'!$A$6:$A$532,"分销",'参考值-平台费用率分析'!$C$6:$C$532,$D$42,'参考值-平台费用率分析'!$D$6:$D$532,$E$42,'参考值-平台费用率分析'!$E$6:$E$532,$F$42)/10000)</f>
        <v>-1.0477378964424129E-13</v>
      </c>
      <c r="K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N$6:$N$532,"&lt;&gt;")=0,"",SUMIFS('参考值-平台费用率分析'!$N$6:$N$532,'参考值-平台费用率分析'!$A$6:$A$532,"分销",'参考值-平台费用率分析'!$C$6:$C$532,$D$42,'参考值-平台费用率分析'!$D$6:$D$532,$E$42,'参考值-平台费用率分析'!$E$6:$E$532,$F$42)/10000)</f>
        <v>0</v>
      </c>
      <c r="L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Q$6:$Q$532,"&lt;&gt;")=0,"",SUMIFS('参考值-平台费用率分析'!$Q$6:$Q$532,'参考值-平台费用率分析'!$A$6:$A$532,"分销",'参考值-平台费用率分析'!$C$6:$C$532,$D$42,'参考值-平台费用率分析'!$D$6:$D$532,$E$42,'参考值-平台费用率分析'!$E$6:$E$532,$F$42)/10000)</f>
        <v>0</v>
      </c>
      <c r="M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T$6:$T$532,"&lt;&gt;")=0,"",SUMIFS('参考值-平台费用率分析'!$T$6:$T$532,'参考值-平台费用率分析'!$A$6:$A$532,"分销",'参考值-平台费用率分析'!$C$6:$C$532,$D$42,'参考值-平台费用率分析'!$D$6:$D$532,$E$42,'参考值-平台费用率分析'!$E$6:$E$532,$F$42)/10000)</f>
        <v>0</v>
      </c>
      <c r="N42" s="165">
        <f>IF(COUNTIFS('参考值-平台费用率分析'!$A$6:$A$532,"分销",'参考值-平台费用率分析'!$C$6:$C$532,$D$42,'参考值-平台费用率分析'!$D$6:$D$532,$E$42,'参考值-平台费用率分析'!$E$6:$E$532,$F$42,'参考值-平台费用率分析'!$W$6:$W$532,"&lt;&gt;")=0,"",SUMIFS('参考值-平台费用率分析'!$W$6:$W$532,'参考值-平台费用率分析'!$A$6:$A$532,"分销",'参考值-平台费用率分析'!$C$6:$C$532,$D$42,'参考值-平台费用率分析'!$D$6:$D$532,$E$42,'参考值-平台费用率分析'!$E$6:$E$532,$F$42)/10000)</f>
        <v>0</v>
      </c>
      <c r="O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$42,'参考值-平台费用率分析'!$D$6:$D$532,$E$42,'参考值-平台费用率分析'!$E$6:$E$532,$F$42,'参考值-平台费用率分析'!$AF$6:$AF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$42,'参考值-平台费用率分析'!$D$6:$D$532,$E$42,'参考值-平台费用率分析'!$E$6:$E$532,$F$42,'参考值-平台费用率分析'!$AF$6:$AF$532,"已导入实际")/10000),IF('假设-销售费用率'!Q212="","",O$9*'假设-销售费用率'!Q212))</f>
        <v>-9.5987068931279194E-15</v>
      </c>
      <c r="P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$42,'参考值-平台费用率分析'!$D$6:$D$532,$E$42,'参考值-平台费用率分析'!$E$6:$E$532,$F$42,'参考值-平台费用率分析'!$AJ$6:$AJ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$42,'参考值-平台费用率分析'!$D$6:$D$532,$E$42,'参考值-平台费用率分析'!$E$6:$E$532,$F$42,'参考值-平台费用率分析'!$AJ$6:$AJ$532,"已导入实际")/10000),IF('假设-销售费用率'!R212="","",P$9*'假设-销售费用率'!R212))</f>
        <v>-1.2837776708915944E-14</v>
      </c>
      <c r="Q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$42,'参考值-平台费用率分析'!$D$6:$D$532,$E$42,'参考值-平台费用率分析'!$E$6:$E$532,$F$42,'参考值-平台费用率分析'!$AN$6:$AN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$42,'参考值-平台费用率分析'!$D$6:$D$532,$E$42,'参考值-平台费用率分析'!$E$6:$E$532,$F$42,'参考值-平台费用率分析'!$AN$6:$AN$532,"已导入实际")/10000),IF('假设-销售费用率'!S212="","",Q$9*'假设-销售费用率'!S212))</f>
        <v>-1.6234849930352157E-14</v>
      </c>
      <c r="R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$42,'参考值-平台费用率分析'!$D$6:$D$532,$E$42,'参考值-平台费用率分析'!$E$6:$E$532,$F$42,'参考值-平台费用率分析'!$AR$6:$AR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$42,'参考值-平台费用率分析'!$D$6:$D$532,$E$42,'参考值-平台费用率分析'!$E$6:$E$532,$F$42,'参考值-平台费用率分析'!$AR$6:$AR$532,"已导入实际")/10000),IF('假设-销售费用率'!T212="","",R$9*'假设-销售费用率'!T212))</f>
        <v>-1.7558128452655811E-14</v>
      </c>
      <c r="S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$42,'参考值-平台费用率分析'!$D$6:$D$532,$E$42,'参考值-平台费用率分析'!$E$6:$E$532,$F$42,'参考值-平台费用率分析'!$AV$6:$AV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$42,'参考值-平台费用率分析'!$D$6:$D$532,$E$42,'参考值-平台费用率分析'!$E$6:$E$532,$F$42,'参考值-平台费用率分析'!$AV$6:$AV$532,"已导入实际")/10000),IF('假设-销售费用率'!U212="","",S$9*'假设-销售费用率'!U212))</f>
        <v>-2.133045976250649E-14</v>
      </c>
      <c r="T42" s="165">
        <f>IF(IF(COUNTIFS('参考值-平台费用率分析'!$A$6:$A$532,"分销",'参考值-平台费用率分析'!$C$6:$C$532,$D$42,'参考值-平台费用率分析'!$D$6:$D$532,$E$42,'参考值-平台费用率分析'!$E$6:$E$532,$F$42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$42,'参考值-平台费用率分析'!$D$6:$D$532,$E$42,'参考值-平台费用率分析'!$E$6:$E$532,$F$42,'参考值-平台费用率分析'!$AZ$6:$AZ$532,"已导入实际")/10000)&lt;&gt;"",IF(COUNTIFS('参考值-平台费用率分析'!$A$6:$A$532,"分销",'参考值-平台费用率分析'!$C$6:$C$532,$D$42,'参考值-平台费用率分析'!$D$6:$D$532,$E$42,'参考值-平台费用率分析'!$E$6:$E$532,$F$42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$42,'参考值-平台费用率分析'!$D$6:$D$532,$E$42,'参考值-平台费用率分析'!$E$6:$E$532,$F$42,'参考值-平台费用率分析'!$AZ$6:$AZ$532,"已导入实际")/10000),IF('假设-销售费用率'!V212="","",T$9*'假设-销售费用率'!V212))</f>
        <v>-1.8170391649542562E-14</v>
      </c>
      <c r="U42" s="165"/>
      <c r="V42" s="165">
        <f t="shared" si="1"/>
        <v>-2.5289099786346287E-13</v>
      </c>
      <c r="W42" s="165">
        <f t="shared" si="2"/>
        <v>-9.5730313397100892E-14</v>
      </c>
    </row>
    <row r="43" spans="1:23" s="13" customFormat="1">
      <c r="A43" s="102"/>
      <c r="B43" s="102"/>
      <c r="C43" s="102"/>
      <c r="D43" s="67" t="s">
        <v>52</v>
      </c>
      <c r="E43" s="67" t="s">
        <v>79</v>
      </c>
      <c r="F43" s="67" t="s">
        <v>147</v>
      </c>
      <c r="G43" s="102"/>
      <c r="H43" s="102"/>
      <c r="I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H$6:$H$532,"&lt;&gt;")=0,"",SUMIFS('参考值-平台费用率分析'!$H$6:$H$532,'参考值-平台费用率分析'!$A$6:$A$532,"分销",'参考值-平台费用率分析'!$C$6:$C$532,$D$43,'参考值-平台费用率分析'!$D$6:$D$532,$E$43,'参考值-平台费用率分析'!$E$6:$E$532,$F$43)/10000)</f>
        <v/>
      </c>
      <c r="J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K$6:$K$532,"&lt;&gt;")=0,"",SUMIFS('参考值-平台费用率分析'!$K$6:$K$532,'参考值-平台费用率分析'!$A$6:$A$532,"分销",'参考值-平台费用率分析'!$C$6:$C$532,$D$43,'参考值-平台费用率分析'!$D$6:$D$532,$E$43,'参考值-平台费用率分析'!$E$6:$E$532,$F$43)/10000)</f>
        <v/>
      </c>
      <c r="K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N$6:$N$532,"&lt;&gt;")=0,"",SUMIFS('参考值-平台费用率分析'!$N$6:$N$532,'参考值-平台费用率分析'!$A$6:$A$532,"分销",'参考值-平台费用率分析'!$C$6:$C$532,$D$43,'参考值-平台费用率分析'!$D$6:$D$532,$E$43,'参考值-平台费用率分析'!$E$6:$E$532,$F$43)/10000)</f>
        <v/>
      </c>
      <c r="L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Q$6:$Q$532,"&lt;&gt;")=0,"",SUMIFS('参考值-平台费用率分析'!$Q$6:$Q$532,'参考值-平台费用率分析'!$A$6:$A$532,"分销",'参考值-平台费用率分析'!$C$6:$C$532,$D$43,'参考值-平台费用率分析'!$D$6:$D$532,$E$43,'参考值-平台费用率分析'!$E$6:$E$532,$F$43)/10000)</f>
        <v/>
      </c>
      <c r="M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T$6:$T$532,"&lt;&gt;")=0,"",SUMIFS('参考值-平台费用率分析'!$T$6:$T$532,'参考值-平台费用率分析'!$A$6:$A$532,"分销",'参考值-平台费用率分析'!$C$6:$C$532,$D$43,'参考值-平台费用率分析'!$D$6:$D$532,$E$43,'参考值-平台费用率分析'!$E$6:$E$532,$F$43)/10000)</f>
        <v/>
      </c>
      <c r="N43" s="165" t="str">
        <f>IF(COUNTIFS('参考值-平台费用率分析'!$A$6:$A$532,"分销",'参考值-平台费用率分析'!$C$6:$C$532,$D$43,'参考值-平台费用率分析'!$D$6:$D$532,$E$43,'参考值-平台费用率分析'!$E$6:$E$532,$F$43,'参考值-平台费用率分析'!$W$6:$W$532,"&lt;&gt;")=0,"",SUMIFS('参考值-平台费用率分析'!$W$6:$W$532,'参考值-平台费用率分析'!$A$6:$A$532,"分销",'参考值-平台费用率分析'!$C$6:$C$532,$D$43,'参考值-平台费用率分析'!$D$6:$D$532,$E$43,'参考值-平台费用率分析'!$E$6:$E$532,$F$43)/10000)</f>
        <v/>
      </c>
      <c r="O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$43,'参考值-平台费用率分析'!$D$6:$D$532,$E$43,'参考值-平台费用率分析'!$E$6:$E$532,$F$43,'参考值-平台费用率分析'!$AF$6:$AF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$43,'参考值-平台费用率分析'!$D$6:$D$532,$E$43,'参考值-平台费用率分析'!$E$6:$E$532,$F$43,'参考值-平台费用率分析'!$AF$6:$AF$532,"已导入实际")/10000),IF('假设-销售费用率'!Q213="","",O$9*'假设-销售费用率'!Q213))</f>
        <v/>
      </c>
      <c r="P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$43,'参考值-平台费用率分析'!$D$6:$D$532,$E$43,'参考值-平台费用率分析'!$E$6:$E$532,$F$43,'参考值-平台费用率分析'!$AJ$6:$AJ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$43,'参考值-平台费用率分析'!$D$6:$D$532,$E$43,'参考值-平台费用率分析'!$E$6:$E$532,$F$43,'参考值-平台费用率分析'!$AJ$6:$AJ$532,"已导入实际")/10000),IF('假设-销售费用率'!R213="","",P$9*'假设-销售费用率'!R213))</f>
        <v/>
      </c>
      <c r="Q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$43,'参考值-平台费用率分析'!$D$6:$D$532,$E$43,'参考值-平台费用率分析'!$E$6:$E$532,$F$43,'参考值-平台费用率分析'!$AN$6:$AN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$43,'参考值-平台费用率分析'!$D$6:$D$532,$E$43,'参考值-平台费用率分析'!$E$6:$E$532,$F$43,'参考值-平台费用率分析'!$AN$6:$AN$532,"已导入实际")/10000),IF('假设-销售费用率'!S213="","",Q$9*'假设-销售费用率'!S213))</f>
        <v/>
      </c>
      <c r="R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$43,'参考值-平台费用率分析'!$D$6:$D$532,$E$43,'参考值-平台费用率分析'!$E$6:$E$532,$F$43,'参考值-平台费用率分析'!$AR$6:$AR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$43,'参考值-平台费用率分析'!$D$6:$D$532,$E$43,'参考值-平台费用率分析'!$E$6:$E$532,$F$43,'参考值-平台费用率分析'!$AR$6:$AR$532,"已导入实际")/10000),IF('假设-销售费用率'!T213="","",R$9*'假设-销售费用率'!T213))</f>
        <v/>
      </c>
      <c r="S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$43,'参考值-平台费用率分析'!$D$6:$D$532,$E$43,'参考值-平台费用率分析'!$E$6:$E$532,$F$43,'参考值-平台费用率分析'!$AV$6:$AV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$43,'参考值-平台费用率分析'!$D$6:$D$532,$E$43,'参考值-平台费用率分析'!$E$6:$E$532,$F$43,'参考值-平台费用率分析'!$AV$6:$AV$532,"已导入实际")/10000),IF('假设-销售费用率'!U213="","",S$9*'假设-销售费用率'!U213))</f>
        <v/>
      </c>
      <c r="T43" s="165" t="str">
        <f>IF(IF(COUNTIFS('参考值-平台费用率分析'!$A$6:$A$532,"分销",'参考值-平台费用率分析'!$C$6:$C$532,$D$43,'参考值-平台费用率分析'!$D$6:$D$532,$E$43,'参考值-平台费用率分析'!$E$6:$E$532,$F$43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$43,'参考值-平台费用率分析'!$D$6:$D$532,$E$43,'参考值-平台费用率分析'!$E$6:$E$532,$F$43,'参考值-平台费用率分析'!$AZ$6:$AZ$532,"已导入实际")/10000)&lt;&gt;"",IF(COUNTIFS('参考值-平台费用率分析'!$A$6:$A$532,"分销",'参考值-平台费用率分析'!$C$6:$C$532,$D$43,'参考值-平台费用率分析'!$D$6:$D$532,$E$43,'参考值-平台费用率分析'!$E$6:$E$532,$F$43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$43,'参考值-平台费用率分析'!$D$6:$D$532,$E$43,'参考值-平台费用率分析'!$E$6:$E$532,$F$43,'参考值-平台费用率分析'!$AZ$6:$AZ$532,"已导入实际")/10000),IF('假设-销售费用率'!V213="","",T$9*'假设-销售费用率'!V213))</f>
        <v/>
      </c>
      <c r="U43" s="165"/>
      <c r="V43" s="165">
        <f t="shared" si="1"/>
        <v>0</v>
      </c>
      <c r="W43" s="165">
        <f t="shared" si="2"/>
        <v>0</v>
      </c>
    </row>
    <row r="44" spans="1:23">
      <c r="A44" s="69"/>
      <c r="B44" s="69"/>
      <c r="C44" s="69"/>
      <c r="D44" s="67" t="s">
        <v>52</v>
      </c>
      <c r="E44" s="67" t="s">
        <v>79</v>
      </c>
      <c r="F44" s="67" t="s">
        <v>148</v>
      </c>
      <c r="G44" s="69"/>
      <c r="H44" s="69"/>
      <c r="I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H$6:$H$532,"&lt;&gt;")=0,"",SUMIFS('参考值-平台费用率分析'!$H$6:$H$532,'参考值-平台费用率分析'!$A$6:$A$532,"分销",'参考值-平台费用率分析'!$C$6:$C$532,$D$44,'参考值-平台费用率分析'!$D$6:$D$532,$E$44,'参考值-平台费用率分析'!$E$6:$E$532,$F$44)/10000)</f>
        <v/>
      </c>
      <c r="J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K$6:$K$532,"&lt;&gt;")=0,"",SUMIFS('参考值-平台费用率分析'!$K$6:$K$532,'参考值-平台费用率分析'!$A$6:$A$532,"分销",'参考值-平台费用率分析'!$C$6:$C$532,$D$44,'参考值-平台费用率分析'!$D$6:$D$532,$E$44,'参考值-平台费用率分析'!$E$6:$E$532,$F$44)/10000)</f>
        <v/>
      </c>
      <c r="K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N$6:$N$532,"&lt;&gt;")=0,"",SUMIFS('参考值-平台费用率分析'!$N$6:$N$532,'参考值-平台费用率分析'!$A$6:$A$532,"分销",'参考值-平台费用率分析'!$C$6:$C$532,$D$44,'参考值-平台费用率分析'!$D$6:$D$532,$E$44,'参考值-平台费用率分析'!$E$6:$E$532,$F$44)/10000)</f>
        <v/>
      </c>
      <c r="L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Q$6:$Q$532,"&lt;&gt;")=0,"",SUMIFS('参考值-平台费用率分析'!$Q$6:$Q$532,'参考值-平台费用率分析'!$A$6:$A$532,"分销",'参考值-平台费用率分析'!$C$6:$C$532,$D$44,'参考值-平台费用率分析'!$D$6:$D$532,$E$44,'参考值-平台费用率分析'!$E$6:$E$532,$F$44)/10000)</f>
        <v/>
      </c>
      <c r="M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T$6:$T$532,"&lt;&gt;")=0,"",SUMIFS('参考值-平台费用率分析'!$T$6:$T$532,'参考值-平台费用率分析'!$A$6:$A$532,"分销",'参考值-平台费用率分析'!$C$6:$C$532,$D$44,'参考值-平台费用率分析'!$D$6:$D$532,$E$44,'参考值-平台费用率分析'!$E$6:$E$532,$F$44)/10000)</f>
        <v/>
      </c>
      <c r="N44" s="165" t="str">
        <f>IF(COUNTIFS('参考值-平台费用率分析'!$A$6:$A$532,"分销",'参考值-平台费用率分析'!$C$6:$C$532,$D$44,'参考值-平台费用率分析'!$D$6:$D$532,$E$44,'参考值-平台费用率分析'!$E$6:$E$532,$F$44,'参考值-平台费用率分析'!$W$6:$W$532,"&lt;&gt;")=0,"",SUMIFS('参考值-平台费用率分析'!$W$6:$W$532,'参考值-平台费用率分析'!$A$6:$A$532,"分销",'参考值-平台费用率分析'!$C$6:$C$532,$D$44,'参考值-平台费用率分析'!$D$6:$D$532,$E$44,'参考值-平台费用率分析'!$E$6:$E$532,$F$44)/10000)</f>
        <v/>
      </c>
      <c r="O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$44,'参考值-平台费用率分析'!$D$6:$D$532,$E$44,'参考值-平台费用率分析'!$E$6:$E$532,$F$44,'参考值-平台费用率分析'!$AF$6:$AF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$44,'参考值-平台费用率分析'!$D$6:$D$532,$E$44,'参考值-平台费用率分析'!$E$6:$E$532,$F$44,'参考值-平台费用率分析'!$AF$6:$AF$532,"已导入实际")/10000),IF('假设-销售费用率'!Q214="","",O$22*'假设-销售费用率'!Q214))</f>
        <v/>
      </c>
      <c r="P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$44,'参考值-平台费用率分析'!$D$6:$D$532,$E$44,'参考值-平台费用率分析'!$E$6:$E$532,$F$44,'参考值-平台费用率分析'!$AJ$6:$AJ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$44,'参考值-平台费用率分析'!$D$6:$D$532,$E$44,'参考值-平台费用率分析'!$E$6:$E$532,$F$44,'参考值-平台费用率分析'!$AJ$6:$AJ$532,"已导入实际")/10000),IF('假设-销售费用率'!R214="","",P$22*'假设-销售费用率'!R214))</f>
        <v/>
      </c>
      <c r="Q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$44,'参考值-平台费用率分析'!$D$6:$D$532,$E$44,'参考值-平台费用率分析'!$E$6:$E$532,$F$44,'参考值-平台费用率分析'!$AN$6:$AN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$44,'参考值-平台费用率分析'!$D$6:$D$532,$E$44,'参考值-平台费用率分析'!$E$6:$E$532,$F$44,'参考值-平台费用率分析'!$AN$6:$AN$532,"已导入实际")/10000),IF('假设-销售费用率'!S214="","",Q$22*'假设-销售费用率'!S214))</f>
        <v/>
      </c>
      <c r="R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$44,'参考值-平台费用率分析'!$D$6:$D$532,$E$44,'参考值-平台费用率分析'!$E$6:$E$532,$F$44,'参考值-平台费用率分析'!$AR$6:$AR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$44,'参考值-平台费用率分析'!$D$6:$D$532,$E$44,'参考值-平台费用率分析'!$E$6:$E$532,$F$44,'参考值-平台费用率分析'!$AR$6:$AR$532,"已导入实际")/10000),IF('假设-销售费用率'!T214="","",R$22*'假设-销售费用率'!T214))</f>
        <v/>
      </c>
      <c r="S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$44,'参考值-平台费用率分析'!$D$6:$D$532,$E$44,'参考值-平台费用率分析'!$E$6:$E$532,$F$44,'参考值-平台费用率分析'!$AV$6:$AV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$44,'参考值-平台费用率分析'!$D$6:$D$532,$E$44,'参考值-平台费用率分析'!$E$6:$E$532,$F$44,'参考值-平台费用率分析'!$AV$6:$AV$532,"已导入实际")/10000),IF('假设-销售费用率'!U214="","",S$22*'假设-销售费用率'!U214))</f>
        <v/>
      </c>
      <c r="T44" s="165" t="str">
        <f>IF(IF(COUNTIFS('参考值-平台费用率分析'!$A$6:$A$532,"分销",'参考值-平台费用率分析'!$C$6:$C$532,$D$44,'参考值-平台费用率分析'!$D$6:$D$532,$E$44,'参考值-平台费用率分析'!$E$6:$E$532,$F$44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$44,'参考值-平台费用率分析'!$D$6:$D$532,$E$44,'参考值-平台费用率分析'!$E$6:$E$532,$F$44,'参考值-平台费用率分析'!$AZ$6:$AZ$532,"已导入实际")/10000)&lt;&gt;"",IF(COUNTIFS('参考值-平台费用率分析'!$A$6:$A$532,"分销",'参考值-平台费用率分析'!$C$6:$C$532,$D$44,'参考值-平台费用率分析'!$D$6:$D$532,$E$44,'参考值-平台费用率分析'!$E$6:$E$532,$F$44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$44,'参考值-平台费用率分析'!$D$6:$D$532,$E$44,'参考值-平台费用率分析'!$E$6:$E$532,$F$44,'参考值-平台费用率分析'!$AZ$6:$AZ$532,"已导入实际")/10000),IF('假设-销售费用率'!V214="","",T$22*'假设-销售费用率'!V214))</f>
        <v/>
      </c>
      <c r="U44" s="165"/>
      <c r="V44" s="165">
        <f t="shared" si="1"/>
        <v>0</v>
      </c>
      <c r="W44" s="165">
        <f t="shared" si="2"/>
        <v>0</v>
      </c>
    </row>
    <row r="45" spans="1:23">
      <c r="A45" s="67"/>
      <c r="B45" s="102"/>
      <c r="C45" s="102"/>
      <c r="D45" s="67" t="s">
        <v>52</v>
      </c>
      <c r="E45" s="67" t="s">
        <v>79</v>
      </c>
      <c r="F45" s="67" t="s">
        <v>82</v>
      </c>
      <c r="G45" s="67"/>
      <c r="H45" s="67"/>
      <c r="I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H$6:$H$532,"&lt;&gt;")=0,"",SUMIFS('参考值-平台费用率分析'!$H$6:$H$532,'参考值-平台费用率分析'!$A$6:$A$532,"分销",'参考值-平台费用率分析'!$C$6:$C$532,$D$45,'参考值-平台费用率分析'!$D$6:$D$532,$E$45,'参考值-平台费用率分析'!$E$6:$E$532,$F$45)/10000)</f>
        <v/>
      </c>
      <c r="J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K$6:$K$532,"&lt;&gt;")=0,"",SUMIFS('参考值-平台费用率分析'!$K$6:$K$532,'参考值-平台费用率分析'!$A$6:$A$532,"分销",'参考值-平台费用率分析'!$C$6:$C$532,$D$45,'参考值-平台费用率分析'!$D$6:$D$532,$E$45,'参考值-平台费用率分析'!$E$6:$E$532,$F$45)/10000)</f>
        <v/>
      </c>
      <c r="K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N$6:$N$532,"&lt;&gt;")=0,"",SUMIFS('参考值-平台费用率分析'!$N$6:$N$532,'参考值-平台费用率分析'!$A$6:$A$532,"分销",'参考值-平台费用率分析'!$C$6:$C$532,$D$45,'参考值-平台费用率分析'!$D$6:$D$532,$E$45,'参考值-平台费用率分析'!$E$6:$E$532,$F$45)/10000)</f>
        <v/>
      </c>
      <c r="L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Q$6:$Q$532,"&lt;&gt;")=0,"",SUMIFS('参考值-平台费用率分析'!$Q$6:$Q$532,'参考值-平台费用率分析'!$A$6:$A$532,"分销",'参考值-平台费用率分析'!$C$6:$C$532,$D$45,'参考值-平台费用率分析'!$D$6:$D$532,$E$45,'参考值-平台费用率分析'!$E$6:$E$532,$F$45)/10000)</f>
        <v/>
      </c>
      <c r="M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T$6:$T$532,"&lt;&gt;")=0,"",SUMIFS('参考值-平台费用率分析'!$T$6:$T$532,'参考值-平台费用率分析'!$A$6:$A$532,"分销",'参考值-平台费用率分析'!$C$6:$C$532,$D$45,'参考值-平台费用率分析'!$D$6:$D$532,$E$45,'参考值-平台费用率分析'!$E$6:$E$532,$F$45)/10000)</f>
        <v/>
      </c>
      <c r="N45" s="165" t="str">
        <f>IF(COUNTIFS('参考值-平台费用率分析'!$A$6:$A$532,"分销",'参考值-平台费用率分析'!$C$6:$C$532,$D$45,'参考值-平台费用率分析'!$D$6:$D$532,$E$45,'参考值-平台费用率分析'!$E$6:$E$532,$F$45,'参考值-平台费用率分析'!$W$6:$W$532,"&lt;&gt;")=0,"",SUMIFS('参考值-平台费用率分析'!$W$6:$W$532,'参考值-平台费用率分析'!$A$6:$A$532,"分销",'参考值-平台费用率分析'!$C$6:$C$532,$D$45,'参考值-平台费用率分析'!$D$6:$D$532,$E$45,'参考值-平台费用率分析'!$E$6:$E$532,$F$45)/10000)</f>
        <v/>
      </c>
      <c r="O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$45,'参考值-平台费用率分析'!$D$6:$D$532,$E$45,'参考值-平台费用率分析'!$E$6:$E$532,$F$45,'参考值-平台费用率分析'!$AF$6:$AF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F$6:$AF$532,"已导入实际",'参考值-平台费用率分析'!$AC$6:$AC$532,"&lt;&gt;")=0,"",SUMIFS('参考值-平台费用率分析'!$AC$6:$AC$532,'参考值-平台费用率分析'!$A$6:$A$532,"分销",'参考值-平台费用率分析'!$C$6:$C$532,$D$45,'参考值-平台费用率分析'!$D$6:$D$532,$E$45,'参考值-平台费用率分析'!$E$6:$E$532,$F$45,'参考值-平台费用率分析'!$AF$6:$AF$532,"已导入实际")/10000),IF('假设-销售费用率'!Q215="","",O$9*'假设-销售费用率'!Q215))</f>
        <v>0</v>
      </c>
      <c r="P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$45,'参考值-平台费用率分析'!$D$6:$D$532,$E$45,'参考值-平台费用率分析'!$E$6:$E$532,$F$45,'参考值-平台费用率分析'!$AJ$6:$AJ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J$6:$AJ$532,"已导入实际",'参考值-平台费用率分析'!$AG$6:$AG$532,"&lt;&gt;")=0,"",SUMIFS('参考值-平台费用率分析'!$AG$6:$AG$532,'参考值-平台费用率分析'!$A$6:$A$532,"分销",'参考值-平台费用率分析'!$C$6:$C$532,$D$45,'参考值-平台费用率分析'!$D$6:$D$532,$E$45,'参考值-平台费用率分析'!$E$6:$E$532,$F$45,'参考值-平台费用率分析'!$AJ$6:$AJ$532,"已导入实际")/10000),IF('假设-销售费用率'!R215="","",P$9*'假设-销售费用率'!R215))</f>
        <v>0</v>
      </c>
      <c r="Q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$45,'参考值-平台费用率分析'!$D$6:$D$532,$E$45,'参考值-平台费用率分析'!$E$6:$E$532,$F$45,'参考值-平台费用率分析'!$AN$6:$AN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N$6:$AN$532,"已导入实际",'参考值-平台费用率分析'!$AK$6:$AK$532,"&lt;&gt;")=0,"",SUMIFS('参考值-平台费用率分析'!$AK$6:$AK$532,'参考值-平台费用率分析'!$A$6:$A$532,"分销",'参考值-平台费用率分析'!$C$6:$C$532,$D$45,'参考值-平台费用率分析'!$D$6:$D$532,$E$45,'参考值-平台费用率分析'!$E$6:$E$532,$F$45,'参考值-平台费用率分析'!$AN$6:$AN$532,"已导入实际")/10000),IF('假设-销售费用率'!S215="","",Q$9*'假设-销售费用率'!S215))</f>
        <v>0</v>
      </c>
      <c r="R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$45,'参考值-平台费用率分析'!$D$6:$D$532,$E$45,'参考值-平台费用率分析'!$E$6:$E$532,$F$45,'参考值-平台费用率分析'!$AR$6:$AR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R$6:$AR$532,"已导入实际",'参考值-平台费用率分析'!$AO$6:$AO$532,"&lt;&gt;")=0,"",SUMIFS('参考值-平台费用率分析'!$AO$6:$AO$532,'参考值-平台费用率分析'!$A$6:$A$532,"分销",'参考值-平台费用率分析'!$C$6:$C$532,$D$45,'参考值-平台费用率分析'!$D$6:$D$532,$E$45,'参考值-平台费用率分析'!$E$6:$E$532,$F$45,'参考值-平台费用率分析'!$AR$6:$AR$532,"已导入实际")/10000),IF('假设-销售费用率'!T215="","",R$9*'假设-销售费用率'!T215))</f>
        <v>0</v>
      </c>
      <c r="S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$45,'参考值-平台费用率分析'!$D$6:$D$532,$E$45,'参考值-平台费用率分析'!$E$6:$E$532,$F$45,'参考值-平台费用率分析'!$AV$6:$AV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V$6:$AV$532,"已导入实际",'参考值-平台费用率分析'!$AS$6:$AS$532,"&lt;&gt;")=0,"",SUMIFS('参考值-平台费用率分析'!$AS$6:$AS$532,'参考值-平台费用率分析'!$A$6:$A$532,"分销",'参考值-平台费用率分析'!$C$6:$C$532,$D$45,'参考值-平台费用率分析'!$D$6:$D$532,$E$45,'参考值-平台费用率分析'!$E$6:$E$532,$F$45,'参考值-平台费用率分析'!$AV$6:$AV$532,"已导入实际")/10000),IF('假设-销售费用率'!U215="","",S$9*'假设-销售费用率'!U215))</f>
        <v>0</v>
      </c>
      <c r="T45" s="165">
        <f>IF(IF(COUNTIFS('参考值-平台费用率分析'!$A$6:$A$532,"分销",'参考值-平台费用率分析'!$C$6:$C$532,$D$45,'参考值-平台费用率分析'!$D$6:$D$532,$E$45,'参考值-平台费用率分析'!$E$6:$E$532,$F$45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$45,'参考值-平台费用率分析'!$D$6:$D$532,$E$45,'参考值-平台费用率分析'!$E$6:$E$532,$F$45,'参考值-平台费用率分析'!$AZ$6:$AZ$532,"已导入实际")/10000)&lt;&gt;"",IF(COUNTIFS('参考值-平台费用率分析'!$A$6:$A$532,"分销",'参考值-平台费用率分析'!$C$6:$C$532,$D$45,'参考值-平台费用率分析'!$D$6:$D$532,$E$45,'参考值-平台费用率分析'!$E$6:$E$532,$F$45,'参考值-平台费用率分析'!$AZ$6:$AZ$532,"已导入实际",'参考值-平台费用率分析'!$AW$6:$AW$532,"&lt;&gt;")=0,"",SUMIFS('参考值-平台费用率分析'!$AW$6:$AW$532,'参考值-平台费用率分析'!$A$6:$A$532,"分销",'参考值-平台费用率分析'!$C$6:$C$532,$D$45,'参考值-平台费用率分析'!$D$6:$D$532,$E$45,'参考值-平台费用率分析'!$E$6:$E$532,$F$45,'参考值-平台费用率分析'!$AZ$6:$AZ$532,"已导入实际")/10000),IF('假设-销售费用率'!V215="","",T$9*'假设-销售费用率'!V215))</f>
        <v>0</v>
      </c>
      <c r="U45" s="165"/>
      <c r="V45" s="165">
        <f t="shared" si="1"/>
        <v>0</v>
      </c>
      <c r="W45" s="165">
        <f t="shared" si="2"/>
        <v>0</v>
      </c>
    </row>
    <row r="46" spans="1:23">
      <c r="A46" s="67"/>
      <c r="B46" s="67"/>
      <c r="C46" s="224"/>
      <c r="D46" s="224"/>
      <c r="E46" s="224"/>
      <c r="F46" s="224"/>
      <c r="G46" s="151" t="s">
        <v>373</v>
      </c>
      <c r="H46" s="67"/>
      <c r="I46" s="225">
        <f t="shared" ref="I46:T46" si="15">I$9-I$19-I$20</f>
        <v>17.05552152500006</v>
      </c>
      <c r="J46" s="225">
        <f t="shared" si="15"/>
        <v>12.543631640825676</v>
      </c>
      <c r="K46" s="225">
        <f t="shared" si="15"/>
        <v>14.590859000000012</v>
      </c>
      <c r="L46" s="225">
        <f t="shared" si="15"/>
        <v>15.110105000000004</v>
      </c>
      <c r="M46" s="225">
        <f t="shared" si="15"/>
        <v>21.266139000000006</v>
      </c>
      <c r="N46" s="225">
        <f t="shared" si="15"/>
        <v>17.219995000000019</v>
      </c>
      <c r="O46" s="225">
        <f t="shared" si="15"/>
        <v>3.9412369001841387</v>
      </c>
      <c r="P46" s="225">
        <f t="shared" si="15"/>
        <v>5.2712016154726165</v>
      </c>
      <c r="Q46" s="225">
        <f t="shared" si="15"/>
        <v>6.6660426583361341</v>
      </c>
      <c r="R46" s="225">
        <f t="shared" si="15"/>
        <v>7.2093819017771725</v>
      </c>
      <c r="S46" s="225">
        <f t="shared" si="15"/>
        <v>8.7583042226314287</v>
      </c>
      <c r="T46" s="225">
        <f t="shared" si="15"/>
        <v>7.4607776711304785</v>
      </c>
      <c r="U46" s="165"/>
      <c r="V46" s="225">
        <f t="shared" si="1"/>
        <v>137.09319613535774</v>
      </c>
      <c r="W46" s="225">
        <f t="shared" si="2"/>
        <v>39.306944969531969</v>
      </c>
    </row>
  </sheetData>
  <phoneticPr fontId="14" type="noConversion"/>
  <hyperlinks>
    <hyperlink ref="A1" location="'目录及说明'!A1" display="返回目录" xr:uid="{00000000-0004-0000-17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37"/>
  <sheetViews>
    <sheetView showGridLines="0" zoomScale="119" zoomScaleNormal="100" workbookViewId="0">
      <selection activeCell="O32" sqref="O32"/>
    </sheetView>
  </sheetViews>
  <sheetFormatPr baseColWidth="10" defaultColWidth="10.59765625" defaultRowHeight="13"/>
  <cols>
    <col min="1" max="1" width="16.796875" customWidth="1"/>
    <col min="2" max="2" width="5.3984375" customWidth="1"/>
    <col min="3" max="3" width="4" customWidth="1"/>
    <col min="4" max="4" width="20" bestFit="1" customWidth="1"/>
    <col min="5" max="7" width="16" customWidth="1"/>
    <col min="8" max="8" width="14.3984375" customWidth="1"/>
    <col min="9" max="13" width="15.59765625" customWidth="1"/>
    <col min="14" max="21" width="14.3984375" customWidth="1"/>
    <col min="22" max="22" width="14.796875" bestFit="1" customWidth="1"/>
    <col min="23" max="23" width="13.3984375" bestFit="1" customWidth="1"/>
  </cols>
  <sheetData>
    <row r="1" spans="1:23" ht="16" customHeight="1">
      <c r="A1" s="70" t="s">
        <v>28</v>
      </c>
      <c r="B1" s="67"/>
      <c r="C1" s="67"/>
      <c r="D1" s="67"/>
      <c r="E1" s="67"/>
      <c r="F1" s="67"/>
      <c r="G1" s="67"/>
      <c r="H1" s="67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</row>
    <row r="2" spans="1:23" ht="16">
      <c r="A2" s="67"/>
      <c r="B2" s="192" t="s">
        <v>387</v>
      </c>
      <c r="C2" s="130"/>
      <c r="D2" s="192"/>
      <c r="E2" s="192" t="s">
        <v>388</v>
      </c>
      <c r="F2" s="192"/>
      <c r="G2" s="192"/>
      <c r="H2" s="67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65"/>
      <c r="V2" s="171"/>
      <c r="W2" s="171"/>
    </row>
    <row r="3" spans="1:23" ht="16">
      <c r="A3" s="67"/>
      <c r="B3" s="67"/>
      <c r="C3" s="67"/>
      <c r="D3" s="214"/>
      <c r="E3" s="67"/>
      <c r="F3" s="67"/>
      <c r="G3" s="67"/>
      <c r="H3" s="67"/>
      <c r="I3" s="214"/>
      <c r="J3" s="214"/>
      <c r="K3" s="214"/>
      <c r="L3" s="214"/>
      <c r="M3" s="214"/>
      <c r="N3" s="214"/>
      <c r="O3" s="214"/>
      <c r="P3" s="214"/>
      <c r="Q3" s="214"/>
      <c r="R3" s="214"/>
      <c r="S3" s="214"/>
      <c r="T3" s="214"/>
      <c r="U3" s="165"/>
      <c r="V3" s="165"/>
      <c r="W3" s="165"/>
    </row>
    <row r="4" spans="1:23" ht="16" customHeight="1">
      <c r="A4" s="67"/>
      <c r="B4" s="67"/>
      <c r="C4" s="67"/>
      <c r="D4" s="67"/>
      <c r="E4" s="67"/>
      <c r="F4" s="67"/>
      <c r="G4" s="67"/>
      <c r="H4" s="67"/>
      <c r="I4" s="165"/>
      <c r="J4" s="165"/>
      <c r="K4" s="165"/>
      <c r="L4" s="165"/>
      <c r="M4" s="165"/>
      <c r="N4" s="165"/>
      <c r="O4" s="165"/>
      <c r="P4" s="165"/>
      <c r="Q4" s="165"/>
      <c r="R4" s="165"/>
      <c r="S4" s="165"/>
      <c r="T4" s="165"/>
      <c r="U4" s="165"/>
      <c r="V4" s="165"/>
      <c r="W4" s="165"/>
    </row>
    <row r="5" spans="1:23" ht="16" customHeight="1">
      <c r="A5" s="67"/>
      <c r="B5" s="67"/>
      <c r="C5" s="67"/>
      <c r="D5" s="67"/>
      <c r="E5" s="67"/>
      <c r="F5" s="67"/>
      <c r="G5" s="67"/>
      <c r="H5" s="67"/>
      <c r="I5" s="165"/>
      <c r="J5" s="165"/>
      <c r="K5" s="165"/>
      <c r="L5" s="165"/>
      <c r="M5" s="165"/>
      <c r="N5" s="165"/>
      <c r="O5" s="165"/>
      <c r="P5" s="165"/>
      <c r="Q5" s="165"/>
      <c r="R5" s="165"/>
      <c r="S5" s="165"/>
      <c r="T5" s="165"/>
      <c r="U5" s="165"/>
      <c r="V5" s="165"/>
      <c r="W5" s="165"/>
    </row>
    <row r="6" spans="1:23" ht="16" customHeight="1">
      <c r="A6" s="67"/>
      <c r="B6" s="67"/>
      <c r="C6" s="67"/>
      <c r="D6" s="67"/>
      <c r="E6" s="67"/>
      <c r="F6" s="67"/>
      <c r="G6" s="67"/>
      <c r="H6" s="67"/>
      <c r="I6" s="165"/>
      <c r="J6" s="165"/>
      <c r="K6" s="165"/>
      <c r="L6" s="165"/>
      <c r="M6" s="165"/>
      <c r="N6" s="165"/>
      <c r="O6" s="165"/>
      <c r="P6" s="165"/>
      <c r="Q6" s="165"/>
      <c r="R6" s="165"/>
      <c r="S6" s="165"/>
      <c r="T6" s="165"/>
      <c r="U6" s="165"/>
      <c r="V6" s="165"/>
      <c r="W6" s="165"/>
    </row>
    <row r="7" spans="1:23" ht="16" customHeight="1">
      <c r="A7" s="67"/>
      <c r="B7" s="192" t="s">
        <v>110</v>
      </c>
      <c r="C7" s="130"/>
      <c r="D7" s="215"/>
      <c r="E7" s="215" t="s">
        <v>111</v>
      </c>
      <c r="F7" s="216" t="s">
        <v>112</v>
      </c>
      <c r="G7" s="192" t="s">
        <v>405</v>
      </c>
      <c r="H7" s="67"/>
      <c r="I7" s="153">
        <v>46023</v>
      </c>
      <c r="J7" s="153">
        <v>46054</v>
      </c>
      <c r="K7" s="153">
        <v>46082</v>
      </c>
      <c r="L7" s="153">
        <v>46113</v>
      </c>
      <c r="M7" s="153">
        <v>46143</v>
      </c>
      <c r="N7" s="153">
        <v>46174</v>
      </c>
      <c r="O7" s="153">
        <v>46204</v>
      </c>
      <c r="P7" s="153">
        <v>46235</v>
      </c>
      <c r="Q7" s="153">
        <v>46266</v>
      </c>
      <c r="R7" s="153">
        <v>46296</v>
      </c>
      <c r="S7" s="153">
        <v>46327</v>
      </c>
      <c r="T7" s="153">
        <v>46357</v>
      </c>
      <c r="U7" s="165"/>
      <c r="V7" s="171" t="s">
        <v>44</v>
      </c>
      <c r="W7" s="171" t="s">
        <v>45</v>
      </c>
    </row>
    <row r="8" spans="1:23" ht="16">
      <c r="A8" s="67"/>
      <c r="B8" s="102"/>
      <c r="C8" s="67"/>
      <c r="D8" s="42"/>
      <c r="E8" s="79" t="s">
        <v>170</v>
      </c>
      <c r="F8" s="67" t="s">
        <v>394</v>
      </c>
      <c r="G8" s="67"/>
      <c r="H8" s="67"/>
      <c r="I8" s="165">
        <f>'假设-成本与任务量'!K$40</f>
        <v>352</v>
      </c>
      <c r="J8" s="165">
        <f>'假设-成本与任务量'!L$40</f>
        <v>353.6</v>
      </c>
      <c r="K8" s="165">
        <f>'假设-成本与任务量'!M$40</f>
        <v>304</v>
      </c>
      <c r="L8" s="165">
        <f>'假设-成本与任务量'!N$40</f>
        <v>362.4</v>
      </c>
      <c r="M8" s="165">
        <f>'假设-成本与任务量'!O$40</f>
        <v>291.2</v>
      </c>
      <c r="N8" s="165">
        <f>'假设-成本与任务量'!P$40</f>
        <v>398</v>
      </c>
      <c r="O8" s="165">
        <f>'假设-成本与任务量'!Q$40</f>
        <v>194.39999999999998</v>
      </c>
      <c r="P8" s="165">
        <f>'假设-成本与任务量'!R$40</f>
        <v>260</v>
      </c>
      <c r="Q8" s="165">
        <f>'假设-成本与任务量'!S$40</f>
        <v>328.79999999999995</v>
      </c>
      <c r="R8" s="165">
        <f>'假设-成本与任务量'!T$40</f>
        <v>355.6</v>
      </c>
      <c r="S8" s="165">
        <f>'假设-成本与任务量'!U$40</f>
        <v>432</v>
      </c>
      <c r="T8" s="165">
        <f>'假设-成本与任务量'!V$40</f>
        <v>368</v>
      </c>
      <c r="U8" s="165"/>
      <c r="V8" s="165">
        <f>SUM(I8:T8)</f>
        <v>3999.9999999999995</v>
      </c>
      <c r="W8" s="165">
        <f>SUM(O8:T8)</f>
        <v>1938.8</v>
      </c>
    </row>
    <row r="9" spans="1:23" ht="16">
      <c r="A9" s="102"/>
      <c r="B9" s="102"/>
      <c r="C9" s="102"/>
      <c r="D9" s="42"/>
      <c r="E9" s="79" t="s">
        <v>170</v>
      </c>
      <c r="F9" s="102" t="s">
        <v>395</v>
      </c>
      <c r="G9" s="102"/>
      <c r="H9" s="102"/>
      <c r="I9" s="221">
        <f>'假设-成本与任务量'!K$44</f>
        <v>365.02199999999999</v>
      </c>
      <c r="J9" s="221">
        <f>'假设-成本与任务量'!L$44</f>
        <v>348.42599999999999</v>
      </c>
      <c r="K9" s="221">
        <f>'假设-成本与任务量'!M$44</f>
        <v>495.42840000000001</v>
      </c>
      <c r="L9" s="221">
        <f>'假设-成本与任务量'!N$44</f>
        <v>550.81079999999997</v>
      </c>
      <c r="M9" s="221">
        <f>'假设-成本与任务量'!O$44</f>
        <v>640.44000000000005</v>
      </c>
      <c r="N9" s="221">
        <f>'假设-成本与任务量'!P$44</f>
        <v>439.39976651831569</v>
      </c>
      <c r="O9" s="221">
        <f>'假设-成本与任务量'!Q$44</f>
        <v>214.6213934953783</v>
      </c>
      <c r="P9" s="221">
        <f>'假设-成本与任务量'!R$44</f>
        <v>287.04507360492988</v>
      </c>
      <c r="Q9" s="221">
        <f>'假设-成本与任务量'!S$44</f>
        <v>363.00161615884974</v>
      </c>
      <c r="R9" s="221">
        <f>'假设-成本与任务量'!T$44</f>
        <v>392.58933913043489</v>
      </c>
      <c r="S9" s="221">
        <f>'假设-成本与任务量'!U$44</f>
        <v>476.93642998972962</v>
      </c>
      <c r="T9" s="221">
        <f>'假设-成本与任务量'!V$44</f>
        <v>406.27918110236226</v>
      </c>
      <c r="U9" s="219"/>
      <c r="V9" s="219">
        <f>SUM(I9:T9)</f>
        <v>4980.0000000000009</v>
      </c>
      <c r="W9" s="219">
        <f>SUM(O9:T9)</f>
        <v>2140.4730334816845</v>
      </c>
    </row>
    <row r="10" spans="1:23" ht="16">
      <c r="A10" s="67"/>
      <c r="B10" s="102"/>
      <c r="C10" s="67"/>
      <c r="D10" s="42"/>
      <c r="E10" s="79" t="s">
        <v>170</v>
      </c>
      <c r="F10" s="67" t="s">
        <v>396</v>
      </c>
      <c r="G10" s="67"/>
      <c r="H10" s="67"/>
      <c r="I10" s="155">
        <f t="shared" ref="I10:T10" si="0">IFERROR(I9/I8,0)</f>
        <v>1.0369943181818182</v>
      </c>
      <c r="J10" s="155">
        <f t="shared" si="0"/>
        <v>0.9853676470588234</v>
      </c>
      <c r="K10" s="155">
        <f t="shared" si="0"/>
        <v>1.6296986842105263</v>
      </c>
      <c r="L10" s="155">
        <f t="shared" si="0"/>
        <v>1.5198973509933775</v>
      </c>
      <c r="M10" s="155">
        <f t="shared" si="0"/>
        <v>2.1993131868131872</v>
      </c>
      <c r="N10" s="155">
        <f t="shared" si="0"/>
        <v>1.1040195138651148</v>
      </c>
      <c r="O10" s="155">
        <f t="shared" si="0"/>
        <v>1.1040195138651148</v>
      </c>
      <c r="P10" s="155">
        <f t="shared" si="0"/>
        <v>1.104019513865115</v>
      </c>
      <c r="Q10" s="155">
        <f t="shared" si="0"/>
        <v>1.104019513865115</v>
      </c>
      <c r="R10" s="155">
        <f t="shared" si="0"/>
        <v>1.104019513865115</v>
      </c>
      <c r="S10" s="155">
        <f t="shared" si="0"/>
        <v>1.1040195138651148</v>
      </c>
      <c r="T10" s="155">
        <f t="shared" si="0"/>
        <v>1.1040195138651148</v>
      </c>
      <c r="U10" s="165"/>
      <c r="V10" s="155">
        <f>IFERROR(V9/V8,0)</f>
        <v>1.2450000000000003</v>
      </c>
      <c r="W10" s="155">
        <f>IFERROR(W9/W8,0)</f>
        <v>1.1040195138651148</v>
      </c>
    </row>
    <row r="11" spans="1:23" ht="16" customHeight="1">
      <c r="A11" s="67"/>
      <c r="B11" s="229"/>
      <c r="C11" s="226"/>
      <c r="D11" s="229"/>
      <c r="E11" s="229"/>
      <c r="F11" s="229"/>
      <c r="G11" s="229"/>
      <c r="H11" s="67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165"/>
      <c r="V11" s="231"/>
      <c r="W11" s="231"/>
    </row>
    <row r="12" spans="1:23" ht="16" customHeight="1">
      <c r="A12" s="102"/>
      <c r="B12" s="217" t="s">
        <v>393</v>
      </c>
      <c r="C12" s="217"/>
      <c r="D12" s="217"/>
      <c r="E12" s="217"/>
      <c r="F12" s="217"/>
      <c r="G12" s="217"/>
      <c r="H12" s="102"/>
      <c r="I12" s="218">
        <f t="shared" ref="I12:T12" si="1">I13+I17+I18+I19</f>
        <v>43.350696247293243</v>
      </c>
      <c r="J12" s="218">
        <f t="shared" si="1"/>
        <v>79.707034210210338</v>
      </c>
      <c r="K12" s="218">
        <f t="shared" si="1"/>
        <v>95.422734505707865</v>
      </c>
      <c r="L12" s="218">
        <f t="shared" si="1"/>
        <v>122.62956780594544</v>
      </c>
      <c r="M12" s="218">
        <f t="shared" si="1"/>
        <v>139.08925143441687</v>
      </c>
      <c r="N12" s="218">
        <f t="shared" si="1"/>
        <v>124.62440284529782</v>
      </c>
      <c r="O12" s="218">
        <f t="shared" si="1"/>
        <v>78.6323443950008</v>
      </c>
      <c r="P12" s="218">
        <f t="shared" si="1"/>
        <v>63.631787095425835</v>
      </c>
      <c r="Q12" s="218">
        <f t="shared" si="1"/>
        <v>80.257014734168706</v>
      </c>
      <c r="R12" s="218">
        <f t="shared" si="1"/>
        <v>84.739814760727626</v>
      </c>
      <c r="S12" s="218">
        <f t="shared" si="1"/>
        <v>97.863744128574481</v>
      </c>
      <c r="T12" s="218">
        <f t="shared" si="1"/>
        <v>168.62461109758848</v>
      </c>
      <c r="U12" s="165"/>
      <c r="V12" s="218">
        <f t="shared" ref="V12:V34" si="2">SUM(I12:T12)</f>
        <v>1178.5730032603574</v>
      </c>
      <c r="W12" s="218">
        <f t="shared" ref="W12:W34" si="3">SUM(O12:T12)</f>
        <v>573.74931621148596</v>
      </c>
    </row>
    <row r="13" spans="1:23" ht="16" customHeight="1">
      <c r="A13" s="67"/>
      <c r="B13" s="222" t="s">
        <v>46</v>
      </c>
      <c r="C13" s="222"/>
      <c r="D13" s="222"/>
      <c r="E13" s="222"/>
      <c r="F13" s="222"/>
      <c r="G13" s="222"/>
      <c r="H13" s="102"/>
      <c r="I13" s="223">
        <f t="shared" ref="I13:T13" si="4">I14+I15</f>
        <v>43.350696247293243</v>
      </c>
      <c r="J13" s="223">
        <f t="shared" si="4"/>
        <v>41.379724210210334</v>
      </c>
      <c r="K13" s="223">
        <f t="shared" si="4"/>
        <v>58.838004505707858</v>
      </c>
      <c r="L13" s="223">
        <f t="shared" si="4"/>
        <v>65.415322036832279</v>
      </c>
      <c r="M13" s="223">
        <f t="shared" si="4"/>
        <v>76.059853665303706</v>
      </c>
      <c r="N13" s="223">
        <f t="shared" si="4"/>
        <v>52.183939076184657</v>
      </c>
      <c r="O13" s="223">
        <f t="shared" si="4"/>
        <v>25.488838583945473</v>
      </c>
      <c r="P13" s="223">
        <f t="shared" si="4"/>
        <v>34.090010451778923</v>
      </c>
      <c r="Q13" s="223">
        <f t="shared" si="4"/>
        <v>43.110751679018882</v>
      </c>
      <c r="R13" s="223">
        <f t="shared" si="4"/>
        <v>46.624645064048408</v>
      </c>
      <c r="S13" s="223">
        <f t="shared" si="4"/>
        <v>56.641863519878825</v>
      </c>
      <c r="T13" s="223">
        <f t="shared" si="4"/>
        <v>48.250476331748629</v>
      </c>
      <c r="U13" s="165"/>
      <c r="V13" s="223">
        <f t="shared" si="2"/>
        <v>591.43412537195127</v>
      </c>
      <c r="W13" s="223">
        <f t="shared" si="3"/>
        <v>254.20658563041917</v>
      </c>
    </row>
    <row r="14" spans="1:23" ht="16" customHeight="1">
      <c r="A14" s="67"/>
      <c r="B14" s="102"/>
      <c r="C14" s="42"/>
      <c r="D14" s="67" t="s">
        <v>46</v>
      </c>
      <c r="E14" s="67" t="s">
        <v>389</v>
      </c>
      <c r="F14" s="67" t="s">
        <v>390</v>
      </c>
      <c r="G14" s="67"/>
      <c r="H14" s="67"/>
      <c r="I14" s="165">
        <f>(I9-'假设-目标渠道分解'!L$15)*'假设-财务口径'!$B$51*('假设-成本与任务量'!$I$6-'假设-成本与任务量'!$H$6)/'假设-成本与任务量'!$H$6</f>
        <v>25.204017527067553</v>
      </c>
      <c r="J14" s="165">
        <f>(J9-'假设-目标渠道分解'!M$15)*'假设-财务口径'!$B$51*('假设-成本与任务量'!$I$6-'假设-成本与任务量'!$H$6)/'假设-成本与任务量'!$H$6</f>
        <v>24.058097897896676</v>
      </c>
      <c r="K14" s="165">
        <f>(K9-'假设-目标渠道分解'!N$15)*'假设-财务口径'!$B$51*('假设-成本与任务量'!$I$6-'假设-成本与任务量'!$H$6)/'假设-成本与任务量'!$H$6</f>
        <v>34.208310942921344</v>
      </c>
      <c r="L14" s="165">
        <f>(L9-'假设-目标渠道分解'!O$15)*'假设-财务口径'!$B$51*('假设-成本与任务量'!$I$6-'假设-成本与任务量'!$H$6)/'假设-成本与任务量'!$H$6</f>
        <v>38.032351631677273</v>
      </c>
      <c r="M14" s="165">
        <f>(M9-'假设-目标渠道分解'!P$15)*'假设-财务口径'!$B$51*('假设-成本与任务量'!$I$6-'假设-成本与任务量'!$H$6)/'假设-成本与任务量'!$H$6</f>
        <v>44.221063346963049</v>
      </c>
      <c r="N14" s="165">
        <f>(N9-'假设-目标渠道分解'!Q$15)*'假设-财务口径'!$B$51*('假设-成本与任务量'!$I$6-'假设-成本与任务量'!$H$6)/'假设-成本与任务量'!$H$6</f>
        <v>30.339649162836814</v>
      </c>
      <c r="O14" s="165">
        <f>(O9-'假设-目标渠道分解'!R$15)*'假设-财务口径'!$B$51*('假设-成本与任务量'!$I$6-'假设-成本与任务量'!$H$6)/'假设-成本与任务量'!$H$6</f>
        <v>14.81916531973738</v>
      </c>
      <c r="P14" s="165">
        <f>(P9-'假设-目标渠道分解'!S$15)*'假设-财务口径'!$B$51*('假设-成本与任务量'!$I$6-'假设-成本与任务量'!$H$6)/'假设-成本与任务量'!$H$6</f>
        <v>19.819871312405958</v>
      </c>
      <c r="Q14" s="165">
        <f>(Q9-'假设-目标渠道分解'!T$15)*'假设-财务口径'!$B$51*('假设-成本与任务量'!$I$6-'假设-成本与任务量'!$H$6)/'假设-成本与任务量'!$H$6</f>
        <v>25.064514182765691</v>
      </c>
      <c r="R14" s="165">
        <f>(R9-'假设-目标渠道分解'!U$15)*'假设-财务口径'!$B$51*('假设-成本与任务量'!$I$6-'假设-成本与任务量'!$H$6)/'假设-成本与任务量'!$H$6</f>
        <v>27.107485533429077</v>
      </c>
      <c r="S14" s="165">
        <f>(S9-'假设-目标渠道分解'!V$15)*'假设-财务口径'!$B$51*('假设-成本与任务量'!$I$6-'假设-成本与任务量'!$H$6)/'假设-成本与任务量'!$H$6</f>
        <v>32.931478488305288</v>
      </c>
      <c r="T14" s="165">
        <f>(T9-'假设-目标渠道分解'!W$15)*'假设-财务口径'!$B$51*('假设-成本与任务量'!$I$6-'假设-成本与任务量'!$H$6)/'假设-成本与任务量'!$H$6</f>
        <v>28.052740934482284</v>
      </c>
      <c r="U14" s="165"/>
      <c r="V14" s="165">
        <f t="shared" si="2"/>
        <v>343.85874628048839</v>
      </c>
      <c r="W14" s="165">
        <f t="shared" si="3"/>
        <v>147.79525577112568</v>
      </c>
    </row>
    <row r="15" spans="1:23" ht="16" customHeight="1">
      <c r="A15" s="67"/>
      <c r="B15" s="102"/>
      <c r="C15" s="42"/>
      <c r="D15" s="67" t="s">
        <v>46</v>
      </c>
      <c r="E15" s="67" t="s">
        <v>389</v>
      </c>
      <c r="F15" s="67" t="s">
        <v>391</v>
      </c>
      <c r="G15" s="67"/>
      <c r="H15" s="67"/>
      <c r="I15" s="165">
        <f>(I9-'假设-目标渠道分解'!L$15)*'假设-财务口径'!$B$52*('假设-成本与任务量'!$I$4-'假设-成本与任务量'!$H$4)/'假设-成本与任务量'!$H$4</f>
        <v>18.146678720225687</v>
      </c>
      <c r="J15" s="165">
        <f>(J9-'假设-目标渠道分解'!M$15)*'假设-财务口径'!$B$52*('假设-成本与任务量'!$I$4-'假设-成本与任务量'!$H$4)/'假设-成本与任务量'!$H$4</f>
        <v>17.321626312313658</v>
      </c>
      <c r="K15" s="165">
        <f>(K9-'假设-目标渠道分解'!N$15)*'假设-财务口径'!$B$52*('假设-成本与任务量'!$I$4-'假设-成本与任务量'!$H$4)/'假设-成本与任务量'!$H$4</f>
        <v>24.629693562786517</v>
      </c>
      <c r="L15" s="165">
        <f>(L9-'假设-目标渠道分解'!O$15)*'假设-财务口径'!$B$52*('假设-成本与任务量'!$I$4-'假设-成本与任务量'!$H$4)/'假设-成本与任务量'!$H$4</f>
        <v>27.382970405155003</v>
      </c>
      <c r="M15" s="165">
        <f>(M9-'假设-目标渠道分解'!P$15)*'假设-财务口径'!$B$52*('假设-成本与任务量'!$I$4-'假设-成本与任务量'!$H$4)/'假设-成本与任务量'!$H$4</f>
        <v>31.838790318340649</v>
      </c>
      <c r="N15" s="165">
        <f>(N9-'假设-目标渠道分解'!Q$15)*'假设-财务口径'!$B$52*('假设-成本与任务量'!$I$4-'假设-成本与任务量'!$H$4)/'假设-成本与任务量'!$H$4</f>
        <v>21.84428991334784</v>
      </c>
      <c r="O15" s="165">
        <f>(O9-'假设-目标渠道分解'!R$15)*'假设-财务口径'!$B$52*('假设-成本与任务量'!$I$4-'假设-成本与任务量'!$H$4)/'假设-成本与任务量'!$H$4</f>
        <v>10.669673264208091</v>
      </c>
      <c r="P15" s="165">
        <f>(P9-'假设-目标渠道分解'!S$15)*'假设-财务口径'!$B$52*('假设-成本与任务量'!$I$4-'假设-成本与任务量'!$H$4)/'假设-成本与任务量'!$H$4</f>
        <v>14.270139139372963</v>
      </c>
      <c r="Q15" s="165">
        <f>(Q9-'假设-目标渠道分解'!T$15)*'假设-财务口径'!$B$52*('假设-成本与任务量'!$I$4-'假设-成本与任务量'!$H$4)/'假设-成本与任务量'!$H$4</f>
        <v>18.046237496253191</v>
      </c>
      <c r="R15" s="165">
        <f>(R9-'假设-目标渠道分解'!U$15)*'假设-财务口径'!$B$52*('假设-成本与任务量'!$I$4-'假设-成本与任务量'!$H$4)/'假设-成本与任务量'!$H$4</f>
        <v>19.517159530619328</v>
      </c>
      <c r="S15" s="165">
        <f>(S9-'假设-目标渠道分解'!V$15)*'假设-财务口径'!$B$52*('假设-成本与任务量'!$I$4-'假设-成本与任务量'!$H$4)/'假设-成本与任务量'!$H$4</f>
        <v>23.710385031573534</v>
      </c>
      <c r="T15" s="165">
        <f>(T9-'假设-目标渠道分解'!W$15)*'假设-财务口径'!$B$52*('假设-成本与任务量'!$I$4-'假设-成本与任务量'!$H$4)/'假设-成本与任务量'!$H$4</f>
        <v>20.197735397266346</v>
      </c>
      <c r="U15" s="165"/>
      <c r="V15" s="165">
        <f t="shared" si="2"/>
        <v>247.57537909146279</v>
      </c>
      <c r="W15" s="165">
        <f t="shared" si="3"/>
        <v>106.41132985929345</v>
      </c>
    </row>
    <row r="16" spans="1:23" ht="16" customHeight="1">
      <c r="A16" s="67"/>
      <c r="B16" s="222" t="s">
        <v>121</v>
      </c>
      <c r="C16" s="222"/>
      <c r="D16" s="222"/>
      <c r="E16" s="222"/>
      <c r="F16" s="222"/>
      <c r="G16" s="222"/>
      <c r="H16" s="102"/>
      <c r="I16" s="223">
        <f>SUM(I17:I19)</f>
        <v>0</v>
      </c>
      <c r="J16" s="223">
        <f t="shared" ref="J16:T16" si="5">SUM(J17:J19)</f>
        <v>38.327309999999997</v>
      </c>
      <c r="K16" s="223">
        <f t="shared" si="5"/>
        <v>36.58473</v>
      </c>
      <c r="L16" s="223">
        <f t="shared" si="5"/>
        <v>57.214245769113163</v>
      </c>
      <c r="M16" s="223">
        <f t="shared" si="5"/>
        <v>63.029397769113153</v>
      </c>
      <c r="N16" s="223">
        <f t="shared" si="5"/>
        <v>72.440463769113165</v>
      </c>
      <c r="O16" s="223">
        <f t="shared" si="5"/>
        <v>53.143505811055327</v>
      </c>
      <c r="P16" s="223">
        <f t="shared" si="5"/>
        <v>29.541776643646909</v>
      </c>
      <c r="Q16" s="223">
        <f t="shared" si="5"/>
        <v>37.146263055149824</v>
      </c>
      <c r="R16" s="223">
        <f t="shared" si="5"/>
        <v>38.115169696679217</v>
      </c>
      <c r="S16" s="223">
        <f t="shared" si="5"/>
        <v>41.221880608695656</v>
      </c>
      <c r="T16" s="223">
        <f t="shared" si="5"/>
        <v>120.37413476583986</v>
      </c>
      <c r="U16" s="165"/>
      <c r="V16" s="223">
        <f t="shared" si="2"/>
        <v>587.13887788840623</v>
      </c>
      <c r="W16" s="223">
        <f t="shared" si="3"/>
        <v>319.54273058106679</v>
      </c>
    </row>
    <row r="17" spans="1:23" ht="16">
      <c r="A17" s="67"/>
      <c r="B17" s="42"/>
      <c r="C17" s="102"/>
      <c r="D17" s="102" t="s">
        <v>121</v>
      </c>
      <c r="E17" s="102" t="s">
        <v>122</v>
      </c>
      <c r="F17" s="102" t="s">
        <v>402</v>
      </c>
      <c r="G17" s="102"/>
      <c r="H17" s="102"/>
      <c r="I17" s="219">
        <f>0</f>
        <v>0</v>
      </c>
      <c r="J17" s="219">
        <f>0</f>
        <v>0</v>
      </c>
      <c r="K17" s="219">
        <f>0</f>
        <v>0</v>
      </c>
      <c r="L17" s="219">
        <f>IF(SUM($I$9:$K$9)&gt;='假设-财务口径'!$B$50,SUM($I$9:$K$9)*'假设-财务口径'!$B$52/'假设-财务口径'!$B$45*'假设-财务口径'!$B$46*'假设-财务口径'!$B$48/3,0)</f>
        <v>5.1942637691131628</v>
      </c>
      <c r="M17" s="219">
        <f>IF(SUM($I$9:$K$9)&gt;='假设-财务口径'!$B$50,SUM($I$9:$K$9)*'假设-财务口径'!$B$52/'假设-财务口径'!$B$45*'假设-财务口径'!$B$46*'假设-财务口径'!$B$48/3,0)</f>
        <v>5.1942637691131628</v>
      </c>
      <c r="N17" s="219">
        <f>IF(SUM($I$9:$K$9)&gt;='假设-财务口径'!$B$50,SUM($I$9:$K$9)*'假设-财务口径'!$B$52/'假设-财务口径'!$B$45*'假设-财务口径'!$B$46*'假设-财务口径'!$B$48/3,0)</f>
        <v>5.1942637691131628</v>
      </c>
      <c r="O17" s="219">
        <f>IF(SUM($L$9:$N$9)&gt;='假设-财务口径'!$B$50,SUM($L$9:$N$9)*'假设-财务口径'!$B$52/'假设-财务口径'!$B$45*'假设-财务口径'!$B$46*'假设-财务口径'!$B$48/3,0)</f>
        <v>7.0065303266321868</v>
      </c>
      <c r="P17" s="219">
        <f>IF(SUM($L$9:$N$9)&gt;='假设-财务口径'!$B$50,SUM($L$9:$N$9)*'假设-财务口径'!$B$52/'假设-财务口径'!$B$45*'假设-财务口径'!$B$46*'假设-财务口径'!$B$48/3,0)</f>
        <v>7.0065303266321868</v>
      </c>
      <c r="Q17" s="219">
        <f>IF(SUM($L$9:$N$9)&gt;='假设-财务口径'!$B$50,SUM($L$9:$N$9)*'假设-财务口径'!$B$52/'假设-财务口径'!$B$45*'假设-财务口径'!$B$46*'假设-财务口径'!$B$48/3,0)</f>
        <v>7.0065303266321868</v>
      </c>
      <c r="R17" s="219">
        <f>IF(SUM($O$9:$Q$9)&gt;='假设-财务口径'!$B$50,SUM($O$9:$Q$9)*'假设-财务口径'!$B$52/'假设-财务口径'!$B$45*'假设-财务口径'!$B$46*'假设-财务口径'!$B$48/3,0)</f>
        <v>0</v>
      </c>
      <c r="S17" s="219">
        <f>IF(SUM($O$9:$Q$9)&gt;='假设-财务口径'!$B$50,SUM($O$9:$Q$9)*'假设-财务口径'!$B$52/'假设-财务口径'!$B$45*'假设-财务口径'!$B$46*'假设-财务口径'!$B$48/3,0)</f>
        <v>0</v>
      </c>
      <c r="T17" s="219">
        <f>IF(SUM($O$9:$Q$9)&gt;='假设-财务口径'!$B$50,SUM($O$9:$Q$9)*'假设-财务口径'!$B$52/'假设-财务口径'!$B$45*'假设-财务口径'!$B$46*'假设-财务口径'!$B$48/3,0)</f>
        <v>0</v>
      </c>
      <c r="U17" s="165"/>
      <c r="V17" s="165">
        <f t="shared" si="2"/>
        <v>36.602382287236047</v>
      </c>
      <c r="W17" s="165">
        <f t="shared" si="3"/>
        <v>21.019590979896559</v>
      </c>
    </row>
    <row r="18" spans="1:23" ht="16">
      <c r="A18" s="102"/>
      <c r="B18" s="102"/>
      <c r="C18" s="42"/>
      <c r="D18" s="67" t="s">
        <v>121</v>
      </c>
      <c r="E18" s="67" t="s">
        <v>122</v>
      </c>
      <c r="F18" s="67" t="s">
        <v>392</v>
      </c>
      <c r="G18" s="67"/>
      <c r="H18" s="67"/>
      <c r="I18" s="165">
        <f>0</f>
        <v>0</v>
      </c>
      <c r="J18" s="165">
        <f>0</f>
        <v>0</v>
      </c>
      <c r="K18" s="165">
        <f>0</f>
        <v>0</v>
      </c>
      <c r="L18" s="165">
        <f>0</f>
        <v>0</v>
      </c>
      <c r="M18" s="165">
        <f>0</f>
        <v>0</v>
      </c>
      <c r="N18" s="165">
        <f>0</f>
        <v>0</v>
      </c>
      <c r="O18" s="165">
        <f>0</f>
        <v>0</v>
      </c>
      <c r="P18" s="165">
        <f>0</f>
        <v>0</v>
      </c>
      <c r="Q18" s="165">
        <f>0</f>
        <v>0</v>
      </c>
      <c r="R18" s="165">
        <f>0</f>
        <v>0</v>
      </c>
      <c r="S18" s="165">
        <f>0</f>
        <v>0</v>
      </c>
      <c r="T18" s="165">
        <f>IF(SUM($I$9:$T$9)&gt;='假设-财务口径'!$B$49,SUM($I$9:$T$9)*'假设-财务口径'!$B$52/'假设-财务口径'!$B$45*'假设-财务口径'!$B$47*'假设-财务口径'!$B$48,0)</f>
        <v>70.295809616918248</v>
      </c>
      <c r="U18" s="165"/>
      <c r="V18" s="165">
        <f t="shared" si="2"/>
        <v>70.295809616918248</v>
      </c>
      <c r="W18" s="165">
        <f t="shared" si="3"/>
        <v>70.295809616918248</v>
      </c>
    </row>
    <row r="19" spans="1:23" ht="16">
      <c r="A19" s="67"/>
      <c r="B19" s="102"/>
      <c r="C19" s="42"/>
      <c r="D19" s="102" t="s">
        <v>121</v>
      </c>
      <c r="E19" s="67" t="s">
        <v>122</v>
      </c>
      <c r="F19" s="102" t="s">
        <v>403</v>
      </c>
      <c r="G19" s="102"/>
      <c r="H19" s="102"/>
      <c r="I19" s="165">
        <f>0</f>
        <v>0</v>
      </c>
      <c r="J19" s="165">
        <f>I9*0.15*0.7</f>
        <v>38.327309999999997</v>
      </c>
      <c r="K19" s="165">
        <f t="shared" ref="K19:T19" si="6">J9*0.15*0.7</f>
        <v>36.58473</v>
      </c>
      <c r="L19" s="165">
        <f t="shared" si="6"/>
        <v>52.019981999999999</v>
      </c>
      <c r="M19" s="165">
        <f t="shared" si="6"/>
        <v>57.835133999999989</v>
      </c>
      <c r="N19" s="165">
        <f t="shared" si="6"/>
        <v>67.246200000000002</v>
      </c>
      <c r="O19" s="165">
        <f t="shared" si="6"/>
        <v>46.136975484423139</v>
      </c>
      <c r="P19" s="165">
        <f t="shared" si="6"/>
        <v>22.535246317014721</v>
      </c>
      <c r="Q19" s="165">
        <f t="shared" si="6"/>
        <v>30.139732728517636</v>
      </c>
      <c r="R19" s="165">
        <f t="shared" si="6"/>
        <v>38.115169696679217</v>
      </c>
      <c r="S19" s="165">
        <f t="shared" si="6"/>
        <v>41.221880608695656</v>
      </c>
      <c r="T19" s="165">
        <f t="shared" si="6"/>
        <v>50.078325148921607</v>
      </c>
      <c r="U19" s="165"/>
      <c r="V19" s="165">
        <f t="shared" si="2"/>
        <v>480.24068598425197</v>
      </c>
      <c r="W19" s="165">
        <f t="shared" si="3"/>
        <v>228.22732998425195</v>
      </c>
    </row>
    <row r="20" spans="1:23" ht="16">
      <c r="A20" s="102"/>
      <c r="B20" s="217" t="s">
        <v>48</v>
      </c>
      <c r="C20" s="217"/>
      <c r="D20" s="217"/>
      <c r="E20" s="217"/>
      <c r="F20" s="217"/>
      <c r="G20" s="217"/>
      <c r="H20" s="102"/>
      <c r="I20" s="218">
        <f t="shared" ref="I20:T20" si="7">I21</f>
        <v>0</v>
      </c>
      <c r="J20" s="218">
        <f t="shared" si="7"/>
        <v>0</v>
      </c>
      <c r="K20" s="218">
        <f t="shared" si="7"/>
        <v>0</v>
      </c>
      <c r="L20" s="218">
        <f t="shared" si="7"/>
        <v>0</v>
      </c>
      <c r="M20" s="218">
        <f t="shared" si="7"/>
        <v>0</v>
      </c>
      <c r="N20" s="218">
        <f t="shared" si="7"/>
        <v>0</v>
      </c>
      <c r="O20" s="218">
        <f t="shared" si="7"/>
        <v>0</v>
      </c>
      <c r="P20" s="218">
        <f t="shared" si="7"/>
        <v>0</v>
      </c>
      <c r="Q20" s="218">
        <f t="shared" si="7"/>
        <v>0</v>
      </c>
      <c r="R20" s="218">
        <f t="shared" si="7"/>
        <v>0</v>
      </c>
      <c r="S20" s="218">
        <f t="shared" si="7"/>
        <v>0</v>
      </c>
      <c r="T20" s="218">
        <f t="shared" si="7"/>
        <v>0</v>
      </c>
      <c r="U20" s="165"/>
      <c r="V20" s="218">
        <f t="shared" si="2"/>
        <v>0</v>
      </c>
      <c r="W20" s="218">
        <f t="shared" si="3"/>
        <v>0</v>
      </c>
    </row>
    <row r="21" spans="1:23" ht="16">
      <c r="A21" s="67"/>
      <c r="B21" s="102"/>
      <c r="C21" s="42"/>
      <c r="D21" s="67" t="s">
        <v>48</v>
      </c>
      <c r="E21" s="67" t="s">
        <v>397</v>
      </c>
      <c r="F21" s="67" t="s">
        <v>398</v>
      </c>
      <c r="G21" s="67"/>
      <c r="H21" s="67"/>
      <c r="I21" s="165">
        <f>0</f>
        <v>0</v>
      </c>
      <c r="J21" s="165">
        <f>0</f>
        <v>0</v>
      </c>
      <c r="K21" s="165">
        <f>0</f>
        <v>0</v>
      </c>
      <c r="L21" s="165">
        <f>0</f>
        <v>0</v>
      </c>
      <c r="M21" s="165">
        <f>0</f>
        <v>0</v>
      </c>
      <c r="N21" s="165">
        <f>0</f>
        <v>0</v>
      </c>
      <c r="O21" s="165">
        <f>0</f>
        <v>0</v>
      </c>
      <c r="P21" s="165">
        <f>0</f>
        <v>0</v>
      </c>
      <c r="Q21" s="165">
        <f>0</f>
        <v>0</v>
      </c>
      <c r="R21" s="165">
        <f>0</f>
        <v>0</v>
      </c>
      <c r="S21" s="165">
        <f>0</f>
        <v>0</v>
      </c>
      <c r="T21" s="165">
        <f>0</f>
        <v>0</v>
      </c>
      <c r="U21" s="219"/>
      <c r="V21" s="165">
        <f t="shared" si="2"/>
        <v>0</v>
      </c>
      <c r="W21" s="165">
        <f t="shared" si="3"/>
        <v>0</v>
      </c>
    </row>
    <row r="22" spans="1:23" ht="16">
      <c r="A22" s="102"/>
      <c r="B22" s="217" t="s">
        <v>49</v>
      </c>
      <c r="C22" s="217"/>
      <c r="D22" s="217"/>
      <c r="E22" s="217"/>
      <c r="F22" s="217"/>
      <c r="G22" s="217"/>
      <c r="H22" s="102"/>
      <c r="I22" s="218">
        <f t="shared" ref="I22:T22" si="8">I12-I21</f>
        <v>43.350696247293243</v>
      </c>
      <c r="J22" s="218">
        <f t="shared" si="8"/>
        <v>79.707034210210338</v>
      </c>
      <c r="K22" s="218">
        <f t="shared" si="8"/>
        <v>95.422734505707865</v>
      </c>
      <c r="L22" s="218">
        <f t="shared" si="8"/>
        <v>122.62956780594544</v>
      </c>
      <c r="M22" s="218">
        <f t="shared" si="8"/>
        <v>139.08925143441687</v>
      </c>
      <c r="N22" s="218">
        <f t="shared" si="8"/>
        <v>124.62440284529782</v>
      </c>
      <c r="O22" s="218">
        <f t="shared" si="8"/>
        <v>78.6323443950008</v>
      </c>
      <c r="P22" s="218">
        <f t="shared" si="8"/>
        <v>63.631787095425835</v>
      </c>
      <c r="Q22" s="218">
        <f t="shared" si="8"/>
        <v>80.257014734168706</v>
      </c>
      <c r="R22" s="218">
        <f t="shared" si="8"/>
        <v>84.739814760727626</v>
      </c>
      <c r="S22" s="218">
        <f t="shared" si="8"/>
        <v>97.863744128574481</v>
      </c>
      <c r="T22" s="218">
        <f t="shared" si="8"/>
        <v>168.62461109758848</v>
      </c>
      <c r="U22" s="165"/>
      <c r="V22" s="218">
        <f t="shared" si="2"/>
        <v>1178.5730032603574</v>
      </c>
      <c r="W22" s="218">
        <f t="shared" si="3"/>
        <v>573.74931621148596</v>
      </c>
    </row>
    <row r="23" spans="1:23" ht="16">
      <c r="A23" s="102"/>
      <c r="B23" s="222" t="s">
        <v>85</v>
      </c>
      <c r="C23" s="222"/>
      <c r="D23" s="222"/>
      <c r="E23" s="222"/>
      <c r="F23" s="222"/>
      <c r="G23" s="222"/>
      <c r="H23" s="102"/>
      <c r="I23" s="223">
        <f t="shared" ref="I23:T23" si="9">SUM(I24:I26)</f>
        <v>34.597010095459758</v>
      </c>
      <c r="J23" s="223">
        <f t="shared" si="9"/>
        <v>29.895113461900383</v>
      </c>
      <c r="K23" s="223">
        <f t="shared" si="9"/>
        <v>32.620715705373705</v>
      </c>
      <c r="L23" s="223">
        <f t="shared" si="9"/>
        <v>37.711028838462177</v>
      </c>
      <c r="M23" s="223">
        <f t="shared" si="9"/>
        <v>40.027496246035497</v>
      </c>
      <c r="N23" s="223">
        <f t="shared" si="9"/>
        <v>37.205519660616893</v>
      </c>
      <c r="O23" s="223">
        <f t="shared" si="9"/>
        <v>31.889738578672684</v>
      </c>
      <c r="P23" s="223">
        <f t="shared" si="9"/>
        <v>34.784908132545979</v>
      </c>
      <c r="Q23" s="223">
        <f t="shared" si="9"/>
        <v>37.815103292705778</v>
      </c>
      <c r="R23" s="223">
        <f t="shared" si="9"/>
        <v>38.976284151605242</v>
      </c>
      <c r="S23" s="223">
        <f t="shared" si="9"/>
        <v>42.416180032945476</v>
      </c>
      <c r="T23" s="223">
        <f t="shared" si="9"/>
        <v>39.548731407215428</v>
      </c>
      <c r="U23" s="165"/>
      <c r="V23" s="223">
        <f t="shared" si="2"/>
        <v>437.48782960353896</v>
      </c>
      <c r="W23" s="223">
        <f t="shared" si="3"/>
        <v>225.43094559569056</v>
      </c>
    </row>
    <row r="24" spans="1:23" ht="16">
      <c r="A24" s="67"/>
      <c r="B24" s="102"/>
      <c r="C24" s="42"/>
      <c r="D24" s="67" t="s">
        <v>85</v>
      </c>
      <c r="E24" s="67" t="s">
        <v>79</v>
      </c>
      <c r="F24" s="67" t="s">
        <v>80</v>
      </c>
      <c r="G24" s="67"/>
      <c r="H24" s="67"/>
      <c r="I24" s="165">
        <f>'假设-人工成本固定额'!$B$16/10000</f>
        <v>21.070903996495101</v>
      </c>
      <c r="J24" s="165">
        <f>'假设-人工成本固定额'!$J$16/10000</f>
        <v>21.3107790612139</v>
      </c>
      <c r="K24" s="165">
        <f>'假设-人工成本固定额'!$R$16/10000</f>
        <v>22.4977680053737</v>
      </c>
      <c r="L24" s="165">
        <f>'假设-人工成本固定额'!$Z$16/10000</f>
        <v>24.4276477788374</v>
      </c>
      <c r="M24" s="165">
        <f>'假设-人工成本固定额'!$AH$16/10000</f>
        <v>24.677211704044201</v>
      </c>
      <c r="N24" s="165">
        <f>'假设-人工成本固定额'!$AP$16/10000</f>
        <v>23.144494704925499</v>
      </c>
      <c r="O24" s="165">
        <f>N24</f>
        <v>23.144494704925499</v>
      </c>
      <c r="P24" s="165">
        <f>N24</f>
        <v>23.144494704925499</v>
      </c>
      <c r="Q24" s="165">
        <f>N24</f>
        <v>23.144494704925499</v>
      </c>
      <c r="R24" s="165">
        <f>N24</f>
        <v>23.144494704925499</v>
      </c>
      <c r="S24" s="165">
        <f>N24</f>
        <v>23.144494704925499</v>
      </c>
      <c r="T24" s="165">
        <f>N24</f>
        <v>23.144494704925499</v>
      </c>
      <c r="U24" s="165"/>
      <c r="V24" s="165">
        <f t="shared" si="2"/>
        <v>275.99577348044284</v>
      </c>
      <c r="W24" s="165">
        <f t="shared" si="3"/>
        <v>138.86696822955301</v>
      </c>
    </row>
    <row r="25" spans="1:23" ht="16">
      <c r="A25" s="67"/>
      <c r="B25" s="102"/>
      <c r="C25" s="42"/>
      <c r="D25" s="67" t="s">
        <v>85</v>
      </c>
      <c r="E25" s="67" t="s">
        <v>79</v>
      </c>
      <c r="F25" s="67" t="s">
        <v>87</v>
      </c>
      <c r="G25" s="67"/>
      <c r="H25" s="67"/>
      <c r="I25" s="165">
        <f>MAX(0,(N(IFERROR('测算-高个子抖音'!I$45,0))+N(IFERROR('测算-高个子视频号'!I$45,0))+N(IFERROR('测算-天猫淘宝'!I$45,0))+N(IFERROR('测算-拼多多'!I$45,0))+N(IFERROR('测算-京东POP'!I$45,0))+N(IFERROR('测算-京东自营'!I$47,0))+N(IFERROR('测算-达播'!I$46,0))+N(IFERROR('测算-私域'!I$45,0))+N(IFERROR('测算-外部分销'!I$45,0)))*'假设-财务口径'!$B$40)</f>
        <v>2.5607028189646566</v>
      </c>
      <c r="J25" s="165">
        <f>MAX(0,(N(IFERROR('测算-高个子抖音'!J$45,0))+N(IFERROR('测算-高个子视频号'!J$45,0))+N(IFERROR('测算-天猫淘宝'!J$45,0))+N(IFERROR('测算-拼多多'!J$45,0))+N(IFERROR('测算-京东POP'!J$45,0))+N(IFERROR('测算-京东自营'!J$47,0))+N(IFERROR('测算-达播'!J$46,0))+N(IFERROR('测算-私域'!J$45,0))+N(IFERROR('测算-外部分销'!J$45,0)))*'假设-财务口径'!$B$40)</f>
        <v>1.9347383006864827</v>
      </c>
      <c r="K25" s="165">
        <f>MAX(0,(N(IFERROR('测算-高个子抖音'!K$45,0))+N(IFERROR('测算-高个子视频号'!K$45,0))+N(IFERROR('测算-天猫淘宝'!K$45,0))+N(IFERROR('测算-拼多多'!K$45,0))+N(IFERROR('测算-京东POP'!K$45,0))+N(IFERROR('测算-京东自营'!K$47,0))+N(IFERROR('测算-达播'!K$46,0))+N(IFERROR('测算-私域'!K$45,0))+N(IFERROR('测算-外部分销'!K$45,0)))*'假设-财务口径'!$B$40)</f>
        <v>0</v>
      </c>
      <c r="L25" s="165">
        <f>MAX(0,(N(IFERROR('测算-高个子抖音'!L$45,0))+N(IFERROR('测算-高个子视频号'!L$45,0))+N(IFERROR('测算-天猫淘宝'!L$45,0))+N(IFERROR('测算-拼多多'!L$45,0))+N(IFERROR('测算-京东POP'!L$45,0))+N(IFERROR('测算-京东自营'!L$47,0))+N(IFERROR('测算-达播'!L$46,0))+N(IFERROR('测算-私域'!L$45,0))+N(IFERROR('测算-外部分销'!L$45,0)))*'假设-财务口径'!$B$40)</f>
        <v>3.5048835496247746</v>
      </c>
      <c r="M25" s="165">
        <f>MAX(0,(N(IFERROR('测算-高个子抖音'!M$45,0))+N(IFERROR('测算-高个子视频号'!M$45,0))+N(IFERROR('测算-天猫淘宝'!M$45,0))+N(IFERROR('测算-拼多多'!M$45,0))+N(IFERROR('测算-京东POP'!M$45,0))+N(IFERROR('测算-京东自营'!M$47,0))+N(IFERROR('测算-达播'!M$46,0))+N(IFERROR('测算-私域'!M$45,0))+N(IFERROR('测算-外部分销'!M$45,0)))*'假设-财务口径'!$B$40)</f>
        <v>3.169252711991299</v>
      </c>
      <c r="N25" s="165">
        <f>MAX(0,(N(IFERROR('测算-高个子抖音'!N$45,0))+N(IFERROR('测算-高个子视频号'!N$45,0))+N(IFERROR('测算-天猫淘宝'!N$45,0))+N(IFERROR('测算-拼多多'!N$45,0))+N(IFERROR('测算-京东POP'!N$45,0))+N(IFERROR('测算-京东自营'!N$47,0))+N(IFERROR('测算-达播'!N$46,0))+N(IFERROR('测算-私域'!N$45,0))+N(IFERROR('测算-外部分销'!N$45,0)))*'假设-财务口径'!$B$40)</f>
        <v>1.6551192434007169</v>
      </c>
      <c r="O25" s="165">
        <f>MAX(0,(N(IFERROR('测算-高个子抖音'!O$45,0))+N(IFERROR('测算-高个子视频号'!O$45,0))+N(IFERROR('测算-天猫淘宝'!O$45,0))+N(IFERROR('测算-拼多多'!O$45,0))+N(IFERROR('测算-京东POP'!O$45,0))+N(IFERROR('测算-京东自营'!O$47,0))+N(IFERROR('测算-达播'!O$46,0))+N(IFERROR('测算-私域'!O$45,0))+N(IFERROR('测算-外部分销'!O$45,0)))*'假设-财务口径'!$B$40)</f>
        <v>0.82680494948351402</v>
      </c>
      <c r="P25" s="165">
        <f>MAX(0,(N(IFERROR('测算-高个子抖音'!P$45,0))+N(IFERROR('测算-高个子视频号'!P$45,0))+N(IFERROR('测算-天猫淘宝'!P$45,0))+N(IFERROR('测算-拼多多'!P$45,0))+N(IFERROR('测算-京东POP'!P$45,0))+N(IFERROR('测算-京东自营'!P$47,0))+N(IFERROR('测算-达播'!P$46,0))+N(IFERROR('测算-私域'!P$45,0))+N(IFERROR('测算-外部分销'!P$45,0)))*'假设-财务口径'!$B$40)</f>
        <v>1.18441942500446</v>
      </c>
      <c r="Q25" s="165">
        <f>MAX(0,(N(IFERROR('测算-高个子抖音'!Q$45,0))+N(IFERROR('测算-高个子视频号'!Q$45,0))+N(IFERROR('测算-天猫淘宝'!Q$45,0))+N(IFERROR('测算-拼多多'!Q$45,0))+N(IFERROR('测算-京东POP'!Q$45,0))+N(IFERROR('测算-京东自营'!Q$47,0))+N(IFERROR('测算-达播'!Q$46,0))+N(IFERROR('测算-私域'!Q$45,0))+N(IFERROR('测算-外部分销'!Q$45,0)))*'假设-财务口径'!$B$40)</f>
        <v>1.5594785090874024</v>
      </c>
      <c r="R25" s="165">
        <f>MAX(0,(N(IFERROR('测算-高个子抖音'!R$45,0))+N(IFERROR('测算-高个子视频号'!R$45,0))+N(IFERROR('测算-天猫淘宝'!R$45,0))+N(IFERROR('测算-拼多多'!R$45,0))+N(IFERROR('测算-京东POP'!R$45,0))+N(IFERROR('测算-京东自营'!R$47,0))+N(IFERROR('测算-达播'!R$46,0))+N(IFERROR('测算-私域'!R$45,0))+N(IFERROR('测算-外部分销'!R$45,0)))*'假设-财务口径'!$B$40)</f>
        <v>1.705577105794132</v>
      </c>
      <c r="S25" s="165">
        <f>MAX(0,(N(IFERROR('测算-高个子抖音'!S$45,0))+N(IFERROR('测算-高个子视频号'!S$45,0))+N(IFERROR('测算-天猫淘宝'!S$45,0))+N(IFERROR('测算-拼多多'!S$45,0))+N(IFERROR('测算-京东POP'!S$45,0))+N(IFERROR('测算-京东自营'!S$47,0))+N(IFERROR('测算-达播'!S$46,0))+N(IFERROR('测算-私域'!S$45,0))+N(IFERROR('测算-外部分销'!S$45,0)))*'假设-财务口径'!$B$40)</f>
        <v>2.1220671352118154</v>
      </c>
      <c r="T25" s="165">
        <f>MAX(0,(N(IFERROR('测算-高个子抖音'!T$45,0))+N(IFERROR('测算-高个子视频号'!T$45,0))+N(IFERROR('测算-天猫淘宝'!T$45,0))+N(IFERROR('测算-拼多多'!T$45,0))+N(IFERROR('测算-京东POP'!T$45,0))+N(IFERROR('测算-京东自营'!T$47,0))+N(IFERROR('测算-达播'!T$46,0))+N(IFERROR('测算-私域'!T$45,0))+N(IFERROR('测算-外部分销'!T$45,0)))*'假设-财务口径'!$B$40)</f>
        <v>1.773174963971869</v>
      </c>
      <c r="U25" s="165"/>
      <c r="V25" s="165">
        <f t="shared" si="2"/>
        <v>21.996218713221122</v>
      </c>
      <c r="W25" s="165">
        <f t="shared" si="3"/>
        <v>9.1715220885531927</v>
      </c>
    </row>
    <row r="26" spans="1:23" ht="16">
      <c r="A26" s="67"/>
      <c r="B26" s="102"/>
      <c r="C26" s="42"/>
      <c r="D26" s="67" t="s">
        <v>85</v>
      </c>
      <c r="E26" s="67" t="s">
        <v>82</v>
      </c>
      <c r="F26" s="67" t="s">
        <v>82</v>
      </c>
      <c r="G26" s="67"/>
      <c r="H26" s="67"/>
      <c r="I26" s="165">
        <f>SUM('辅助-汇总损益长表'!$D$5:$L$5)*'假设-财务口径'!$B$31</f>
        <v>10.965403279999999</v>
      </c>
      <c r="J26" s="165">
        <f>SUM('辅助-汇总损益长表'!$D$6:$L$6)*'假设-财务口径'!$B$31</f>
        <v>6.6495961000000001</v>
      </c>
      <c r="K26" s="165">
        <f>SUM('辅助-汇总损益长表'!$D$7:$L$7)*'假设-财务口径'!$B$31</f>
        <v>10.122947700000003</v>
      </c>
      <c r="L26" s="165">
        <f>SUM('辅助-汇总损益长表'!$D$8:$L$8)*'假设-财务口径'!$B$31</f>
        <v>9.7784975099999993</v>
      </c>
      <c r="M26" s="165">
        <f>SUM('辅助-汇总损益长表'!$D$9:$L$9)*'假设-财务口径'!$B$31</f>
        <v>12.181031830000002</v>
      </c>
      <c r="N26" s="165">
        <f>SUM('辅助-汇总损益长表'!$D$10:$L$10)*'假设-财务口径'!$B$31</f>
        <v>12.40590571229068</v>
      </c>
      <c r="O26" s="165">
        <f>SUM('辅助-汇总损益长表'!$D$11:$L$11)*'假设-财务口径'!$B$31</f>
        <v>7.9184389242636728</v>
      </c>
      <c r="P26" s="165">
        <f>SUM('辅助-汇总损益长表'!$D$12:$L$12)*'假设-财务口径'!$B$31</f>
        <v>10.455994002616023</v>
      </c>
      <c r="Q26" s="165">
        <f>SUM('辅助-汇总损益长表'!$D$13:$L$13)*'假设-财务口径'!$B$31</f>
        <v>13.111130078692877</v>
      </c>
      <c r="R26" s="165">
        <f>SUM('辅助-汇总损益长表'!$D$14:$L$14)*'假设-财务口径'!$B$31</f>
        <v>14.126212340885612</v>
      </c>
      <c r="S26" s="165">
        <f>SUM('辅助-汇总损益长表'!$D$15:$L$15)*'假设-财务口径'!$B$31</f>
        <v>17.149618192808163</v>
      </c>
      <c r="T26" s="165">
        <f>SUM('辅助-汇总损益长表'!$D$16:$L$16)*'假设-财务口径'!$B$31</f>
        <v>14.63106173831806</v>
      </c>
      <c r="U26" s="165"/>
      <c r="V26" s="165">
        <f t="shared" si="2"/>
        <v>139.49583740987509</v>
      </c>
      <c r="W26" s="165">
        <f t="shared" si="3"/>
        <v>77.392455277584418</v>
      </c>
    </row>
    <row r="27" spans="1:23" ht="16">
      <c r="A27" s="67"/>
      <c r="B27" s="102" t="s">
        <v>90</v>
      </c>
      <c r="C27" s="67"/>
      <c r="D27" s="67"/>
      <c r="E27" s="67"/>
      <c r="F27" s="67"/>
      <c r="G27" s="67"/>
      <c r="H27" s="67"/>
      <c r="I27" s="165">
        <f t="shared" ref="I27:T27" si="10">I28</f>
        <v>2.1930806559999998</v>
      </c>
      <c r="J27" s="165">
        <f t="shared" si="10"/>
        <v>1.3299192200000001</v>
      </c>
      <c r="K27" s="165">
        <f t="shared" si="10"/>
        <v>2.0245895400000005</v>
      </c>
      <c r="L27" s="165">
        <f t="shared" si="10"/>
        <v>1.9556995020000001</v>
      </c>
      <c r="M27" s="165">
        <f t="shared" si="10"/>
        <v>2.4362063660000004</v>
      </c>
      <c r="N27" s="165">
        <f t="shared" si="10"/>
        <v>2.4811811424581363</v>
      </c>
      <c r="O27" s="165">
        <f t="shared" si="10"/>
        <v>1.5836877848527344</v>
      </c>
      <c r="P27" s="165">
        <f t="shared" si="10"/>
        <v>2.0911988005232045</v>
      </c>
      <c r="Q27" s="165">
        <f t="shared" si="10"/>
        <v>2.6222260157385753</v>
      </c>
      <c r="R27" s="165">
        <f t="shared" si="10"/>
        <v>2.8252424681771222</v>
      </c>
      <c r="S27" s="165">
        <f t="shared" si="10"/>
        <v>3.429923638561633</v>
      </c>
      <c r="T27" s="165">
        <f t="shared" si="10"/>
        <v>2.9262123476636122</v>
      </c>
      <c r="U27" s="165"/>
      <c r="V27" s="165">
        <f t="shared" si="2"/>
        <v>27.89916748197502</v>
      </c>
      <c r="W27" s="165">
        <f t="shared" si="3"/>
        <v>15.47849105551688</v>
      </c>
    </row>
    <row r="28" spans="1:23" ht="16">
      <c r="A28" s="67"/>
      <c r="B28" s="102"/>
      <c r="C28" s="42"/>
      <c r="D28" s="67" t="s">
        <v>90</v>
      </c>
      <c r="E28" s="67" t="s">
        <v>90</v>
      </c>
      <c r="F28" s="67" t="s">
        <v>90</v>
      </c>
      <c r="G28" s="67"/>
      <c r="H28" s="67"/>
      <c r="I28" s="165">
        <f>SUM('辅助-汇总损益长表'!$D$5:$L$5)*'假设-财务口径'!$B$32</f>
        <v>2.1930806559999998</v>
      </c>
      <c r="J28" s="165">
        <f>SUM('辅助-汇总损益长表'!$D$6:$L$6)*'假设-财务口径'!$B$32</f>
        <v>1.3299192200000001</v>
      </c>
      <c r="K28" s="165">
        <f>SUM('辅助-汇总损益长表'!$D$7:$L$7)*'假设-财务口径'!$B$32</f>
        <v>2.0245895400000005</v>
      </c>
      <c r="L28" s="165">
        <f>SUM('辅助-汇总损益长表'!$D$8:$L$8)*'假设-财务口径'!$B$32</f>
        <v>1.9556995020000001</v>
      </c>
      <c r="M28" s="165">
        <f>SUM('辅助-汇总损益长表'!$D$9:$L$9)*'假设-财务口径'!$B$32</f>
        <v>2.4362063660000004</v>
      </c>
      <c r="N28" s="165">
        <f>SUM('辅助-汇总损益长表'!$D$10:$L$10)*'假设-财务口径'!$B$32</f>
        <v>2.4811811424581363</v>
      </c>
      <c r="O28" s="165">
        <f>SUM('辅助-汇总损益长表'!$D$11:$L$11)*'假设-财务口径'!$B$32</f>
        <v>1.5836877848527344</v>
      </c>
      <c r="P28" s="165">
        <f>SUM('辅助-汇总损益长表'!$D$12:$L$12)*'假设-财务口径'!$B$32</f>
        <v>2.0911988005232045</v>
      </c>
      <c r="Q28" s="165">
        <f>SUM('辅助-汇总损益长表'!$D$13:$L$13)*'假设-财务口径'!$B$32</f>
        <v>2.6222260157385753</v>
      </c>
      <c r="R28" s="165">
        <f>SUM('辅助-汇总损益长表'!$D$14:$L$14)*'假设-财务口径'!$B$32</f>
        <v>2.8252424681771222</v>
      </c>
      <c r="S28" s="165">
        <f>SUM('辅助-汇总损益长表'!$D$15:$L$15)*'假设-财务口径'!$B$32</f>
        <v>3.429923638561633</v>
      </c>
      <c r="T28" s="165">
        <f>SUM('辅助-汇总损益长表'!$D$16:$L$16)*'假设-财务口径'!$B$32</f>
        <v>2.9262123476636122</v>
      </c>
      <c r="U28" s="165"/>
      <c r="V28" s="165">
        <f t="shared" si="2"/>
        <v>27.89916748197502</v>
      </c>
      <c r="W28" s="165">
        <f t="shared" si="3"/>
        <v>15.47849105551688</v>
      </c>
    </row>
    <row r="29" spans="1:23" ht="16">
      <c r="A29" s="102"/>
      <c r="B29" s="222" t="s">
        <v>92</v>
      </c>
      <c r="C29" s="222"/>
      <c r="D29" s="222"/>
      <c r="E29" s="222"/>
      <c r="F29" s="222"/>
      <c r="G29" s="222"/>
      <c r="H29" s="102"/>
      <c r="I29" s="223">
        <f t="shared" ref="I29:T29" si="11">I30</f>
        <v>3.2896209839999995</v>
      </c>
      <c r="J29" s="223">
        <f t="shared" si="11"/>
        <v>1.99487883</v>
      </c>
      <c r="K29" s="223">
        <f t="shared" si="11"/>
        <v>3.0368843100000005</v>
      </c>
      <c r="L29" s="223">
        <f t="shared" si="11"/>
        <v>2.9335492529999998</v>
      </c>
      <c r="M29" s="223">
        <f t="shared" si="11"/>
        <v>3.6543095490000006</v>
      </c>
      <c r="N29" s="223">
        <f t="shared" si="11"/>
        <v>3.7217717136872039</v>
      </c>
      <c r="O29" s="223">
        <f t="shared" si="11"/>
        <v>2.3755316772791017</v>
      </c>
      <c r="P29" s="223">
        <f t="shared" si="11"/>
        <v>3.1367982007848072</v>
      </c>
      <c r="Q29" s="223">
        <f t="shared" si="11"/>
        <v>3.9333390236078629</v>
      </c>
      <c r="R29" s="223">
        <f t="shared" si="11"/>
        <v>4.2378637022656838</v>
      </c>
      <c r="S29" s="223">
        <f t="shared" si="11"/>
        <v>5.1448854578424497</v>
      </c>
      <c r="T29" s="223">
        <f t="shared" si="11"/>
        <v>4.3893185214954178</v>
      </c>
      <c r="U29" s="165"/>
      <c r="V29" s="223">
        <f t="shared" si="2"/>
        <v>41.848751222962527</v>
      </c>
      <c r="W29" s="223">
        <f t="shared" si="3"/>
        <v>23.217736583275322</v>
      </c>
    </row>
    <row r="30" spans="1:23" ht="16">
      <c r="A30" s="67"/>
      <c r="B30" s="102"/>
      <c r="C30" s="42"/>
      <c r="D30" s="67" t="s">
        <v>92</v>
      </c>
      <c r="E30" s="67" t="s">
        <v>92</v>
      </c>
      <c r="F30" s="67" t="s">
        <v>92</v>
      </c>
      <c r="G30" s="67"/>
      <c r="H30" s="67"/>
      <c r="I30" s="165">
        <f>SUM('辅助-汇总损益长表'!$D$5:$L$5)*'假设-财务口径'!$B$33</f>
        <v>3.2896209839999995</v>
      </c>
      <c r="J30" s="165">
        <f>SUM('辅助-汇总损益长表'!$D$6:$L$6)*'假设-财务口径'!$B$33</f>
        <v>1.99487883</v>
      </c>
      <c r="K30" s="165">
        <f>SUM('辅助-汇总损益长表'!$D$7:$L$7)*'假设-财务口径'!$B$33</f>
        <v>3.0368843100000005</v>
      </c>
      <c r="L30" s="165">
        <f>SUM('辅助-汇总损益长表'!$D$8:$L$8)*'假设-财务口径'!$B$33</f>
        <v>2.9335492529999998</v>
      </c>
      <c r="M30" s="165">
        <f>SUM('辅助-汇总损益长表'!$D$9:$L$9)*'假设-财务口径'!$B$33</f>
        <v>3.6543095490000006</v>
      </c>
      <c r="N30" s="165">
        <f>SUM('辅助-汇总损益长表'!$D$10:$L$10)*'假设-财务口径'!$B$33</f>
        <v>3.7217717136872039</v>
      </c>
      <c r="O30" s="165">
        <f>SUM('辅助-汇总损益长表'!$D$11:$L$11)*'假设-财务口径'!$B$33</f>
        <v>2.3755316772791017</v>
      </c>
      <c r="P30" s="165">
        <f>SUM('辅助-汇总损益长表'!$D$12:$L$12)*'假设-财务口径'!$B$33</f>
        <v>3.1367982007848072</v>
      </c>
      <c r="Q30" s="165">
        <f>SUM('辅助-汇总损益长表'!$D$13:$L$13)*'假设-财务口径'!$B$33</f>
        <v>3.9333390236078629</v>
      </c>
      <c r="R30" s="165">
        <f>SUM('辅助-汇总损益长表'!$D$14:$L$14)*'假设-财务口径'!$B$33</f>
        <v>4.2378637022656838</v>
      </c>
      <c r="S30" s="165">
        <f>SUM('辅助-汇总损益长表'!$D$15:$L$15)*'假设-财务口径'!$B$33</f>
        <v>5.1448854578424497</v>
      </c>
      <c r="T30" s="165">
        <f>SUM('辅助-汇总损益长表'!$D$16:$L$16)*'假设-财务口径'!$B$33</f>
        <v>4.3893185214954178</v>
      </c>
      <c r="U30" s="165"/>
      <c r="V30" s="165">
        <f t="shared" si="2"/>
        <v>41.848751222962527</v>
      </c>
      <c r="W30" s="165">
        <f t="shared" si="3"/>
        <v>23.217736583275322</v>
      </c>
    </row>
    <row r="31" spans="1:23" ht="16">
      <c r="A31" s="67"/>
      <c r="B31" s="222" t="s">
        <v>93</v>
      </c>
      <c r="C31" s="222"/>
      <c r="D31" s="222"/>
      <c r="E31" s="222"/>
      <c r="F31" s="222"/>
      <c r="G31" s="222"/>
      <c r="H31" s="102"/>
      <c r="I31" s="223">
        <f t="shared" ref="I31:T31" si="12">I32</f>
        <v>0</v>
      </c>
      <c r="J31" s="223">
        <f t="shared" si="12"/>
        <v>0</v>
      </c>
      <c r="K31" s="223">
        <f t="shared" si="12"/>
        <v>0</v>
      </c>
      <c r="L31" s="223">
        <f t="shared" si="12"/>
        <v>0</v>
      </c>
      <c r="M31" s="223">
        <f t="shared" si="12"/>
        <v>0</v>
      </c>
      <c r="N31" s="223">
        <f t="shared" si="12"/>
        <v>0</v>
      </c>
      <c r="O31" s="223">
        <f t="shared" si="12"/>
        <v>0</v>
      </c>
      <c r="P31" s="223">
        <f t="shared" si="12"/>
        <v>0</v>
      </c>
      <c r="Q31" s="223">
        <f t="shared" si="12"/>
        <v>0</v>
      </c>
      <c r="R31" s="223">
        <f t="shared" si="12"/>
        <v>0</v>
      </c>
      <c r="S31" s="223">
        <f t="shared" si="12"/>
        <v>0</v>
      </c>
      <c r="T31" s="223">
        <f t="shared" si="12"/>
        <v>0</v>
      </c>
      <c r="U31" s="165"/>
      <c r="V31" s="165">
        <f t="shared" si="2"/>
        <v>0</v>
      </c>
      <c r="W31" s="165">
        <f t="shared" si="3"/>
        <v>0</v>
      </c>
    </row>
    <row r="32" spans="1:23" ht="16">
      <c r="A32" s="67"/>
      <c r="B32" s="102"/>
      <c r="C32" s="42"/>
      <c r="D32" s="67" t="s">
        <v>93</v>
      </c>
      <c r="E32" s="67" t="s">
        <v>93</v>
      </c>
      <c r="F32" s="67" t="s">
        <v>93</v>
      </c>
      <c r="G32" s="67"/>
      <c r="H32" s="67"/>
      <c r="I32" s="165">
        <f>'假设-财务口径'!$B$34</f>
        <v>0</v>
      </c>
      <c r="J32" s="165">
        <f>'假设-财务口径'!$B$34</f>
        <v>0</v>
      </c>
      <c r="K32" s="165">
        <f>'假设-财务口径'!$B$34</f>
        <v>0</v>
      </c>
      <c r="L32" s="165">
        <f>'假设-财务口径'!$B$34</f>
        <v>0</v>
      </c>
      <c r="M32" s="165">
        <f>'假设-财务口径'!$B$34</f>
        <v>0</v>
      </c>
      <c r="N32" s="165">
        <f>'假设-财务口径'!$B$34</f>
        <v>0</v>
      </c>
      <c r="O32" s="165">
        <f>'假设-财务口径'!$B$34</f>
        <v>0</v>
      </c>
      <c r="P32" s="165">
        <f>'假设-财务口径'!$B$34</f>
        <v>0</v>
      </c>
      <c r="Q32" s="165">
        <f>'假设-财务口径'!$B$34</f>
        <v>0</v>
      </c>
      <c r="R32" s="165">
        <f>'假设-财务口径'!$B$34</f>
        <v>0</v>
      </c>
      <c r="S32" s="165">
        <f>'假设-财务口径'!$B$34</f>
        <v>0</v>
      </c>
      <c r="T32" s="165">
        <f>'假设-财务口径'!$B$34</f>
        <v>0</v>
      </c>
      <c r="U32" s="165"/>
      <c r="V32" s="165">
        <f t="shared" si="2"/>
        <v>0</v>
      </c>
      <c r="W32" s="165">
        <f t="shared" si="3"/>
        <v>0</v>
      </c>
    </row>
    <row r="33" spans="1:23" ht="16">
      <c r="A33" s="67"/>
      <c r="B33" s="232" t="s">
        <v>95</v>
      </c>
      <c r="C33" s="232"/>
      <c r="D33" s="232"/>
      <c r="E33" s="232"/>
      <c r="F33" s="232"/>
      <c r="G33" s="232"/>
      <c r="H33" s="67"/>
      <c r="I33" s="225">
        <f t="shared" ref="I33:T33" si="13">I22-I23-I27-I29-I31</f>
        <v>3.2709845118334857</v>
      </c>
      <c r="J33" s="225">
        <f t="shared" si="13"/>
        <v>46.48712269830996</v>
      </c>
      <c r="K33" s="225">
        <f t="shared" si="13"/>
        <v>57.740544950334161</v>
      </c>
      <c r="L33" s="225">
        <f t="shared" si="13"/>
        <v>80.029290212483275</v>
      </c>
      <c r="M33" s="225">
        <f t="shared" si="13"/>
        <v>92.971239273381372</v>
      </c>
      <c r="N33" s="225">
        <f t="shared" si="13"/>
        <v>81.215930328535592</v>
      </c>
      <c r="O33" s="225">
        <f t="shared" si="13"/>
        <v>42.783386354196281</v>
      </c>
      <c r="P33" s="225">
        <f t="shared" si="13"/>
        <v>23.618881961571844</v>
      </c>
      <c r="Q33" s="225">
        <f t="shared" si="13"/>
        <v>35.886346402116487</v>
      </c>
      <c r="R33" s="225">
        <f t="shared" si="13"/>
        <v>38.700424438679576</v>
      </c>
      <c r="S33" s="225">
        <f t="shared" si="13"/>
        <v>46.872754999224924</v>
      </c>
      <c r="T33" s="225">
        <f t="shared" si="13"/>
        <v>121.76034882121404</v>
      </c>
      <c r="U33" s="165"/>
      <c r="V33" s="225">
        <f t="shared" si="2"/>
        <v>671.33725495188094</v>
      </c>
      <c r="W33" s="225">
        <f t="shared" si="3"/>
        <v>309.62214297700314</v>
      </c>
    </row>
    <row r="34" spans="1:23" ht="16" hidden="1">
      <c r="A34" s="102"/>
      <c r="B34" s="232" t="s">
        <v>96</v>
      </c>
      <c r="C34" s="232"/>
      <c r="D34" s="232"/>
      <c r="E34" s="232"/>
      <c r="F34" s="232"/>
      <c r="G34" s="232"/>
      <c r="H34" s="233"/>
      <c r="I34" s="234">
        <f>I33</f>
        <v>3.2709845118334857</v>
      </c>
      <c r="J34" s="234">
        <f t="shared" ref="J34:T34" si="14">J33</f>
        <v>46.48712269830996</v>
      </c>
      <c r="K34" s="234">
        <f t="shared" si="14"/>
        <v>57.740544950334161</v>
      </c>
      <c r="L34" s="234">
        <f t="shared" si="14"/>
        <v>80.029290212483275</v>
      </c>
      <c r="M34" s="234">
        <f t="shared" si="14"/>
        <v>92.971239273381372</v>
      </c>
      <c r="N34" s="234">
        <f t="shared" si="14"/>
        <v>81.215930328535592</v>
      </c>
      <c r="O34" s="234">
        <f t="shared" si="14"/>
        <v>42.783386354196281</v>
      </c>
      <c r="P34" s="234">
        <f t="shared" si="14"/>
        <v>23.618881961571844</v>
      </c>
      <c r="Q34" s="234">
        <f t="shared" si="14"/>
        <v>35.886346402116487</v>
      </c>
      <c r="R34" s="234">
        <f t="shared" si="14"/>
        <v>38.700424438679576</v>
      </c>
      <c r="S34" s="234">
        <f t="shared" si="14"/>
        <v>46.872754999224924</v>
      </c>
      <c r="T34" s="234">
        <f t="shared" si="14"/>
        <v>121.76034882121404</v>
      </c>
      <c r="U34" s="235"/>
      <c r="V34" s="234">
        <f t="shared" si="2"/>
        <v>671.33725495188094</v>
      </c>
      <c r="W34" s="234">
        <f t="shared" si="3"/>
        <v>309.62214297700314</v>
      </c>
    </row>
    <row r="35" spans="1:23" ht="16">
      <c r="A35" s="67"/>
      <c r="B35" s="42"/>
      <c r="C35" s="42"/>
      <c r="D35" s="102" t="s">
        <v>399</v>
      </c>
      <c r="E35" s="67"/>
      <c r="F35" s="67"/>
      <c r="G35" s="67"/>
      <c r="H35" s="67"/>
      <c r="I35" s="165">
        <f>'辅助-汇总损益长表'!$C$201</f>
        <v>46.737530665737431</v>
      </c>
      <c r="J35" s="165">
        <f>'辅助-汇总损益长表'!$C$202</f>
        <v>34.712166126538271</v>
      </c>
      <c r="K35" s="165">
        <f>'辅助-汇总损益长表'!$C$203</f>
        <v>0</v>
      </c>
      <c r="L35" s="165">
        <f>'辅助-汇总损益长表'!$C$204</f>
        <v>64.515116356567432</v>
      </c>
      <c r="M35" s="165">
        <f>'辅助-汇总损益长表'!$C$205</f>
        <v>70.237591971705584</v>
      </c>
      <c r="N35" s="165">
        <f>'辅助-汇总损益长表'!$C$206</f>
        <v>53.157401307606818</v>
      </c>
      <c r="O35" s="165">
        <f>'辅助-汇总损益长表'!$C$207</f>
        <v>23.237155176909969</v>
      </c>
      <c r="P35" s="165">
        <f>'辅助-汇总损益长表'!$C$208</f>
        <v>24.856363901650077</v>
      </c>
      <c r="Q35" s="165">
        <f>'辅助-汇总损益长表'!$C$209</f>
        <v>35.222493390853352</v>
      </c>
      <c r="R35" s="165">
        <f>'辅助-汇总损益长表'!$C$210</f>
        <v>38.909281313067076</v>
      </c>
      <c r="S35" s="165">
        <f>'辅助-汇总损益长表'!$C$211</f>
        <v>49.596367049230771</v>
      </c>
      <c r="T35" s="165">
        <f>'辅助-汇总损益长表'!$C$212</f>
        <v>61.09317448023441</v>
      </c>
      <c r="U35" s="165"/>
      <c r="V35" s="165">
        <f>'辅助-汇总损益长表'!$C$213</f>
        <v>495.12286396586035</v>
      </c>
      <c r="W35" s="165">
        <f>'辅助-汇总损益长表'!$C$214</f>
        <v>232.91483531194589</v>
      </c>
    </row>
    <row r="36" spans="1:23" ht="16">
      <c r="A36" s="67"/>
      <c r="B36" s="42"/>
      <c r="C36" s="42"/>
      <c r="D36" s="102" t="s">
        <v>400</v>
      </c>
      <c r="E36" s="67"/>
      <c r="F36" s="67"/>
      <c r="G36" s="67"/>
      <c r="H36" s="67"/>
      <c r="I36" s="165">
        <f>'辅助-汇总损益长表'!$C$215</f>
        <v>140.21259199721229</v>
      </c>
      <c r="J36" s="165">
        <f>'辅助-汇总损益长表'!$C$216</f>
        <v>104.13649837961481</v>
      </c>
      <c r="K36" s="165">
        <f>'辅助-汇总损益长表'!$C$217</f>
        <v>-28.607111096962381</v>
      </c>
      <c r="L36" s="165">
        <f>'辅助-汇总损益长表'!$C$218</f>
        <v>193.5453490697023</v>
      </c>
      <c r="M36" s="165">
        <f>'辅助-汇总损益长表'!$C$219</f>
        <v>210.71277591511677</v>
      </c>
      <c r="N36" s="165">
        <f>'辅助-汇总损益长表'!$C$220</f>
        <v>159.47220392282046</v>
      </c>
      <c r="O36" s="165">
        <f>'辅助-汇总损益长表'!$C$221</f>
        <v>69.71146553072991</v>
      </c>
      <c r="P36" s="165">
        <f>'辅助-汇总损益长表'!$C$222</f>
        <v>74.569091704950239</v>
      </c>
      <c r="Q36" s="165">
        <f>'辅助-汇总损益长表'!$C$223</f>
        <v>105.66748017256006</v>
      </c>
      <c r="R36" s="165">
        <f>'辅助-汇总损益长表'!$C$224</f>
        <v>116.72784393920122</v>
      </c>
      <c r="S36" s="165">
        <f>'辅助-汇总损益长表'!$C$225</f>
        <v>148.78910114769232</v>
      </c>
      <c r="T36" s="165">
        <f>'辅助-汇总损益长表'!$C$226</f>
        <v>183.27952344070323</v>
      </c>
      <c r="U36" s="165"/>
      <c r="V36" s="165">
        <f>'辅助-汇总损益长表'!$C$227</f>
        <v>1485.3685918975812</v>
      </c>
      <c r="W36" s="165">
        <f>'辅助-汇总损益长表'!$C$228</f>
        <v>698.74450593583765</v>
      </c>
    </row>
    <row r="37" spans="1:23" ht="16">
      <c r="A37" s="102"/>
      <c r="B37" s="42"/>
      <c r="C37" s="42"/>
      <c r="D37" s="102" t="s">
        <v>401</v>
      </c>
      <c r="E37" s="67"/>
      <c r="F37" s="67"/>
      <c r="G37" s="67"/>
      <c r="H37" s="102"/>
      <c r="I37" s="155">
        <f>'辅助-汇总损益长表'!$C$229</f>
        <v>0.12300526016493481</v>
      </c>
      <c r="J37" s="155">
        <f>'辅助-汇总损益长表'!$C$230</f>
        <v>0.13984310857653823</v>
      </c>
      <c r="K37" s="155">
        <f>'辅助-汇总损益长表'!$C$231</f>
        <v>-2.5825276734005937E-2</v>
      </c>
      <c r="L37" s="155">
        <f>'辅助-汇总损益长表'!$C$232</f>
        <v>0.17587368136977355</v>
      </c>
      <c r="M37" s="155">
        <f>'辅助-汇总损益长表'!$C$233</f>
        <v>0.15525637379707846</v>
      </c>
      <c r="N37" s="155">
        <f>'辅助-汇总损益长表'!$C$234</f>
        <v>0.11681105683077112</v>
      </c>
      <c r="O37" s="155">
        <f>'辅助-汇总损益长表'!$C$235</f>
        <v>8.0084283271520854E-2</v>
      </c>
      <c r="P37" s="155">
        <f>'辅助-汇总损益长表'!$C$236</f>
        <v>6.7225924185044292E-2</v>
      </c>
      <c r="Q37" s="155">
        <f>'辅助-汇总损益长表'!$C$237</f>
        <v>7.5944916489461792E-2</v>
      </c>
      <c r="R37" s="155">
        <f>'辅助-汇总损益长表'!$C$238</f>
        <v>7.7955710166833669E-2</v>
      </c>
      <c r="S37" s="155">
        <f>'辅助-汇总损益长表'!$C$239</f>
        <v>8.2075796011980243E-2</v>
      </c>
      <c r="T37" s="155">
        <f>'辅助-汇总损益长表'!$C$240</f>
        <v>0.11232215824660916</v>
      </c>
      <c r="U37" s="165"/>
      <c r="V37" s="155">
        <f>'辅助-汇总损益长表'!$C$241</f>
        <v>9.8185695521852565E-2</v>
      </c>
      <c r="W37" s="155">
        <f>'辅助-汇总损益长表'!$C$242</f>
        <v>8.4054485663814932E-2</v>
      </c>
    </row>
  </sheetData>
  <phoneticPr fontId="14" type="noConversion"/>
  <hyperlinks>
    <hyperlink ref="A1" location="'目录及说明'!A1" display="返回目录" xr:uid="{3514EBB6-0ED1-CF47-A81A-8A13E382B39B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42"/>
  <sheetViews>
    <sheetView showGridLines="0" zoomScaleNormal="100" workbookViewId="0">
      <selection activeCell="M25" sqref="M25"/>
    </sheetView>
  </sheetViews>
  <sheetFormatPr baseColWidth="10" defaultColWidth="10.59765625" defaultRowHeight="13"/>
  <cols>
    <col min="1" max="12" width="16.796875" customWidth="1"/>
  </cols>
  <sheetData>
    <row r="1" spans="1:13" ht="16" customHeight="1">
      <c r="A1" s="70" t="s">
        <v>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 spans="1:13" ht="16" customHeight="1">
      <c r="A4" s="236" t="s">
        <v>378</v>
      </c>
      <c r="B4" s="236" t="s">
        <v>379</v>
      </c>
      <c r="C4" s="236" t="s">
        <v>380</v>
      </c>
      <c r="D4" s="236" t="s">
        <v>223</v>
      </c>
      <c r="E4" s="236" t="s">
        <v>224</v>
      </c>
      <c r="F4" s="236" t="s">
        <v>228</v>
      </c>
      <c r="G4" s="236" t="s">
        <v>227</v>
      </c>
      <c r="H4" s="236" t="s">
        <v>517</v>
      </c>
      <c r="I4" s="236" t="s">
        <v>153</v>
      </c>
      <c r="J4" s="236" t="s">
        <v>226</v>
      </c>
      <c r="K4" s="236" t="s">
        <v>230</v>
      </c>
      <c r="L4" s="236" t="s">
        <v>300</v>
      </c>
      <c r="M4" s="236" t="s">
        <v>404</v>
      </c>
    </row>
    <row r="5" spans="1:13" ht="16" customHeight="1">
      <c r="A5" s="237" t="s">
        <v>46</v>
      </c>
      <c r="B5" s="237" t="s">
        <v>32</v>
      </c>
      <c r="C5" s="238">
        <f t="shared" ref="C5:C32" si="0">SUM(D5:M5)</f>
        <v>1139.891024247293</v>
      </c>
      <c r="D5" s="238">
        <f>'测算-高个子抖音'!I$9</f>
        <v>412.736088</v>
      </c>
      <c r="E5" s="238">
        <f>'测算-高个子视频号'!I$9</f>
        <v>15.6332</v>
      </c>
      <c r="F5" s="238">
        <f>'测算-天猫淘宝'!I$8</f>
        <v>27.701167999999999</v>
      </c>
      <c r="G5" s="238">
        <f>'测算-拼多多'!I$9</f>
        <v>0.15453599999999998</v>
      </c>
      <c r="H5" s="238">
        <f>'测算-京东POP'!I$9</f>
        <v>13.6692</v>
      </c>
      <c r="I5" s="238">
        <f>'测算-京东自营'!I$8</f>
        <v>400.66293999999999</v>
      </c>
      <c r="J5" s="238">
        <f>'测算-达播'!I$9</f>
        <v>51.673563999999999</v>
      </c>
      <c r="K5" s="238">
        <f>'测算-私域'!I$9</f>
        <v>24.7803</v>
      </c>
      <c r="L5" s="238">
        <f>'测算-外部分销'!I$9</f>
        <v>149.52933200000001</v>
      </c>
      <c r="M5" s="238">
        <f>'测算-整体经营'!I$12</f>
        <v>43.350696247293243</v>
      </c>
    </row>
    <row r="6" spans="1:13" ht="16" customHeight="1">
      <c r="A6" s="237" t="s">
        <v>46</v>
      </c>
      <c r="B6" s="237" t="s">
        <v>33</v>
      </c>
      <c r="C6" s="238">
        <f t="shared" si="0"/>
        <v>744.66664421021028</v>
      </c>
      <c r="D6" s="238">
        <f>'测算-高个子抖音'!J$9</f>
        <v>236.30884399999999</v>
      </c>
      <c r="E6" s="238">
        <f>'测算-高个子视频号'!J$9</f>
        <v>5.3376999999999999</v>
      </c>
      <c r="F6" s="238">
        <f>'测算-天猫淘宝'!J$8</f>
        <v>14.251385999999998</v>
      </c>
      <c r="G6" s="238">
        <f>'测算-拼多多'!J$9</f>
        <v>0.27626899999999999</v>
      </c>
      <c r="H6" s="238">
        <f>'测算-京东POP'!J$9</f>
        <v>8.5720729999999996</v>
      </c>
      <c r="I6" s="238">
        <f>'测算-京东自营'!J$8</f>
        <v>301.16879999999998</v>
      </c>
      <c r="J6" s="238">
        <f>'测算-达播'!J$9</f>
        <v>4.2375999999999996</v>
      </c>
      <c r="K6" s="238">
        <f>'测算-私域'!J$9</f>
        <v>7.8601000000000001</v>
      </c>
      <c r="L6" s="238">
        <f>'测算-外部分销'!J$9</f>
        <v>86.946837999999985</v>
      </c>
      <c r="M6" s="238">
        <f>'测算-整体经营'!J$12</f>
        <v>79.707034210210338</v>
      </c>
    </row>
    <row r="7" spans="1:13" ht="16" customHeight="1">
      <c r="A7" s="237" t="s">
        <v>46</v>
      </c>
      <c r="B7" s="237" t="s">
        <v>34</v>
      </c>
      <c r="C7" s="238">
        <f t="shared" si="0"/>
        <v>1107.7175045057081</v>
      </c>
      <c r="D7" s="238">
        <f>'测算-高个子抖音'!K$9</f>
        <v>480.96784500000001</v>
      </c>
      <c r="E7" s="238">
        <f>'测算-高个子视频号'!K$9</f>
        <v>11.328250000000001</v>
      </c>
      <c r="F7" s="238">
        <f>'测算-天猫淘宝'!K$8</f>
        <v>32.562117000000001</v>
      </c>
      <c r="G7" s="238">
        <f>'测算-拼多多'!K$9</f>
        <v>0.366398</v>
      </c>
      <c r="H7" s="238">
        <f>'测算-京东POP'!K$9</f>
        <v>23.263656000000001</v>
      </c>
      <c r="I7" s="238">
        <f>'测算-京东自营'!K$8</f>
        <v>40.522410000000001</v>
      </c>
      <c r="J7" s="238">
        <f>'测算-达播'!K$9</f>
        <v>190.03227799999999</v>
      </c>
      <c r="K7" s="238">
        <f>'测算-私域'!K$9</f>
        <v>26.021881</v>
      </c>
      <c r="L7" s="238">
        <f>'测算-外部分销'!K$9</f>
        <v>207.22993500000001</v>
      </c>
      <c r="M7" s="238">
        <f>'测算-整体经营'!K$12</f>
        <v>95.422734505707865</v>
      </c>
    </row>
    <row r="8" spans="1:13" ht="16" customHeight="1">
      <c r="A8" s="237" t="s">
        <v>46</v>
      </c>
      <c r="B8" s="237" t="s">
        <v>35</v>
      </c>
      <c r="C8" s="238">
        <f t="shared" si="0"/>
        <v>1100.4793188059455</v>
      </c>
      <c r="D8" s="238">
        <f>'测算-高个子抖音'!L$9</f>
        <v>290.197382</v>
      </c>
      <c r="E8" s="238">
        <f>'测算-高个子视频号'!L$9</f>
        <v>7.4995000000000003</v>
      </c>
      <c r="F8" s="238">
        <f>'测算-天猫淘宝'!L$8</f>
        <v>34.249648999999998</v>
      </c>
      <c r="G8" s="238">
        <f>'测算-拼多多'!L$9</f>
        <v>0.117881</v>
      </c>
      <c r="H8" s="238">
        <f>'测算-京东POP'!L$9</f>
        <v>19.4663</v>
      </c>
      <c r="I8" s="238">
        <f>'测算-京东自营'!L$8</f>
        <v>438.91120999999998</v>
      </c>
      <c r="J8" s="238">
        <f>'测算-达播'!L$9</f>
        <v>37.810496999999998</v>
      </c>
      <c r="K8" s="238">
        <f>'测算-私域'!L$9</f>
        <v>17.22148</v>
      </c>
      <c r="L8" s="238">
        <f>'测算-外部分销'!L$9</f>
        <v>132.37585200000001</v>
      </c>
      <c r="M8" s="238">
        <f>'测算-整体经营'!L$12</f>
        <v>122.62956780594544</v>
      </c>
    </row>
    <row r="9" spans="1:13" ht="16" customHeight="1">
      <c r="A9" s="237" t="s">
        <v>46</v>
      </c>
      <c r="B9" s="237" t="s">
        <v>36</v>
      </c>
      <c r="C9" s="238">
        <f t="shared" si="0"/>
        <v>1357.192434434417</v>
      </c>
      <c r="D9" s="238">
        <f>'测算-高个子抖音'!M$9</f>
        <v>383.28089</v>
      </c>
      <c r="E9" s="238">
        <f>'测算-高个子视频号'!M$9</f>
        <v>67.386525000000006</v>
      </c>
      <c r="F9" s="238">
        <f>'测算-天猫淘宝'!M$8</f>
        <v>32.596449999999997</v>
      </c>
      <c r="G9" s="238">
        <f>'测算-拼多多'!M$9</f>
        <v>0.45122099999999998</v>
      </c>
      <c r="H9" s="238">
        <f>'测算-京东POP'!M$9</f>
        <v>19.221454999999999</v>
      </c>
      <c r="I9" s="238">
        <f>'测算-京东自营'!M$8</f>
        <v>446.22897</v>
      </c>
      <c r="J9" s="238">
        <f>'测算-达播'!M$9</f>
        <v>81.138963000000004</v>
      </c>
      <c r="K9" s="238">
        <f>'测算-私域'!M$9</f>
        <v>18.578579999999999</v>
      </c>
      <c r="L9" s="238">
        <f>'测算-外部分销'!M$9</f>
        <v>169.22012900000001</v>
      </c>
      <c r="M9" s="238">
        <f>'测算-整体经营'!M$12</f>
        <v>139.08925143441687</v>
      </c>
    </row>
    <row r="10" spans="1:13" ht="16" customHeight="1">
      <c r="A10" s="237" t="s">
        <v>46</v>
      </c>
      <c r="B10" s="237" t="s">
        <v>37</v>
      </c>
      <c r="C10" s="238">
        <f t="shared" si="0"/>
        <v>1365.2149740743657</v>
      </c>
      <c r="D10" s="238">
        <f>'测算-高个子抖音'!N$9</f>
        <v>271.526498</v>
      </c>
      <c r="E10" s="238">
        <f>'测算-高个子视频号'!N$9</f>
        <v>70.535852000000006</v>
      </c>
      <c r="F10" s="238">
        <f>'测算-天猫淘宝'!N$8</f>
        <v>26.272108000000003</v>
      </c>
      <c r="G10" s="238">
        <f>'测算-拼多多'!N$9</f>
        <v>4.9102750000000004</v>
      </c>
      <c r="H10" s="238">
        <f>'测算-京东POP'!N$9</f>
        <v>16.670736999999999</v>
      </c>
      <c r="I10" s="238">
        <f>'测算-京东自营'!N$8</f>
        <v>660.27603822906804</v>
      </c>
      <c r="J10" s="238">
        <f>'测算-达播'!N$9</f>
        <v>27.381934999999999</v>
      </c>
      <c r="K10" s="238">
        <f>'测算-私域'!N$9</f>
        <v>20.101900000000001</v>
      </c>
      <c r="L10" s="238">
        <f>'测算-外部分销'!N$9</f>
        <v>142.91522800000001</v>
      </c>
      <c r="M10" s="238">
        <f>'测算-整体经营'!N$12</f>
        <v>124.62440284529782</v>
      </c>
    </row>
    <row r="11" spans="1:13" ht="16" customHeight="1">
      <c r="A11" s="237" t="s">
        <v>46</v>
      </c>
      <c r="B11" s="237" t="s">
        <v>38</v>
      </c>
      <c r="C11" s="238">
        <f t="shared" si="0"/>
        <v>870.47623682136805</v>
      </c>
      <c r="D11" s="238">
        <f>'测算-高个子抖音'!O$9</f>
        <v>187.83605584574326</v>
      </c>
      <c r="E11" s="238">
        <f>'测算-高个子视频号'!O$9</f>
        <v>52.875650013377793</v>
      </c>
      <c r="F11" s="238">
        <f>'测算-天猫淘宝'!O$8</f>
        <v>24.189838582172356</v>
      </c>
      <c r="G11" s="238">
        <f>'测算-拼多多'!O$9</f>
        <v>2.9054295145125022</v>
      </c>
      <c r="H11" s="238">
        <f>'测算-京东POP'!O$9</f>
        <v>25.234314991215399</v>
      </c>
      <c r="I11" s="238">
        <f>'测算-京东自营'!O$8</f>
        <v>322.50668801942413</v>
      </c>
      <c r="J11" s="238">
        <f>'测算-达播'!O$9</f>
        <v>86.67109542061354</v>
      </c>
      <c r="K11" s="238">
        <f>'测算-私域'!O$9</f>
        <v>35.9514</v>
      </c>
      <c r="L11" s="238">
        <f>'测算-外部分销'!O$9</f>
        <v>53.673420039308191</v>
      </c>
      <c r="M11" s="238">
        <f>'测算-整体经营'!O$12</f>
        <v>78.6323443950008</v>
      </c>
    </row>
    <row r="12" spans="1:13" ht="16" customHeight="1">
      <c r="A12" s="237" t="s">
        <v>46</v>
      </c>
      <c r="B12" s="237" t="s">
        <v>39</v>
      </c>
      <c r="C12" s="238">
        <f t="shared" si="0"/>
        <v>1109.2311873570281</v>
      </c>
      <c r="D12" s="238">
        <f>'测算-高个子抖音'!P$9</f>
        <v>251.22106234512992</v>
      </c>
      <c r="E12" s="238">
        <f>'测算-高个子视频号'!P$9</f>
        <v>70.718461952048486</v>
      </c>
      <c r="F12" s="238">
        <f>'测算-天猫淘宝'!P$8</f>
        <v>32.35266477039513</v>
      </c>
      <c r="G12" s="238">
        <f>'测算-拼多多'!P$9</f>
        <v>3.8858625194097254</v>
      </c>
      <c r="H12" s="238">
        <f>'测算-京东POP'!P$9</f>
        <v>33.749598239279855</v>
      </c>
      <c r="I12" s="238">
        <f>'测算-京东自营'!P$8</f>
        <v>431.33610537577317</v>
      </c>
      <c r="J12" s="238">
        <f>'测算-达播'!P$9</f>
        <v>115.9181317353885</v>
      </c>
      <c r="K12" s="238">
        <f>'测算-私域'!P$9</f>
        <v>34.632075</v>
      </c>
      <c r="L12" s="238">
        <f>'测算-外部分销'!P$9</f>
        <v>71.785438324177633</v>
      </c>
      <c r="M12" s="238">
        <f>'测算-整体经营'!P$12</f>
        <v>63.631787095425835</v>
      </c>
    </row>
    <row r="13" spans="1:13" ht="16" customHeight="1">
      <c r="A13" s="237" t="s">
        <v>46</v>
      </c>
      <c r="B13" s="237" t="s">
        <v>40</v>
      </c>
      <c r="C13" s="238">
        <f t="shared" si="0"/>
        <v>1391.3700226034564</v>
      </c>
      <c r="D13" s="238">
        <f>'测算-高个子抖音'!Q$9</f>
        <v>317.6980203810719</v>
      </c>
      <c r="E13" s="238">
        <f>'测算-高个子视频号'!Q$9</f>
        <v>89.431654960898243</v>
      </c>
      <c r="F13" s="238">
        <f>'测算-天猫淘宝'!Q$8</f>
        <v>40.913677601945835</v>
      </c>
      <c r="G13" s="238">
        <f>'测算-拼多多'!Q$9</f>
        <v>4.9141215245458358</v>
      </c>
      <c r="H13" s="238">
        <f>'测算-京东POP'!Q$9</f>
        <v>42.680261157981604</v>
      </c>
      <c r="I13" s="238">
        <f>'测算-京东自营'!Q$8</f>
        <v>545.47427479828536</v>
      </c>
      <c r="J13" s="238">
        <f>'测算-达播'!Q$9</f>
        <v>146.59185274844512</v>
      </c>
      <c r="K13" s="238">
        <f>'测算-私域'!Q$9</f>
        <v>32.628174999999999</v>
      </c>
      <c r="L13" s="238">
        <f>'测算-外部分销'!Q$9</f>
        <v>90.780969696113843</v>
      </c>
      <c r="M13" s="238">
        <f>'测算-整体经营'!Q$12</f>
        <v>80.257014734168706</v>
      </c>
    </row>
    <row r="14" spans="1:13" ht="16" customHeight="1">
      <c r="A14" s="237" t="s">
        <v>46</v>
      </c>
      <c r="B14" s="237" t="s">
        <v>41</v>
      </c>
      <c r="C14" s="238">
        <f t="shared" si="0"/>
        <v>1497.3610488492886</v>
      </c>
      <c r="D14" s="238">
        <f>'测算-高个子抖音'!R$9</f>
        <v>343.59311449972392</v>
      </c>
      <c r="E14" s="238">
        <f>'测算-高个子视频号'!R$9</f>
        <v>96.721096423647879</v>
      </c>
      <c r="F14" s="238">
        <f>'测算-天猫淘宝'!R$8</f>
        <v>44.248490739817342</v>
      </c>
      <c r="G14" s="238">
        <f>'测算-拼多多'!R$9</f>
        <v>5.3146642765465328</v>
      </c>
      <c r="H14" s="238">
        <f>'测算-京东POP'!R$9</f>
        <v>46.159065899568915</v>
      </c>
      <c r="I14" s="238">
        <f>'测算-京东自营'!R$8</f>
        <v>589.93507335240372</v>
      </c>
      <c r="J14" s="238">
        <f>'测算-达播'!R$9</f>
        <v>158.54033709655445</v>
      </c>
      <c r="K14" s="238">
        <f>'测算-私域'!R$9</f>
        <v>29.928999999999998</v>
      </c>
      <c r="L14" s="238">
        <f>'测算-外部分销'!R$9</f>
        <v>98.180391800298352</v>
      </c>
      <c r="M14" s="238">
        <f>'测算-整体经营'!R$12</f>
        <v>84.739814760727626</v>
      </c>
    </row>
    <row r="15" spans="1:13" ht="16" customHeight="1">
      <c r="A15" s="237" t="s">
        <v>46</v>
      </c>
      <c r="B15" s="237" t="s">
        <v>42</v>
      </c>
      <c r="C15" s="238">
        <f t="shared" si="0"/>
        <v>1812.825563409391</v>
      </c>
      <c r="D15" s="238">
        <f>'测算-高个子抖音'!S$9</f>
        <v>417.41345743498516</v>
      </c>
      <c r="E15" s="238">
        <f>'测算-高个子视频号'!S$9</f>
        <v>117.5014444741729</v>
      </c>
      <c r="F15" s="238">
        <f>'测算-天猫淘宝'!S$8</f>
        <v>53.755196849271904</v>
      </c>
      <c r="G15" s="238">
        <f>'测算-拼多多'!S$9</f>
        <v>6.4565100322500051</v>
      </c>
      <c r="H15" s="238">
        <f>'测算-京东POP'!S$9</f>
        <v>56.076255536034225</v>
      </c>
      <c r="I15" s="238">
        <f>'测算-京东自营'!S$8</f>
        <v>716.68152893205388</v>
      </c>
      <c r="J15" s="238">
        <f>'测算-达播'!S$9</f>
        <v>192.60243426803015</v>
      </c>
      <c r="K15" s="238">
        <f>'测算-私域'!S$9</f>
        <v>35.200724999999998</v>
      </c>
      <c r="L15" s="238">
        <f>'测算-外部分销'!S$9</f>
        <v>119.27426675401821</v>
      </c>
      <c r="M15" s="238">
        <f>'测算-整体经营'!S$12</f>
        <v>97.863744128574481</v>
      </c>
    </row>
    <row r="16" spans="1:13" ht="16" customHeight="1">
      <c r="A16" s="237" t="s">
        <v>46</v>
      </c>
      <c r="B16" s="237" t="s">
        <v>43</v>
      </c>
      <c r="C16" s="238">
        <f t="shared" si="0"/>
        <v>1631.7307849293945</v>
      </c>
      <c r="D16" s="238">
        <f>'测算-高个子抖音'!T$9</f>
        <v>355.5744267038761</v>
      </c>
      <c r="E16" s="238">
        <f>'测算-高个子视频号'!T$9</f>
        <v>100.0938230705917</v>
      </c>
      <c r="F16" s="238">
        <f>'测算-天猫淘宝'!T$8</f>
        <v>45.791463982713104</v>
      </c>
      <c r="G16" s="238">
        <f>'测算-拼多多'!T$9</f>
        <v>5.4999900274722275</v>
      </c>
      <c r="H16" s="238">
        <f>'测算-京东POP'!T$9</f>
        <v>47.768662123288401</v>
      </c>
      <c r="I16" s="238">
        <f>'测算-京东自营'!T$8</f>
        <v>610.50648760878653</v>
      </c>
      <c r="J16" s="238">
        <f>'测算-达播'!T$9</f>
        <v>164.06874030239601</v>
      </c>
      <c r="K16" s="238">
        <f>'测算-私域'!T$9</f>
        <v>32.198574999999998</v>
      </c>
      <c r="L16" s="238">
        <f>'测算-外部分销'!T$9</f>
        <v>101.60400501268217</v>
      </c>
      <c r="M16" s="238">
        <f>'测算-整体经营'!T$12</f>
        <v>168.62461109758848</v>
      </c>
    </row>
    <row r="17" spans="1:13" ht="16" customHeight="1">
      <c r="A17" s="237" t="s">
        <v>46</v>
      </c>
      <c r="B17" s="237" t="s">
        <v>44</v>
      </c>
      <c r="C17" s="238">
        <f t="shared" si="0"/>
        <v>15128.156744247864</v>
      </c>
      <c r="D17" s="238">
        <f>'测算-高个子抖音'!V$9</f>
        <v>3948.3536842105304</v>
      </c>
      <c r="E17" s="238">
        <f>'测算-高个子视频号'!V$9</f>
        <v>705.06315789473706</v>
      </c>
      <c r="F17" s="238">
        <f>'测算-天猫淘宝'!V$8</f>
        <v>408.88421052631566</v>
      </c>
      <c r="G17" s="238">
        <f>'测算-拼多多'!V$9</f>
        <v>35.25315789473683</v>
      </c>
      <c r="H17" s="238">
        <f>'测算-京东POP'!V$9</f>
        <v>352.53157894736842</v>
      </c>
      <c r="I17" s="238">
        <f>'测算-京东自营'!V$8</f>
        <v>5504.2105263157946</v>
      </c>
      <c r="J17" s="238">
        <f>'测算-达播'!V$9</f>
        <v>1256.6674285714278</v>
      </c>
      <c r="K17" s="238">
        <f>'测算-私域'!V$9</f>
        <v>315.10419100000001</v>
      </c>
      <c r="L17" s="238">
        <f>'测算-外部分销'!V$9</f>
        <v>1423.5158056265984</v>
      </c>
      <c r="M17" s="238">
        <f>'测算-整体经营'!V$12</f>
        <v>1178.5730032603574</v>
      </c>
    </row>
    <row r="18" spans="1:13" ht="16" customHeight="1">
      <c r="A18" s="237" t="s">
        <v>46</v>
      </c>
      <c r="B18" s="237" t="s">
        <v>45</v>
      </c>
      <c r="C18" s="238">
        <f t="shared" si="0"/>
        <v>8312.9948439699274</v>
      </c>
      <c r="D18" s="238">
        <f>'测算-高个子抖音'!W$9</f>
        <v>1873.3361372105303</v>
      </c>
      <c r="E18" s="238">
        <f>'测算-高个子视频号'!W$9</f>
        <v>527.34213089473701</v>
      </c>
      <c r="F18" s="238">
        <f>'测算-天猫淘宝'!W$8</f>
        <v>241.25133252631568</v>
      </c>
      <c r="G18" s="238">
        <f>'测算-拼多多'!W$9</f>
        <v>28.976577894736828</v>
      </c>
      <c r="H18" s="238">
        <f>'测算-京东POP'!W$9</f>
        <v>251.66815794736843</v>
      </c>
      <c r="I18" s="238">
        <f>'测算-京东自营'!W$8</f>
        <v>3216.440158086727</v>
      </c>
      <c r="J18" s="238">
        <f>'测算-达播'!W$9</f>
        <v>864.39259157142783</v>
      </c>
      <c r="K18" s="238">
        <f>'测算-私域'!W$9</f>
        <v>200.53995</v>
      </c>
      <c r="L18" s="238">
        <f>'测算-外部分销'!W$9</f>
        <v>535.29849162659843</v>
      </c>
      <c r="M18" s="238">
        <f>'测算-整体经营'!W$12</f>
        <v>573.74931621148596</v>
      </c>
    </row>
    <row r="19" spans="1:13" ht="16" customHeight="1">
      <c r="A19" s="237" t="s">
        <v>48</v>
      </c>
      <c r="B19" s="237" t="s">
        <v>32</v>
      </c>
      <c r="C19" s="238">
        <f t="shared" si="0"/>
        <v>413.97461966256162</v>
      </c>
      <c r="D19" s="238">
        <f>'测算-高个子抖音'!I$19</f>
        <v>127.68844210697725</v>
      </c>
      <c r="E19" s="238">
        <f>'测算-高个子视频号'!I$19</f>
        <v>4.836453635105431</v>
      </c>
      <c r="F19" s="238">
        <f>'测算-天猫淘宝'!I$18</f>
        <v>8.5813400869565193</v>
      </c>
      <c r="G19" s="238">
        <f>'测算-拼多多'!I$19</f>
        <v>4.7808906618904162E-2</v>
      </c>
      <c r="H19" s="238">
        <f>'测算-京东POP'!I$19</f>
        <v>4.2288496295693232</v>
      </c>
      <c r="I19" s="238">
        <f>'测算-京东自营'!I$18</f>
        <v>124.11841076086942</v>
      </c>
      <c r="J19" s="238">
        <f>'测算-达播'!I$20</f>
        <v>20.120114536464758</v>
      </c>
      <c r="K19" s="238">
        <f>'测算-私域'!I$19</f>
        <v>0</v>
      </c>
      <c r="L19" s="238">
        <f>'测算-外部分销'!I$19</f>
        <v>124.3532</v>
      </c>
      <c r="M19" s="238">
        <f>'测算-整体经营'!I$21</f>
        <v>0</v>
      </c>
    </row>
    <row r="20" spans="1:13" ht="16" customHeight="1">
      <c r="A20" s="237" t="s">
        <v>48</v>
      </c>
      <c r="B20" s="237" t="s">
        <v>33</v>
      </c>
      <c r="C20" s="238">
        <f t="shared" si="0"/>
        <v>245.01228958274865</v>
      </c>
      <c r="D20" s="238">
        <f>'测算-高个子抖音'!J$19</f>
        <v>73.10702655703011</v>
      </c>
      <c r="E20" s="238">
        <f>'测算-高个子视频号'!J$19</f>
        <v>1.6513278515020762</v>
      </c>
      <c r="F20" s="238">
        <f>'测算-天猫淘宝'!J$18</f>
        <v>4.4148315326086944</v>
      </c>
      <c r="G20" s="238">
        <f>'测算-拼多多'!J$19</f>
        <v>8.54695269885207E-2</v>
      </c>
      <c r="H20" s="238">
        <f>'测算-京东POP'!J$19</f>
        <v>2.6519480094439465</v>
      </c>
      <c r="I20" s="238">
        <f>'测算-京东自营'!J$18</f>
        <v>93.296856521739016</v>
      </c>
      <c r="J20" s="238">
        <f>'测算-达播'!J$20</f>
        <v>1.64999258343634</v>
      </c>
      <c r="K20" s="238">
        <f>'测算-私域'!J$19</f>
        <v>0</v>
      </c>
      <c r="L20" s="238">
        <f>'测算-外部分销'!J$19</f>
        <v>68.154836999999986</v>
      </c>
      <c r="M20" s="238">
        <f>'测算-整体经营'!J$21</f>
        <v>0</v>
      </c>
    </row>
    <row r="21" spans="1:13" ht="16" customHeight="1">
      <c r="A21" s="237" t="s">
        <v>48</v>
      </c>
      <c r="B21" s="237" t="s">
        <v>34</v>
      </c>
      <c r="C21" s="238">
        <f t="shared" si="0"/>
        <v>437.01890892117831</v>
      </c>
      <c r="D21" s="238">
        <f>'测算-高个子抖音'!K$19</f>
        <v>148.79734682080939</v>
      </c>
      <c r="E21" s="238">
        <f>'测算-高个子视频号'!K$19</f>
        <v>3.5046283481234228</v>
      </c>
      <c r="F21" s="238">
        <f>'测算-天猫淘宝'!K$18</f>
        <v>10.087177548913042</v>
      </c>
      <c r="G21" s="238">
        <f>'测算-拼多多'!K$19</f>
        <v>0.11335279654807456</v>
      </c>
      <c r="H21" s="238">
        <f>'测算-京东POP'!K$19</f>
        <v>7.1970929577464782</v>
      </c>
      <c r="I21" s="238">
        <f>'测算-京东自营'!K$18</f>
        <v>12.553137880434768</v>
      </c>
      <c r="J21" s="238">
        <f>'测算-达播'!K$20</f>
        <v>73.992790568603169</v>
      </c>
      <c r="K21" s="238">
        <f>'测算-私域'!K$19</f>
        <v>0</v>
      </c>
      <c r="L21" s="238">
        <f>'测算-外部分销'!K$19</f>
        <v>180.773382</v>
      </c>
      <c r="M21" s="238">
        <f>'测算-整体经营'!K$21</f>
        <v>0</v>
      </c>
    </row>
    <row r="22" spans="1:13" ht="16" customHeight="1">
      <c r="A22" s="237" t="s">
        <v>48</v>
      </c>
      <c r="B22" s="237" t="s">
        <v>35</v>
      </c>
      <c r="C22" s="238">
        <f t="shared" si="0"/>
        <v>367.2097236258187</v>
      </c>
      <c r="D22" s="238">
        <f>'测算-高个子抖音'!L$19</f>
        <v>89.778559928356344</v>
      </c>
      <c r="E22" s="238">
        <f>'测算-高个子视频号'!L$19</f>
        <v>2.3201253765366769</v>
      </c>
      <c r="F22" s="238">
        <f>'测算-天猫淘宝'!L$18</f>
        <v>10.609945614130432</v>
      </c>
      <c r="G22" s="238">
        <f>'测算-拼多多'!L$19</f>
        <v>3.6468924529837986E-2</v>
      </c>
      <c r="H22" s="238">
        <f>'测算-京东POP'!L$19</f>
        <v>6.0223023691280622</v>
      </c>
      <c r="I22" s="238">
        <f>'测算-京东自营'!L$18</f>
        <v>135.96705961956505</v>
      </c>
      <c r="J22" s="238">
        <f>'测算-达播'!L$20</f>
        <v>14.722257793572302</v>
      </c>
      <c r="K22" s="238">
        <f>'测算-私域'!L$19</f>
        <v>0</v>
      </c>
      <c r="L22" s="238">
        <f>'测算-外部分销'!L$19</f>
        <v>107.753004</v>
      </c>
      <c r="M22" s="238">
        <f>'测算-整体经营'!L$21</f>
        <v>0</v>
      </c>
    </row>
    <row r="23" spans="1:13" ht="16" customHeight="1">
      <c r="A23" s="237" t="s">
        <v>48</v>
      </c>
      <c r="B23" s="237" t="s">
        <v>36</v>
      </c>
      <c r="C23" s="238">
        <f t="shared" si="0"/>
        <v>463.40024103620783</v>
      </c>
      <c r="D23" s="238">
        <f>'测算-高个子抖音'!M$19</f>
        <v>118.57586762191659</v>
      </c>
      <c r="E23" s="238">
        <f>'测算-高个子视频号'!M$19</f>
        <v>20.847414719531063</v>
      </c>
      <c r="F23" s="238">
        <f>'测算-天猫淘宝'!M$18</f>
        <v>10.097813315217389</v>
      </c>
      <c r="G23" s="238">
        <f>'测算-拼多多'!M$19</f>
        <v>0.13959454530652118</v>
      </c>
      <c r="H23" s="238">
        <f>'测算-京东POP'!M$19</f>
        <v>5.9465545062281189</v>
      </c>
      <c r="I23" s="238">
        <f>'测算-京东自营'!M$18</f>
        <v>138.23397440217377</v>
      </c>
      <c r="J23" s="238">
        <f>'测算-达播'!M$20</f>
        <v>31.593044925834345</v>
      </c>
      <c r="K23" s="238">
        <f>'测算-私域'!M$19</f>
        <v>0</v>
      </c>
      <c r="L23" s="238">
        <f>'测算-外部分销'!M$19</f>
        <v>137.96597700000001</v>
      </c>
      <c r="M23" s="238">
        <f>'测算-整体经营'!M$21</f>
        <v>0</v>
      </c>
    </row>
    <row r="24" spans="1:13" ht="16" customHeight="1">
      <c r="A24" s="237" t="s">
        <v>48</v>
      </c>
      <c r="B24" s="237" t="s">
        <v>37</v>
      </c>
      <c r="C24" s="238">
        <f t="shared" si="0"/>
        <v>451.40470292642584</v>
      </c>
      <c r="D24" s="238">
        <f>'测算-高个子抖音'!N$19</f>
        <v>84.002335943987703</v>
      </c>
      <c r="E24" s="238">
        <f>'测算-高个子视频号'!N$19</f>
        <v>21.82172413905398</v>
      </c>
      <c r="F24" s="238">
        <f>'测算-天猫淘宝'!N$18</f>
        <v>8.1386421521739116</v>
      </c>
      <c r="G24" s="238">
        <f>'测算-拼多多'!N$19</f>
        <v>1.5190950907758689</v>
      </c>
      <c r="H24" s="238">
        <f>'测算-京东POP'!N$19</f>
        <v>5.1574371570463233</v>
      </c>
      <c r="I24" s="238">
        <f>'测算-京东自营'!N$18</f>
        <v>204.54203358183062</v>
      </c>
      <c r="J24" s="238">
        <f>'测算-达播'!N$20</f>
        <v>10.661692861557471</v>
      </c>
      <c r="K24" s="238">
        <f>'测算-私域'!N$19</f>
        <v>0</v>
      </c>
      <c r="L24" s="238">
        <f>'测算-外部分销'!N$19</f>
        <v>115.561742</v>
      </c>
      <c r="M24" s="238">
        <f>'测算-整体经营'!N$21</f>
        <v>0</v>
      </c>
    </row>
    <row r="25" spans="1:13" ht="16" customHeight="1">
      <c r="A25" s="237" t="s">
        <v>48</v>
      </c>
      <c r="B25" s="237" t="s">
        <v>38</v>
      </c>
      <c r="C25" s="238">
        <f t="shared" si="0"/>
        <v>284.77935374135944</v>
      </c>
      <c r="D25" s="238">
        <f>'测算-高个子抖音'!O$19</f>
        <v>58.110967370660674</v>
      </c>
      <c r="E25" s="238">
        <f>'测算-高个子视频号'!O$19</f>
        <v>16.358175531290044</v>
      </c>
      <c r="F25" s="238">
        <f>'测算-天猫淘宝'!O$18</f>
        <v>7.4935912999120875</v>
      </c>
      <c r="G25" s="238">
        <f>'测算-拼多多'!O$19</f>
        <v>0.89885468982720074</v>
      </c>
      <c r="H25" s="238">
        <f>'测算-京东POP'!O$19</f>
        <v>7.806757059889156</v>
      </c>
      <c r="I25" s="238">
        <f>'测算-京东自营'!O$18</f>
        <v>99.906963136451935</v>
      </c>
      <c r="J25" s="238">
        <f>'测算-达播'!O$20</f>
        <v>33.747089069830963</v>
      </c>
      <c r="K25" s="238">
        <f>'测算-私域'!O$19</f>
        <v>14.265523664122099</v>
      </c>
      <c r="L25" s="238">
        <f>'测算-外部分销'!O$19</f>
        <v>46.191431919375283</v>
      </c>
      <c r="M25" s="238">
        <f>'测算-整体经营'!O$21</f>
        <v>0</v>
      </c>
    </row>
    <row r="26" spans="1:13" ht="16" customHeight="1">
      <c r="A26" s="237" t="s">
        <v>48</v>
      </c>
      <c r="B26" s="237" t="s">
        <v>39</v>
      </c>
      <c r="C26" s="238">
        <f t="shared" si="0"/>
        <v>375.49932118645387</v>
      </c>
      <c r="D26" s="238">
        <f>'测算-高个子抖音'!P$19</f>
        <v>77.720429610965937</v>
      </c>
      <c r="E26" s="238">
        <f>'测算-高个子视频号'!P$19</f>
        <v>21.878218303165696</v>
      </c>
      <c r="F26" s="238">
        <f>'测算-天猫淘宝'!P$18</f>
        <v>10.022292890828924</v>
      </c>
      <c r="G26" s="238">
        <f>'测算-拼多多'!P$19</f>
        <v>1.2021719102627171</v>
      </c>
      <c r="H26" s="238">
        <f>'测算-京东POP'!P$19</f>
        <v>10.44113598544846</v>
      </c>
      <c r="I26" s="238">
        <f>'测算-京东自营'!P$18</f>
        <v>133.62042394792959</v>
      </c>
      <c r="J26" s="238">
        <f>'测算-达播'!P$20</f>
        <v>45.134995669527015</v>
      </c>
      <c r="K26" s="238">
        <f>'测算-私域'!P$19</f>
        <v>13.700988778626</v>
      </c>
      <c r="L26" s="238">
        <f>'测算-外部分销'!P$19</f>
        <v>61.778664089699461</v>
      </c>
      <c r="M26" s="238">
        <f>'测算-整体经营'!P$21</f>
        <v>0</v>
      </c>
    </row>
    <row r="27" spans="1:13" ht="16" customHeight="1">
      <c r="A27" s="237" t="s">
        <v>48</v>
      </c>
      <c r="B27" s="237" t="s">
        <v>40</v>
      </c>
      <c r="C27" s="238">
        <f t="shared" si="0"/>
        <v>470.40683731657509</v>
      </c>
      <c r="D27" s="238">
        <f>'测算-高个子抖音'!Q$19</f>
        <v>98.286450984944594</v>
      </c>
      <c r="E27" s="238">
        <f>'测算-高个子视频号'!Q$19</f>
        <v>27.667531454157238</v>
      </c>
      <c r="F27" s="238">
        <f>'测算-天猫淘宝'!Q$18</f>
        <v>12.674345778863653</v>
      </c>
      <c r="G27" s="238">
        <f>'测算-拼多多'!Q$19</f>
        <v>1.5202850926706972</v>
      </c>
      <c r="H27" s="238">
        <f>'测算-京东POP'!Q$19</f>
        <v>13.204021200059438</v>
      </c>
      <c r="I27" s="238">
        <f>'测算-京东自营'!Q$18</f>
        <v>168.9784438233817</v>
      </c>
      <c r="J27" s="238">
        <f>'测算-达播'!Q$20</f>
        <v>57.078409908232615</v>
      </c>
      <c r="K27" s="238">
        <f>'测算-私域'!Q$19</f>
        <v>12.871100025445299</v>
      </c>
      <c r="L27" s="238">
        <f>'测算-外部分销'!Q$19</f>
        <v>78.126249048819915</v>
      </c>
      <c r="M27" s="238">
        <f>'测算-整体经营'!Q$21</f>
        <v>0</v>
      </c>
    </row>
    <row r="28" spans="1:13" ht="16" customHeight="1">
      <c r="A28" s="237" t="s">
        <v>48</v>
      </c>
      <c r="B28" s="237" t="s">
        <v>41</v>
      </c>
      <c r="C28" s="238">
        <f t="shared" si="0"/>
        <v>506.63822619553599</v>
      </c>
      <c r="D28" s="238">
        <f>'测算-高个子抖音'!R$19</f>
        <v>106.29763372945959</v>
      </c>
      <c r="E28" s="238">
        <f>'测算-高个子视频号'!R$19</f>
        <v>29.922670879252784</v>
      </c>
      <c r="F28" s="238">
        <f>'测算-天猫淘宝'!R$18</f>
        <v>13.707412892226021</v>
      </c>
      <c r="G28" s="238">
        <f>'测算-拼多多'!R$19</f>
        <v>1.6442012741900858</v>
      </c>
      <c r="H28" s="238">
        <f>'测算-京东POP'!R$19</f>
        <v>14.280261370867203</v>
      </c>
      <c r="I28" s="238">
        <f>'测算-京东自营'!R$18</f>
        <v>182.75162598416833</v>
      </c>
      <c r="J28" s="238">
        <f>'测算-达播'!R$20</f>
        <v>61.73078638493773</v>
      </c>
      <c r="K28" s="238">
        <f>'测算-私域'!R$19</f>
        <v>11.8094300254453</v>
      </c>
      <c r="L28" s="238">
        <f>'测算-外部分销'!R$19</f>
        <v>84.494203654988965</v>
      </c>
      <c r="M28" s="238">
        <f>'测算-整体经营'!R$21</f>
        <v>0</v>
      </c>
    </row>
    <row r="29" spans="1:13" ht="16" customHeight="1">
      <c r="A29" s="237" t="s">
        <v>48</v>
      </c>
      <c r="B29" s="237" t="s">
        <v>42</v>
      </c>
      <c r="C29" s="238">
        <f t="shared" si="0"/>
        <v>615.01703965425099</v>
      </c>
      <c r="D29" s="238">
        <f>'测算-高个子抖音'!S$19</f>
        <v>129.13548304591265</v>
      </c>
      <c r="E29" s="238">
        <f>'测算-高个子视频号'!S$19</f>
        <v>36.351501180644554</v>
      </c>
      <c r="F29" s="238">
        <f>'测算-天猫淘宝'!S$18</f>
        <v>16.65242511091575</v>
      </c>
      <c r="G29" s="238">
        <f>'测算-拼多多'!S$19</f>
        <v>1.9974548662826683</v>
      </c>
      <c r="H29" s="238">
        <f>'测算-京东POP'!S$19</f>
        <v>17.348349021975903</v>
      </c>
      <c r="I29" s="238">
        <f>'测算-京东自营'!S$18</f>
        <v>222.01547363655993</v>
      </c>
      <c r="J29" s="238">
        <f>'测算-达播'!S$20</f>
        <v>74.993531266291043</v>
      </c>
      <c r="K29" s="238">
        <f>'测算-私域'!S$19</f>
        <v>13.875195038167901</v>
      </c>
      <c r="L29" s="238">
        <f>'测算-外部分销'!S$19</f>
        <v>102.64762648750063</v>
      </c>
      <c r="M29" s="238">
        <f>'测算-整体经营'!S$21</f>
        <v>0</v>
      </c>
    </row>
    <row r="30" spans="1:13" ht="16" customHeight="1">
      <c r="A30" s="237" t="s">
        <v>48</v>
      </c>
      <c r="B30" s="237" t="s">
        <v>43</v>
      </c>
      <c r="C30" s="238">
        <f t="shared" si="0"/>
        <v>524.78257358729377</v>
      </c>
      <c r="D30" s="238">
        <f>'测算-高个子抖音'!T$19</f>
        <v>110.00430037244406</v>
      </c>
      <c r="E30" s="238">
        <f>'测算-高个子视频号'!T$19</f>
        <v>30.966093598326832</v>
      </c>
      <c r="F30" s="238">
        <f>'测算-天猫淘宝'!T$18</f>
        <v>14.185399168557861</v>
      </c>
      <c r="G30" s="238">
        <f>'测算-拼多多'!T$19</f>
        <v>1.7015356268333846</v>
      </c>
      <c r="H30" s="238">
        <f>'测算-京东POP'!T$19</f>
        <v>14.778223240942433</v>
      </c>
      <c r="I30" s="238">
        <f>'测算-京东自营'!T$18</f>
        <v>189.12429235706952</v>
      </c>
      <c r="J30" s="238">
        <f>'测算-达播'!T$20</f>
        <v>63.883378486099765</v>
      </c>
      <c r="K30" s="238">
        <f>'测算-私域'!T$19</f>
        <v>12.6987800254453</v>
      </c>
      <c r="L30" s="238">
        <f>'测算-外部分销'!T$19</f>
        <v>87.440570711574594</v>
      </c>
      <c r="M30" s="238">
        <f>'测算-整体经营'!T$21</f>
        <v>0</v>
      </c>
    </row>
    <row r="31" spans="1:13" ht="16" customHeight="1">
      <c r="A31" s="237" t="s">
        <v>48</v>
      </c>
      <c r="B31" s="237" t="s">
        <v>44</v>
      </c>
      <c r="C31" s="238">
        <f t="shared" si="0"/>
        <v>5155.1438374364097</v>
      </c>
      <c r="D31" s="238">
        <f>'测算-高个子抖音'!V$19</f>
        <v>1221.5048440934647</v>
      </c>
      <c r="E31" s="238">
        <f>'测算-高个子视频号'!V$19</f>
        <v>218.1258650166898</v>
      </c>
      <c r="F31" s="238">
        <f>'测算-天猫淘宝'!V$18</f>
        <v>126.66521739130428</v>
      </c>
      <c r="G31" s="238">
        <f>'测算-拼多多'!V$19</f>
        <v>10.906293250834482</v>
      </c>
      <c r="H31" s="238">
        <f>'测算-京东POP'!V$19</f>
        <v>109.06293250834486</v>
      </c>
      <c r="I31" s="238">
        <f>'测算-京东自营'!V$18</f>
        <v>1705.1086956521735</v>
      </c>
      <c r="J31" s="238">
        <f>'测算-达播'!V$20</f>
        <v>489.30808405438756</v>
      </c>
      <c r="K31" s="238">
        <f>'测算-私域'!V$19</f>
        <v>79.221017557251898</v>
      </c>
      <c r="L31" s="238">
        <f>'测算-外部分销'!V$19</f>
        <v>1195.2408879119589</v>
      </c>
      <c r="M31" s="238">
        <f>'测算-整体经营'!V$21</f>
        <v>0</v>
      </c>
    </row>
    <row r="32" spans="1:13" ht="16" customHeight="1">
      <c r="A32" s="237" t="s">
        <v>48</v>
      </c>
      <c r="B32" s="237" t="s">
        <v>45</v>
      </c>
      <c r="C32" s="238">
        <f t="shared" si="0"/>
        <v>2777.1233516814691</v>
      </c>
      <c r="D32" s="238">
        <f>'测算-高个子抖音'!W$19</f>
        <v>579.55526511438745</v>
      </c>
      <c r="E32" s="238">
        <f>'测算-高个子视频号'!W$19</f>
        <v>163.14419094683717</v>
      </c>
      <c r="F32" s="238">
        <f>'测算-天猫淘宝'!W$18</f>
        <v>74.735467141304298</v>
      </c>
      <c r="G32" s="238">
        <f>'测算-拼多多'!W$19</f>
        <v>8.9645034600667532</v>
      </c>
      <c r="H32" s="238">
        <f>'测算-京东POP'!W$19</f>
        <v>77.858747879182602</v>
      </c>
      <c r="I32" s="238">
        <f>'测算-京东自营'!W$18</f>
        <v>996.39722288556095</v>
      </c>
      <c r="J32" s="238">
        <f>'测算-达播'!W$20</f>
        <v>336.56819078491912</v>
      </c>
      <c r="K32" s="238">
        <f>'测算-私域'!W$19</f>
        <v>79.221017557251898</v>
      </c>
      <c r="L32" s="238">
        <f>'测算-外部分销'!W$19</f>
        <v>460.67874591195886</v>
      </c>
      <c r="M32" s="238">
        <f>'测算-整体经营'!W$21</f>
        <v>0</v>
      </c>
    </row>
    <row r="33" spans="1:13" ht="16" customHeight="1">
      <c r="A33" s="237" t="s">
        <v>49</v>
      </c>
      <c r="B33" s="237" t="s">
        <v>32</v>
      </c>
      <c r="C33" s="238">
        <f t="shared" ref="C33:L33" si="1">C5-C19</f>
        <v>725.91640458473137</v>
      </c>
      <c r="D33" s="238">
        <f t="shared" si="1"/>
        <v>285.04764589302272</v>
      </c>
      <c r="E33" s="238">
        <f t="shared" si="1"/>
        <v>10.79674636489457</v>
      </c>
      <c r="F33" s="238">
        <f t="shared" si="1"/>
        <v>19.11982791304348</v>
      </c>
      <c r="G33" s="238">
        <f t="shared" si="1"/>
        <v>0.10672709338109582</v>
      </c>
      <c r="H33" s="238">
        <f t="shared" si="1"/>
        <v>9.4403503704306768</v>
      </c>
      <c r="I33" s="238">
        <f t="shared" si="1"/>
        <v>276.54452923913055</v>
      </c>
      <c r="J33" s="238">
        <f t="shared" si="1"/>
        <v>31.553449463535241</v>
      </c>
      <c r="K33" s="238">
        <f t="shared" si="1"/>
        <v>24.7803</v>
      </c>
      <c r="L33" s="238">
        <f t="shared" si="1"/>
        <v>25.17613200000001</v>
      </c>
      <c r="M33" s="238">
        <f>'测算-整体经营'!I$22</f>
        <v>43.350696247293243</v>
      </c>
    </row>
    <row r="34" spans="1:13" ht="16" customHeight="1">
      <c r="A34" s="237" t="s">
        <v>49</v>
      </c>
      <c r="B34" s="237" t="s">
        <v>33</v>
      </c>
      <c r="C34" s="238">
        <f t="shared" ref="C34:L34" si="2">C6-C20</f>
        <v>499.65435462746166</v>
      </c>
      <c r="D34" s="238">
        <f t="shared" si="2"/>
        <v>163.20181744296988</v>
      </c>
      <c r="E34" s="238">
        <f t="shared" si="2"/>
        <v>3.6863721484979237</v>
      </c>
      <c r="F34" s="238">
        <f t="shared" si="2"/>
        <v>9.8365544673913039</v>
      </c>
      <c r="G34" s="238">
        <f t="shared" si="2"/>
        <v>0.19079947301147929</v>
      </c>
      <c r="H34" s="238">
        <f t="shared" si="2"/>
        <v>5.9201249905560527</v>
      </c>
      <c r="I34" s="238">
        <f t="shared" si="2"/>
        <v>207.87194347826096</v>
      </c>
      <c r="J34" s="238">
        <f t="shared" si="2"/>
        <v>2.5876074165636593</v>
      </c>
      <c r="K34" s="238">
        <f t="shared" si="2"/>
        <v>7.8601000000000001</v>
      </c>
      <c r="L34" s="238">
        <f t="shared" si="2"/>
        <v>18.792000999999999</v>
      </c>
      <c r="M34" s="238">
        <f>'测算-整体经营'!J$22</f>
        <v>79.707034210210338</v>
      </c>
    </row>
    <row r="35" spans="1:13" ht="16" customHeight="1">
      <c r="A35" s="237" t="s">
        <v>49</v>
      </c>
      <c r="B35" s="237" t="s">
        <v>34</v>
      </c>
      <c r="C35" s="238">
        <f t="shared" ref="C35:L35" si="3">C7-C21</f>
        <v>670.69859558452981</v>
      </c>
      <c r="D35" s="238">
        <f t="shared" si="3"/>
        <v>332.17049817919064</v>
      </c>
      <c r="E35" s="238">
        <f t="shared" si="3"/>
        <v>7.8236216518765778</v>
      </c>
      <c r="F35" s="238">
        <f t="shared" si="3"/>
        <v>22.474939451086961</v>
      </c>
      <c r="G35" s="238">
        <f t="shared" si="3"/>
        <v>0.25304520345192544</v>
      </c>
      <c r="H35" s="238">
        <f t="shared" si="3"/>
        <v>16.066563042253524</v>
      </c>
      <c r="I35" s="238">
        <f t="shared" si="3"/>
        <v>27.969272119565233</v>
      </c>
      <c r="J35" s="238">
        <f t="shared" si="3"/>
        <v>116.03948743139682</v>
      </c>
      <c r="K35" s="238">
        <f t="shared" si="3"/>
        <v>26.021881</v>
      </c>
      <c r="L35" s="238">
        <f t="shared" si="3"/>
        <v>26.456553000000014</v>
      </c>
      <c r="M35" s="238">
        <f>'测算-整体经营'!K$22</f>
        <v>95.422734505707865</v>
      </c>
    </row>
    <row r="36" spans="1:13" ht="16" customHeight="1">
      <c r="A36" s="237" t="s">
        <v>49</v>
      </c>
      <c r="B36" s="237" t="s">
        <v>35</v>
      </c>
      <c r="C36" s="238">
        <f t="shared" ref="C36:L36" si="4">C8-C22</f>
        <v>733.26959518012677</v>
      </c>
      <c r="D36" s="238">
        <f t="shared" si="4"/>
        <v>200.41882207164366</v>
      </c>
      <c r="E36" s="238">
        <f t="shared" si="4"/>
        <v>5.1793746234633229</v>
      </c>
      <c r="F36" s="238">
        <f t="shared" si="4"/>
        <v>23.639703385869566</v>
      </c>
      <c r="G36" s="238">
        <f t="shared" si="4"/>
        <v>8.1412075470162021E-2</v>
      </c>
      <c r="H36" s="238">
        <f t="shared" si="4"/>
        <v>13.443997630871937</v>
      </c>
      <c r="I36" s="238">
        <f t="shared" si="4"/>
        <v>302.94415038043496</v>
      </c>
      <c r="J36" s="238">
        <f t="shared" si="4"/>
        <v>23.088239206427694</v>
      </c>
      <c r="K36" s="238">
        <f t="shared" si="4"/>
        <v>17.22148</v>
      </c>
      <c r="L36" s="238">
        <f t="shared" si="4"/>
        <v>24.622848000000005</v>
      </c>
      <c r="M36" s="238">
        <f>'测算-整体经营'!L$22</f>
        <v>122.62956780594544</v>
      </c>
    </row>
    <row r="37" spans="1:13" ht="16" customHeight="1">
      <c r="A37" s="237" t="s">
        <v>49</v>
      </c>
      <c r="B37" s="237" t="s">
        <v>36</v>
      </c>
      <c r="C37" s="238">
        <f t="shared" ref="C37:L37" si="5">C9-C23</f>
        <v>893.79219339820918</v>
      </c>
      <c r="D37" s="238">
        <f t="shared" si="5"/>
        <v>264.70502237808341</v>
      </c>
      <c r="E37" s="238">
        <f t="shared" si="5"/>
        <v>46.539110280468947</v>
      </c>
      <c r="F37" s="238">
        <f t="shared" si="5"/>
        <v>22.49863668478261</v>
      </c>
      <c r="G37" s="238">
        <f t="shared" si="5"/>
        <v>0.31162645469347883</v>
      </c>
      <c r="H37" s="238">
        <f t="shared" si="5"/>
        <v>13.274900493771881</v>
      </c>
      <c r="I37" s="238">
        <f t="shared" si="5"/>
        <v>307.99499559782623</v>
      </c>
      <c r="J37" s="238">
        <f t="shared" si="5"/>
        <v>49.545918074165655</v>
      </c>
      <c r="K37" s="238">
        <f t="shared" si="5"/>
        <v>18.578579999999999</v>
      </c>
      <c r="L37" s="238">
        <f t="shared" si="5"/>
        <v>31.254152000000005</v>
      </c>
      <c r="M37" s="238">
        <f>'测算-整体经营'!M$22</f>
        <v>139.08925143441687</v>
      </c>
    </row>
    <row r="38" spans="1:13" ht="16" customHeight="1">
      <c r="A38" s="237" t="s">
        <v>49</v>
      </c>
      <c r="B38" s="237" t="s">
        <v>37</v>
      </c>
      <c r="C38" s="238">
        <f t="shared" ref="C38:L38" si="6">C10-C24</f>
        <v>913.81027114793983</v>
      </c>
      <c r="D38" s="238">
        <f t="shared" si="6"/>
        <v>187.5241620560123</v>
      </c>
      <c r="E38" s="238">
        <f t="shared" si="6"/>
        <v>48.714127860946022</v>
      </c>
      <c r="F38" s="238">
        <f t="shared" si="6"/>
        <v>18.133465847826091</v>
      </c>
      <c r="G38" s="238">
        <f t="shared" si="6"/>
        <v>3.3911799092241317</v>
      </c>
      <c r="H38" s="238">
        <f t="shared" si="6"/>
        <v>11.513299842953675</v>
      </c>
      <c r="I38" s="238">
        <f t="shared" si="6"/>
        <v>455.73400464723738</v>
      </c>
      <c r="J38" s="238">
        <f t="shared" si="6"/>
        <v>16.720242138442529</v>
      </c>
      <c r="K38" s="238">
        <f t="shared" si="6"/>
        <v>20.101900000000001</v>
      </c>
      <c r="L38" s="238">
        <f t="shared" si="6"/>
        <v>27.353486000000018</v>
      </c>
      <c r="M38" s="238">
        <f>'测算-整体经营'!N$22</f>
        <v>124.62440284529782</v>
      </c>
    </row>
    <row r="39" spans="1:13" ht="16" customHeight="1">
      <c r="A39" s="237" t="s">
        <v>49</v>
      </c>
      <c r="B39" s="237" t="s">
        <v>38</v>
      </c>
      <c r="C39" s="238">
        <f t="shared" ref="C39:L39" si="7">C11-C25</f>
        <v>585.69688308000855</v>
      </c>
      <c r="D39" s="238">
        <f t="shared" si="7"/>
        <v>129.7250884750826</v>
      </c>
      <c r="E39" s="238">
        <f t="shared" si="7"/>
        <v>36.517474482087749</v>
      </c>
      <c r="F39" s="238">
        <f t="shared" si="7"/>
        <v>16.69624728226027</v>
      </c>
      <c r="G39" s="238">
        <f t="shared" si="7"/>
        <v>2.0065748246853015</v>
      </c>
      <c r="H39" s="238">
        <f t="shared" si="7"/>
        <v>17.427557931326241</v>
      </c>
      <c r="I39" s="238">
        <f t="shared" si="7"/>
        <v>222.5997248829722</v>
      </c>
      <c r="J39" s="238">
        <f t="shared" si="7"/>
        <v>52.924006350782577</v>
      </c>
      <c r="K39" s="238">
        <f t="shared" si="7"/>
        <v>21.6858763358779</v>
      </c>
      <c r="L39" s="238">
        <f t="shared" si="7"/>
        <v>7.4819881199329075</v>
      </c>
      <c r="M39" s="238">
        <f>'测算-整体经营'!O$22</f>
        <v>78.6323443950008</v>
      </c>
    </row>
    <row r="40" spans="1:13" ht="16" customHeight="1">
      <c r="A40" s="237" t="s">
        <v>49</v>
      </c>
      <c r="B40" s="237" t="s">
        <v>39</v>
      </c>
      <c r="C40" s="238">
        <f t="shared" ref="C40:L40" si="8">C12-C26</f>
        <v>733.73186617057422</v>
      </c>
      <c r="D40" s="238">
        <f t="shared" si="8"/>
        <v>173.50063273416399</v>
      </c>
      <c r="E40" s="238">
        <f t="shared" si="8"/>
        <v>48.84024364888279</v>
      </c>
      <c r="F40" s="238">
        <f t="shared" si="8"/>
        <v>22.330371879566208</v>
      </c>
      <c r="G40" s="238">
        <f t="shared" si="8"/>
        <v>2.6836906091470083</v>
      </c>
      <c r="H40" s="238">
        <f t="shared" si="8"/>
        <v>23.308462253831394</v>
      </c>
      <c r="I40" s="238">
        <f t="shared" si="8"/>
        <v>297.71568142784361</v>
      </c>
      <c r="J40" s="238">
        <f t="shared" si="8"/>
        <v>70.783136065861484</v>
      </c>
      <c r="K40" s="238">
        <f t="shared" si="8"/>
        <v>20.931086221374002</v>
      </c>
      <c r="L40" s="238">
        <f t="shared" si="8"/>
        <v>10.006774234478172</v>
      </c>
      <c r="M40" s="238">
        <f>'测算-整体经营'!P$22</f>
        <v>63.631787095425835</v>
      </c>
    </row>
    <row r="41" spans="1:13" ht="16" customHeight="1">
      <c r="A41" s="237" t="s">
        <v>49</v>
      </c>
      <c r="B41" s="237" t="s">
        <v>40</v>
      </c>
      <c r="C41" s="238">
        <f t="shared" ref="C41:L41" si="9">C13-C27</f>
        <v>920.9631852868813</v>
      </c>
      <c r="D41" s="238">
        <f t="shared" si="9"/>
        <v>219.41156939612731</v>
      </c>
      <c r="E41" s="238">
        <f t="shared" si="9"/>
        <v>61.764123506741001</v>
      </c>
      <c r="F41" s="238">
        <f t="shared" si="9"/>
        <v>28.239331823082182</v>
      </c>
      <c r="G41" s="238">
        <f t="shared" si="9"/>
        <v>3.3938364318751386</v>
      </c>
      <c r="H41" s="238">
        <f t="shared" si="9"/>
        <v>29.476239957922168</v>
      </c>
      <c r="I41" s="238">
        <f t="shared" si="9"/>
        <v>376.4958309749037</v>
      </c>
      <c r="J41" s="238">
        <f t="shared" si="9"/>
        <v>89.513442840212505</v>
      </c>
      <c r="K41" s="238">
        <f t="shared" si="9"/>
        <v>19.757074974554698</v>
      </c>
      <c r="L41" s="238">
        <f t="shared" si="9"/>
        <v>12.654720647293928</v>
      </c>
      <c r="M41" s="238">
        <f>'测算-整体经营'!Q$22</f>
        <v>80.257014734168706</v>
      </c>
    </row>
    <row r="42" spans="1:13" ht="16" customHeight="1">
      <c r="A42" s="237" t="s">
        <v>49</v>
      </c>
      <c r="B42" s="237" t="s">
        <v>41</v>
      </c>
      <c r="C42" s="238">
        <f t="shared" ref="C42:L42" si="10">C14-C28</f>
        <v>990.7228226537527</v>
      </c>
      <c r="D42" s="238">
        <f t="shared" si="10"/>
        <v>237.29548077026433</v>
      </c>
      <c r="E42" s="238">
        <f t="shared" si="10"/>
        <v>66.798425544395087</v>
      </c>
      <c r="F42" s="238">
        <f t="shared" si="10"/>
        <v>30.541077847591321</v>
      </c>
      <c r="G42" s="238">
        <f t="shared" si="10"/>
        <v>3.6704630023564473</v>
      </c>
      <c r="H42" s="238">
        <f t="shared" si="10"/>
        <v>31.878804528701714</v>
      </c>
      <c r="I42" s="238">
        <f t="shared" si="10"/>
        <v>407.18344736823542</v>
      </c>
      <c r="J42" s="238">
        <f t="shared" si="10"/>
        <v>96.809550711616723</v>
      </c>
      <c r="K42" s="238">
        <f t="shared" si="10"/>
        <v>18.1195699745547</v>
      </c>
      <c r="L42" s="238">
        <f t="shared" si="10"/>
        <v>13.686188145309387</v>
      </c>
      <c r="M42" s="238">
        <f>'测算-整体经营'!R$22</f>
        <v>84.739814760727626</v>
      </c>
    </row>
    <row r="43" spans="1:13" ht="16" customHeight="1">
      <c r="A43" s="237" t="s">
        <v>49</v>
      </c>
      <c r="B43" s="237" t="s">
        <v>42</v>
      </c>
      <c r="C43" s="238">
        <f t="shared" ref="C43:L43" si="11">C15-C29</f>
        <v>1197.80852375514</v>
      </c>
      <c r="D43" s="238">
        <f t="shared" si="11"/>
        <v>288.27797438907248</v>
      </c>
      <c r="E43" s="238">
        <f t="shared" si="11"/>
        <v>81.149943293528338</v>
      </c>
      <c r="F43" s="238">
        <f t="shared" si="11"/>
        <v>37.102771738356154</v>
      </c>
      <c r="G43" s="238">
        <f t="shared" si="11"/>
        <v>4.459055165967337</v>
      </c>
      <c r="H43" s="238">
        <f t="shared" si="11"/>
        <v>38.727906514058319</v>
      </c>
      <c r="I43" s="238">
        <f t="shared" si="11"/>
        <v>494.66605529549395</v>
      </c>
      <c r="J43" s="238">
        <f t="shared" si="11"/>
        <v>117.60890300173911</v>
      </c>
      <c r="K43" s="238">
        <f t="shared" si="11"/>
        <v>21.325529961832096</v>
      </c>
      <c r="L43" s="238">
        <f t="shared" si="11"/>
        <v>16.626640266517583</v>
      </c>
      <c r="M43" s="238">
        <f>'测算-整体经营'!S$22</f>
        <v>97.863744128574481</v>
      </c>
    </row>
    <row r="44" spans="1:13" ht="16" customHeight="1">
      <c r="A44" s="237" t="s">
        <v>49</v>
      </c>
      <c r="B44" s="237" t="s">
        <v>43</v>
      </c>
      <c r="C44" s="238">
        <f t="shared" ref="C44:L44" si="12">C16-C30</f>
        <v>1106.9482113421009</v>
      </c>
      <c r="D44" s="238">
        <f t="shared" si="12"/>
        <v>245.57012633143205</v>
      </c>
      <c r="E44" s="238">
        <f t="shared" si="12"/>
        <v>69.127729472264861</v>
      </c>
      <c r="F44" s="238">
        <f t="shared" si="12"/>
        <v>31.606064814155243</v>
      </c>
      <c r="G44" s="238">
        <f t="shared" si="12"/>
        <v>3.798454400638843</v>
      </c>
      <c r="H44" s="238">
        <f t="shared" si="12"/>
        <v>32.99043888234597</v>
      </c>
      <c r="I44" s="238">
        <f t="shared" si="12"/>
        <v>421.38219525171701</v>
      </c>
      <c r="J44" s="238">
        <f t="shared" si="12"/>
        <v>100.18536181629625</v>
      </c>
      <c r="K44" s="238">
        <f t="shared" si="12"/>
        <v>19.499794974554696</v>
      </c>
      <c r="L44" s="238">
        <f t="shared" si="12"/>
        <v>14.163434301107571</v>
      </c>
      <c r="M44" s="238">
        <f>'测算-整体经营'!T$22</f>
        <v>168.62461109758848</v>
      </c>
    </row>
    <row r="45" spans="1:13" ht="16" customHeight="1">
      <c r="A45" s="237" t="s">
        <v>49</v>
      </c>
      <c r="B45" s="237" t="s">
        <v>44</v>
      </c>
      <c r="C45" s="238">
        <f t="shared" ref="C45:L45" si="13">C17-C31</f>
        <v>9973.0129068114547</v>
      </c>
      <c r="D45" s="238">
        <f t="shared" si="13"/>
        <v>2726.8488401170657</v>
      </c>
      <c r="E45" s="238">
        <f t="shared" si="13"/>
        <v>486.93729287804729</v>
      </c>
      <c r="F45" s="238">
        <f t="shared" si="13"/>
        <v>282.21899313501137</v>
      </c>
      <c r="G45" s="238">
        <f t="shared" si="13"/>
        <v>24.34686464390235</v>
      </c>
      <c r="H45" s="238">
        <f t="shared" si="13"/>
        <v>243.46864643902356</v>
      </c>
      <c r="I45" s="238">
        <f t="shared" si="13"/>
        <v>3799.1018306636211</v>
      </c>
      <c r="J45" s="238">
        <f t="shared" si="13"/>
        <v>767.3593445170402</v>
      </c>
      <c r="K45" s="238">
        <f t="shared" si="13"/>
        <v>235.8831734427481</v>
      </c>
      <c r="L45" s="238">
        <f t="shared" si="13"/>
        <v>228.27491771463951</v>
      </c>
      <c r="M45" s="238">
        <f>'测算-整体经营'!V$22</f>
        <v>1178.5730032603574</v>
      </c>
    </row>
    <row r="46" spans="1:13" ht="16" customHeight="1">
      <c r="A46" s="237" t="s">
        <v>49</v>
      </c>
      <c r="B46" s="237" t="s">
        <v>45</v>
      </c>
      <c r="C46" s="238">
        <f t="shared" ref="C46:L46" si="14">C18-C32</f>
        <v>5535.8714922884583</v>
      </c>
      <c r="D46" s="238">
        <f t="shared" si="14"/>
        <v>1293.780872096143</v>
      </c>
      <c r="E46" s="238">
        <f t="shared" si="14"/>
        <v>364.19793994789984</v>
      </c>
      <c r="F46" s="238">
        <f t="shared" si="14"/>
        <v>166.51586538501138</v>
      </c>
      <c r="G46" s="238">
        <f t="shared" si="14"/>
        <v>20.012074434670076</v>
      </c>
      <c r="H46" s="238">
        <f t="shared" si="14"/>
        <v>173.80941006818583</v>
      </c>
      <c r="I46" s="238">
        <f t="shared" si="14"/>
        <v>2220.0429352011661</v>
      </c>
      <c r="J46" s="238">
        <f t="shared" si="14"/>
        <v>527.8244007865087</v>
      </c>
      <c r="K46" s="238">
        <f t="shared" si="14"/>
        <v>121.31893244274811</v>
      </c>
      <c r="L46" s="238">
        <f t="shared" si="14"/>
        <v>74.619745714639578</v>
      </c>
      <c r="M46" s="238">
        <f>'测算-整体经营'!W$22</f>
        <v>573.74931621148596</v>
      </c>
    </row>
    <row r="47" spans="1:13" ht="16" customHeight="1">
      <c r="A47" s="237" t="s">
        <v>51</v>
      </c>
      <c r="B47" s="237" t="s">
        <v>32</v>
      </c>
      <c r="C47" s="239">
        <f t="shared" ref="C47:L47" si="15">IFERROR(C33/C5,0)</f>
        <v>0.63682965225915122</v>
      </c>
      <c r="D47" s="239">
        <f t="shared" si="15"/>
        <v>0.69062932508344832</v>
      </c>
      <c r="E47" s="239">
        <f t="shared" si="15"/>
        <v>0.69062932508344865</v>
      </c>
      <c r="F47" s="239">
        <f t="shared" si="15"/>
        <v>0.69021739130434789</v>
      </c>
      <c r="G47" s="239">
        <f t="shared" si="15"/>
        <v>0.69062932508344876</v>
      </c>
      <c r="H47" s="239">
        <f t="shared" si="15"/>
        <v>0.69062932508344865</v>
      </c>
      <c r="I47" s="239">
        <f t="shared" si="15"/>
        <v>0.69021739130434812</v>
      </c>
      <c r="J47" s="239">
        <f t="shared" si="15"/>
        <v>0.61063040791100154</v>
      </c>
      <c r="K47" s="239">
        <f t="shared" si="15"/>
        <v>1</v>
      </c>
      <c r="L47" s="239">
        <f t="shared" si="15"/>
        <v>0.16836918658875577</v>
      </c>
      <c r="M47" s="239">
        <f>0</f>
        <v>0</v>
      </c>
    </row>
    <row r="48" spans="1:13" ht="16" customHeight="1">
      <c r="A48" s="237" t="s">
        <v>51</v>
      </c>
      <c r="B48" s="237" t="s">
        <v>33</v>
      </c>
      <c r="C48" s="239">
        <f t="shared" ref="C48:L48" si="16">IFERROR(C34/C6,0)</f>
        <v>0.67097721982349912</v>
      </c>
      <c r="D48" s="239">
        <f t="shared" si="16"/>
        <v>0.69062932508344832</v>
      </c>
      <c r="E48" s="239">
        <f t="shared" si="16"/>
        <v>0.69062932508344865</v>
      </c>
      <c r="F48" s="239">
        <f t="shared" si="16"/>
        <v>0.69021739130434789</v>
      </c>
      <c r="G48" s="239">
        <f t="shared" si="16"/>
        <v>0.69062932508344876</v>
      </c>
      <c r="H48" s="239">
        <f t="shared" si="16"/>
        <v>0.69062932508344865</v>
      </c>
      <c r="I48" s="239">
        <f t="shared" si="16"/>
        <v>0.69021739130434823</v>
      </c>
      <c r="J48" s="239">
        <f t="shared" si="16"/>
        <v>0.61063040791100143</v>
      </c>
      <c r="K48" s="239">
        <f t="shared" si="16"/>
        <v>1</v>
      </c>
      <c r="L48" s="239">
        <f t="shared" si="16"/>
        <v>0.21613208061689376</v>
      </c>
      <c r="M48" s="239">
        <f>0</f>
        <v>0</v>
      </c>
    </row>
    <row r="49" spans="1:13" ht="16" customHeight="1">
      <c r="A49" s="237" t="s">
        <v>51</v>
      </c>
      <c r="B49" s="237" t="s">
        <v>34</v>
      </c>
      <c r="C49" s="239">
        <f t="shared" ref="C49:L49" si="17">IFERROR(C35/C7,0)</f>
        <v>0.60547801479747554</v>
      </c>
      <c r="D49" s="239">
        <f t="shared" si="17"/>
        <v>0.69062932508344843</v>
      </c>
      <c r="E49" s="239">
        <f t="shared" si="17"/>
        <v>0.69062932508344865</v>
      </c>
      <c r="F49" s="239">
        <f t="shared" si="17"/>
        <v>0.69021739130434789</v>
      </c>
      <c r="G49" s="239">
        <f t="shared" si="17"/>
        <v>0.69062932508344865</v>
      </c>
      <c r="H49" s="239">
        <f t="shared" si="17"/>
        <v>0.69062932508344876</v>
      </c>
      <c r="I49" s="239">
        <f t="shared" si="17"/>
        <v>0.69021739130434823</v>
      </c>
      <c r="J49" s="239">
        <f t="shared" si="17"/>
        <v>0.61063040791100143</v>
      </c>
      <c r="K49" s="239">
        <f t="shared" si="17"/>
        <v>1</v>
      </c>
      <c r="L49" s="239">
        <f t="shared" si="17"/>
        <v>0.12766762195818868</v>
      </c>
      <c r="M49" s="239">
        <f>0</f>
        <v>0</v>
      </c>
    </row>
    <row r="50" spans="1:13" ht="16" customHeight="1">
      <c r="A50" s="237" t="s">
        <v>51</v>
      </c>
      <c r="B50" s="237" t="s">
        <v>35</v>
      </c>
      <c r="C50" s="239">
        <f t="shared" ref="C50:L50" si="18">IFERROR(C36/C8,0)</f>
        <v>0.66631837840964359</v>
      </c>
      <c r="D50" s="239">
        <f t="shared" si="18"/>
        <v>0.69062932508344843</v>
      </c>
      <c r="E50" s="239">
        <f t="shared" si="18"/>
        <v>0.69062932508344854</v>
      </c>
      <c r="F50" s="239">
        <f t="shared" si="18"/>
        <v>0.69021739130434789</v>
      </c>
      <c r="G50" s="239">
        <f t="shared" si="18"/>
        <v>0.69062932508344876</v>
      </c>
      <c r="H50" s="239">
        <f t="shared" si="18"/>
        <v>0.69062932508344865</v>
      </c>
      <c r="I50" s="239">
        <f t="shared" si="18"/>
        <v>0.69021739130434823</v>
      </c>
      <c r="J50" s="239">
        <f t="shared" si="18"/>
        <v>0.61063040791100143</v>
      </c>
      <c r="K50" s="239">
        <f t="shared" si="18"/>
        <v>1</v>
      </c>
      <c r="L50" s="239">
        <f t="shared" si="18"/>
        <v>0.18600709742740695</v>
      </c>
      <c r="M50" s="239">
        <f>0</f>
        <v>0</v>
      </c>
    </row>
    <row r="51" spans="1:13" ht="16" customHeight="1">
      <c r="A51" s="237" t="s">
        <v>51</v>
      </c>
      <c r="B51" s="237" t="s">
        <v>36</v>
      </c>
      <c r="C51" s="239">
        <f t="shared" ref="C51:L51" si="19">IFERROR(C37/C9,0)</f>
        <v>0.65855966384802267</v>
      </c>
      <c r="D51" s="239">
        <f t="shared" si="19"/>
        <v>0.69062932508344832</v>
      </c>
      <c r="E51" s="239">
        <f t="shared" si="19"/>
        <v>0.69062932508344865</v>
      </c>
      <c r="F51" s="239">
        <f t="shared" si="19"/>
        <v>0.69021739130434789</v>
      </c>
      <c r="G51" s="239">
        <f t="shared" si="19"/>
        <v>0.69062932508344876</v>
      </c>
      <c r="H51" s="239">
        <f t="shared" si="19"/>
        <v>0.69062932508344876</v>
      </c>
      <c r="I51" s="239">
        <f t="shared" si="19"/>
        <v>0.69021739130434812</v>
      </c>
      <c r="J51" s="239">
        <f t="shared" si="19"/>
        <v>0.61063040791100143</v>
      </c>
      <c r="K51" s="239">
        <f t="shared" si="19"/>
        <v>1</v>
      </c>
      <c r="L51" s="239">
        <f t="shared" si="19"/>
        <v>0.18469523799972995</v>
      </c>
      <c r="M51" s="239">
        <f>0</f>
        <v>0</v>
      </c>
    </row>
    <row r="52" spans="1:13" ht="16" customHeight="1">
      <c r="A52" s="237" t="s">
        <v>51</v>
      </c>
      <c r="B52" s="237" t="s">
        <v>37</v>
      </c>
      <c r="C52" s="239">
        <f t="shared" ref="C52:L52" si="20">IFERROR(C38/C10,0)</f>
        <v>0.66935265764098106</v>
      </c>
      <c r="D52" s="239">
        <f t="shared" si="20"/>
        <v>0.69062932508344843</v>
      </c>
      <c r="E52" s="239">
        <f t="shared" si="20"/>
        <v>0.69062932508344854</v>
      </c>
      <c r="F52" s="239">
        <f t="shared" si="20"/>
        <v>0.69021739130434789</v>
      </c>
      <c r="G52" s="239">
        <f t="shared" si="20"/>
        <v>0.69062932508344876</v>
      </c>
      <c r="H52" s="239">
        <f t="shared" si="20"/>
        <v>0.69062932508344865</v>
      </c>
      <c r="I52" s="239">
        <f t="shared" si="20"/>
        <v>0.69021739130434812</v>
      </c>
      <c r="J52" s="239">
        <f t="shared" si="20"/>
        <v>0.61063040791100154</v>
      </c>
      <c r="K52" s="239">
        <f t="shared" si="20"/>
        <v>1</v>
      </c>
      <c r="L52" s="239">
        <f t="shared" si="20"/>
        <v>0.19139658091578607</v>
      </c>
      <c r="M52" s="239">
        <f>0</f>
        <v>0</v>
      </c>
    </row>
    <row r="53" spans="1:13" ht="16" customHeight="1">
      <c r="A53" s="237" t="s">
        <v>51</v>
      </c>
      <c r="B53" s="237" t="s">
        <v>38</v>
      </c>
      <c r="C53" s="239">
        <f t="shared" ref="C53:L53" si="21">IFERROR(C39/C11,0)</f>
        <v>0.67284649287927711</v>
      </c>
      <c r="D53" s="239">
        <f t="shared" si="21"/>
        <v>0.69062932508344843</v>
      </c>
      <c r="E53" s="239">
        <f t="shared" si="21"/>
        <v>0.69062932508344865</v>
      </c>
      <c r="F53" s="239">
        <f t="shared" si="21"/>
        <v>0.69021739130434789</v>
      </c>
      <c r="G53" s="239">
        <f t="shared" si="21"/>
        <v>0.69062932508344876</v>
      </c>
      <c r="H53" s="239">
        <f t="shared" si="21"/>
        <v>0.69062932508344865</v>
      </c>
      <c r="I53" s="239">
        <f t="shared" si="21"/>
        <v>0.69021739130434812</v>
      </c>
      <c r="J53" s="239">
        <f t="shared" si="21"/>
        <v>0.61063040791100143</v>
      </c>
      <c r="K53" s="239">
        <f t="shared" si="21"/>
        <v>0.60319977346856868</v>
      </c>
      <c r="L53" s="239">
        <f t="shared" si="21"/>
        <v>0.13939838591342621</v>
      </c>
      <c r="M53" s="239">
        <f>0</f>
        <v>0</v>
      </c>
    </row>
    <row r="54" spans="1:13" ht="16" customHeight="1">
      <c r="A54" s="237" t="s">
        <v>51</v>
      </c>
      <c r="B54" s="237" t="s">
        <v>39</v>
      </c>
      <c r="C54" s="239">
        <f t="shared" ref="C54:L54" si="22">IFERROR(C40/C12,0)</f>
        <v>0.66147785469216891</v>
      </c>
      <c r="D54" s="239">
        <f t="shared" si="22"/>
        <v>0.69062932508344843</v>
      </c>
      <c r="E54" s="239">
        <f t="shared" si="22"/>
        <v>0.69062932508344865</v>
      </c>
      <c r="F54" s="239">
        <f t="shared" si="22"/>
        <v>0.690217391304348</v>
      </c>
      <c r="G54" s="239">
        <f t="shared" si="22"/>
        <v>0.69062932508344876</v>
      </c>
      <c r="H54" s="239">
        <f t="shared" si="22"/>
        <v>0.69062932508344865</v>
      </c>
      <c r="I54" s="239">
        <f t="shared" si="22"/>
        <v>0.69021739130434823</v>
      </c>
      <c r="J54" s="239">
        <f t="shared" si="22"/>
        <v>0.61063040791100143</v>
      </c>
      <c r="K54" s="239">
        <f t="shared" si="22"/>
        <v>0.60438441015659627</v>
      </c>
      <c r="L54" s="239">
        <f t="shared" si="22"/>
        <v>0.13939838591342624</v>
      </c>
      <c r="M54" s="239">
        <f>0</f>
        <v>0</v>
      </c>
    </row>
    <row r="55" spans="1:13" ht="16" customHeight="1">
      <c r="A55" s="237" t="s">
        <v>51</v>
      </c>
      <c r="B55" s="237" t="s">
        <v>40</v>
      </c>
      <c r="C55" s="239">
        <f t="shared" ref="C55:L55" si="23">IFERROR(C41/C13,0)</f>
        <v>0.66191104474396012</v>
      </c>
      <c r="D55" s="239">
        <f t="shared" si="23"/>
        <v>0.69062932508344832</v>
      </c>
      <c r="E55" s="239">
        <f t="shared" si="23"/>
        <v>0.69062932508344854</v>
      </c>
      <c r="F55" s="239">
        <f t="shared" si="23"/>
        <v>0.69021739130434789</v>
      </c>
      <c r="G55" s="239">
        <f t="shared" si="23"/>
        <v>0.69062932508344865</v>
      </c>
      <c r="H55" s="239">
        <f t="shared" si="23"/>
        <v>0.69062932508344876</v>
      </c>
      <c r="I55" s="239">
        <f t="shared" si="23"/>
        <v>0.69021739130434823</v>
      </c>
      <c r="J55" s="239">
        <f t="shared" si="23"/>
        <v>0.61063040791100143</v>
      </c>
      <c r="K55" s="239">
        <f t="shared" si="23"/>
        <v>0.60552191394568344</v>
      </c>
      <c r="L55" s="239">
        <f t="shared" si="23"/>
        <v>0.13939838591342621</v>
      </c>
      <c r="M55" s="239">
        <f>0</f>
        <v>0</v>
      </c>
    </row>
    <row r="56" spans="1:13" ht="16" customHeight="1">
      <c r="A56" s="237" t="s">
        <v>51</v>
      </c>
      <c r="B56" s="237" t="s">
        <v>41</v>
      </c>
      <c r="C56" s="239">
        <f t="shared" ref="C56:L56" si="24">IFERROR(C42/C14,0)</f>
        <v>0.66164591593665145</v>
      </c>
      <c r="D56" s="239">
        <f t="shared" si="24"/>
        <v>0.69062932508344832</v>
      </c>
      <c r="E56" s="239">
        <f t="shared" si="24"/>
        <v>0.69062932508344854</v>
      </c>
      <c r="F56" s="239">
        <f t="shared" si="24"/>
        <v>0.69021739130434789</v>
      </c>
      <c r="G56" s="239">
        <f t="shared" si="24"/>
        <v>0.69062932508344876</v>
      </c>
      <c r="H56" s="239">
        <f t="shared" si="24"/>
        <v>0.69062932508344876</v>
      </c>
      <c r="I56" s="239">
        <f t="shared" si="24"/>
        <v>0.69021739130434823</v>
      </c>
      <c r="J56" s="239">
        <f t="shared" si="24"/>
        <v>0.61063040791100143</v>
      </c>
      <c r="K56" s="239">
        <f t="shared" si="24"/>
        <v>0.60541848957715594</v>
      </c>
      <c r="L56" s="239">
        <f t="shared" si="24"/>
        <v>0.13939838591342632</v>
      </c>
      <c r="M56" s="239">
        <f>0</f>
        <v>0</v>
      </c>
    </row>
    <row r="57" spans="1:13" ht="16" customHeight="1">
      <c r="A57" s="237" t="s">
        <v>51</v>
      </c>
      <c r="B57" s="237" t="s">
        <v>42</v>
      </c>
      <c r="C57" s="239">
        <f t="shared" ref="C57:L57" si="25">IFERROR(C43/C15,0)</f>
        <v>0.66074119205513349</v>
      </c>
      <c r="D57" s="239">
        <f t="shared" si="25"/>
        <v>0.69062932508344832</v>
      </c>
      <c r="E57" s="239">
        <f t="shared" si="25"/>
        <v>0.69062932508344854</v>
      </c>
      <c r="F57" s="239">
        <f t="shared" si="25"/>
        <v>0.69021739130434789</v>
      </c>
      <c r="G57" s="239">
        <f t="shared" si="25"/>
        <v>0.69062932508344876</v>
      </c>
      <c r="H57" s="239">
        <f t="shared" si="25"/>
        <v>0.69062932508344865</v>
      </c>
      <c r="I57" s="239">
        <f t="shared" si="25"/>
        <v>0.69021739130434812</v>
      </c>
      <c r="J57" s="239">
        <f t="shared" si="25"/>
        <v>0.61063040791100154</v>
      </c>
      <c r="K57" s="239">
        <f t="shared" si="25"/>
        <v>0.6058264414108544</v>
      </c>
      <c r="L57" s="239">
        <f t="shared" si="25"/>
        <v>0.13939838591342629</v>
      </c>
      <c r="M57" s="239">
        <f>0</f>
        <v>0</v>
      </c>
    </row>
    <row r="58" spans="1:13" ht="16" customHeight="1">
      <c r="A58" s="237" t="s">
        <v>51</v>
      </c>
      <c r="B58" s="237" t="s">
        <v>43</v>
      </c>
      <c r="C58" s="239">
        <f t="shared" ref="C58:L58" si="26">IFERROR(C44/C16,0)</f>
        <v>0.67838899747791348</v>
      </c>
      <c r="D58" s="239">
        <f t="shared" si="26"/>
        <v>0.69062932508344843</v>
      </c>
      <c r="E58" s="239">
        <f t="shared" si="26"/>
        <v>0.69062932508344865</v>
      </c>
      <c r="F58" s="239">
        <f t="shared" si="26"/>
        <v>0.69021739130434789</v>
      </c>
      <c r="G58" s="239">
        <f t="shared" si="26"/>
        <v>0.69062932508344865</v>
      </c>
      <c r="H58" s="239">
        <f t="shared" si="26"/>
        <v>0.69062932508344876</v>
      </c>
      <c r="I58" s="239">
        <f t="shared" si="26"/>
        <v>0.69021739130434823</v>
      </c>
      <c r="J58" s="239">
        <f t="shared" si="26"/>
        <v>0.61063040791100154</v>
      </c>
      <c r="K58" s="239">
        <f t="shared" si="26"/>
        <v>0.60561049594755967</v>
      </c>
      <c r="L58" s="239">
        <f t="shared" si="26"/>
        <v>0.13939838591342632</v>
      </c>
      <c r="M58" s="239">
        <f>0</f>
        <v>0</v>
      </c>
    </row>
    <row r="59" spans="1:13" ht="16" customHeight="1">
      <c r="A59" s="237" t="s">
        <v>51</v>
      </c>
      <c r="B59" s="237" t="s">
        <v>44</v>
      </c>
      <c r="C59" s="239">
        <f t="shared" ref="C59:L59" si="27">IFERROR(C45/C17,0)</f>
        <v>0.65923516495844514</v>
      </c>
      <c r="D59" s="239">
        <f t="shared" si="27"/>
        <v>0.69062932508344843</v>
      </c>
      <c r="E59" s="239">
        <f t="shared" si="27"/>
        <v>0.69062932508344876</v>
      </c>
      <c r="F59" s="239">
        <f t="shared" si="27"/>
        <v>0.69021739130434789</v>
      </c>
      <c r="G59" s="239">
        <f t="shared" si="27"/>
        <v>0.69062932508344876</v>
      </c>
      <c r="H59" s="239">
        <f t="shared" si="27"/>
        <v>0.69062932508344865</v>
      </c>
      <c r="I59" s="239">
        <f t="shared" si="27"/>
        <v>0.69021739130434823</v>
      </c>
      <c r="J59" s="239">
        <f t="shared" si="27"/>
        <v>0.61063040791100143</v>
      </c>
      <c r="K59" s="239">
        <f t="shared" si="27"/>
        <v>0.74858786452239889</v>
      </c>
      <c r="L59" s="239">
        <f t="shared" si="27"/>
        <v>0.16035994599593378</v>
      </c>
      <c r="M59" s="239">
        <f>0</f>
        <v>0</v>
      </c>
    </row>
    <row r="60" spans="1:13" ht="16" customHeight="1">
      <c r="A60" s="237" t="s">
        <v>51</v>
      </c>
      <c r="B60" s="237" t="s">
        <v>45</v>
      </c>
      <c r="C60" s="239">
        <f t="shared" ref="C60:L60" si="28">IFERROR(C46/C18,0)</f>
        <v>0.66592985995944209</v>
      </c>
      <c r="D60" s="239">
        <f t="shared" si="28"/>
        <v>0.69062932508344843</v>
      </c>
      <c r="E60" s="239">
        <f t="shared" si="28"/>
        <v>0.69062932508344865</v>
      </c>
      <c r="F60" s="239">
        <f t="shared" si="28"/>
        <v>0.69021739130434789</v>
      </c>
      <c r="G60" s="239">
        <f t="shared" si="28"/>
        <v>0.69062932508344876</v>
      </c>
      <c r="H60" s="239">
        <f t="shared" si="28"/>
        <v>0.69062932508344876</v>
      </c>
      <c r="I60" s="239">
        <f t="shared" si="28"/>
        <v>0.69021739130434823</v>
      </c>
      <c r="J60" s="239">
        <f t="shared" si="28"/>
        <v>0.61063040791100154</v>
      </c>
      <c r="K60" s="239">
        <f t="shared" si="28"/>
        <v>0.60496141762650335</v>
      </c>
      <c r="L60" s="239">
        <f t="shared" si="28"/>
        <v>0.13939838591342632</v>
      </c>
      <c r="M60" s="239">
        <f>0</f>
        <v>0</v>
      </c>
    </row>
    <row r="61" spans="1:13" ht="16" customHeight="1">
      <c r="A61" s="237" t="s">
        <v>52</v>
      </c>
      <c r="B61" s="237" t="s">
        <v>32</v>
      </c>
      <c r="C61" s="238">
        <f t="shared" ref="C61:C74" si="29">SUM(D61:M61)</f>
        <v>498.88657018632188</v>
      </c>
      <c r="D61" s="238">
        <f>'测算-高个子抖音'!I$20</f>
        <v>237.86509018029867</v>
      </c>
      <c r="E61" s="238">
        <f>'测算-高个子视频号'!I$20</f>
        <v>17.620675958508134</v>
      </c>
      <c r="F61" s="238">
        <f>'测算-天猫淘宝'!I$19</f>
        <v>10.185267872481338</v>
      </c>
      <c r="G61" s="238">
        <f>'测算-拼多多'!I$20</f>
        <v>6.2721334670190698E-2</v>
      </c>
      <c r="H61" s="238">
        <f>'测算-京东POP'!I$20</f>
        <v>5.6659252761763073</v>
      </c>
      <c r="I61" s="238">
        <f>'测算-京东自营'!I$19</f>
        <v>200.12232864753747</v>
      </c>
      <c r="J61" s="238">
        <f>'测算-达播'!I$21</f>
        <v>19.243950441649815</v>
      </c>
      <c r="K61" s="238">
        <f>'测算-私域'!I$20</f>
        <v>0</v>
      </c>
      <c r="L61" s="238">
        <f>'测算-外部分销'!I$20</f>
        <v>8.1206104749999479</v>
      </c>
      <c r="M61" s="238">
        <f>0</f>
        <v>0</v>
      </c>
    </row>
    <row r="62" spans="1:13" ht="16" customHeight="1">
      <c r="A62" s="237" t="s">
        <v>52</v>
      </c>
      <c r="B62" s="237" t="s">
        <v>33</v>
      </c>
      <c r="C62" s="238">
        <f t="shared" si="29"/>
        <v>327.58577860940818</v>
      </c>
      <c r="D62" s="238">
        <f>'测算-高个子抖音'!J$20</f>
        <v>151.88622127014935</v>
      </c>
      <c r="E62" s="238">
        <f>'测算-高个子视频号'!J$20</f>
        <v>6.2417176127377481</v>
      </c>
      <c r="F62" s="238">
        <f>'测算-天猫淘宝'!J$19</f>
        <v>6.7460172967693834</v>
      </c>
      <c r="G62" s="238">
        <f>'测算-拼多多'!J$20</f>
        <v>0.15901469937628604</v>
      </c>
      <c r="H62" s="238">
        <f>'测算-京东POP'!J$20</f>
        <v>4.2449910957102226</v>
      </c>
      <c r="I62" s="238">
        <f>'测算-京东自营'!J$19</f>
        <v>146.47120395933345</v>
      </c>
      <c r="J62" s="238">
        <f>'测算-达播'!J$21</f>
        <v>5.5882433161573619</v>
      </c>
      <c r="K62" s="238">
        <f>'测算-私域'!J$20</f>
        <v>0</v>
      </c>
      <c r="L62" s="238">
        <f>'测算-外部分销'!J$20</f>
        <v>6.2483693591743226</v>
      </c>
      <c r="M62" s="238">
        <f>0</f>
        <v>0</v>
      </c>
    </row>
    <row r="63" spans="1:13" ht="16" customHeight="1">
      <c r="A63" s="237" t="s">
        <v>52</v>
      </c>
      <c r="B63" s="237" t="s">
        <v>34</v>
      </c>
      <c r="C63" s="238">
        <f t="shared" si="29"/>
        <v>661.62351712611849</v>
      </c>
      <c r="D63" s="238">
        <f>'测算-高个子抖音'!K$20</f>
        <v>287.15879890724932</v>
      </c>
      <c r="E63" s="238">
        <f>'测算-高个子视频号'!K$20</f>
        <v>11.311505680665437</v>
      </c>
      <c r="F63" s="238">
        <f>'测算-天猫淘宝'!K$19</f>
        <v>12.697781231328117</v>
      </c>
      <c r="G63" s="238">
        <f>'测算-拼多多'!K$20</f>
        <v>0.15759851604096498</v>
      </c>
      <c r="H63" s="238">
        <f>'测算-京东POP'!K$20</f>
        <v>8.3678421756994474</v>
      </c>
      <c r="I63" s="238">
        <f>'测算-京东自营'!K$19</f>
        <v>267.27736185604613</v>
      </c>
      <c r="J63" s="238">
        <f>'测算-达播'!K$21</f>
        <v>62.7869347590891</v>
      </c>
      <c r="K63" s="238">
        <f>'测算-私域'!K$20</f>
        <v>0</v>
      </c>
      <c r="L63" s="238">
        <f>'测算-外部分销'!K$20</f>
        <v>11.865694000000001</v>
      </c>
      <c r="M63" s="238">
        <f>0</f>
        <v>0</v>
      </c>
    </row>
    <row r="64" spans="1:13" ht="16" customHeight="1">
      <c r="A64" s="237" t="s">
        <v>52</v>
      </c>
      <c r="B64" s="237" t="s">
        <v>35</v>
      </c>
      <c r="C64" s="238">
        <f t="shared" si="29"/>
        <v>432.6088521603948</v>
      </c>
      <c r="D64" s="238">
        <f>'测算-高个子抖音'!L$20</f>
        <v>177.94863778050384</v>
      </c>
      <c r="E64" s="238">
        <f>'测算-高个子视频号'!L$20</f>
        <v>10.545045412170508</v>
      </c>
      <c r="F64" s="238">
        <f>'测算-天猫淘宝'!L$19</f>
        <v>16.690068120893486</v>
      </c>
      <c r="G64" s="238">
        <f>'测算-拼多多'!L$20</f>
        <v>3.2302403822592161E-2</v>
      </c>
      <c r="H64" s="238">
        <f>'测算-京东POP'!L$20</f>
        <v>7.0236871959602469</v>
      </c>
      <c r="I64" s="238">
        <f>'测算-京东自营'!L$19</f>
        <v>193.06433399125189</v>
      </c>
      <c r="J64" s="238">
        <f>'测算-达播'!L$21</f>
        <v>17.792034255792245</v>
      </c>
      <c r="K64" s="238">
        <f>'测算-私域'!L$20</f>
        <v>0</v>
      </c>
      <c r="L64" s="238">
        <f>'测算-外部分销'!L$20</f>
        <v>9.5127430000000004</v>
      </c>
      <c r="M64" s="238">
        <f>0</f>
        <v>0</v>
      </c>
    </row>
    <row r="65" spans="1:13" ht="16" customHeight="1">
      <c r="A65" s="237" t="s">
        <v>52</v>
      </c>
      <c r="B65" s="237" t="s">
        <v>36</v>
      </c>
      <c r="C65" s="238">
        <f t="shared" si="29"/>
        <v>566.72381335035129</v>
      </c>
      <c r="D65" s="238">
        <f>'测算-高个子抖音'!M$20</f>
        <v>225.70136504297102</v>
      </c>
      <c r="E65" s="238">
        <f>'测算-高个子视频号'!M$20</f>
        <v>72.342122219670031</v>
      </c>
      <c r="F65" s="238">
        <f>'测算-天猫淘宝'!M$19</f>
        <v>13.350269686663552</v>
      </c>
      <c r="G65" s="238">
        <f>'测算-拼多多'!M$20</f>
        <v>0.29194483954896067</v>
      </c>
      <c r="H65" s="238">
        <f>'测算-京东POP'!M$20</f>
        <v>7.4856342692035494</v>
      </c>
      <c r="I65" s="238">
        <f>'测算-京东自营'!M$19</f>
        <v>211.50160552956865</v>
      </c>
      <c r="J65" s="238">
        <f>'测算-达播'!M$21</f>
        <v>26.062858762725622</v>
      </c>
      <c r="K65" s="238">
        <f>'测算-私域'!M$20</f>
        <v>0</v>
      </c>
      <c r="L65" s="238">
        <f>'测算-外部分销'!M$20</f>
        <v>9.9880129999999987</v>
      </c>
      <c r="M65" s="238">
        <f>0</f>
        <v>0</v>
      </c>
    </row>
    <row r="66" spans="1:13" ht="16" customHeight="1">
      <c r="A66" s="237" t="s">
        <v>52</v>
      </c>
      <c r="B66" s="237" t="s">
        <v>37</v>
      </c>
      <c r="C66" s="238">
        <f t="shared" si="29"/>
        <v>657.77219340075033</v>
      </c>
      <c r="D66" s="238">
        <f>'测算-高个子抖音'!N$20</f>
        <v>143.39233187417415</v>
      </c>
      <c r="E66" s="238">
        <f>'测算-高个子视频号'!N$20</f>
        <v>63.93707438899024</v>
      </c>
      <c r="F66" s="238">
        <f>'测算-天猫淘宝'!N$19</f>
        <v>12.591745031406308</v>
      </c>
      <c r="G66" s="238">
        <f>'测算-拼多多'!N$20</f>
        <v>1.9239376744824341</v>
      </c>
      <c r="H66" s="238">
        <f>'测算-京东POP'!N$20</f>
        <v>7.4944360798153724</v>
      </c>
      <c r="I66" s="238">
        <f>'测算-京东自营'!N$19</f>
        <v>406.1050840169666</v>
      </c>
      <c r="J66" s="238">
        <f>'测算-达播'!N$21</f>
        <v>12.19409333491528</v>
      </c>
      <c r="K66" s="238">
        <f>'测算-私域'!N$20</f>
        <v>0</v>
      </c>
      <c r="L66" s="238">
        <f>'测算-外部分销'!N$20</f>
        <v>10.133490999999999</v>
      </c>
      <c r="M66" s="238">
        <f>0</f>
        <v>0</v>
      </c>
    </row>
    <row r="67" spans="1:13" ht="16" customHeight="1">
      <c r="A67" s="237" t="s">
        <v>52</v>
      </c>
      <c r="B67" s="237" t="s">
        <v>38</v>
      </c>
      <c r="C67" s="238">
        <f t="shared" si="29"/>
        <v>456.89930433156417</v>
      </c>
      <c r="D67" s="238">
        <f>'测算-高个子抖音'!O$20</f>
        <v>105.85769750411708</v>
      </c>
      <c r="E67" s="238">
        <f>'测算-高个子视频号'!O$20</f>
        <v>51.385124903281536</v>
      </c>
      <c r="F67" s="238">
        <f>'测算-天猫淘宝'!O$19</f>
        <v>10.745798548335342</v>
      </c>
      <c r="G67" s="238">
        <f>'测算-拼多多'!O$20</f>
        <v>1.1379731226266603</v>
      </c>
      <c r="H67" s="238">
        <f>'测算-京东POP'!O$20</f>
        <v>10.868216331219426</v>
      </c>
      <c r="I67" s="238">
        <f>'测算-京东自营'!O$19</f>
        <v>201.64004184976793</v>
      </c>
      <c r="J67" s="238">
        <f>'测算-达播'!O$21</f>
        <v>58.070817585800782</v>
      </c>
      <c r="K67" s="238">
        <f>'测算-私域'!O$20</f>
        <v>13.65288326666667</v>
      </c>
      <c r="L67" s="238">
        <f>'测算-外部分销'!O$20</f>
        <v>3.5407512197487687</v>
      </c>
      <c r="M67" s="238">
        <f>0</f>
        <v>0</v>
      </c>
    </row>
    <row r="68" spans="1:13" ht="16" customHeight="1">
      <c r="A68" s="237" t="s">
        <v>52</v>
      </c>
      <c r="B68" s="237" t="s">
        <v>39</v>
      </c>
      <c r="C68" s="238">
        <f t="shared" si="29"/>
        <v>594.29350543011992</v>
      </c>
      <c r="D68" s="238">
        <f>'测算-高个子抖音'!P$20</f>
        <v>137.08181726634137</v>
      </c>
      <c r="E68" s="238">
        <f>'测算-高个子视频号'!P$20</f>
        <v>64.861735344095706</v>
      </c>
      <c r="F68" s="238">
        <f>'测算-天猫淘宝'!P$19</f>
        <v>13.916033019338443</v>
      </c>
      <c r="G68" s="238">
        <f>'测算-拼多多'!P$20</f>
        <v>1.5219805138010887</v>
      </c>
      <c r="H68" s="238">
        <f>'测算-京东POP'!P$20</f>
        <v>14.184122805113361</v>
      </c>
      <c r="I68" s="238">
        <f>'测算-京东自营'!P$19</f>
        <v>267.51875877593812</v>
      </c>
      <c r="J68" s="238">
        <f>'测算-达播'!P$21</f>
        <v>76.294268161486301</v>
      </c>
      <c r="K68" s="238">
        <f>'测算-私域'!P$20</f>
        <v>14.179216925</v>
      </c>
      <c r="L68" s="238">
        <f>'测算-外部分销'!P$20</f>
        <v>4.7355726190055556</v>
      </c>
      <c r="M68" s="238">
        <f>0</f>
        <v>0</v>
      </c>
    </row>
    <row r="69" spans="1:13" ht="16" customHeight="1">
      <c r="A69" s="237" t="s">
        <v>52</v>
      </c>
      <c r="B69" s="237" t="s">
        <v>40</v>
      </c>
      <c r="C69" s="238">
        <f t="shared" si="29"/>
        <v>735.7025433914157</v>
      </c>
      <c r="D69" s="238">
        <f>'测算-高个子抖音'!Q$20</f>
        <v>166.83739701394813</v>
      </c>
      <c r="E69" s="238">
        <f>'测算-高个子视频号'!Q$20</f>
        <v>79.064562506591969</v>
      </c>
      <c r="F69" s="238">
        <f>'测算-天猫淘宝'!Q$19</f>
        <v>17.240913074292912</v>
      </c>
      <c r="G69" s="238">
        <f>'测算-拼多多'!Q$20</f>
        <v>1.9247199728376838</v>
      </c>
      <c r="H69" s="238">
        <f>'测算-京东POP'!Q$20</f>
        <v>17.661780814319197</v>
      </c>
      <c r="I69" s="238">
        <f>'测算-京东自营'!Q$19</f>
        <v>336.61107164972623</v>
      </c>
      <c r="J69" s="238">
        <f>'测算-达播'!Q$21</f>
        <v>95.406667545741826</v>
      </c>
      <c r="K69" s="238">
        <f>'测算-私域'!Q$20</f>
        <v>14.966752825</v>
      </c>
      <c r="L69" s="238">
        <f>'测算-外部分销'!Q$20</f>
        <v>5.9886779889577939</v>
      </c>
      <c r="M69" s="238">
        <f>0</f>
        <v>0</v>
      </c>
    </row>
    <row r="70" spans="1:13" ht="16" customHeight="1">
      <c r="A70" s="237" t="s">
        <v>52</v>
      </c>
      <c r="B70" s="237" t="s">
        <v>41</v>
      </c>
      <c r="C70" s="238">
        <f t="shared" si="29"/>
        <v>789.04630707943636</v>
      </c>
      <c r="D70" s="238">
        <f>'测算-高个子抖音'!R$20</f>
        <v>178.42823331098111</v>
      </c>
      <c r="E70" s="238">
        <f>'测算-高个子视频号'!R$20</f>
        <v>84.857044192754316</v>
      </c>
      <c r="F70" s="238">
        <f>'测算-天猫淘宝'!R$19</f>
        <v>18.536069839885645</v>
      </c>
      <c r="G70" s="238">
        <f>'测算-拼多多'!R$20</f>
        <v>2.0816010411833354</v>
      </c>
      <c r="H70" s="238">
        <f>'测算-京东POP'!R$20</f>
        <v>19.016449922556355</v>
      </c>
      <c r="I70" s="238">
        <f>'测算-京东自营'!R$19</f>
        <v>363.52493771102752</v>
      </c>
      <c r="J70" s="238">
        <f>'测算-达播'!R$21</f>
        <v>102.85161381751583</v>
      </c>
      <c r="K70" s="238">
        <f>'测算-私域'!R$20</f>
        <v>13.273550999999999</v>
      </c>
      <c r="L70" s="238">
        <f>'测算-外部分销'!R$20</f>
        <v>6.4768062435322147</v>
      </c>
      <c r="M70" s="238">
        <f>0</f>
        <v>0</v>
      </c>
    </row>
    <row r="71" spans="1:13" ht="16" customHeight="1">
      <c r="A71" s="237" t="s">
        <v>52</v>
      </c>
      <c r="B71" s="237" t="s">
        <v>42</v>
      </c>
      <c r="C71" s="238">
        <f t="shared" si="29"/>
        <v>948.4320664288673</v>
      </c>
      <c r="D71" s="238">
        <f>'测算-高个子抖音'!S$20</f>
        <v>211.47076663535842</v>
      </c>
      <c r="E71" s="238">
        <f>'测算-高个子视频号'!S$20</f>
        <v>101.36993974584388</v>
      </c>
      <c r="F71" s="238">
        <f>'测算-天猫淘宝'!S$19</f>
        <v>22.22823315672462</v>
      </c>
      <c r="G71" s="238">
        <f>'测算-拼多多'!S$20</f>
        <v>2.5288291613925784</v>
      </c>
      <c r="H71" s="238">
        <f>'测算-京东POP'!S$20</f>
        <v>22.878267828127953</v>
      </c>
      <c r="I71" s="238">
        <f>'测算-京东自营'!S$19</f>
        <v>440.24954096040852</v>
      </c>
      <c r="J71" s="238">
        <f>'测算-达播'!S$21</f>
        <v>124.07526662212517</v>
      </c>
      <c r="K71" s="238">
        <f>'测算-私域'!S$20</f>
        <v>15.762886275</v>
      </c>
      <c r="L71" s="238">
        <f>'测算-外部分销'!S$20</f>
        <v>7.8683360438861545</v>
      </c>
      <c r="M71" s="238">
        <f>0</f>
        <v>0</v>
      </c>
    </row>
    <row r="72" spans="1:13" ht="16" customHeight="1">
      <c r="A72" s="237" t="s">
        <v>52</v>
      </c>
      <c r="B72" s="237" t="s">
        <v>43</v>
      </c>
      <c r="C72" s="238">
        <f t="shared" si="29"/>
        <v>815.71125114478878</v>
      </c>
      <c r="D72" s="238">
        <f>'测算-高个子抖音'!T$20</f>
        <v>183.79115756781715</v>
      </c>
      <c r="E72" s="238">
        <f>'测算-高个子视频号'!T$20</f>
        <v>87.537147659486095</v>
      </c>
      <c r="F72" s="238">
        <f>'测算-天猫淘宝'!T$19</f>
        <v>19.135321477697204</v>
      </c>
      <c r="G72" s="238">
        <f>'测算-拼多多'!T$20</f>
        <v>2.1541878041492337</v>
      </c>
      <c r="H72" s="238">
        <f>'测算-京东POP'!T$20</f>
        <v>19.64323712188996</v>
      </c>
      <c r="I72" s="238">
        <f>'测算-京东自营'!T$19</f>
        <v>375.97762200804738</v>
      </c>
      <c r="J72" s="238">
        <f>'测算-达播'!T$21</f>
        <v>106.29629045072464</v>
      </c>
      <c r="K72" s="238">
        <f>'测算-私域'!T$20</f>
        <v>14.473630425</v>
      </c>
      <c r="L72" s="238">
        <f>'测算-外部分销'!T$20</f>
        <v>6.7026566299770929</v>
      </c>
      <c r="M72" s="238">
        <f>0</f>
        <v>0</v>
      </c>
    </row>
    <row r="73" spans="1:13" ht="16" customHeight="1">
      <c r="A73" s="237" t="s">
        <v>52</v>
      </c>
      <c r="B73" s="237" t="s">
        <v>44</v>
      </c>
      <c r="C73" s="238">
        <f t="shared" si="29"/>
        <v>7485.2857026395368</v>
      </c>
      <c r="D73" s="238">
        <f>'测算-高个子抖音'!V$20</f>
        <v>2207.4195143539096</v>
      </c>
      <c r="E73" s="238">
        <f>'测算-高个子视频号'!V$20</f>
        <v>651.07369562479562</v>
      </c>
      <c r="F73" s="238">
        <f>'测算-天猫淘宝'!V$19</f>
        <v>174.06351835581634</v>
      </c>
      <c r="G73" s="238">
        <f>'测算-拼多多'!V$20</f>
        <v>13.976811083932009</v>
      </c>
      <c r="H73" s="238">
        <f>'测算-京东POP'!V$20</f>
        <v>144.5345909157914</v>
      </c>
      <c r="I73" s="238">
        <f>'测算-京东自营'!V$19</f>
        <v>3410.0638909556201</v>
      </c>
      <c r="J73" s="238">
        <f>'测算-达播'!V$21</f>
        <v>706.66303905372399</v>
      </c>
      <c r="K73" s="238">
        <f>'测算-私域'!V$20</f>
        <v>86.308920716666663</v>
      </c>
      <c r="L73" s="238">
        <f>'测算-外部分销'!V$20</f>
        <v>91.181721579281856</v>
      </c>
      <c r="M73" s="238">
        <f>0</f>
        <v>0</v>
      </c>
    </row>
    <row r="74" spans="1:13" ht="16" customHeight="1">
      <c r="A74" s="237" t="s">
        <v>52</v>
      </c>
      <c r="B74" s="237" t="s">
        <v>45</v>
      </c>
      <c r="C74" s="238">
        <f t="shared" si="29"/>
        <v>4340.084977806192</v>
      </c>
      <c r="D74" s="238">
        <f>'测算-高个子抖音'!W$20</f>
        <v>983.46706929856327</v>
      </c>
      <c r="E74" s="238">
        <f>'测算-高个子视频号'!W$20</f>
        <v>469.07555435205347</v>
      </c>
      <c r="F74" s="238">
        <f>'测算-天猫淘宝'!W$19</f>
        <v>101.80236911627418</v>
      </c>
      <c r="G74" s="238">
        <f>'测算-拼多多'!W$20</f>
        <v>11.34929161599058</v>
      </c>
      <c r="H74" s="238">
        <f>'测算-京东POP'!W$20</f>
        <v>104.25207482322625</v>
      </c>
      <c r="I74" s="238">
        <f>'测算-京东自营'!W$19</f>
        <v>1985.5219729549156</v>
      </c>
      <c r="J74" s="238">
        <f>'测算-达播'!W$21</f>
        <v>562.99492418339457</v>
      </c>
      <c r="K74" s="238">
        <f>'测算-私域'!W$20</f>
        <v>86.308920716666663</v>
      </c>
      <c r="L74" s="238">
        <f>'测算-外部分销'!W$20</f>
        <v>35.31280074510758</v>
      </c>
      <c r="M74" s="238">
        <f>0</f>
        <v>0</v>
      </c>
    </row>
    <row r="75" spans="1:13" ht="16" customHeight="1">
      <c r="A75" s="237" t="s">
        <v>83</v>
      </c>
      <c r="B75" s="237" t="s">
        <v>32</v>
      </c>
      <c r="C75" s="239">
        <f t="shared" ref="C75:L75" si="30">IFERROR(C61/C5,0)</f>
        <v>0.43766163569517785</v>
      </c>
      <c r="D75" s="239">
        <f t="shared" si="30"/>
        <v>0.57631279913739619</v>
      </c>
      <c r="E75" s="239">
        <f t="shared" si="30"/>
        <v>1.1271317426060008</v>
      </c>
      <c r="F75" s="239">
        <f t="shared" si="30"/>
        <v>0.36768369739793422</v>
      </c>
      <c r="G75" s="239">
        <f t="shared" si="30"/>
        <v>0.40586875983712989</v>
      </c>
      <c r="H75" s="239">
        <f t="shared" si="30"/>
        <v>0.41450306354258531</v>
      </c>
      <c r="I75" s="239">
        <f t="shared" si="30"/>
        <v>0.49947801173609285</v>
      </c>
      <c r="J75" s="239">
        <f t="shared" si="30"/>
        <v>0.37241384088873403</v>
      </c>
      <c r="K75" s="239">
        <f t="shared" si="30"/>
        <v>0</v>
      </c>
      <c r="L75" s="239">
        <f t="shared" si="30"/>
        <v>5.4307809487171031E-2</v>
      </c>
      <c r="M75" s="239">
        <f>0</f>
        <v>0</v>
      </c>
    </row>
    <row r="76" spans="1:13" ht="16" customHeight="1">
      <c r="A76" s="237" t="s">
        <v>83</v>
      </c>
      <c r="B76" s="237" t="s">
        <v>33</v>
      </c>
      <c r="C76" s="239">
        <f t="shared" ref="C76:L76" si="31">IFERROR(C62/C6,0)</f>
        <v>0.43990929519455518</v>
      </c>
      <c r="D76" s="239">
        <f t="shared" si="31"/>
        <v>0.64274454861346342</v>
      </c>
      <c r="E76" s="239">
        <f t="shared" si="31"/>
        <v>1.1693646350933451</v>
      </c>
      <c r="F76" s="239">
        <f t="shared" si="31"/>
        <v>0.47335868222005806</v>
      </c>
      <c r="G76" s="239">
        <f t="shared" si="31"/>
        <v>0.57557923392159838</v>
      </c>
      <c r="H76" s="239">
        <f t="shared" si="31"/>
        <v>0.49521172949766323</v>
      </c>
      <c r="I76" s="239">
        <f t="shared" si="31"/>
        <v>0.48634255593319581</v>
      </c>
      <c r="J76" s="239">
        <f t="shared" si="31"/>
        <v>1.3187283642055321</v>
      </c>
      <c r="K76" s="239">
        <f t="shared" si="31"/>
        <v>0</v>
      </c>
      <c r="L76" s="239">
        <f t="shared" si="31"/>
        <v>7.1864250649049749E-2</v>
      </c>
      <c r="M76" s="239">
        <f>0</f>
        <v>0</v>
      </c>
    </row>
    <row r="77" spans="1:13" ht="16" customHeight="1">
      <c r="A77" s="237" t="s">
        <v>83</v>
      </c>
      <c r="B77" s="237" t="s">
        <v>34</v>
      </c>
      <c r="C77" s="239">
        <f t="shared" ref="C77:L77" si="32">IFERROR(C63/C7,0)</f>
        <v>0.59728542199154988</v>
      </c>
      <c r="D77" s="239">
        <f t="shared" si="32"/>
        <v>0.59704365248626823</v>
      </c>
      <c r="E77" s="239">
        <f t="shared" si="32"/>
        <v>0.99852189708608452</v>
      </c>
      <c r="F77" s="239">
        <f t="shared" si="32"/>
        <v>0.3899556417455326</v>
      </c>
      <c r="G77" s="239">
        <f t="shared" si="32"/>
        <v>0.43012930212764527</v>
      </c>
      <c r="H77" s="239">
        <f t="shared" si="32"/>
        <v>0.35969592121287586</v>
      </c>
      <c r="I77" s="239">
        <f t="shared" si="32"/>
        <v>6.5957913622621689</v>
      </c>
      <c r="J77" s="239">
        <f t="shared" si="32"/>
        <v>0.33040142137899914</v>
      </c>
      <c r="K77" s="239">
        <f t="shared" si="32"/>
        <v>0</v>
      </c>
      <c r="L77" s="239">
        <f t="shared" si="32"/>
        <v>5.7258590560287544E-2</v>
      </c>
      <c r="M77" s="239">
        <f>0</f>
        <v>0</v>
      </c>
    </row>
    <row r="78" spans="1:13" ht="16" customHeight="1">
      <c r="A78" s="237" t="s">
        <v>83</v>
      </c>
      <c r="B78" s="237" t="s">
        <v>35</v>
      </c>
      <c r="C78" s="239">
        <f t="shared" ref="C78:L78" si="33">IFERROR(C64/C8,0)</f>
        <v>0.39310947944918123</v>
      </c>
      <c r="D78" s="239">
        <f t="shared" si="33"/>
        <v>0.61319863244150097</v>
      </c>
      <c r="E78" s="239">
        <f t="shared" si="33"/>
        <v>1.406099794942397</v>
      </c>
      <c r="F78" s="239">
        <f t="shared" si="33"/>
        <v>0.48730625300403768</v>
      </c>
      <c r="G78" s="239">
        <f t="shared" si="33"/>
        <v>0.27402553272021923</v>
      </c>
      <c r="H78" s="239">
        <f t="shared" si="33"/>
        <v>0.36081264523613871</v>
      </c>
      <c r="I78" s="239">
        <f t="shared" si="33"/>
        <v>0.43987104815858291</v>
      </c>
      <c r="J78" s="239">
        <f t="shared" si="33"/>
        <v>0.47055806369834935</v>
      </c>
      <c r="K78" s="239">
        <f t="shared" si="33"/>
        <v>0</v>
      </c>
      <c r="L78" s="239">
        <f t="shared" si="33"/>
        <v>7.186161868858075E-2</v>
      </c>
      <c r="M78" s="239">
        <f>0</f>
        <v>0</v>
      </c>
    </row>
    <row r="79" spans="1:13" ht="16" customHeight="1">
      <c r="A79" s="237" t="s">
        <v>83</v>
      </c>
      <c r="B79" s="237" t="s">
        <v>36</v>
      </c>
      <c r="C79" s="239">
        <f t="shared" ref="C79:L79" si="34">IFERROR(C65/C9,0)</f>
        <v>0.41757071360814224</v>
      </c>
      <c r="D79" s="239">
        <f t="shared" si="34"/>
        <v>0.58886673176680171</v>
      </c>
      <c r="E79" s="239">
        <f t="shared" si="34"/>
        <v>1.0735398838220256</v>
      </c>
      <c r="F79" s="239">
        <f t="shared" si="34"/>
        <v>0.40956207460209787</v>
      </c>
      <c r="G79" s="239">
        <f t="shared" si="34"/>
        <v>0.64701075426223664</v>
      </c>
      <c r="H79" s="239">
        <f t="shared" si="34"/>
        <v>0.38944160414513623</v>
      </c>
      <c r="I79" s="239">
        <f t="shared" si="34"/>
        <v>0.47397551425127921</v>
      </c>
      <c r="J79" s="239">
        <f t="shared" si="34"/>
        <v>0.32121261843986865</v>
      </c>
      <c r="K79" s="239">
        <f t="shared" si="34"/>
        <v>0</v>
      </c>
      <c r="L79" s="239">
        <f t="shared" si="34"/>
        <v>5.9023787885187098E-2</v>
      </c>
      <c r="M79" s="239">
        <f>0</f>
        <v>0</v>
      </c>
    </row>
    <row r="80" spans="1:13" ht="16" customHeight="1">
      <c r="A80" s="237" t="s">
        <v>83</v>
      </c>
      <c r="B80" s="237" t="s">
        <v>37</v>
      </c>
      <c r="C80" s="239">
        <f t="shared" ref="C80:L80" si="35">IFERROR(C66/C10,0)</f>
        <v>0.48180851066824021</v>
      </c>
      <c r="D80" s="239">
        <f t="shared" si="35"/>
        <v>0.52809701053255631</v>
      </c>
      <c r="E80" s="239">
        <f t="shared" si="35"/>
        <v>0.90644789247020419</v>
      </c>
      <c r="F80" s="239">
        <f t="shared" si="35"/>
        <v>0.47928186925108207</v>
      </c>
      <c r="G80" s="239">
        <f t="shared" si="35"/>
        <v>0.39181872186026934</v>
      </c>
      <c r="H80" s="239">
        <f t="shared" si="35"/>
        <v>0.44955637413123206</v>
      </c>
      <c r="I80" s="239">
        <f t="shared" si="35"/>
        <v>0.61505349354519134</v>
      </c>
      <c r="J80" s="239">
        <f t="shared" si="35"/>
        <v>0.44533351404549315</v>
      </c>
      <c r="K80" s="239">
        <f t="shared" si="35"/>
        <v>0</v>
      </c>
      <c r="L80" s="239">
        <f t="shared" si="35"/>
        <v>7.0905607063790274E-2</v>
      </c>
      <c r="M80" s="239">
        <f>0</f>
        <v>0</v>
      </c>
    </row>
    <row r="81" spans="1:13" ht="16" customHeight="1">
      <c r="A81" s="237" t="s">
        <v>83</v>
      </c>
      <c r="B81" s="237" t="s">
        <v>38</v>
      </c>
      <c r="C81" s="239">
        <f t="shared" ref="C81:L81" si="36">IFERROR(C67/C11,0)</f>
        <v>0.52488429322318797</v>
      </c>
      <c r="D81" s="239">
        <f t="shared" si="36"/>
        <v>0.56356431158803011</v>
      </c>
      <c r="E81" s="239">
        <f t="shared" si="36"/>
        <v>0.9718107463507466</v>
      </c>
      <c r="F81" s="239">
        <f t="shared" si="36"/>
        <v>0.44422779060025958</v>
      </c>
      <c r="G81" s="239">
        <f t="shared" si="36"/>
        <v>0.39167122001842786</v>
      </c>
      <c r="H81" s="239">
        <f t="shared" si="36"/>
        <v>0.43069195002927096</v>
      </c>
      <c r="I81" s="239">
        <f t="shared" si="36"/>
        <v>0.62522747384892507</v>
      </c>
      <c r="J81" s="239">
        <f t="shared" si="36"/>
        <v>0.67001365684815639</v>
      </c>
      <c r="K81" s="239">
        <f t="shared" si="36"/>
        <v>0.37975943264147349</v>
      </c>
      <c r="L81" s="239">
        <f t="shared" si="36"/>
        <v>6.59684293856376E-2</v>
      </c>
      <c r="M81" s="239">
        <f>0</f>
        <v>0</v>
      </c>
    </row>
    <row r="82" spans="1:13" ht="16" customHeight="1">
      <c r="A82" s="237" t="s">
        <v>83</v>
      </c>
      <c r="B82" s="237" t="s">
        <v>39</v>
      </c>
      <c r="C82" s="239">
        <f t="shared" ref="C82:L82" si="37">IFERROR(C68/C12,0)</f>
        <v>0.53577064204816194</v>
      </c>
      <c r="D82" s="239">
        <f t="shared" si="37"/>
        <v>0.54566211919770102</v>
      </c>
      <c r="E82" s="239">
        <f t="shared" si="37"/>
        <v>0.91718249455249745</v>
      </c>
      <c r="F82" s="239">
        <f t="shared" si="37"/>
        <v>0.43013560453519584</v>
      </c>
      <c r="G82" s="239">
        <f t="shared" si="37"/>
        <v>0.3916712200184278</v>
      </c>
      <c r="H82" s="239">
        <f t="shared" si="37"/>
        <v>0.42027530830292992</v>
      </c>
      <c r="I82" s="239">
        <f t="shared" si="37"/>
        <v>0.62020951977317096</v>
      </c>
      <c r="J82" s="239">
        <f t="shared" si="37"/>
        <v>0.65817372156796516</v>
      </c>
      <c r="K82" s="239">
        <f t="shared" si="37"/>
        <v>0.4094244114740454</v>
      </c>
      <c r="L82" s="239">
        <f t="shared" si="37"/>
        <v>6.59684293856376E-2</v>
      </c>
      <c r="M82" s="239">
        <f>0</f>
        <v>0</v>
      </c>
    </row>
    <row r="83" spans="1:13" ht="16" customHeight="1">
      <c r="A83" s="237" t="s">
        <v>83</v>
      </c>
      <c r="B83" s="237" t="s">
        <v>40</v>
      </c>
      <c r="C83" s="239">
        <f t="shared" ref="C83:L83" si="38">IFERROR(C69/C13,0)</f>
        <v>0.52876124355102094</v>
      </c>
      <c r="D83" s="239">
        <f t="shared" si="38"/>
        <v>0.52514459112408152</v>
      </c>
      <c r="E83" s="239">
        <f t="shared" si="38"/>
        <v>0.88407804307279092</v>
      </c>
      <c r="F83" s="239">
        <f t="shared" si="38"/>
        <v>0.42139729510585339</v>
      </c>
      <c r="G83" s="239">
        <f t="shared" si="38"/>
        <v>0.3916712200184278</v>
      </c>
      <c r="H83" s="239">
        <f t="shared" si="38"/>
        <v>0.41381613736954093</v>
      </c>
      <c r="I83" s="239">
        <f t="shared" si="38"/>
        <v>0.61709797730461979</v>
      </c>
      <c r="J83" s="239">
        <f t="shared" si="38"/>
        <v>0.65083199207163167</v>
      </c>
      <c r="K83" s="239">
        <f t="shared" si="38"/>
        <v>0.45870640405110003</v>
      </c>
      <c r="L83" s="239">
        <f t="shared" si="38"/>
        <v>6.5968429385637614E-2</v>
      </c>
      <c r="M83" s="239">
        <f>0</f>
        <v>0</v>
      </c>
    </row>
    <row r="84" spans="1:13" ht="16" customHeight="1">
      <c r="A84" s="237" t="s">
        <v>83</v>
      </c>
      <c r="B84" s="237" t="s">
        <v>41</v>
      </c>
      <c r="C84" s="239">
        <f t="shared" ref="C84:L84" si="39">IFERROR(C70/C14,0)</f>
        <v>0.52695794891005943</v>
      </c>
      <c r="D84" s="239">
        <f t="shared" si="39"/>
        <v>0.5193009573861076</v>
      </c>
      <c r="E84" s="239">
        <f t="shared" si="39"/>
        <v>0.87733749234057634</v>
      </c>
      <c r="F84" s="239">
        <f t="shared" si="39"/>
        <v>0.41890852162344649</v>
      </c>
      <c r="G84" s="239">
        <f t="shared" si="39"/>
        <v>0.3916712200184278</v>
      </c>
      <c r="H84" s="239">
        <f t="shared" si="39"/>
        <v>0.41197648938415693</v>
      </c>
      <c r="I84" s="239">
        <f t="shared" si="39"/>
        <v>0.61621177334861088</v>
      </c>
      <c r="J84" s="239">
        <f t="shared" si="39"/>
        <v>0.64874098100899702</v>
      </c>
      <c r="K84" s="239">
        <f t="shared" si="39"/>
        <v>0.44350131979017005</v>
      </c>
      <c r="L84" s="239">
        <f t="shared" si="39"/>
        <v>6.59684293856376E-2</v>
      </c>
      <c r="M84" s="239">
        <f>0</f>
        <v>0</v>
      </c>
    </row>
    <row r="85" spans="1:13" ht="16" customHeight="1">
      <c r="A85" s="237" t="s">
        <v>83</v>
      </c>
      <c r="B85" s="237" t="s">
        <v>42</v>
      </c>
      <c r="C85" s="239">
        <f t="shared" ref="C85:L85" si="40">IFERROR(C71/C15,0)</f>
        <v>0.5231788902210458</v>
      </c>
      <c r="D85" s="239">
        <f t="shared" si="40"/>
        <v>0.50662182272428613</v>
      </c>
      <c r="E85" s="239">
        <f t="shared" si="40"/>
        <v>0.86271228578917802</v>
      </c>
      <c r="F85" s="239">
        <f t="shared" si="40"/>
        <v>0.41350854353769695</v>
      </c>
      <c r="G85" s="239">
        <f t="shared" si="40"/>
        <v>0.39167122001842786</v>
      </c>
      <c r="H85" s="239">
        <f t="shared" si="40"/>
        <v>0.40798494138800928</v>
      </c>
      <c r="I85" s="239">
        <f t="shared" si="40"/>
        <v>0.61428894590939997</v>
      </c>
      <c r="J85" s="239">
        <f t="shared" si="40"/>
        <v>0.64420404183188595</v>
      </c>
      <c r="K85" s="239">
        <f t="shared" si="40"/>
        <v>0.44780004602177936</v>
      </c>
      <c r="L85" s="239">
        <f t="shared" si="40"/>
        <v>6.5968429385637614E-2</v>
      </c>
      <c r="M85" s="239">
        <f>0</f>
        <v>0</v>
      </c>
    </row>
    <row r="86" spans="1:13" ht="16" customHeight="1">
      <c r="A86" s="237" t="s">
        <v>83</v>
      </c>
      <c r="B86" s="237" t="s">
        <v>43</v>
      </c>
      <c r="C86" s="239">
        <f t="shared" ref="C86:L86" si="41">IFERROR(C72/C16,0)</f>
        <v>0.49990553507886709</v>
      </c>
      <c r="D86" s="239">
        <f t="shared" si="41"/>
        <v>0.51688519692356616</v>
      </c>
      <c r="E86" s="239">
        <f t="shared" si="41"/>
        <v>0.87455094604339434</v>
      </c>
      <c r="F86" s="239">
        <f t="shared" si="41"/>
        <v>0.41787966169679674</v>
      </c>
      <c r="G86" s="239">
        <f t="shared" si="41"/>
        <v>0.3916712200184278</v>
      </c>
      <c r="H86" s="239">
        <f t="shared" si="41"/>
        <v>0.41121597819071842</v>
      </c>
      <c r="I86" s="239">
        <f t="shared" si="41"/>
        <v>0.6158454162881466</v>
      </c>
      <c r="J86" s="239">
        <f t="shared" si="41"/>
        <v>0.64787655622155293</v>
      </c>
      <c r="K86" s="239">
        <f t="shared" si="41"/>
        <v>0.44951152108439585</v>
      </c>
      <c r="L86" s="239">
        <f t="shared" si="41"/>
        <v>6.59684293856376E-2</v>
      </c>
      <c r="M86" s="239">
        <f>0</f>
        <v>0</v>
      </c>
    </row>
    <row r="87" spans="1:13" ht="16" customHeight="1">
      <c r="A87" s="237" t="s">
        <v>83</v>
      </c>
      <c r="B87" s="237" t="s">
        <v>44</v>
      </c>
      <c r="C87" s="239">
        <f t="shared" ref="C87:L87" si="42">IFERROR(C73/C17,0)</f>
        <v>0.49479165434253219</v>
      </c>
      <c r="D87" s="239">
        <f t="shared" si="42"/>
        <v>0.55907339891595376</v>
      </c>
      <c r="E87" s="239">
        <f t="shared" si="42"/>
        <v>0.92342606238120606</v>
      </c>
      <c r="F87" s="239">
        <f t="shared" si="42"/>
        <v>0.42570369281748938</v>
      </c>
      <c r="G87" s="239">
        <f t="shared" si="42"/>
        <v>0.39646976096909314</v>
      </c>
      <c r="H87" s="239">
        <f t="shared" si="42"/>
        <v>0.40999047900151336</v>
      </c>
      <c r="I87" s="239">
        <f t="shared" si="42"/>
        <v>0.61953732958650531</v>
      </c>
      <c r="J87" s="239">
        <f t="shared" si="42"/>
        <v>0.56233098987617947</v>
      </c>
      <c r="K87" s="239">
        <f t="shared" si="42"/>
        <v>0.27390597517208731</v>
      </c>
      <c r="L87" s="239">
        <f t="shared" si="42"/>
        <v>6.4053887718616365E-2</v>
      </c>
      <c r="M87" s="239">
        <f>0</f>
        <v>0</v>
      </c>
    </row>
    <row r="88" spans="1:13" ht="16" customHeight="1">
      <c r="A88" s="237" t="s">
        <v>83</v>
      </c>
      <c r="B88" s="237" t="s">
        <v>45</v>
      </c>
      <c r="C88" s="239">
        <f t="shared" ref="C88:L88" si="43">IFERROR(C74/C18,0)</f>
        <v>0.52208440631409736</v>
      </c>
      <c r="D88" s="239">
        <f t="shared" si="43"/>
        <v>0.52498163557714939</v>
      </c>
      <c r="E88" s="239">
        <f t="shared" si="43"/>
        <v>0.88950896746326125</v>
      </c>
      <c r="F88" s="239">
        <f t="shared" si="43"/>
        <v>0.42197640133311837</v>
      </c>
      <c r="G88" s="239">
        <f t="shared" si="43"/>
        <v>0.39167122001842786</v>
      </c>
      <c r="H88" s="239">
        <f t="shared" si="43"/>
        <v>0.41424420027355457</v>
      </c>
      <c r="I88" s="239">
        <f t="shared" si="43"/>
        <v>0.6173041857977507</v>
      </c>
      <c r="J88" s="239">
        <f t="shared" si="43"/>
        <v>0.65131854399618871</v>
      </c>
      <c r="K88" s="239">
        <f t="shared" si="43"/>
        <v>0.43038267794854174</v>
      </c>
      <c r="L88" s="239">
        <f t="shared" si="43"/>
        <v>6.59684293856376E-2</v>
      </c>
      <c r="M88" s="239">
        <f>0</f>
        <v>0</v>
      </c>
    </row>
    <row r="89" spans="1:13" ht="16" customHeight="1">
      <c r="A89" s="237" t="s">
        <v>84</v>
      </c>
      <c r="B89" s="237" t="s">
        <v>32</v>
      </c>
      <c r="C89" s="238">
        <f t="shared" ref="C89:C102" si="44">C33-C61</f>
        <v>227.02983439840949</v>
      </c>
      <c r="D89" s="238">
        <f>'测算-高个子抖音'!I$46</f>
        <v>47.182555712724032</v>
      </c>
      <c r="E89" s="238">
        <f>'测算-高个子视频号'!I$46</f>
        <v>-6.8239295936135651</v>
      </c>
      <c r="F89" s="238">
        <f>'测算-天猫淘宝'!I$45</f>
        <v>8.9345600405621415</v>
      </c>
      <c r="G89" s="238">
        <f>'测算-拼多多'!I$46</f>
        <v>4.4005758710905125E-2</v>
      </c>
      <c r="H89" s="238">
        <f>'测算-京东POP'!I$46</f>
        <v>3.77442509425437</v>
      </c>
      <c r="I89" s="238">
        <f>'测算-京东自营'!I$47</f>
        <v>76.422200591593082</v>
      </c>
      <c r="J89" s="238">
        <f>'测算-达播'!I$47</f>
        <v>12.309499021885426</v>
      </c>
      <c r="K89" s="238">
        <f>'测算-私域'!I$46</f>
        <v>24.7803</v>
      </c>
      <c r="L89" s="238">
        <f>'测算-外部分销'!I$46</f>
        <v>17.05552152500006</v>
      </c>
      <c r="M89" s="238">
        <f t="shared" ref="M89:M102" si="45">M33-M61</f>
        <v>43.350696247293243</v>
      </c>
    </row>
    <row r="90" spans="1:13" ht="16" customHeight="1">
      <c r="A90" s="237" t="s">
        <v>84</v>
      </c>
      <c r="B90" s="237" t="s">
        <v>33</v>
      </c>
      <c r="C90" s="238">
        <f t="shared" si="44"/>
        <v>172.06857601805348</v>
      </c>
      <c r="D90" s="238">
        <f>'测算-高个子抖音'!J$46</f>
        <v>11.315596172820541</v>
      </c>
      <c r="E90" s="238">
        <f>'测算-高个子视频号'!J$46</f>
        <v>-2.5553454642398252</v>
      </c>
      <c r="F90" s="238">
        <f>'测算-天猫淘宝'!J$45</f>
        <v>3.0905371706219205</v>
      </c>
      <c r="G90" s="238">
        <f>'测算-拼多多'!J$46</f>
        <v>3.1784773635193241E-2</v>
      </c>
      <c r="H90" s="238">
        <f>'测算-京东POP'!J$46</f>
        <v>1.6751338948458301</v>
      </c>
      <c r="I90" s="238">
        <f>'测算-京东自营'!J$47</f>
        <v>61.400739518927509</v>
      </c>
      <c r="J90" s="238">
        <f>'测算-达播'!J$47</f>
        <v>-3.0006358995937026</v>
      </c>
      <c r="K90" s="238">
        <f>'测算-私域'!J$46</f>
        <v>7.8601000000000001</v>
      </c>
      <c r="L90" s="238">
        <f>'测算-外部分销'!J$46</f>
        <v>12.543631640825676</v>
      </c>
      <c r="M90" s="238">
        <f t="shared" si="45"/>
        <v>79.707034210210338</v>
      </c>
    </row>
    <row r="91" spans="1:13" ht="16" customHeight="1">
      <c r="A91" s="237" t="s">
        <v>84</v>
      </c>
      <c r="B91" s="237" t="s">
        <v>34</v>
      </c>
      <c r="C91" s="238">
        <f t="shared" si="44"/>
        <v>9.0750784584113262</v>
      </c>
      <c r="D91" s="238">
        <f>'测算-高个子抖音'!K$46</f>
        <v>45.011699271941325</v>
      </c>
      <c r="E91" s="238">
        <f>'测算-高个子视频号'!K$46</f>
        <v>-3.4878840287888591</v>
      </c>
      <c r="F91" s="238">
        <f>'测算-天猫淘宝'!K$45</f>
        <v>9.777158219758844</v>
      </c>
      <c r="G91" s="238">
        <f>'测算-拼多多'!K$46</f>
        <v>9.5446687410960449E-2</v>
      </c>
      <c r="H91" s="238">
        <f>'测算-京东POP'!K$46</f>
        <v>7.6987208665540763</v>
      </c>
      <c r="I91" s="238">
        <f>'测算-京东自营'!K$47</f>
        <v>-239.30808973648089</v>
      </c>
      <c r="J91" s="238">
        <f>'测算-达播'!K$47</f>
        <v>53.252552672307729</v>
      </c>
      <c r="K91" s="238">
        <f>'测算-私域'!K$46</f>
        <v>26.021881</v>
      </c>
      <c r="L91" s="238">
        <f>'测算-外部分销'!K$46</f>
        <v>14.590859000000012</v>
      </c>
      <c r="M91" s="238">
        <f t="shared" si="45"/>
        <v>95.422734505707865</v>
      </c>
    </row>
    <row r="92" spans="1:13" ht="16" customHeight="1">
      <c r="A92" s="237" t="s">
        <v>84</v>
      </c>
      <c r="B92" s="237" t="s">
        <v>35</v>
      </c>
      <c r="C92" s="238">
        <f t="shared" si="44"/>
        <v>300.66074301973197</v>
      </c>
      <c r="D92" s="238">
        <f>'测算-高个子抖音'!L$46</f>
        <v>22.470184291139837</v>
      </c>
      <c r="E92" s="238">
        <f>'测算-高个子视频号'!L$46</f>
        <v>-5.3656707887071846</v>
      </c>
      <c r="F92" s="238">
        <f>'测算-天猫淘宝'!L$45</f>
        <v>6.9496352649760791</v>
      </c>
      <c r="G92" s="238">
        <f>'测算-拼多多'!L$46</f>
        <v>4.9109671647569866E-2</v>
      </c>
      <c r="H92" s="238">
        <f>'测算-京东POP'!L$46</f>
        <v>6.4203104349116904</v>
      </c>
      <c r="I92" s="238">
        <f>'测算-京东自营'!L$47</f>
        <v>109.87981638918308</v>
      </c>
      <c r="J92" s="238">
        <f>'测算-达播'!L$47</f>
        <v>5.296204950635448</v>
      </c>
      <c r="K92" s="238">
        <f>'测算-私域'!L$46</f>
        <v>17.22148</v>
      </c>
      <c r="L92" s="238">
        <f>'测算-外部分销'!L$46</f>
        <v>15.110105000000004</v>
      </c>
      <c r="M92" s="238">
        <f t="shared" si="45"/>
        <v>122.62956780594544</v>
      </c>
    </row>
    <row r="93" spans="1:13" ht="16" customHeight="1">
      <c r="A93" s="237" t="s">
        <v>84</v>
      </c>
      <c r="B93" s="237" t="s">
        <v>36</v>
      </c>
      <c r="C93" s="238">
        <f t="shared" si="44"/>
        <v>327.06838004785789</v>
      </c>
      <c r="D93" s="238">
        <f>'测算-高个子抖音'!M$46</f>
        <v>39.003657335112379</v>
      </c>
      <c r="E93" s="238">
        <f>'测算-高个子视频号'!M$46</f>
        <v>-25.803011939201077</v>
      </c>
      <c r="F93" s="238">
        <f>'测算-天猫淘宝'!M$45</f>
        <v>9.1483669981190587</v>
      </c>
      <c r="G93" s="238">
        <f>'测算-拼多多'!M$46</f>
        <v>1.968161514451814E-2</v>
      </c>
      <c r="H93" s="238">
        <f>'测算-京东POP'!M$46</f>
        <v>5.7892662245683315</v>
      </c>
      <c r="I93" s="238">
        <f>'测算-京东自营'!M$47</f>
        <v>96.493390068257582</v>
      </c>
      <c r="J93" s="238">
        <f>'测算-达播'!M$47</f>
        <v>23.483059311440034</v>
      </c>
      <c r="K93" s="238">
        <f>'测算-私域'!M$46</f>
        <v>18.578579999999999</v>
      </c>
      <c r="L93" s="238">
        <f>'测算-外部分销'!M$46</f>
        <v>21.266139000000006</v>
      </c>
      <c r="M93" s="238">
        <f t="shared" si="45"/>
        <v>139.08925143441687</v>
      </c>
    </row>
    <row r="94" spans="1:13" ht="16" customHeight="1">
      <c r="A94" s="237" t="s">
        <v>84</v>
      </c>
      <c r="B94" s="237" t="s">
        <v>37</v>
      </c>
      <c r="C94" s="238">
        <f t="shared" si="44"/>
        <v>256.0380777471895</v>
      </c>
      <c r="D94" s="238">
        <f>'测算-高个子抖音'!N$46</f>
        <v>44.131830181838168</v>
      </c>
      <c r="E94" s="238">
        <f>'测算-高个子视频号'!N$46</f>
        <v>-15.222946528044218</v>
      </c>
      <c r="F94" s="238">
        <f>'测算-天猫淘宝'!N$45</f>
        <v>5.5417208164197831</v>
      </c>
      <c r="G94" s="238">
        <f>'测算-拼多多'!N$46</f>
        <v>1.4672422347416976</v>
      </c>
      <c r="H94" s="238">
        <f>'测算-京东POP'!N$46</f>
        <v>4.0188637631383024</v>
      </c>
      <c r="I94" s="238">
        <f>'测算-京东自营'!N$47</f>
        <v>49.628920630270784</v>
      </c>
      <c r="J94" s="238">
        <f>'测算-达播'!N$47</f>
        <v>4.526148803527251</v>
      </c>
      <c r="K94" s="238">
        <f>'测算-私域'!N$46</f>
        <v>20.101900000000001</v>
      </c>
      <c r="L94" s="238">
        <f>'测算-外部分销'!N$46</f>
        <v>17.219995000000019</v>
      </c>
      <c r="M94" s="238">
        <f t="shared" si="45"/>
        <v>124.62440284529782</v>
      </c>
    </row>
    <row r="95" spans="1:13" ht="16" customHeight="1">
      <c r="A95" s="237" t="s">
        <v>84</v>
      </c>
      <c r="B95" s="237" t="s">
        <v>38</v>
      </c>
      <c r="C95" s="238">
        <f t="shared" si="44"/>
        <v>128.79757874844438</v>
      </c>
      <c r="D95" s="238">
        <f>'测算-高个子抖音'!O$46</f>
        <v>23.867390970965513</v>
      </c>
      <c r="E95" s="238">
        <f>'测算-高个子视频号'!O$46</f>
        <v>-14.867650421193783</v>
      </c>
      <c r="F95" s="238">
        <f>'测算-天猫淘宝'!O$45</f>
        <v>5.9504487339249277</v>
      </c>
      <c r="G95" s="238">
        <f>'测算-拼多多'!O$46</f>
        <v>0.8686017020586414</v>
      </c>
      <c r="H95" s="238">
        <f>'测算-京东POP'!O$46</f>
        <v>6.5593416001068165</v>
      </c>
      <c r="I95" s="238">
        <f>'测算-京东自营'!O$47</f>
        <v>20.959683033204271</v>
      </c>
      <c r="J95" s="238">
        <f>'测算-达播'!O$47</f>
        <v>-5.1468112350182036</v>
      </c>
      <c r="K95" s="238">
        <f>'测算-私域'!O$46</f>
        <v>8.0329930692112299</v>
      </c>
      <c r="L95" s="238">
        <f>'测算-外部分销'!O$46</f>
        <v>3.9412369001841387</v>
      </c>
      <c r="M95" s="238">
        <f t="shared" si="45"/>
        <v>78.6323443950008</v>
      </c>
    </row>
    <row r="96" spans="1:13" ht="16" customHeight="1">
      <c r="A96" s="237" t="s">
        <v>84</v>
      </c>
      <c r="B96" s="237" t="s">
        <v>39</v>
      </c>
      <c r="C96" s="238">
        <f t="shared" si="44"/>
        <v>139.4383607404543</v>
      </c>
      <c r="D96" s="238">
        <f>'测算-高个子抖音'!P$46</f>
        <v>36.418815467822611</v>
      </c>
      <c r="E96" s="238">
        <f>'测算-高个子视频号'!P$46</f>
        <v>-16.021491695212909</v>
      </c>
      <c r="F96" s="238">
        <f>'测算-天猫淘宝'!P$45</f>
        <v>8.4143388602277653</v>
      </c>
      <c r="G96" s="238">
        <f>'测算-拼多多'!P$46</f>
        <v>1.1617100953459196</v>
      </c>
      <c r="H96" s="238">
        <f>'测算-京东POP'!P$46</f>
        <v>9.1243394487180325</v>
      </c>
      <c r="I96" s="238">
        <f>'测算-京东自营'!P$47</f>
        <v>30.196922651905481</v>
      </c>
      <c r="J96" s="238">
        <f>'测算-达播'!P$47</f>
        <v>-5.5111320956248209</v>
      </c>
      <c r="K96" s="238">
        <f>'测算-私域'!P$46</f>
        <v>6.7518692963740019</v>
      </c>
      <c r="L96" s="238">
        <f>'测算-外部分销'!P$46</f>
        <v>5.2712016154726165</v>
      </c>
      <c r="M96" s="238">
        <f t="shared" si="45"/>
        <v>63.631787095425835</v>
      </c>
    </row>
    <row r="97" spans="1:13" ht="16" customHeight="1">
      <c r="A97" s="237" t="s">
        <v>84</v>
      </c>
      <c r="B97" s="237" t="s">
        <v>40</v>
      </c>
      <c r="C97" s="238">
        <f t="shared" si="44"/>
        <v>185.2606418954656</v>
      </c>
      <c r="D97" s="238">
        <f>'测算-高个子抖音'!Q$46</f>
        <v>52.574172382179164</v>
      </c>
      <c r="E97" s="238">
        <f>'测算-高个子视频号'!Q$46</f>
        <v>-17.300438999850972</v>
      </c>
      <c r="F97" s="238">
        <f>'测算-天猫淘宝'!Q$45</f>
        <v>10.99841874878927</v>
      </c>
      <c r="G97" s="238">
        <f>'测算-拼多多'!Q$46</f>
        <v>1.4691164590374548</v>
      </c>
      <c r="H97" s="238">
        <f>'测算-京东POP'!Q$46</f>
        <v>11.814459143602971</v>
      </c>
      <c r="I97" s="238">
        <f>'测算-京东自营'!Q$47</f>
        <v>39.88475932517747</v>
      </c>
      <c r="J97" s="238">
        <f>'测算-达播'!Q$47</f>
        <v>-5.8932247055293212</v>
      </c>
      <c r="K97" s="238">
        <f>'测算-私域'!Q$46</f>
        <v>4.7903221495546973</v>
      </c>
      <c r="L97" s="238">
        <f>'测算-外部分销'!Q$46</f>
        <v>6.6660426583361341</v>
      </c>
      <c r="M97" s="238">
        <f t="shared" si="45"/>
        <v>80.257014734168706</v>
      </c>
    </row>
    <row r="98" spans="1:13" ht="16" customHeight="1">
      <c r="A98" s="237" t="s">
        <v>84</v>
      </c>
      <c r="B98" s="237" t="s">
        <v>41</v>
      </c>
      <c r="C98" s="238">
        <f t="shared" si="44"/>
        <v>201.67651557431634</v>
      </c>
      <c r="D98" s="238">
        <f>'测算-高个子抖音'!R$46</f>
        <v>58.86724745928322</v>
      </c>
      <c r="E98" s="238">
        <f>'测算-高个子视频号'!R$46</f>
        <v>-18.058618648359214</v>
      </c>
      <c r="F98" s="238">
        <f>'测算-天猫淘宝'!R$45</f>
        <v>12.005008007705676</v>
      </c>
      <c r="G98" s="238">
        <f>'测算-拼多多'!R$46</f>
        <v>1.5888619611731123</v>
      </c>
      <c r="H98" s="238">
        <f>'测算-京东POP'!R$46</f>
        <v>12.862354606145358</v>
      </c>
      <c r="I98" s="238">
        <f>'测算-京东自营'!R$47</f>
        <v>43.658509657207901</v>
      </c>
      <c r="J98" s="238">
        <f>'测算-达播'!R$47</f>
        <v>-6.0420631058991026</v>
      </c>
      <c r="K98" s="238">
        <f>'测算-私域'!R$46</f>
        <v>4.8460189745547009</v>
      </c>
      <c r="L98" s="238">
        <f>'测算-外部分销'!R$46</f>
        <v>7.2093819017771725</v>
      </c>
      <c r="M98" s="238">
        <f t="shared" si="45"/>
        <v>84.739814760727626</v>
      </c>
    </row>
    <row r="99" spans="1:13" ht="16" customHeight="1">
      <c r="A99" s="237" t="s">
        <v>84</v>
      </c>
      <c r="B99" s="237" t="s">
        <v>42</v>
      </c>
      <c r="C99" s="238">
        <f t="shared" si="44"/>
        <v>249.37645732627266</v>
      </c>
      <c r="D99" s="238">
        <f>'测算-高个子抖音'!S$46</f>
        <v>76.807207753714067</v>
      </c>
      <c r="E99" s="238">
        <f>'测算-高个子视频号'!S$46</f>
        <v>-20.219996452315545</v>
      </c>
      <c r="F99" s="238">
        <f>'测算-天猫淘宝'!S$45</f>
        <v>14.874538581631533</v>
      </c>
      <c r="G99" s="238">
        <f>'测算-拼多多'!S$46</f>
        <v>1.9302260045747583</v>
      </c>
      <c r="H99" s="238">
        <f>'测算-京东POP'!S$46</f>
        <v>15.849638685930366</v>
      </c>
      <c r="I99" s="238">
        <f>'测算-京东自营'!S$47</f>
        <v>54.416514335085424</v>
      </c>
      <c r="J99" s="238">
        <f>'测算-达播'!S$47</f>
        <v>-6.4663636203860655</v>
      </c>
      <c r="K99" s="238">
        <f>'测算-私域'!S$46</f>
        <v>5.5626436868320965</v>
      </c>
      <c r="L99" s="238">
        <f>'测算-外部分销'!S$46</f>
        <v>8.7583042226314287</v>
      </c>
      <c r="M99" s="238">
        <f t="shared" si="45"/>
        <v>97.863744128574481</v>
      </c>
    </row>
    <row r="100" spans="1:13" ht="16" customHeight="1">
      <c r="A100" s="237" t="s">
        <v>84</v>
      </c>
      <c r="B100" s="237" t="s">
        <v>43</v>
      </c>
      <c r="C100" s="238">
        <f t="shared" si="44"/>
        <v>291.2369601973121</v>
      </c>
      <c r="D100" s="238">
        <f>'测算-高个子抖音'!T$46</f>
        <v>61.77896876361492</v>
      </c>
      <c r="E100" s="238">
        <f>'测算-高个子视频号'!T$46</f>
        <v>-18.409418187221231</v>
      </c>
      <c r="F100" s="238">
        <f>'测算-天猫淘宝'!T$45</f>
        <v>12.470743336458037</v>
      </c>
      <c r="G100" s="238">
        <f>'测算-拼多多'!T$46</f>
        <v>1.644266596489609</v>
      </c>
      <c r="H100" s="238">
        <f>'测算-京东POP'!T$46</f>
        <v>13.347201760456013</v>
      </c>
      <c r="I100" s="238">
        <f>'测算-京东自营'!T$47</f>
        <v>45.404573243669631</v>
      </c>
      <c r="J100" s="238">
        <f>'测算-达播'!T$47</f>
        <v>-6.1109286344283937</v>
      </c>
      <c r="K100" s="238">
        <f>'测算-私域'!T$46</f>
        <v>5.0261645495546965</v>
      </c>
      <c r="L100" s="238">
        <f>'测算-外部分销'!T$46</f>
        <v>7.4607776711304785</v>
      </c>
      <c r="M100" s="238">
        <f t="shared" si="45"/>
        <v>168.62461109758848</v>
      </c>
    </row>
    <row r="101" spans="1:13" ht="16" customHeight="1">
      <c r="A101" s="237" t="s">
        <v>84</v>
      </c>
      <c r="B101" s="237" t="s">
        <v>44</v>
      </c>
      <c r="C101" s="238">
        <f t="shared" si="44"/>
        <v>2487.7272041719179</v>
      </c>
      <c r="D101" s="238">
        <f>'测算-高个子抖音'!V$46</f>
        <v>519.4293257631557</v>
      </c>
      <c r="E101" s="238">
        <f>'测算-高个子视频号'!V$46</f>
        <v>-164.13640274674839</v>
      </c>
      <c r="F101" s="238">
        <f>'测算-天猫淘宝'!V$45</f>
        <v>108.15547477919503</v>
      </c>
      <c r="G101" s="238">
        <f>'测算-拼多多'!V$46</f>
        <v>10.370053559970341</v>
      </c>
      <c r="H101" s="238">
        <f>'测算-京东POP'!V$46</f>
        <v>98.934055523232161</v>
      </c>
      <c r="I101" s="238">
        <f>'测算-京东自营'!V$47</f>
        <v>389.03793970800132</v>
      </c>
      <c r="J101" s="238">
        <f>'测算-达播'!V$47</f>
        <v>60.696305463316278</v>
      </c>
      <c r="K101" s="238">
        <f>'测算-私域'!V$46</f>
        <v>149.57425272608143</v>
      </c>
      <c r="L101" s="238">
        <f>'测算-外部分销'!V$46</f>
        <v>137.09319613535774</v>
      </c>
      <c r="M101" s="238">
        <f t="shared" si="45"/>
        <v>1178.5730032603574</v>
      </c>
    </row>
    <row r="102" spans="1:13" ht="16" customHeight="1">
      <c r="A102" s="237" t="s">
        <v>84</v>
      </c>
      <c r="B102" s="237" t="s">
        <v>45</v>
      </c>
      <c r="C102" s="238">
        <f t="shared" si="44"/>
        <v>1195.7865144822663</v>
      </c>
      <c r="D102" s="238">
        <f>'测算-高个子抖音'!W$46</f>
        <v>310.31380279757951</v>
      </c>
      <c r="E102" s="238">
        <f>'测算-高个子视频号'!W$46</f>
        <v>-104.87761440415366</v>
      </c>
      <c r="F102" s="238">
        <f>'测算-天猫淘宝'!W$45</f>
        <v>64.713496268737217</v>
      </c>
      <c r="G102" s="238">
        <f>'测算-拼多多'!W$46</f>
        <v>8.6627828186794957</v>
      </c>
      <c r="H102" s="238">
        <f>'测算-京东POP'!W$46</f>
        <v>69.55733524495956</v>
      </c>
      <c r="I102" s="238">
        <f>'测算-京东自营'!W$47</f>
        <v>234.52096224625018</v>
      </c>
      <c r="J102" s="238">
        <f>'测算-达播'!W$47</f>
        <v>-35.170523396885912</v>
      </c>
      <c r="K102" s="238">
        <f>'测算-私域'!W$46</f>
        <v>35.01001172608143</v>
      </c>
      <c r="L102" s="238">
        <f>'测算-外部分销'!W$46</f>
        <v>39.306944969531969</v>
      </c>
      <c r="M102" s="238">
        <f t="shared" si="45"/>
        <v>573.74931621148596</v>
      </c>
    </row>
    <row r="103" spans="1:13" ht="16" customHeight="1">
      <c r="A103" s="237" t="s">
        <v>85</v>
      </c>
      <c r="B103" s="237" t="s">
        <v>32</v>
      </c>
      <c r="C103" s="238">
        <f t="shared" ref="C103:C116" si="46">SUM(D103:M103)</f>
        <v>34.597010095459758</v>
      </c>
      <c r="D103" s="238">
        <f>0</f>
        <v>0</v>
      </c>
      <c r="E103" s="238">
        <f>0</f>
        <v>0</v>
      </c>
      <c r="F103" s="238">
        <f>0</f>
        <v>0</v>
      </c>
      <c r="G103" s="238">
        <f>0</f>
        <v>0</v>
      </c>
      <c r="H103" s="238">
        <f>0</f>
        <v>0</v>
      </c>
      <c r="I103" s="238">
        <f>0</f>
        <v>0</v>
      </c>
      <c r="J103" s="238">
        <f>0</f>
        <v>0</v>
      </c>
      <c r="K103" s="238">
        <f>0</f>
        <v>0</v>
      </c>
      <c r="L103" s="238">
        <f>0</f>
        <v>0</v>
      </c>
      <c r="M103" s="238">
        <f>'测算-整体经营'!I$23</f>
        <v>34.597010095459758</v>
      </c>
    </row>
    <row r="104" spans="1:13" ht="16" customHeight="1">
      <c r="A104" s="237" t="s">
        <v>85</v>
      </c>
      <c r="B104" s="237" t="s">
        <v>33</v>
      </c>
      <c r="C104" s="238">
        <f t="shared" si="46"/>
        <v>29.895113461900383</v>
      </c>
      <c r="D104" s="238">
        <f>0</f>
        <v>0</v>
      </c>
      <c r="E104" s="238">
        <f>0</f>
        <v>0</v>
      </c>
      <c r="F104" s="238">
        <f>0</f>
        <v>0</v>
      </c>
      <c r="G104" s="238">
        <f>0</f>
        <v>0</v>
      </c>
      <c r="H104" s="238">
        <f>0</f>
        <v>0</v>
      </c>
      <c r="I104" s="238">
        <f>0</f>
        <v>0</v>
      </c>
      <c r="J104" s="238">
        <f>0</f>
        <v>0</v>
      </c>
      <c r="K104" s="238">
        <f>0</f>
        <v>0</v>
      </c>
      <c r="L104" s="238">
        <f>0</f>
        <v>0</v>
      </c>
      <c r="M104" s="238">
        <f>'测算-整体经营'!J$23</f>
        <v>29.895113461900383</v>
      </c>
    </row>
    <row r="105" spans="1:13" ht="16" customHeight="1">
      <c r="A105" s="237" t="s">
        <v>85</v>
      </c>
      <c r="B105" s="237" t="s">
        <v>34</v>
      </c>
      <c r="C105" s="238">
        <f t="shared" si="46"/>
        <v>32.620715705373705</v>
      </c>
      <c r="D105" s="238">
        <f>0</f>
        <v>0</v>
      </c>
      <c r="E105" s="238">
        <f>0</f>
        <v>0</v>
      </c>
      <c r="F105" s="238">
        <f>0</f>
        <v>0</v>
      </c>
      <c r="G105" s="238">
        <f>0</f>
        <v>0</v>
      </c>
      <c r="H105" s="238">
        <f>0</f>
        <v>0</v>
      </c>
      <c r="I105" s="238">
        <f>0</f>
        <v>0</v>
      </c>
      <c r="J105" s="238">
        <f>0</f>
        <v>0</v>
      </c>
      <c r="K105" s="238">
        <f>0</f>
        <v>0</v>
      </c>
      <c r="L105" s="238">
        <f>0</f>
        <v>0</v>
      </c>
      <c r="M105" s="238">
        <f>'测算-整体经营'!K$23</f>
        <v>32.620715705373705</v>
      </c>
    </row>
    <row r="106" spans="1:13" ht="16" customHeight="1">
      <c r="A106" s="237" t="s">
        <v>85</v>
      </c>
      <c r="B106" s="237" t="s">
        <v>35</v>
      </c>
      <c r="C106" s="238">
        <f t="shared" si="46"/>
        <v>37.711028838462177</v>
      </c>
      <c r="D106" s="238">
        <f>0</f>
        <v>0</v>
      </c>
      <c r="E106" s="238">
        <f>0</f>
        <v>0</v>
      </c>
      <c r="F106" s="238">
        <f>0</f>
        <v>0</v>
      </c>
      <c r="G106" s="238">
        <f>0</f>
        <v>0</v>
      </c>
      <c r="H106" s="238">
        <f>0</f>
        <v>0</v>
      </c>
      <c r="I106" s="238">
        <f>0</f>
        <v>0</v>
      </c>
      <c r="J106" s="238">
        <f>0</f>
        <v>0</v>
      </c>
      <c r="K106" s="238">
        <f>0</f>
        <v>0</v>
      </c>
      <c r="L106" s="238">
        <f>0</f>
        <v>0</v>
      </c>
      <c r="M106" s="238">
        <f>'测算-整体经营'!L$23</f>
        <v>37.711028838462177</v>
      </c>
    </row>
    <row r="107" spans="1:13" ht="16" customHeight="1">
      <c r="A107" s="237" t="s">
        <v>85</v>
      </c>
      <c r="B107" s="237" t="s">
        <v>36</v>
      </c>
      <c r="C107" s="238">
        <f t="shared" si="46"/>
        <v>40.027496246035497</v>
      </c>
      <c r="D107" s="238">
        <f>0</f>
        <v>0</v>
      </c>
      <c r="E107" s="238">
        <f>0</f>
        <v>0</v>
      </c>
      <c r="F107" s="238">
        <f>0</f>
        <v>0</v>
      </c>
      <c r="G107" s="238">
        <f>0</f>
        <v>0</v>
      </c>
      <c r="H107" s="238">
        <f>0</f>
        <v>0</v>
      </c>
      <c r="I107" s="238">
        <f>0</f>
        <v>0</v>
      </c>
      <c r="J107" s="238">
        <f>0</f>
        <v>0</v>
      </c>
      <c r="K107" s="238">
        <f>0</f>
        <v>0</v>
      </c>
      <c r="L107" s="238">
        <f>0</f>
        <v>0</v>
      </c>
      <c r="M107" s="238">
        <f>'测算-整体经营'!M$23</f>
        <v>40.027496246035497</v>
      </c>
    </row>
    <row r="108" spans="1:13" ht="16" customHeight="1">
      <c r="A108" s="237" t="s">
        <v>85</v>
      </c>
      <c r="B108" s="237" t="s">
        <v>37</v>
      </c>
      <c r="C108" s="238">
        <f t="shared" si="46"/>
        <v>37.205519660616893</v>
      </c>
      <c r="D108" s="238">
        <f>0</f>
        <v>0</v>
      </c>
      <c r="E108" s="238">
        <f>0</f>
        <v>0</v>
      </c>
      <c r="F108" s="238">
        <f>0</f>
        <v>0</v>
      </c>
      <c r="G108" s="238">
        <f>0</f>
        <v>0</v>
      </c>
      <c r="H108" s="238">
        <f>0</f>
        <v>0</v>
      </c>
      <c r="I108" s="238">
        <f>0</f>
        <v>0</v>
      </c>
      <c r="J108" s="238">
        <f>0</f>
        <v>0</v>
      </c>
      <c r="K108" s="238">
        <f>0</f>
        <v>0</v>
      </c>
      <c r="L108" s="238">
        <f>0</f>
        <v>0</v>
      </c>
      <c r="M108" s="238">
        <f>'测算-整体经营'!N$23</f>
        <v>37.205519660616893</v>
      </c>
    </row>
    <row r="109" spans="1:13" ht="16" customHeight="1">
      <c r="A109" s="237" t="s">
        <v>85</v>
      </c>
      <c r="B109" s="237" t="s">
        <v>38</v>
      </c>
      <c r="C109" s="238">
        <f t="shared" si="46"/>
        <v>31.889738578672684</v>
      </c>
      <c r="D109" s="238">
        <f>0</f>
        <v>0</v>
      </c>
      <c r="E109" s="238">
        <f>0</f>
        <v>0</v>
      </c>
      <c r="F109" s="238">
        <f>0</f>
        <v>0</v>
      </c>
      <c r="G109" s="238">
        <f>0</f>
        <v>0</v>
      </c>
      <c r="H109" s="238">
        <f>0</f>
        <v>0</v>
      </c>
      <c r="I109" s="238">
        <f>0</f>
        <v>0</v>
      </c>
      <c r="J109" s="238">
        <f>0</f>
        <v>0</v>
      </c>
      <c r="K109" s="238">
        <f>0</f>
        <v>0</v>
      </c>
      <c r="L109" s="238">
        <f>0</f>
        <v>0</v>
      </c>
      <c r="M109" s="238">
        <f>'测算-整体经营'!O$23</f>
        <v>31.889738578672684</v>
      </c>
    </row>
    <row r="110" spans="1:13" ht="16" customHeight="1">
      <c r="A110" s="237" t="s">
        <v>85</v>
      </c>
      <c r="B110" s="237" t="s">
        <v>39</v>
      </c>
      <c r="C110" s="238">
        <f t="shared" si="46"/>
        <v>34.784908132545979</v>
      </c>
      <c r="D110" s="238">
        <f>0</f>
        <v>0</v>
      </c>
      <c r="E110" s="238">
        <f>0</f>
        <v>0</v>
      </c>
      <c r="F110" s="238">
        <f>0</f>
        <v>0</v>
      </c>
      <c r="G110" s="238">
        <f>0</f>
        <v>0</v>
      </c>
      <c r="H110" s="238">
        <f>0</f>
        <v>0</v>
      </c>
      <c r="I110" s="238">
        <f>0</f>
        <v>0</v>
      </c>
      <c r="J110" s="238">
        <f>0</f>
        <v>0</v>
      </c>
      <c r="K110" s="238">
        <f>0</f>
        <v>0</v>
      </c>
      <c r="L110" s="238">
        <f>0</f>
        <v>0</v>
      </c>
      <c r="M110" s="238">
        <f>'测算-整体经营'!P$23</f>
        <v>34.784908132545979</v>
      </c>
    </row>
    <row r="111" spans="1:13" ht="16" customHeight="1">
      <c r="A111" s="237" t="s">
        <v>85</v>
      </c>
      <c r="B111" s="237" t="s">
        <v>40</v>
      </c>
      <c r="C111" s="238">
        <f t="shared" si="46"/>
        <v>37.815103292705778</v>
      </c>
      <c r="D111" s="238">
        <f>0</f>
        <v>0</v>
      </c>
      <c r="E111" s="238">
        <f>0</f>
        <v>0</v>
      </c>
      <c r="F111" s="238">
        <f>0</f>
        <v>0</v>
      </c>
      <c r="G111" s="238">
        <f>0</f>
        <v>0</v>
      </c>
      <c r="H111" s="238">
        <f>0</f>
        <v>0</v>
      </c>
      <c r="I111" s="238">
        <f>0</f>
        <v>0</v>
      </c>
      <c r="J111" s="238">
        <f>0</f>
        <v>0</v>
      </c>
      <c r="K111" s="238">
        <f>0</f>
        <v>0</v>
      </c>
      <c r="L111" s="238">
        <f>0</f>
        <v>0</v>
      </c>
      <c r="M111" s="238">
        <f>'测算-整体经营'!Q$23</f>
        <v>37.815103292705778</v>
      </c>
    </row>
    <row r="112" spans="1:13" ht="16" customHeight="1">
      <c r="A112" s="237" t="s">
        <v>85</v>
      </c>
      <c r="B112" s="237" t="s">
        <v>41</v>
      </c>
      <c r="C112" s="238">
        <f t="shared" si="46"/>
        <v>38.976284151605242</v>
      </c>
      <c r="D112" s="238">
        <f>0</f>
        <v>0</v>
      </c>
      <c r="E112" s="238">
        <f>0</f>
        <v>0</v>
      </c>
      <c r="F112" s="238">
        <f>0</f>
        <v>0</v>
      </c>
      <c r="G112" s="238">
        <f>0</f>
        <v>0</v>
      </c>
      <c r="H112" s="238">
        <f>0</f>
        <v>0</v>
      </c>
      <c r="I112" s="238">
        <f>0</f>
        <v>0</v>
      </c>
      <c r="J112" s="238">
        <f>0</f>
        <v>0</v>
      </c>
      <c r="K112" s="238">
        <f>0</f>
        <v>0</v>
      </c>
      <c r="L112" s="238">
        <f>0</f>
        <v>0</v>
      </c>
      <c r="M112" s="238">
        <f>'测算-整体经营'!R$23</f>
        <v>38.976284151605242</v>
      </c>
    </row>
    <row r="113" spans="1:13" ht="16" customHeight="1">
      <c r="A113" s="237" t="s">
        <v>85</v>
      </c>
      <c r="B113" s="237" t="s">
        <v>42</v>
      </c>
      <c r="C113" s="238">
        <f t="shared" si="46"/>
        <v>42.416180032945476</v>
      </c>
      <c r="D113" s="238">
        <f>0</f>
        <v>0</v>
      </c>
      <c r="E113" s="238">
        <f>0</f>
        <v>0</v>
      </c>
      <c r="F113" s="238">
        <f>0</f>
        <v>0</v>
      </c>
      <c r="G113" s="238">
        <f>0</f>
        <v>0</v>
      </c>
      <c r="H113" s="238">
        <f>0</f>
        <v>0</v>
      </c>
      <c r="I113" s="238">
        <f>0</f>
        <v>0</v>
      </c>
      <c r="J113" s="238">
        <f>0</f>
        <v>0</v>
      </c>
      <c r="K113" s="238">
        <f>0</f>
        <v>0</v>
      </c>
      <c r="L113" s="238">
        <f>0</f>
        <v>0</v>
      </c>
      <c r="M113" s="238">
        <f>'测算-整体经营'!S$23</f>
        <v>42.416180032945476</v>
      </c>
    </row>
    <row r="114" spans="1:13" ht="16" customHeight="1">
      <c r="A114" s="237" t="s">
        <v>85</v>
      </c>
      <c r="B114" s="237" t="s">
        <v>43</v>
      </c>
      <c r="C114" s="238">
        <f t="shared" si="46"/>
        <v>39.548731407215428</v>
      </c>
      <c r="D114" s="238">
        <f>0</f>
        <v>0</v>
      </c>
      <c r="E114" s="238">
        <f>0</f>
        <v>0</v>
      </c>
      <c r="F114" s="238">
        <f>0</f>
        <v>0</v>
      </c>
      <c r="G114" s="238">
        <f>0</f>
        <v>0</v>
      </c>
      <c r="H114" s="238">
        <f>0</f>
        <v>0</v>
      </c>
      <c r="I114" s="238">
        <f>0</f>
        <v>0</v>
      </c>
      <c r="J114" s="238">
        <f>0</f>
        <v>0</v>
      </c>
      <c r="K114" s="238">
        <f>0</f>
        <v>0</v>
      </c>
      <c r="L114" s="238">
        <f>0</f>
        <v>0</v>
      </c>
      <c r="M114" s="238">
        <f>'测算-整体经营'!T$23</f>
        <v>39.548731407215428</v>
      </c>
    </row>
    <row r="115" spans="1:13" ht="16" customHeight="1">
      <c r="A115" s="237" t="s">
        <v>85</v>
      </c>
      <c r="B115" s="237" t="s">
        <v>44</v>
      </c>
      <c r="C115" s="238">
        <f t="shared" si="46"/>
        <v>437.48782960353896</v>
      </c>
      <c r="D115" s="238">
        <f>0</f>
        <v>0</v>
      </c>
      <c r="E115" s="238">
        <f>0</f>
        <v>0</v>
      </c>
      <c r="F115" s="238">
        <f>0</f>
        <v>0</v>
      </c>
      <c r="G115" s="238">
        <f>0</f>
        <v>0</v>
      </c>
      <c r="H115" s="238">
        <f>0</f>
        <v>0</v>
      </c>
      <c r="I115" s="238">
        <f>0</f>
        <v>0</v>
      </c>
      <c r="J115" s="238">
        <f>0</f>
        <v>0</v>
      </c>
      <c r="K115" s="238">
        <f>0</f>
        <v>0</v>
      </c>
      <c r="L115" s="238">
        <f>0</f>
        <v>0</v>
      </c>
      <c r="M115" s="238">
        <f>'测算-整体经营'!V$23</f>
        <v>437.48782960353896</v>
      </c>
    </row>
    <row r="116" spans="1:13" ht="16" customHeight="1">
      <c r="A116" s="237" t="s">
        <v>85</v>
      </c>
      <c r="B116" s="237" t="s">
        <v>45</v>
      </c>
      <c r="C116" s="238">
        <f t="shared" si="46"/>
        <v>225.43094559569056</v>
      </c>
      <c r="D116" s="238">
        <f>0</f>
        <v>0</v>
      </c>
      <c r="E116" s="238">
        <f>0</f>
        <v>0</v>
      </c>
      <c r="F116" s="238">
        <f>0</f>
        <v>0</v>
      </c>
      <c r="G116" s="238">
        <f>0</f>
        <v>0</v>
      </c>
      <c r="H116" s="238">
        <f>0</f>
        <v>0</v>
      </c>
      <c r="I116" s="238">
        <f>0</f>
        <v>0</v>
      </c>
      <c r="J116" s="238">
        <f>0</f>
        <v>0</v>
      </c>
      <c r="K116" s="238">
        <f>0</f>
        <v>0</v>
      </c>
      <c r="L116" s="238">
        <f>0</f>
        <v>0</v>
      </c>
      <c r="M116" s="238">
        <f>'测算-整体经营'!W$23</f>
        <v>225.43094559569056</v>
      </c>
    </row>
    <row r="117" spans="1:13" ht="16" customHeight="1">
      <c r="A117" s="237" t="s">
        <v>89</v>
      </c>
      <c r="B117" s="237" t="s">
        <v>32</v>
      </c>
      <c r="C117" s="239">
        <f t="shared" ref="C117:C130" si="47">IFERROR(C103/C5,0)</f>
        <v>3.0351155820623543E-2</v>
      </c>
      <c r="D117" s="239">
        <f>0</f>
        <v>0</v>
      </c>
      <c r="E117" s="239">
        <f>0</f>
        <v>0</v>
      </c>
      <c r="F117" s="239">
        <f>0</f>
        <v>0</v>
      </c>
      <c r="G117" s="239">
        <f>0</f>
        <v>0</v>
      </c>
      <c r="H117" s="239">
        <f>0</f>
        <v>0</v>
      </c>
      <c r="I117" s="239">
        <f>0</f>
        <v>0</v>
      </c>
      <c r="J117" s="239">
        <f>0</f>
        <v>0</v>
      </c>
      <c r="K117" s="239">
        <f>0</f>
        <v>0</v>
      </c>
      <c r="L117" s="239">
        <f>0</f>
        <v>0</v>
      </c>
      <c r="M117" s="239">
        <f t="shared" ref="M117:M130" si="48">IFERROR(M103/M5,0)</f>
        <v>0.79807276676945982</v>
      </c>
    </row>
    <row r="118" spans="1:13" ht="16" customHeight="1">
      <c r="A118" s="237" t="s">
        <v>89</v>
      </c>
      <c r="B118" s="237" t="s">
        <v>33</v>
      </c>
      <c r="C118" s="239">
        <f t="shared" si="47"/>
        <v>4.0145632538176851E-2</v>
      </c>
      <c r="D118" s="239">
        <f>0</f>
        <v>0</v>
      </c>
      <c r="E118" s="239">
        <f>0</f>
        <v>0</v>
      </c>
      <c r="F118" s="239">
        <f>0</f>
        <v>0</v>
      </c>
      <c r="G118" s="239">
        <f>0</f>
        <v>0</v>
      </c>
      <c r="H118" s="239">
        <f>0</f>
        <v>0</v>
      </c>
      <c r="I118" s="239">
        <f>0</f>
        <v>0</v>
      </c>
      <c r="J118" s="239">
        <f>0</f>
        <v>0</v>
      </c>
      <c r="K118" s="239">
        <f>0</f>
        <v>0</v>
      </c>
      <c r="L118" s="239">
        <f>0</f>
        <v>0</v>
      </c>
      <c r="M118" s="239">
        <f t="shared" si="48"/>
        <v>0.37506242401465328</v>
      </c>
    </row>
    <row r="119" spans="1:13" ht="16" customHeight="1">
      <c r="A119" s="237" t="s">
        <v>89</v>
      </c>
      <c r="B119" s="237" t="s">
        <v>34</v>
      </c>
      <c r="C119" s="239">
        <f t="shared" si="47"/>
        <v>2.9448587363372851E-2</v>
      </c>
      <c r="D119" s="239">
        <f>0</f>
        <v>0</v>
      </c>
      <c r="E119" s="239">
        <f>0</f>
        <v>0</v>
      </c>
      <c r="F119" s="239">
        <f>0</f>
        <v>0</v>
      </c>
      <c r="G119" s="239">
        <f>0</f>
        <v>0</v>
      </c>
      <c r="H119" s="239">
        <f>0</f>
        <v>0</v>
      </c>
      <c r="I119" s="239">
        <f>0</f>
        <v>0</v>
      </c>
      <c r="J119" s="239">
        <f>0</f>
        <v>0</v>
      </c>
      <c r="K119" s="239">
        <f>0</f>
        <v>0</v>
      </c>
      <c r="L119" s="239">
        <f>0</f>
        <v>0</v>
      </c>
      <c r="M119" s="239">
        <f t="shared" si="48"/>
        <v>0.3418547568810496</v>
      </c>
    </row>
    <row r="120" spans="1:13" ht="16" customHeight="1">
      <c r="A120" s="237" t="s">
        <v>89</v>
      </c>
      <c r="B120" s="237" t="s">
        <v>35</v>
      </c>
      <c r="C120" s="239">
        <f t="shared" si="47"/>
        <v>3.4267821479262169E-2</v>
      </c>
      <c r="D120" s="239">
        <f>0</f>
        <v>0</v>
      </c>
      <c r="E120" s="239">
        <f>0</f>
        <v>0</v>
      </c>
      <c r="F120" s="239">
        <f>0</f>
        <v>0</v>
      </c>
      <c r="G120" s="239">
        <f>0</f>
        <v>0</v>
      </c>
      <c r="H120" s="239">
        <f>0</f>
        <v>0</v>
      </c>
      <c r="I120" s="239">
        <f>0</f>
        <v>0</v>
      </c>
      <c r="J120" s="239">
        <f>0</f>
        <v>0</v>
      </c>
      <c r="K120" s="239">
        <f>0</f>
        <v>0</v>
      </c>
      <c r="L120" s="239">
        <f>0</f>
        <v>0</v>
      </c>
      <c r="M120" s="239">
        <f t="shared" si="48"/>
        <v>0.30751987072267767</v>
      </c>
    </row>
    <row r="121" spans="1:13" ht="16" customHeight="1">
      <c r="A121" s="237" t="s">
        <v>89</v>
      </c>
      <c r="B121" s="237" t="s">
        <v>36</v>
      </c>
      <c r="C121" s="239">
        <f t="shared" si="47"/>
        <v>2.9492867209148687E-2</v>
      </c>
      <c r="D121" s="239">
        <f>0</f>
        <v>0</v>
      </c>
      <c r="E121" s="239">
        <f>0</f>
        <v>0</v>
      </c>
      <c r="F121" s="239">
        <f>0</f>
        <v>0</v>
      </c>
      <c r="G121" s="239">
        <f>0</f>
        <v>0</v>
      </c>
      <c r="H121" s="239">
        <f>0</f>
        <v>0</v>
      </c>
      <c r="I121" s="239">
        <f>0</f>
        <v>0</v>
      </c>
      <c r="J121" s="239">
        <f>0</f>
        <v>0</v>
      </c>
      <c r="K121" s="239">
        <f>0</f>
        <v>0</v>
      </c>
      <c r="L121" s="239">
        <f>0</f>
        <v>0</v>
      </c>
      <c r="M121" s="239">
        <f t="shared" si="48"/>
        <v>0.28778281451107812</v>
      </c>
    </row>
    <row r="122" spans="1:13" ht="16" customHeight="1">
      <c r="A122" s="237" t="s">
        <v>89</v>
      </c>
      <c r="B122" s="237" t="s">
        <v>37</v>
      </c>
      <c r="C122" s="239">
        <f t="shared" si="47"/>
        <v>2.7252498959618239E-2</v>
      </c>
      <c r="D122" s="239">
        <f>0</f>
        <v>0</v>
      </c>
      <c r="E122" s="239">
        <f>0</f>
        <v>0</v>
      </c>
      <c r="F122" s="239">
        <f>0</f>
        <v>0</v>
      </c>
      <c r="G122" s="239">
        <f>0</f>
        <v>0</v>
      </c>
      <c r="H122" s="239">
        <f>0</f>
        <v>0</v>
      </c>
      <c r="I122" s="239">
        <f>0</f>
        <v>0</v>
      </c>
      <c r="J122" s="239">
        <f>0</f>
        <v>0</v>
      </c>
      <c r="K122" s="239">
        <f>0</f>
        <v>0</v>
      </c>
      <c r="L122" s="239">
        <f>0</f>
        <v>0</v>
      </c>
      <c r="M122" s="239">
        <f t="shared" si="48"/>
        <v>0.29854120710854576</v>
      </c>
    </row>
    <row r="123" spans="1:13" ht="16" customHeight="1">
      <c r="A123" s="237" t="s">
        <v>89</v>
      </c>
      <c r="B123" s="237" t="s">
        <v>38</v>
      </c>
      <c r="C123" s="239">
        <f t="shared" si="47"/>
        <v>3.6634818079722992E-2</v>
      </c>
      <c r="D123" s="239">
        <f>0</f>
        <v>0</v>
      </c>
      <c r="E123" s="239">
        <f>0</f>
        <v>0</v>
      </c>
      <c r="F123" s="239">
        <f>0</f>
        <v>0</v>
      </c>
      <c r="G123" s="239">
        <f>0</f>
        <v>0</v>
      </c>
      <c r="H123" s="239">
        <f>0</f>
        <v>0</v>
      </c>
      <c r="I123" s="239">
        <f>0</f>
        <v>0</v>
      </c>
      <c r="J123" s="239">
        <f>0</f>
        <v>0</v>
      </c>
      <c r="K123" s="239">
        <f>0</f>
        <v>0</v>
      </c>
      <c r="L123" s="239">
        <f>0</f>
        <v>0</v>
      </c>
      <c r="M123" s="239">
        <f t="shared" si="48"/>
        <v>0.40555497644173172</v>
      </c>
    </row>
    <row r="124" spans="1:13" ht="16" customHeight="1">
      <c r="A124" s="237" t="s">
        <v>89</v>
      </c>
      <c r="B124" s="237" t="s">
        <v>39</v>
      </c>
      <c r="C124" s="239">
        <f t="shared" si="47"/>
        <v>3.1359475399738976E-2</v>
      </c>
      <c r="D124" s="239">
        <f>0</f>
        <v>0</v>
      </c>
      <c r="E124" s="239">
        <f>0</f>
        <v>0</v>
      </c>
      <c r="F124" s="239">
        <f>0</f>
        <v>0</v>
      </c>
      <c r="G124" s="239">
        <f>0</f>
        <v>0</v>
      </c>
      <c r="H124" s="239">
        <f>0</f>
        <v>0</v>
      </c>
      <c r="I124" s="239">
        <f>0</f>
        <v>0</v>
      </c>
      <c r="J124" s="239">
        <f>0</f>
        <v>0</v>
      </c>
      <c r="K124" s="239">
        <f>0</f>
        <v>0</v>
      </c>
      <c r="L124" s="239">
        <f>0</f>
        <v>0</v>
      </c>
      <c r="M124" s="239">
        <f t="shared" si="48"/>
        <v>0.54665929907611366</v>
      </c>
    </row>
    <row r="125" spans="1:13" ht="16" customHeight="1">
      <c r="A125" s="237" t="s">
        <v>89</v>
      </c>
      <c r="B125" s="237" t="s">
        <v>40</v>
      </c>
      <c r="C125" s="239">
        <f t="shared" si="47"/>
        <v>2.7178322572990469E-2</v>
      </c>
      <c r="D125" s="239">
        <f>0</f>
        <v>0</v>
      </c>
      <c r="E125" s="239">
        <f>0</f>
        <v>0</v>
      </c>
      <c r="F125" s="239">
        <f>0</f>
        <v>0</v>
      </c>
      <c r="G125" s="239">
        <f>0</f>
        <v>0</v>
      </c>
      <c r="H125" s="239">
        <f>0</f>
        <v>0</v>
      </c>
      <c r="I125" s="239">
        <f>0</f>
        <v>0</v>
      </c>
      <c r="J125" s="239">
        <f>0</f>
        <v>0</v>
      </c>
      <c r="K125" s="239">
        <f>0</f>
        <v>0</v>
      </c>
      <c r="L125" s="239">
        <f>0</f>
        <v>0</v>
      </c>
      <c r="M125" s="239">
        <f t="shared" si="48"/>
        <v>0.47117505451652858</v>
      </c>
    </row>
    <row r="126" spans="1:13" ht="16" customHeight="1">
      <c r="A126" s="237" t="s">
        <v>89</v>
      </c>
      <c r="B126" s="237" t="s">
        <v>41</v>
      </c>
      <c r="C126" s="239">
        <f t="shared" si="47"/>
        <v>2.6029984005232567E-2</v>
      </c>
      <c r="D126" s="239">
        <f>0</f>
        <v>0</v>
      </c>
      <c r="E126" s="239">
        <f>0</f>
        <v>0</v>
      </c>
      <c r="F126" s="239">
        <f>0</f>
        <v>0</v>
      </c>
      <c r="G126" s="239">
        <f>0</f>
        <v>0</v>
      </c>
      <c r="H126" s="239">
        <f>0</f>
        <v>0</v>
      </c>
      <c r="I126" s="239">
        <f>0</f>
        <v>0</v>
      </c>
      <c r="J126" s="239">
        <f>0</f>
        <v>0</v>
      </c>
      <c r="K126" s="239">
        <f>0</f>
        <v>0</v>
      </c>
      <c r="L126" s="239">
        <f>0</f>
        <v>0</v>
      </c>
      <c r="M126" s="239">
        <f t="shared" si="48"/>
        <v>0.4599524351293327</v>
      </c>
    </row>
    <row r="127" spans="1:13" ht="16" customHeight="1">
      <c r="A127" s="237" t="s">
        <v>89</v>
      </c>
      <c r="B127" s="237" t="s">
        <v>42</v>
      </c>
      <c r="C127" s="239">
        <f t="shared" si="47"/>
        <v>2.3397827617331883E-2</v>
      </c>
      <c r="D127" s="239">
        <f>0</f>
        <v>0</v>
      </c>
      <c r="E127" s="239">
        <f>0</f>
        <v>0</v>
      </c>
      <c r="F127" s="239">
        <f>0</f>
        <v>0</v>
      </c>
      <c r="G127" s="239">
        <f>0</f>
        <v>0</v>
      </c>
      <c r="H127" s="239">
        <f>0</f>
        <v>0</v>
      </c>
      <c r="I127" s="239">
        <f>0</f>
        <v>0</v>
      </c>
      <c r="J127" s="239">
        <f>0</f>
        <v>0</v>
      </c>
      <c r="K127" s="239">
        <f>0</f>
        <v>0</v>
      </c>
      <c r="L127" s="239">
        <f>0</f>
        <v>0</v>
      </c>
      <c r="M127" s="239">
        <f t="shared" si="48"/>
        <v>0.43342077712884791</v>
      </c>
    </row>
    <row r="128" spans="1:13" ht="16" customHeight="1">
      <c r="A128" s="237" t="s">
        <v>89</v>
      </c>
      <c r="B128" s="237" t="s">
        <v>43</v>
      </c>
      <c r="C128" s="239">
        <f t="shared" si="47"/>
        <v>2.4237289491922352E-2</v>
      </c>
      <c r="D128" s="239">
        <f>0</f>
        <v>0</v>
      </c>
      <c r="E128" s="239">
        <f>0</f>
        <v>0</v>
      </c>
      <c r="F128" s="239">
        <f>0</f>
        <v>0</v>
      </c>
      <c r="G128" s="239">
        <f>0</f>
        <v>0</v>
      </c>
      <c r="H128" s="239">
        <f>0</f>
        <v>0</v>
      </c>
      <c r="I128" s="239">
        <f>0</f>
        <v>0</v>
      </c>
      <c r="J128" s="239">
        <f>0</f>
        <v>0</v>
      </c>
      <c r="K128" s="239">
        <f>0</f>
        <v>0</v>
      </c>
      <c r="L128" s="239">
        <f>0</f>
        <v>0</v>
      </c>
      <c r="M128" s="239">
        <f t="shared" si="48"/>
        <v>0.23453712450270564</v>
      </c>
    </row>
    <row r="129" spans="1:13" ht="16" customHeight="1">
      <c r="A129" s="237" t="s">
        <v>89</v>
      </c>
      <c r="B129" s="237" t="s">
        <v>44</v>
      </c>
      <c r="C129" s="239">
        <f t="shared" si="47"/>
        <v>2.8918779531411431E-2</v>
      </c>
      <c r="D129" s="239">
        <f>0</f>
        <v>0</v>
      </c>
      <c r="E129" s="239">
        <f>0</f>
        <v>0</v>
      </c>
      <c r="F129" s="239">
        <f>0</f>
        <v>0</v>
      </c>
      <c r="G129" s="239">
        <f>0</f>
        <v>0</v>
      </c>
      <c r="H129" s="239">
        <f>0</f>
        <v>0</v>
      </c>
      <c r="I129" s="239">
        <f>0</f>
        <v>0</v>
      </c>
      <c r="J129" s="239">
        <f>0</f>
        <v>0</v>
      </c>
      <c r="K129" s="239">
        <f>0</f>
        <v>0</v>
      </c>
      <c r="L129" s="239">
        <f>0</f>
        <v>0</v>
      </c>
      <c r="M129" s="239">
        <f t="shared" si="48"/>
        <v>0.37120129885318098</v>
      </c>
    </row>
    <row r="130" spans="1:13" ht="16" customHeight="1">
      <c r="A130" s="237" t="s">
        <v>89</v>
      </c>
      <c r="B130" s="237" t="s">
        <v>45</v>
      </c>
      <c r="C130" s="239">
        <f t="shared" si="47"/>
        <v>2.7117897920893509E-2</v>
      </c>
      <c r="D130" s="239">
        <f>0</f>
        <v>0</v>
      </c>
      <c r="E130" s="239">
        <f>0</f>
        <v>0</v>
      </c>
      <c r="F130" s="239">
        <f>0</f>
        <v>0</v>
      </c>
      <c r="G130" s="239">
        <f>0</f>
        <v>0</v>
      </c>
      <c r="H130" s="239">
        <f>0</f>
        <v>0</v>
      </c>
      <c r="I130" s="239">
        <f>0</f>
        <v>0</v>
      </c>
      <c r="J130" s="239">
        <f>0</f>
        <v>0</v>
      </c>
      <c r="K130" s="239">
        <f>0</f>
        <v>0</v>
      </c>
      <c r="L130" s="239">
        <f>0</f>
        <v>0</v>
      </c>
      <c r="M130" s="239">
        <f t="shared" si="48"/>
        <v>0.39290843444351214</v>
      </c>
    </row>
    <row r="131" spans="1:13" ht="16" customHeight="1">
      <c r="A131" s="237" t="s">
        <v>90</v>
      </c>
      <c r="B131" s="237" t="s">
        <v>32</v>
      </c>
      <c r="C131" s="238">
        <f t="shared" ref="C131:C172" si="49">SUM(D131:M131)</f>
        <v>2.1930806559999998</v>
      </c>
      <c r="D131" s="238">
        <f>0</f>
        <v>0</v>
      </c>
      <c r="E131" s="238">
        <f>0</f>
        <v>0</v>
      </c>
      <c r="F131" s="238">
        <f>0</f>
        <v>0</v>
      </c>
      <c r="G131" s="238">
        <f>0</f>
        <v>0</v>
      </c>
      <c r="H131" s="238">
        <f>0</f>
        <v>0</v>
      </c>
      <c r="I131" s="238">
        <f>0</f>
        <v>0</v>
      </c>
      <c r="J131" s="238">
        <f>0</f>
        <v>0</v>
      </c>
      <c r="K131" s="238">
        <f>0</f>
        <v>0</v>
      </c>
      <c r="L131" s="238">
        <f>0</f>
        <v>0</v>
      </c>
      <c r="M131" s="238">
        <f>'测算-整体经营'!I$27</f>
        <v>2.1930806559999998</v>
      </c>
    </row>
    <row r="132" spans="1:13" ht="16" customHeight="1">
      <c r="A132" s="237" t="s">
        <v>90</v>
      </c>
      <c r="B132" s="237" t="s">
        <v>33</v>
      </c>
      <c r="C132" s="238">
        <f t="shared" si="49"/>
        <v>1.3299192200000001</v>
      </c>
      <c r="D132" s="238">
        <f>0</f>
        <v>0</v>
      </c>
      <c r="E132" s="238">
        <f>0</f>
        <v>0</v>
      </c>
      <c r="F132" s="238">
        <f>0</f>
        <v>0</v>
      </c>
      <c r="G132" s="238">
        <f>0</f>
        <v>0</v>
      </c>
      <c r="H132" s="238">
        <f>0</f>
        <v>0</v>
      </c>
      <c r="I132" s="238">
        <f>0</f>
        <v>0</v>
      </c>
      <c r="J132" s="238">
        <f>0</f>
        <v>0</v>
      </c>
      <c r="K132" s="238">
        <f>0</f>
        <v>0</v>
      </c>
      <c r="L132" s="238">
        <f>0</f>
        <v>0</v>
      </c>
      <c r="M132" s="238">
        <f>'测算-整体经营'!J$27</f>
        <v>1.3299192200000001</v>
      </c>
    </row>
    <row r="133" spans="1:13" ht="16" customHeight="1">
      <c r="A133" s="237" t="s">
        <v>90</v>
      </c>
      <c r="B133" s="237" t="s">
        <v>34</v>
      </c>
      <c r="C133" s="238">
        <f t="shared" si="49"/>
        <v>2.0245895400000005</v>
      </c>
      <c r="D133" s="238">
        <f>0</f>
        <v>0</v>
      </c>
      <c r="E133" s="238">
        <f>0</f>
        <v>0</v>
      </c>
      <c r="F133" s="238">
        <f>0</f>
        <v>0</v>
      </c>
      <c r="G133" s="238">
        <f>0</f>
        <v>0</v>
      </c>
      <c r="H133" s="238">
        <f>0</f>
        <v>0</v>
      </c>
      <c r="I133" s="238">
        <f>0</f>
        <v>0</v>
      </c>
      <c r="J133" s="238">
        <f>0</f>
        <v>0</v>
      </c>
      <c r="K133" s="238">
        <f>0</f>
        <v>0</v>
      </c>
      <c r="L133" s="238">
        <f>0</f>
        <v>0</v>
      </c>
      <c r="M133" s="238">
        <f>'测算-整体经营'!K$27</f>
        <v>2.0245895400000005</v>
      </c>
    </row>
    <row r="134" spans="1:13" ht="16" customHeight="1">
      <c r="A134" s="237" t="s">
        <v>90</v>
      </c>
      <c r="B134" s="237" t="s">
        <v>35</v>
      </c>
      <c r="C134" s="238">
        <f t="shared" si="49"/>
        <v>1.9556995020000001</v>
      </c>
      <c r="D134" s="238">
        <f>0</f>
        <v>0</v>
      </c>
      <c r="E134" s="238">
        <f>0</f>
        <v>0</v>
      </c>
      <c r="F134" s="238">
        <f>0</f>
        <v>0</v>
      </c>
      <c r="G134" s="238">
        <f>0</f>
        <v>0</v>
      </c>
      <c r="H134" s="238">
        <f>0</f>
        <v>0</v>
      </c>
      <c r="I134" s="238">
        <f>0</f>
        <v>0</v>
      </c>
      <c r="J134" s="238">
        <f>0</f>
        <v>0</v>
      </c>
      <c r="K134" s="238">
        <f>0</f>
        <v>0</v>
      </c>
      <c r="L134" s="238">
        <f>0</f>
        <v>0</v>
      </c>
      <c r="M134" s="238">
        <f>'测算-整体经营'!L$27</f>
        <v>1.9556995020000001</v>
      </c>
    </row>
    <row r="135" spans="1:13" ht="16" customHeight="1">
      <c r="A135" s="237" t="s">
        <v>90</v>
      </c>
      <c r="B135" s="237" t="s">
        <v>36</v>
      </c>
      <c r="C135" s="238">
        <f t="shared" si="49"/>
        <v>2.4362063660000004</v>
      </c>
      <c r="D135" s="238">
        <f>0</f>
        <v>0</v>
      </c>
      <c r="E135" s="238">
        <f>0</f>
        <v>0</v>
      </c>
      <c r="F135" s="238">
        <f>0</f>
        <v>0</v>
      </c>
      <c r="G135" s="238">
        <f>0</f>
        <v>0</v>
      </c>
      <c r="H135" s="238">
        <f>0</f>
        <v>0</v>
      </c>
      <c r="I135" s="238">
        <f>0</f>
        <v>0</v>
      </c>
      <c r="J135" s="238">
        <f>0</f>
        <v>0</v>
      </c>
      <c r="K135" s="238">
        <f>0</f>
        <v>0</v>
      </c>
      <c r="L135" s="238">
        <f>0</f>
        <v>0</v>
      </c>
      <c r="M135" s="238">
        <f>'测算-整体经营'!M$27</f>
        <v>2.4362063660000004</v>
      </c>
    </row>
    <row r="136" spans="1:13" ht="16" customHeight="1">
      <c r="A136" s="237" t="s">
        <v>90</v>
      </c>
      <c r="B136" s="237" t="s">
        <v>37</v>
      </c>
      <c r="C136" s="238">
        <f t="shared" si="49"/>
        <v>2.4811811424581363</v>
      </c>
      <c r="D136" s="238">
        <f>0</f>
        <v>0</v>
      </c>
      <c r="E136" s="238">
        <f>0</f>
        <v>0</v>
      </c>
      <c r="F136" s="238">
        <f>0</f>
        <v>0</v>
      </c>
      <c r="G136" s="238">
        <f>0</f>
        <v>0</v>
      </c>
      <c r="H136" s="238">
        <f>0</f>
        <v>0</v>
      </c>
      <c r="I136" s="238">
        <f>0</f>
        <v>0</v>
      </c>
      <c r="J136" s="238">
        <f>0</f>
        <v>0</v>
      </c>
      <c r="K136" s="238">
        <f>0</f>
        <v>0</v>
      </c>
      <c r="L136" s="238">
        <f>0</f>
        <v>0</v>
      </c>
      <c r="M136" s="238">
        <f>'测算-整体经营'!N$27</f>
        <v>2.4811811424581363</v>
      </c>
    </row>
    <row r="137" spans="1:13" ht="16" customHeight="1">
      <c r="A137" s="237" t="s">
        <v>90</v>
      </c>
      <c r="B137" s="237" t="s">
        <v>38</v>
      </c>
      <c r="C137" s="238">
        <f t="shared" si="49"/>
        <v>1.5836877848527344</v>
      </c>
      <c r="D137" s="238">
        <f>0</f>
        <v>0</v>
      </c>
      <c r="E137" s="238">
        <f>0</f>
        <v>0</v>
      </c>
      <c r="F137" s="238">
        <f>0</f>
        <v>0</v>
      </c>
      <c r="G137" s="238">
        <f>0</f>
        <v>0</v>
      </c>
      <c r="H137" s="238">
        <f>0</f>
        <v>0</v>
      </c>
      <c r="I137" s="238">
        <f>0</f>
        <v>0</v>
      </c>
      <c r="J137" s="238">
        <f>0</f>
        <v>0</v>
      </c>
      <c r="K137" s="238">
        <f>0</f>
        <v>0</v>
      </c>
      <c r="L137" s="238">
        <f>0</f>
        <v>0</v>
      </c>
      <c r="M137" s="238">
        <f>'测算-整体经营'!O$27</f>
        <v>1.5836877848527344</v>
      </c>
    </row>
    <row r="138" spans="1:13" ht="16" customHeight="1">
      <c r="A138" s="237" t="s">
        <v>90</v>
      </c>
      <c r="B138" s="237" t="s">
        <v>39</v>
      </c>
      <c r="C138" s="238">
        <f t="shared" si="49"/>
        <v>2.0911988005232045</v>
      </c>
      <c r="D138" s="238">
        <f>0</f>
        <v>0</v>
      </c>
      <c r="E138" s="238">
        <f>0</f>
        <v>0</v>
      </c>
      <c r="F138" s="238">
        <f>0</f>
        <v>0</v>
      </c>
      <c r="G138" s="238">
        <f>0</f>
        <v>0</v>
      </c>
      <c r="H138" s="238">
        <f>0</f>
        <v>0</v>
      </c>
      <c r="I138" s="238">
        <f>0</f>
        <v>0</v>
      </c>
      <c r="J138" s="238">
        <f>0</f>
        <v>0</v>
      </c>
      <c r="K138" s="238">
        <f>0</f>
        <v>0</v>
      </c>
      <c r="L138" s="238">
        <f>0</f>
        <v>0</v>
      </c>
      <c r="M138" s="238">
        <f>'测算-整体经营'!P$27</f>
        <v>2.0911988005232045</v>
      </c>
    </row>
    <row r="139" spans="1:13" ht="16" customHeight="1">
      <c r="A139" s="237" t="s">
        <v>90</v>
      </c>
      <c r="B139" s="237" t="s">
        <v>40</v>
      </c>
      <c r="C139" s="238">
        <f t="shared" si="49"/>
        <v>2.6222260157385753</v>
      </c>
      <c r="D139" s="238">
        <f>0</f>
        <v>0</v>
      </c>
      <c r="E139" s="238">
        <f>0</f>
        <v>0</v>
      </c>
      <c r="F139" s="238">
        <f>0</f>
        <v>0</v>
      </c>
      <c r="G139" s="238">
        <f>0</f>
        <v>0</v>
      </c>
      <c r="H139" s="238">
        <f>0</f>
        <v>0</v>
      </c>
      <c r="I139" s="238">
        <f>0</f>
        <v>0</v>
      </c>
      <c r="J139" s="238">
        <f>0</f>
        <v>0</v>
      </c>
      <c r="K139" s="238">
        <f>0</f>
        <v>0</v>
      </c>
      <c r="L139" s="238">
        <f>0</f>
        <v>0</v>
      </c>
      <c r="M139" s="238">
        <f>'测算-整体经营'!Q$27</f>
        <v>2.6222260157385753</v>
      </c>
    </row>
    <row r="140" spans="1:13" ht="16" customHeight="1">
      <c r="A140" s="237" t="s">
        <v>90</v>
      </c>
      <c r="B140" s="237" t="s">
        <v>41</v>
      </c>
      <c r="C140" s="238">
        <f t="shared" si="49"/>
        <v>2.8252424681771222</v>
      </c>
      <c r="D140" s="238">
        <f>0</f>
        <v>0</v>
      </c>
      <c r="E140" s="238">
        <f>0</f>
        <v>0</v>
      </c>
      <c r="F140" s="238">
        <f>0</f>
        <v>0</v>
      </c>
      <c r="G140" s="238">
        <f>0</f>
        <v>0</v>
      </c>
      <c r="H140" s="238">
        <f>0</f>
        <v>0</v>
      </c>
      <c r="I140" s="238">
        <f>0</f>
        <v>0</v>
      </c>
      <c r="J140" s="238">
        <f>0</f>
        <v>0</v>
      </c>
      <c r="K140" s="238">
        <f>0</f>
        <v>0</v>
      </c>
      <c r="L140" s="238">
        <f>0</f>
        <v>0</v>
      </c>
      <c r="M140" s="238">
        <f>'测算-整体经营'!R$27</f>
        <v>2.8252424681771222</v>
      </c>
    </row>
    <row r="141" spans="1:13" ht="16" customHeight="1">
      <c r="A141" s="237" t="s">
        <v>90</v>
      </c>
      <c r="B141" s="237" t="s">
        <v>42</v>
      </c>
      <c r="C141" s="238">
        <f t="shared" si="49"/>
        <v>3.429923638561633</v>
      </c>
      <c r="D141" s="238">
        <f>0</f>
        <v>0</v>
      </c>
      <c r="E141" s="238">
        <f>0</f>
        <v>0</v>
      </c>
      <c r="F141" s="238">
        <f>0</f>
        <v>0</v>
      </c>
      <c r="G141" s="238">
        <f>0</f>
        <v>0</v>
      </c>
      <c r="H141" s="238">
        <f>0</f>
        <v>0</v>
      </c>
      <c r="I141" s="238">
        <f>0</f>
        <v>0</v>
      </c>
      <c r="J141" s="238">
        <f>0</f>
        <v>0</v>
      </c>
      <c r="K141" s="238">
        <f>0</f>
        <v>0</v>
      </c>
      <c r="L141" s="238">
        <f>0</f>
        <v>0</v>
      </c>
      <c r="M141" s="238">
        <f>'测算-整体经营'!S$27</f>
        <v>3.429923638561633</v>
      </c>
    </row>
    <row r="142" spans="1:13" ht="16" customHeight="1">
      <c r="A142" s="237" t="s">
        <v>90</v>
      </c>
      <c r="B142" s="237" t="s">
        <v>43</v>
      </c>
      <c r="C142" s="238">
        <f t="shared" si="49"/>
        <v>2.9262123476636122</v>
      </c>
      <c r="D142" s="238">
        <f>0</f>
        <v>0</v>
      </c>
      <c r="E142" s="238">
        <f>0</f>
        <v>0</v>
      </c>
      <c r="F142" s="238">
        <f>0</f>
        <v>0</v>
      </c>
      <c r="G142" s="238">
        <f>0</f>
        <v>0</v>
      </c>
      <c r="H142" s="238">
        <f>0</f>
        <v>0</v>
      </c>
      <c r="I142" s="238">
        <f>0</f>
        <v>0</v>
      </c>
      <c r="J142" s="238">
        <f>0</f>
        <v>0</v>
      </c>
      <c r="K142" s="238">
        <f>0</f>
        <v>0</v>
      </c>
      <c r="L142" s="238">
        <f>0</f>
        <v>0</v>
      </c>
      <c r="M142" s="238">
        <f>'测算-整体经营'!T$27</f>
        <v>2.9262123476636122</v>
      </c>
    </row>
    <row r="143" spans="1:13" ht="16" customHeight="1">
      <c r="A143" s="237" t="s">
        <v>90</v>
      </c>
      <c r="B143" s="237" t="s">
        <v>44</v>
      </c>
      <c r="C143" s="238">
        <f t="shared" si="49"/>
        <v>27.89916748197502</v>
      </c>
      <c r="D143" s="238">
        <f>0</f>
        <v>0</v>
      </c>
      <c r="E143" s="238">
        <f>0</f>
        <v>0</v>
      </c>
      <c r="F143" s="238">
        <f>0</f>
        <v>0</v>
      </c>
      <c r="G143" s="238">
        <f>0</f>
        <v>0</v>
      </c>
      <c r="H143" s="238">
        <f>0</f>
        <v>0</v>
      </c>
      <c r="I143" s="238">
        <f>0</f>
        <v>0</v>
      </c>
      <c r="J143" s="238">
        <f>0</f>
        <v>0</v>
      </c>
      <c r="K143" s="238">
        <f>0</f>
        <v>0</v>
      </c>
      <c r="L143" s="238">
        <f>0</f>
        <v>0</v>
      </c>
      <c r="M143" s="238">
        <f>'测算-整体经营'!V$27</f>
        <v>27.89916748197502</v>
      </c>
    </row>
    <row r="144" spans="1:13" ht="16" customHeight="1">
      <c r="A144" s="237" t="s">
        <v>90</v>
      </c>
      <c r="B144" s="237" t="s">
        <v>45</v>
      </c>
      <c r="C144" s="238">
        <f t="shared" si="49"/>
        <v>15.47849105551688</v>
      </c>
      <c r="D144" s="238">
        <f>0</f>
        <v>0</v>
      </c>
      <c r="E144" s="238">
        <f>0</f>
        <v>0</v>
      </c>
      <c r="F144" s="238">
        <f>0</f>
        <v>0</v>
      </c>
      <c r="G144" s="238">
        <f>0</f>
        <v>0</v>
      </c>
      <c r="H144" s="238">
        <f>0</f>
        <v>0</v>
      </c>
      <c r="I144" s="238">
        <f>0</f>
        <v>0</v>
      </c>
      <c r="J144" s="238">
        <f>0</f>
        <v>0</v>
      </c>
      <c r="K144" s="238">
        <f>0</f>
        <v>0</v>
      </c>
      <c r="L144" s="238">
        <f>0</f>
        <v>0</v>
      </c>
      <c r="M144" s="238">
        <f>'测算-整体经营'!W$27</f>
        <v>15.47849105551688</v>
      </c>
    </row>
    <row r="145" spans="1:13" ht="16" customHeight="1">
      <c r="A145" s="237" t="s">
        <v>92</v>
      </c>
      <c r="B145" s="237" t="s">
        <v>32</v>
      </c>
      <c r="C145" s="238">
        <f t="shared" si="49"/>
        <v>3.2896209839999995</v>
      </c>
      <c r="D145" s="238">
        <f>0</f>
        <v>0</v>
      </c>
      <c r="E145" s="238">
        <f>0</f>
        <v>0</v>
      </c>
      <c r="F145" s="238">
        <f>0</f>
        <v>0</v>
      </c>
      <c r="G145" s="238">
        <f>0</f>
        <v>0</v>
      </c>
      <c r="H145" s="238">
        <f>0</f>
        <v>0</v>
      </c>
      <c r="I145" s="238">
        <f>0</f>
        <v>0</v>
      </c>
      <c r="J145" s="238">
        <f>0</f>
        <v>0</v>
      </c>
      <c r="K145" s="238">
        <f>0</f>
        <v>0</v>
      </c>
      <c r="L145" s="238">
        <f>0</f>
        <v>0</v>
      </c>
      <c r="M145" s="238">
        <f>'测算-整体经营'!I$29</f>
        <v>3.2896209839999995</v>
      </c>
    </row>
    <row r="146" spans="1:13" ht="16" customHeight="1">
      <c r="A146" s="237" t="s">
        <v>92</v>
      </c>
      <c r="B146" s="237" t="s">
        <v>33</v>
      </c>
      <c r="C146" s="238">
        <f t="shared" si="49"/>
        <v>1.99487883</v>
      </c>
      <c r="D146" s="238">
        <f>0</f>
        <v>0</v>
      </c>
      <c r="E146" s="238">
        <f>0</f>
        <v>0</v>
      </c>
      <c r="F146" s="238">
        <f>0</f>
        <v>0</v>
      </c>
      <c r="G146" s="238">
        <f>0</f>
        <v>0</v>
      </c>
      <c r="H146" s="238">
        <f>0</f>
        <v>0</v>
      </c>
      <c r="I146" s="238">
        <f>0</f>
        <v>0</v>
      </c>
      <c r="J146" s="238">
        <f>0</f>
        <v>0</v>
      </c>
      <c r="K146" s="238">
        <f>0</f>
        <v>0</v>
      </c>
      <c r="L146" s="238">
        <f>0</f>
        <v>0</v>
      </c>
      <c r="M146" s="238">
        <f>'测算-整体经营'!J$29</f>
        <v>1.99487883</v>
      </c>
    </row>
    <row r="147" spans="1:13" ht="16" customHeight="1">
      <c r="A147" s="237" t="s">
        <v>92</v>
      </c>
      <c r="B147" s="237" t="s">
        <v>34</v>
      </c>
      <c r="C147" s="238">
        <f t="shared" si="49"/>
        <v>3.0368843100000005</v>
      </c>
      <c r="D147" s="238">
        <f>0</f>
        <v>0</v>
      </c>
      <c r="E147" s="238">
        <f>0</f>
        <v>0</v>
      </c>
      <c r="F147" s="238">
        <f>0</f>
        <v>0</v>
      </c>
      <c r="G147" s="238">
        <f>0</f>
        <v>0</v>
      </c>
      <c r="H147" s="238">
        <f>0</f>
        <v>0</v>
      </c>
      <c r="I147" s="238">
        <f>0</f>
        <v>0</v>
      </c>
      <c r="J147" s="238">
        <f>0</f>
        <v>0</v>
      </c>
      <c r="K147" s="238">
        <f>0</f>
        <v>0</v>
      </c>
      <c r="L147" s="238">
        <f>0</f>
        <v>0</v>
      </c>
      <c r="M147" s="238">
        <f>'测算-整体经营'!K$29</f>
        <v>3.0368843100000005</v>
      </c>
    </row>
    <row r="148" spans="1:13" ht="16" customHeight="1">
      <c r="A148" s="237" t="s">
        <v>92</v>
      </c>
      <c r="B148" s="237" t="s">
        <v>35</v>
      </c>
      <c r="C148" s="238">
        <f t="shared" si="49"/>
        <v>2.9335492529999998</v>
      </c>
      <c r="D148" s="238">
        <f>0</f>
        <v>0</v>
      </c>
      <c r="E148" s="238">
        <f>0</f>
        <v>0</v>
      </c>
      <c r="F148" s="238">
        <f>0</f>
        <v>0</v>
      </c>
      <c r="G148" s="238">
        <f>0</f>
        <v>0</v>
      </c>
      <c r="H148" s="238">
        <f>0</f>
        <v>0</v>
      </c>
      <c r="I148" s="238">
        <f>0</f>
        <v>0</v>
      </c>
      <c r="J148" s="238">
        <f>0</f>
        <v>0</v>
      </c>
      <c r="K148" s="238">
        <f>0</f>
        <v>0</v>
      </c>
      <c r="L148" s="238">
        <f>0</f>
        <v>0</v>
      </c>
      <c r="M148" s="238">
        <f>'测算-整体经营'!L$29</f>
        <v>2.9335492529999998</v>
      </c>
    </row>
    <row r="149" spans="1:13" ht="16" customHeight="1">
      <c r="A149" s="237" t="s">
        <v>92</v>
      </c>
      <c r="B149" s="237" t="s">
        <v>36</v>
      </c>
      <c r="C149" s="238">
        <f t="shared" si="49"/>
        <v>3.6543095490000006</v>
      </c>
      <c r="D149" s="238">
        <f>0</f>
        <v>0</v>
      </c>
      <c r="E149" s="238">
        <f>0</f>
        <v>0</v>
      </c>
      <c r="F149" s="238">
        <f>0</f>
        <v>0</v>
      </c>
      <c r="G149" s="238">
        <f>0</f>
        <v>0</v>
      </c>
      <c r="H149" s="238">
        <f>0</f>
        <v>0</v>
      </c>
      <c r="I149" s="238">
        <f>0</f>
        <v>0</v>
      </c>
      <c r="J149" s="238">
        <f>0</f>
        <v>0</v>
      </c>
      <c r="K149" s="238">
        <f>0</f>
        <v>0</v>
      </c>
      <c r="L149" s="238">
        <f>0</f>
        <v>0</v>
      </c>
      <c r="M149" s="238">
        <f>'测算-整体经营'!M$29</f>
        <v>3.6543095490000006</v>
      </c>
    </row>
    <row r="150" spans="1:13" ht="16" customHeight="1">
      <c r="A150" s="237" t="s">
        <v>92</v>
      </c>
      <c r="B150" s="237" t="s">
        <v>37</v>
      </c>
      <c r="C150" s="238">
        <f t="shared" si="49"/>
        <v>3.7217717136872039</v>
      </c>
      <c r="D150" s="238">
        <f>0</f>
        <v>0</v>
      </c>
      <c r="E150" s="238">
        <f>0</f>
        <v>0</v>
      </c>
      <c r="F150" s="238">
        <f>0</f>
        <v>0</v>
      </c>
      <c r="G150" s="238">
        <f>0</f>
        <v>0</v>
      </c>
      <c r="H150" s="238">
        <f>0</f>
        <v>0</v>
      </c>
      <c r="I150" s="238">
        <f>0</f>
        <v>0</v>
      </c>
      <c r="J150" s="238">
        <f>0</f>
        <v>0</v>
      </c>
      <c r="K150" s="238">
        <f>0</f>
        <v>0</v>
      </c>
      <c r="L150" s="238">
        <f>0</f>
        <v>0</v>
      </c>
      <c r="M150" s="238">
        <f>'测算-整体经营'!N$29</f>
        <v>3.7217717136872039</v>
      </c>
    </row>
    <row r="151" spans="1:13" ht="16" customHeight="1">
      <c r="A151" s="237" t="s">
        <v>92</v>
      </c>
      <c r="B151" s="237" t="s">
        <v>38</v>
      </c>
      <c r="C151" s="238">
        <f t="shared" si="49"/>
        <v>2.3755316772791017</v>
      </c>
      <c r="D151" s="238">
        <f>0</f>
        <v>0</v>
      </c>
      <c r="E151" s="238">
        <f>0</f>
        <v>0</v>
      </c>
      <c r="F151" s="238">
        <f>0</f>
        <v>0</v>
      </c>
      <c r="G151" s="238">
        <f>0</f>
        <v>0</v>
      </c>
      <c r="H151" s="238">
        <f>0</f>
        <v>0</v>
      </c>
      <c r="I151" s="238">
        <f>0</f>
        <v>0</v>
      </c>
      <c r="J151" s="238">
        <f>0</f>
        <v>0</v>
      </c>
      <c r="K151" s="238">
        <f>0</f>
        <v>0</v>
      </c>
      <c r="L151" s="238">
        <f>0</f>
        <v>0</v>
      </c>
      <c r="M151" s="238">
        <f>'测算-整体经营'!O$29</f>
        <v>2.3755316772791017</v>
      </c>
    </row>
    <row r="152" spans="1:13" ht="16" customHeight="1">
      <c r="A152" s="237" t="s">
        <v>92</v>
      </c>
      <c r="B152" s="237" t="s">
        <v>39</v>
      </c>
      <c r="C152" s="238">
        <f t="shared" si="49"/>
        <v>3.1367982007848072</v>
      </c>
      <c r="D152" s="238">
        <f>0</f>
        <v>0</v>
      </c>
      <c r="E152" s="238">
        <f>0</f>
        <v>0</v>
      </c>
      <c r="F152" s="238">
        <f>0</f>
        <v>0</v>
      </c>
      <c r="G152" s="238">
        <f>0</f>
        <v>0</v>
      </c>
      <c r="H152" s="238">
        <f>0</f>
        <v>0</v>
      </c>
      <c r="I152" s="238">
        <f>0</f>
        <v>0</v>
      </c>
      <c r="J152" s="238">
        <f>0</f>
        <v>0</v>
      </c>
      <c r="K152" s="238">
        <f>0</f>
        <v>0</v>
      </c>
      <c r="L152" s="238">
        <f>0</f>
        <v>0</v>
      </c>
      <c r="M152" s="238">
        <f>'测算-整体经营'!P$29</f>
        <v>3.1367982007848072</v>
      </c>
    </row>
    <row r="153" spans="1:13" ht="16" customHeight="1">
      <c r="A153" s="237" t="s">
        <v>92</v>
      </c>
      <c r="B153" s="237" t="s">
        <v>40</v>
      </c>
      <c r="C153" s="238">
        <f t="shared" si="49"/>
        <v>3.9333390236078629</v>
      </c>
      <c r="D153" s="238">
        <f>0</f>
        <v>0</v>
      </c>
      <c r="E153" s="238">
        <f>0</f>
        <v>0</v>
      </c>
      <c r="F153" s="238">
        <f>0</f>
        <v>0</v>
      </c>
      <c r="G153" s="238">
        <f>0</f>
        <v>0</v>
      </c>
      <c r="H153" s="238">
        <f>0</f>
        <v>0</v>
      </c>
      <c r="I153" s="238">
        <f>0</f>
        <v>0</v>
      </c>
      <c r="J153" s="238">
        <f>0</f>
        <v>0</v>
      </c>
      <c r="K153" s="238">
        <f>0</f>
        <v>0</v>
      </c>
      <c r="L153" s="238">
        <f>0</f>
        <v>0</v>
      </c>
      <c r="M153" s="238">
        <f>'测算-整体经营'!Q$29</f>
        <v>3.9333390236078629</v>
      </c>
    </row>
    <row r="154" spans="1:13" ht="16" customHeight="1">
      <c r="A154" s="237" t="s">
        <v>92</v>
      </c>
      <c r="B154" s="237" t="s">
        <v>41</v>
      </c>
      <c r="C154" s="238">
        <f t="shared" si="49"/>
        <v>4.2378637022656838</v>
      </c>
      <c r="D154" s="238">
        <f>0</f>
        <v>0</v>
      </c>
      <c r="E154" s="238">
        <f>0</f>
        <v>0</v>
      </c>
      <c r="F154" s="238">
        <f>0</f>
        <v>0</v>
      </c>
      <c r="G154" s="238">
        <f>0</f>
        <v>0</v>
      </c>
      <c r="H154" s="238">
        <f>0</f>
        <v>0</v>
      </c>
      <c r="I154" s="238">
        <f>0</f>
        <v>0</v>
      </c>
      <c r="J154" s="238">
        <f>0</f>
        <v>0</v>
      </c>
      <c r="K154" s="238">
        <f>0</f>
        <v>0</v>
      </c>
      <c r="L154" s="238">
        <f>0</f>
        <v>0</v>
      </c>
      <c r="M154" s="238">
        <f>'测算-整体经营'!R$29</f>
        <v>4.2378637022656838</v>
      </c>
    </row>
    <row r="155" spans="1:13" ht="16" customHeight="1">
      <c r="A155" s="237" t="s">
        <v>92</v>
      </c>
      <c r="B155" s="237" t="s">
        <v>42</v>
      </c>
      <c r="C155" s="238">
        <f t="shared" si="49"/>
        <v>5.1448854578424497</v>
      </c>
      <c r="D155" s="238">
        <f>0</f>
        <v>0</v>
      </c>
      <c r="E155" s="238">
        <f>0</f>
        <v>0</v>
      </c>
      <c r="F155" s="238">
        <f>0</f>
        <v>0</v>
      </c>
      <c r="G155" s="238">
        <f>0</f>
        <v>0</v>
      </c>
      <c r="H155" s="238">
        <f>0</f>
        <v>0</v>
      </c>
      <c r="I155" s="238">
        <f>0</f>
        <v>0</v>
      </c>
      <c r="J155" s="238">
        <f>0</f>
        <v>0</v>
      </c>
      <c r="K155" s="238">
        <f>0</f>
        <v>0</v>
      </c>
      <c r="L155" s="238">
        <f>0</f>
        <v>0</v>
      </c>
      <c r="M155" s="238">
        <f>'测算-整体经营'!S$29</f>
        <v>5.1448854578424497</v>
      </c>
    </row>
    <row r="156" spans="1:13" ht="16" customHeight="1">
      <c r="A156" s="237" t="s">
        <v>92</v>
      </c>
      <c r="B156" s="237" t="s">
        <v>43</v>
      </c>
      <c r="C156" s="238">
        <f t="shared" si="49"/>
        <v>4.3893185214954178</v>
      </c>
      <c r="D156" s="238">
        <f>0</f>
        <v>0</v>
      </c>
      <c r="E156" s="238">
        <f>0</f>
        <v>0</v>
      </c>
      <c r="F156" s="238">
        <f>0</f>
        <v>0</v>
      </c>
      <c r="G156" s="238">
        <f>0</f>
        <v>0</v>
      </c>
      <c r="H156" s="238">
        <f>0</f>
        <v>0</v>
      </c>
      <c r="I156" s="238">
        <f>0</f>
        <v>0</v>
      </c>
      <c r="J156" s="238">
        <f>0</f>
        <v>0</v>
      </c>
      <c r="K156" s="238">
        <f>0</f>
        <v>0</v>
      </c>
      <c r="L156" s="238">
        <f>0</f>
        <v>0</v>
      </c>
      <c r="M156" s="238">
        <f>'测算-整体经营'!T$29</f>
        <v>4.3893185214954178</v>
      </c>
    </row>
    <row r="157" spans="1:13" ht="16" customHeight="1">
      <c r="A157" s="237" t="s">
        <v>92</v>
      </c>
      <c r="B157" s="237" t="s">
        <v>44</v>
      </c>
      <c r="C157" s="238">
        <f t="shared" si="49"/>
        <v>41.848751222962527</v>
      </c>
      <c r="D157" s="238">
        <f>0</f>
        <v>0</v>
      </c>
      <c r="E157" s="238">
        <f>0</f>
        <v>0</v>
      </c>
      <c r="F157" s="238">
        <f>0</f>
        <v>0</v>
      </c>
      <c r="G157" s="238">
        <f>0</f>
        <v>0</v>
      </c>
      <c r="H157" s="238">
        <f>0</f>
        <v>0</v>
      </c>
      <c r="I157" s="238">
        <f>0</f>
        <v>0</v>
      </c>
      <c r="J157" s="238">
        <f>0</f>
        <v>0</v>
      </c>
      <c r="K157" s="238">
        <f>0</f>
        <v>0</v>
      </c>
      <c r="L157" s="238">
        <f>0</f>
        <v>0</v>
      </c>
      <c r="M157" s="238">
        <f>'测算-整体经营'!V$29</f>
        <v>41.848751222962527</v>
      </c>
    </row>
    <row r="158" spans="1:13" ht="16" customHeight="1">
      <c r="A158" s="237" t="s">
        <v>92</v>
      </c>
      <c r="B158" s="237" t="s">
        <v>45</v>
      </c>
      <c r="C158" s="238">
        <f t="shared" si="49"/>
        <v>23.217736583275322</v>
      </c>
      <c r="D158" s="238">
        <f>0</f>
        <v>0</v>
      </c>
      <c r="E158" s="238">
        <f>0</f>
        <v>0</v>
      </c>
      <c r="F158" s="238">
        <f>0</f>
        <v>0</v>
      </c>
      <c r="G158" s="238">
        <f>0</f>
        <v>0</v>
      </c>
      <c r="H158" s="238">
        <f>0</f>
        <v>0</v>
      </c>
      <c r="I158" s="238">
        <f>0</f>
        <v>0</v>
      </c>
      <c r="J158" s="238">
        <f>0</f>
        <v>0</v>
      </c>
      <c r="K158" s="238">
        <f>0</f>
        <v>0</v>
      </c>
      <c r="L158" s="238">
        <f>0</f>
        <v>0</v>
      </c>
      <c r="M158" s="238">
        <f>'测算-整体经营'!W$29</f>
        <v>23.217736583275322</v>
      </c>
    </row>
    <row r="159" spans="1:13" ht="16" customHeight="1">
      <c r="A159" s="237" t="s">
        <v>93</v>
      </c>
      <c r="B159" s="237" t="s">
        <v>32</v>
      </c>
      <c r="C159" s="238">
        <f t="shared" si="49"/>
        <v>0</v>
      </c>
      <c r="D159" s="238">
        <f>0</f>
        <v>0</v>
      </c>
      <c r="E159" s="238">
        <f>0</f>
        <v>0</v>
      </c>
      <c r="F159" s="238">
        <f>0</f>
        <v>0</v>
      </c>
      <c r="G159" s="238">
        <f>0</f>
        <v>0</v>
      </c>
      <c r="H159" s="238">
        <f>0</f>
        <v>0</v>
      </c>
      <c r="I159" s="238">
        <f>0</f>
        <v>0</v>
      </c>
      <c r="J159" s="238">
        <f>0</f>
        <v>0</v>
      </c>
      <c r="K159" s="238">
        <f>0</f>
        <v>0</v>
      </c>
      <c r="L159" s="238">
        <f>0</f>
        <v>0</v>
      </c>
      <c r="M159" s="238">
        <f>'测算-整体经营'!I$31</f>
        <v>0</v>
      </c>
    </row>
    <row r="160" spans="1:13" ht="16" customHeight="1">
      <c r="A160" s="237" t="s">
        <v>93</v>
      </c>
      <c r="B160" s="237" t="s">
        <v>33</v>
      </c>
      <c r="C160" s="238">
        <f t="shared" si="49"/>
        <v>0</v>
      </c>
      <c r="D160" s="238">
        <f>0</f>
        <v>0</v>
      </c>
      <c r="E160" s="238">
        <f>0</f>
        <v>0</v>
      </c>
      <c r="F160" s="238">
        <f>0</f>
        <v>0</v>
      </c>
      <c r="G160" s="238">
        <f>0</f>
        <v>0</v>
      </c>
      <c r="H160" s="238">
        <f>0</f>
        <v>0</v>
      </c>
      <c r="I160" s="238">
        <f>0</f>
        <v>0</v>
      </c>
      <c r="J160" s="238">
        <f>0</f>
        <v>0</v>
      </c>
      <c r="K160" s="238">
        <f>0</f>
        <v>0</v>
      </c>
      <c r="L160" s="238">
        <f>0</f>
        <v>0</v>
      </c>
      <c r="M160" s="238">
        <f>'测算-整体经营'!J$31</f>
        <v>0</v>
      </c>
    </row>
    <row r="161" spans="1:13" ht="16" customHeight="1">
      <c r="A161" s="237" t="s">
        <v>93</v>
      </c>
      <c r="B161" s="237" t="s">
        <v>34</v>
      </c>
      <c r="C161" s="238">
        <f t="shared" si="49"/>
        <v>0</v>
      </c>
      <c r="D161" s="238">
        <f>0</f>
        <v>0</v>
      </c>
      <c r="E161" s="238">
        <f>0</f>
        <v>0</v>
      </c>
      <c r="F161" s="238">
        <f>0</f>
        <v>0</v>
      </c>
      <c r="G161" s="238">
        <f>0</f>
        <v>0</v>
      </c>
      <c r="H161" s="238">
        <f>0</f>
        <v>0</v>
      </c>
      <c r="I161" s="238">
        <f>0</f>
        <v>0</v>
      </c>
      <c r="J161" s="238">
        <f>0</f>
        <v>0</v>
      </c>
      <c r="K161" s="238">
        <f>0</f>
        <v>0</v>
      </c>
      <c r="L161" s="238">
        <f>0</f>
        <v>0</v>
      </c>
      <c r="M161" s="238">
        <f>'测算-整体经营'!K$31</f>
        <v>0</v>
      </c>
    </row>
    <row r="162" spans="1:13" ht="16" customHeight="1">
      <c r="A162" s="237" t="s">
        <v>93</v>
      </c>
      <c r="B162" s="237" t="s">
        <v>35</v>
      </c>
      <c r="C162" s="238">
        <f t="shared" si="49"/>
        <v>0</v>
      </c>
      <c r="D162" s="238">
        <f>0</f>
        <v>0</v>
      </c>
      <c r="E162" s="238">
        <f>0</f>
        <v>0</v>
      </c>
      <c r="F162" s="238">
        <f>0</f>
        <v>0</v>
      </c>
      <c r="G162" s="238">
        <f>0</f>
        <v>0</v>
      </c>
      <c r="H162" s="238">
        <f>0</f>
        <v>0</v>
      </c>
      <c r="I162" s="238">
        <f>0</f>
        <v>0</v>
      </c>
      <c r="J162" s="238">
        <f>0</f>
        <v>0</v>
      </c>
      <c r="K162" s="238">
        <f>0</f>
        <v>0</v>
      </c>
      <c r="L162" s="238">
        <f>0</f>
        <v>0</v>
      </c>
      <c r="M162" s="238">
        <f>'测算-整体经营'!L$31</f>
        <v>0</v>
      </c>
    </row>
    <row r="163" spans="1:13" ht="16" customHeight="1">
      <c r="A163" s="237" t="s">
        <v>93</v>
      </c>
      <c r="B163" s="237" t="s">
        <v>36</v>
      </c>
      <c r="C163" s="238">
        <f t="shared" si="49"/>
        <v>0</v>
      </c>
      <c r="D163" s="238">
        <f>0</f>
        <v>0</v>
      </c>
      <c r="E163" s="238">
        <f>0</f>
        <v>0</v>
      </c>
      <c r="F163" s="238">
        <f>0</f>
        <v>0</v>
      </c>
      <c r="G163" s="238">
        <f>0</f>
        <v>0</v>
      </c>
      <c r="H163" s="238">
        <f>0</f>
        <v>0</v>
      </c>
      <c r="I163" s="238">
        <f>0</f>
        <v>0</v>
      </c>
      <c r="J163" s="238">
        <f>0</f>
        <v>0</v>
      </c>
      <c r="K163" s="238">
        <f>0</f>
        <v>0</v>
      </c>
      <c r="L163" s="238">
        <f>0</f>
        <v>0</v>
      </c>
      <c r="M163" s="238">
        <f>'测算-整体经营'!M$31</f>
        <v>0</v>
      </c>
    </row>
    <row r="164" spans="1:13" ht="16" customHeight="1">
      <c r="A164" s="237" t="s">
        <v>93</v>
      </c>
      <c r="B164" s="237" t="s">
        <v>37</v>
      </c>
      <c r="C164" s="238">
        <f t="shared" si="49"/>
        <v>0</v>
      </c>
      <c r="D164" s="238">
        <f>0</f>
        <v>0</v>
      </c>
      <c r="E164" s="238">
        <f>0</f>
        <v>0</v>
      </c>
      <c r="F164" s="238">
        <f>0</f>
        <v>0</v>
      </c>
      <c r="G164" s="238">
        <f>0</f>
        <v>0</v>
      </c>
      <c r="H164" s="238">
        <f>0</f>
        <v>0</v>
      </c>
      <c r="I164" s="238">
        <f>0</f>
        <v>0</v>
      </c>
      <c r="J164" s="238">
        <f>0</f>
        <v>0</v>
      </c>
      <c r="K164" s="238">
        <f>0</f>
        <v>0</v>
      </c>
      <c r="L164" s="238">
        <f>0</f>
        <v>0</v>
      </c>
      <c r="M164" s="238">
        <f>'测算-整体经营'!N$31</f>
        <v>0</v>
      </c>
    </row>
    <row r="165" spans="1:13" ht="16" customHeight="1">
      <c r="A165" s="237" t="s">
        <v>93</v>
      </c>
      <c r="B165" s="237" t="s">
        <v>38</v>
      </c>
      <c r="C165" s="238">
        <f t="shared" si="49"/>
        <v>0</v>
      </c>
      <c r="D165" s="238">
        <f>0</f>
        <v>0</v>
      </c>
      <c r="E165" s="238">
        <f>0</f>
        <v>0</v>
      </c>
      <c r="F165" s="238">
        <f>0</f>
        <v>0</v>
      </c>
      <c r="G165" s="238">
        <f>0</f>
        <v>0</v>
      </c>
      <c r="H165" s="238">
        <f>0</f>
        <v>0</v>
      </c>
      <c r="I165" s="238">
        <f>0</f>
        <v>0</v>
      </c>
      <c r="J165" s="238">
        <f>0</f>
        <v>0</v>
      </c>
      <c r="K165" s="238">
        <f>0</f>
        <v>0</v>
      </c>
      <c r="L165" s="238">
        <f>0</f>
        <v>0</v>
      </c>
      <c r="M165" s="238">
        <f>'测算-整体经营'!O$31</f>
        <v>0</v>
      </c>
    </row>
    <row r="166" spans="1:13" ht="16" customHeight="1">
      <c r="A166" s="237" t="s">
        <v>93</v>
      </c>
      <c r="B166" s="237" t="s">
        <v>39</v>
      </c>
      <c r="C166" s="238">
        <f t="shared" si="49"/>
        <v>0</v>
      </c>
      <c r="D166" s="238">
        <f>0</f>
        <v>0</v>
      </c>
      <c r="E166" s="238">
        <f>0</f>
        <v>0</v>
      </c>
      <c r="F166" s="238">
        <f>0</f>
        <v>0</v>
      </c>
      <c r="G166" s="238">
        <f>0</f>
        <v>0</v>
      </c>
      <c r="H166" s="238">
        <f>0</f>
        <v>0</v>
      </c>
      <c r="I166" s="238">
        <f>0</f>
        <v>0</v>
      </c>
      <c r="J166" s="238">
        <f>0</f>
        <v>0</v>
      </c>
      <c r="K166" s="238">
        <f>0</f>
        <v>0</v>
      </c>
      <c r="L166" s="238">
        <f>0</f>
        <v>0</v>
      </c>
      <c r="M166" s="238">
        <f>'测算-整体经营'!P$31</f>
        <v>0</v>
      </c>
    </row>
    <row r="167" spans="1:13" ht="16" customHeight="1">
      <c r="A167" s="237" t="s">
        <v>93</v>
      </c>
      <c r="B167" s="237" t="s">
        <v>40</v>
      </c>
      <c r="C167" s="238">
        <f t="shared" si="49"/>
        <v>0</v>
      </c>
      <c r="D167" s="238">
        <f>0</f>
        <v>0</v>
      </c>
      <c r="E167" s="238">
        <f>0</f>
        <v>0</v>
      </c>
      <c r="F167" s="238">
        <f>0</f>
        <v>0</v>
      </c>
      <c r="G167" s="238">
        <f>0</f>
        <v>0</v>
      </c>
      <c r="H167" s="238">
        <f>0</f>
        <v>0</v>
      </c>
      <c r="I167" s="238">
        <f>0</f>
        <v>0</v>
      </c>
      <c r="J167" s="238">
        <f>0</f>
        <v>0</v>
      </c>
      <c r="K167" s="238">
        <f>0</f>
        <v>0</v>
      </c>
      <c r="L167" s="238">
        <f>0</f>
        <v>0</v>
      </c>
      <c r="M167" s="238">
        <f>'测算-整体经营'!Q$31</f>
        <v>0</v>
      </c>
    </row>
    <row r="168" spans="1:13" ht="16" customHeight="1">
      <c r="A168" s="237" t="s">
        <v>93</v>
      </c>
      <c r="B168" s="237" t="s">
        <v>41</v>
      </c>
      <c r="C168" s="238">
        <f t="shared" si="49"/>
        <v>0</v>
      </c>
      <c r="D168" s="238">
        <f>0</f>
        <v>0</v>
      </c>
      <c r="E168" s="238">
        <f>0</f>
        <v>0</v>
      </c>
      <c r="F168" s="238">
        <f>0</f>
        <v>0</v>
      </c>
      <c r="G168" s="238">
        <f>0</f>
        <v>0</v>
      </c>
      <c r="H168" s="238">
        <f>0</f>
        <v>0</v>
      </c>
      <c r="I168" s="238">
        <f>0</f>
        <v>0</v>
      </c>
      <c r="J168" s="238">
        <f>0</f>
        <v>0</v>
      </c>
      <c r="K168" s="238">
        <f>0</f>
        <v>0</v>
      </c>
      <c r="L168" s="238">
        <f>0</f>
        <v>0</v>
      </c>
      <c r="M168" s="238">
        <f>'测算-整体经营'!R$31</f>
        <v>0</v>
      </c>
    </row>
    <row r="169" spans="1:13" ht="16" customHeight="1">
      <c r="A169" s="237" t="s">
        <v>93</v>
      </c>
      <c r="B169" s="237" t="s">
        <v>42</v>
      </c>
      <c r="C169" s="238">
        <f t="shared" si="49"/>
        <v>0</v>
      </c>
      <c r="D169" s="238">
        <f>0</f>
        <v>0</v>
      </c>
      <c r="E169" s="238">
        <f>0</f>
        <v>0</v>
      </c>
      <c r="F169" s="238">
        <f>0</f>
        <v>0</v>
      </c>
      <c r="G169" s="238">
        <f>0</f>
        <v>0</v>
      </c>
      <c r="H169" s="238">
        <f>0</f>
        <v>0</v>
      </c>
      <c r="I169" s="238">
        <f>0</f>
        <v>0</v>
      </c>
      <c r="J169" s="238">
        <f>0</f>
        <v>0</v>
      </c>
      <c r="K169" s="238">
        <f>0</f>
        <v>0</v>
      </c>
      <c r="L169" s="238">
        <f>0</f>
        <v>0</v>
      </c>
      <c r="M169" s="238">
        <f>'测算-整体经营'!S$31</f>
        <v>0</v>
      </c>
    </row>
    <row r="170" spans="1:13" ht="16" customHeight="1">
      <c r="A170" s="237" t="s">
        <v>93</v>
      </c>
      <c r="B170" s="237" t="s">
        <v>43</v>
      </c>
      <c r="C170" s="238">
        <f t="shared" si="49"/>
        <v>0</v>
      </c>
      <c r="D170" s="238">
        <f>0</f>
        <v>0</v>
      </c>
      <c r="E170" s="238">
        <f>0</f>
        <v>0</v>
      </c>
      <c r="F170" s="238">
        <f>0</f>
        <v>0</v>
      </c>
      <c r="G170" s="238">
        <f>0</f>
        <v>0</v>
      </c>
      <c r="H170" s="238">
        <f>0</f>
        <v>0</v>
      </c>
      <c r="I170" s="238">
        <f>0</f>
        <v>0</v>
      </c>
      <c r="J170" s="238">
        <f>0</f>
        <v>0</v>
      </c>
      <c r="K170" s="238">
        <f>0</f>
        <v>0</v>
      </c>
      <c r="L170" s="238">
        <f>0</f>
        <v>0</v>
      </c>
      <c r="M170" s="238">
        <f>'测算-整体经营'!T$31</f>
        <v>0</v>
      </c>
    </row>
    <row r="171" spans="1:13" ht="16" customHeight="1">
      <c r="A171" s="237" t="s">
        <v>93</v>
      </c>
      <c r="B171" s="237" t="s">
        <v>44</v>
      </c>
      <c r="C171" s="238">
        <f t="shared" si="49"/>
        <v>0</v>
      </c>
      <c r="D171" s="238">
        <f>0</f>
        <v>0</v>
      </c>
      <c r="E171" s="238">
        <f>0</f>
        <v>0</v>
      </c>
      <c r="F171" s="238">
        <f>0</f>
        <v>0</v>
      </c>
      <c r="G171" s="238">
        <f>0</f>
        <v>0</v>
      </c>
      <c r="H171" s="238">
        <f>0</f>
        <v>0</v>
      </c>
      <c r="I171" s="238">
        <f>0</f>
        <v>0</v>
      </c>
      <c r="J171" s="238">
        <f>0</f>
        <v>0</v>
      </c>
      <c r="K171" s="238">
        <f>0</f>
        <v>0</v>
      </c>
      <c r="L171" s="238">
        <f>0</f>
        <v>0</v>
      </c>
      <c r="M171" s="238">
        <f>'测算-整体经营'!V$31</f>
        <v>0</v>
      </c>
    </row>
    <row r="172" spans="1:13" ht="16" customHeight="1">
      <c r="A172" s="237" t="s">
        <v>93</v>
      </c>
      <c r="B172" s="237" t="s">
        <v>45</v>
      </c>
      <c r="C172" s="238">
        <f t="shared" si="49"/>
        <v>0</v>
      </c>
      <c r="D172" s="238">
        <f>0</f>
        <v>0</v>
      </c>
      <c r="E172" s="238">
        <f>0</f>
        <v>0</v>
      </c>
      <c r="F172" s="238">
        <f>0</f>
        <v>0</v>
      </c>
      <c r="G172" s="238">
        <f>0</f>
        <v>0</v>
      </c>
      <c r="H172" s="238">
        <f>0</f>
        <v>0</v>
      </c>
      <c r="I172" s="238">
        <f>0</f>
        <v>0</v>
      </c>
      <c r="J172" s="238">
        <f>0</f>
        <v>0</v>
      </c>
      <c r="K172" s="238">
        <f>0</f>
        <v>0</v>
      </c>
      <c r="L172" s="238">
        <f>0</f>
        <v>0</v>
      </c>
      <c r="M172" s="238">
        <f>'测算-整体经营'!W$31</f>
        <v>0</v>
      </c>
    </row>
    <row r="173" spans="1:13" ht="16" customHeight="1">
      <c r="A173" s="237" t="s">
        <v>95</v>
      </c>
      <c r="B173" s="237" t="s">
        <v>32</v>
      </c>
      <c r="C173" s="238">
        <f t="shared" ref="C173:C186" si="50">C89-C103-C131-C145-C159</f>
        <v>186.95012266294972</v>
      </c>
      <c r="D173" s="238">
        <f t="shared" ref="D173:L173" si="51">D89</f>
        <v>47.182555712724032</v>
      </c>
      <c r="E173" s="238">
        <f t="shared" si="51"/>
        <v>-6.8239295936135651</v>
      </c>
      <c r="F173" s="238">
        <f t="shared" si="51"/>
        <v>8.9345600405621415</v>
      </c>
      <c r="G173" s="238">
        <f t="shared" si="51"/>
        <v>4.4005758710905125E-2</v>
      </c>
      <c r="H173" s="238">
        <f t="shared" si="51"/>
        <v>3.77442509425437</v>
      </c>
      <c r="I173" s="238">
        <f t="shared" si="51"/>
        <v>76.422200591593082</v>
      </c>
      <c r="J173" s="238">
        <f t="shared" si="51"/>
        <v>12.309499021885426</v>
      </c>
      <c r="K173" s="238">
        <f t="shared" si="51"/>
        <v>24.7803</v>
      </c>
      <c r="L173" s="238">
        <f t="shared" si="51"/>
        <v>17.05552152500006</v>
      </c>
      <c r="M173" s="238">
        <f t="shared" ref="M173:M186" si="52">M89-M103-M131-M145-M159</f>
        <v>3.2709845118334857</v>
      </c>
    </row>
    <row r="174" spans="1:13" ht="16" customHeight="1">
      <c r="A174" s="237" t="s">
        <v>95</v>
      </c>
      <c r="B174" s="237" t="s">
        <v>33</v>
      </c>
      <c r="C174" s="238">
        <f t="shared" si="50"/>
        <v>138.84866450615309</v>
      </c>
      <c r="D174" s="238">
        <f t="shared" ref="D174:L174" si="53">D90</f>
        <v>11.315596172820541</v>
      </c>
      <c r="E174" s="238">
        <f t="shared" si="53"/>
        <v>-2.5553454642398252</v>
      </c>
      <c r="F174" s="238">
        <f t="shared" si="53"/>
        <v>3.0905371706219205</v>
      </c>
      <c r="G174" s="238">
        <f t="shared" si="53"/>
        <v>3.1784773635193241E-2</v>
      </c>
      <c r="H174" s="238">
        <f t="shared" si="53"/>
        <v>1.6751338948458301</v>
      </c>
      <c r="I174" s="238">
        <f t="shared" si="53"/>
        <v>61.400739518927509</v>
      </c>
      <c r="J174" s="238">
        <f t="shared" si="53"/>
        <v>-3.0006358995937026</v>
      </c>
      <c r="K174" s="238">
        <f t="shared" si="53"/>
        <v>7.8601000000000001</v>
      </c>
      <c r="L174" s="238">
        <f t="shared" si="53"/>
        <v>12.543631640825676</v>
      </c>
      <c r="M174" s="238">
        <f t="shared" si="52"/>
        <v>46.48712269830996</v>
      </c>
    </row>
    <row r="175" spans="1:13" ht="16" customHeight="1">
      <c r="A175" s="237" t="s">
        <v>95</v>
      </c>
      <c r="B175" s="237" t="s">
        <v>34</v>
      </c>
      <c r="C175" s="238">
        <f t="shared" si="50"/>
        <v>-28.607111096962381</v>
      </c>
      <c r="D175" s="238">
        <f t="shared" ref="D175:L175" si="54">D91</f>
        <v>45.011699271941325</v>
      </c>
      <c r="E175" s="238">
        <f t="shared" si="54"/>
        <v>-3.4878840287888591</v>
      </c>
      <c r="F175" s="238">
        <f t="shared" si="54"/>
        <v>9.777158219758844</v>
      </c>
      <c r="G175" s="238">
        <f t="shared" si="54"/>
        <v>9.5446687410960449E-2</v>
      </c>
      <c r="H175" s="238">
        <f t="shared" si="54"/>
        <v>7.6987208665540763</v>
      </c>
      <c r="I175" s="238">
        <f t="shared" si="54"/>
        <v>-239.30808973648089</v>
      </c>
      <c r="J175" s="238">
        <f t="shared" si="54"/>
        <v>53.252552672307729</v>
      </c>
      <c r="K175" s="238">
        <f t="shared" si="54"/>
        <v>26.021881</v>
      </c>
      <c r="L175" s="238">
        <f t="shared" si="54"/>
        <v>14.590859000000012</v>
      </c>
      <c r="M175" s="238">
        <f t="shared" si="52"/>
        <v>57.740544950334161</v>
      </c>
    </row>
    <row r="176" spans="1:13" ht="16" customHeight="1">
      <c r="A176" s="237" t="s">
        <v>95</v>
      </c>
      <c r="B176" s="237" t="s">
        <v>35</v>
      </c>
      <c r="C176" s="238">
        <f t="shared" si="50"/>
        <v>258.06046542626973</v>
      </c>
      <c r="D176" s="238">
        <f t="shared" ref="D176:L176" si="55">D92</f>
        <v>22.470184291139837</v>
      </c>
      <c r="E176" s="238">
        <f t="shared" si="55"/>
        <v>-5.3656707887071846</v>
      </c>
      <c r="F176" s="238">
        <f t="shared" si="55"/>
        <v>6.9496352649760791</v>
      </c>
      <c r="G176" s="238">
        <f t="shared" si="55"/>
        <v>4.9109671647569866E-2</v>
      </c>
      <c r="H176" s="238">
        <f t="shared" si="55"/>
        <v>6.4203104349116904</v>
      </c>
      <c r="I176" s="238">
        <f t="shared" si="55"/>
        <v>109.87981638918308</v>
      </c>
      <c r="J176" s="238">
        <f t="shared" si="55"/>
        <v>5.296204950635448</v>
      </c>
      <c r="K176" s="238">
        <f t="shared" si="55"/>
        <v>17.22148</v>
      </c>
      <c r="L176" s="238">
        <f t="shared" si="55"/>
        <v>15.110105000000004</v>
      </c>
      <c r="M176" s="238">
        <f t="shared" si="52"/>
        <v>80.029290212483275</v>
      </c>
    </row>
    <row r="177" spans="1:13" ht="16" customHeight="1">
      <c r="A177" s="237" t="s">
        <v>95</v>
      </c>
      <c r="B177" s="237" t="s">
        <v>36</v>
      </c>
      <c r="C177" s="238">
        <f t="shared" si="50"/>
        <v>280.95036788682233</v>
      </c>
      <c r="D177" s="238">
        <f t="shared" ref="D177:L177" si="56">D93</f>
        <v>39.003657335112379</v>
      </c>
      <c r="E177" s="238">
        <f t="shared" si="56"/>
        <v>-25.803011939201077</v>
      </c>
      <c r="F177" s="238">
        <f t="shared" si="56"/>
        <v>9.1483669981190587</v>
      </c>
      <c r="G177" s="238">
        <f t="shared" si="56"/>
        <v>1.968161514451814E-2</v>
      </c>
      <c r="H177" s="238">
        <f t="shared" si="56"/>
        <v>5.7892662245683315</v>
      </c>
      <c r="I177" s="238">
        <f t="shared" si="56"/>
        <v>96.493390068257582</v>
      </c>
      <c r="J177" s="238">
        <f t="shared" si="56"/>
        <v>23.483059311440034</v>
      </c>
      <c r="K177" s="238">
        <f t="shared" si="56"/>
        <v>18.578579999999999</v>
      </c>
      <c r="L177" s="238">
        <f t="shared" si="56"/>
        <v>21.266139000000006</v>
      </c>
      <c r="M177" s="238">
        <f t="shared" si="52"/>
        <v>92.971239273381372</v>
      </c>
    </row>
    <row r="178" spans="1:13" ht="16" customHeight="1">
      <c r="A178" s="237" t="s">
        <v>95</v>
      </c>
      <c r="B178" s="237" t="s">
        <v>37</v>
      </c>
      <c r="C178" s="238">
        <f t="shared" si="50"/>
        <v>212.62960523042727</v>
      </c>
      <c r="D178" s="238">
        <f t="shared" ref="D178:L178" si="57">D94</f>
        <v>44.131830181838168</v>
      </c>
      <c r="E178" s="238">
        <f t="shared" si="57"/>
        <v>-15.222946528044218</v>
      </c>
      <c r="F178" s="238">
        <f t="shared" si="57"/>
        <v>5.5417208164197831</v>
      </c>
      <c r="G178" s="238">
        <f t="shared" si="57"/>
        <v>1.4672422347416976</v>
      </c>
      <c r="H178" s="238">
        <f t="shared" si="57"/>
        <v>4.0188637631383024</v>
      </c>
      <c r="I178" s="238">
        <f t="shared" si="57"/>
        <v>49.628920630270784</v>
      </c>
      <c r="J178" s="238">
        <f t="shared" si="57"/>
        <v>4.526148803527251</v>
      </c>
      <c r="K178" s="238">
        <f t="shared" si="57"/>
        <v>20.101900000000001</v>
      </c>
      <c r="L178" s="238">
        <f t="shared" si="57"/>
        <v>17.219995000000019</v>
      </c>
      <c r="M178" s="238">
        <f t="shared" si="52"/>
        <v>81.215930328535592</v>
      </c>
    </row>
    <row r="179" spans="1:13" ht="16" customHeight="1">
      <c r="A179" s="237" t="s">
        <v>95</v>
      </c>
      <c r="B179" s="237" t="s">
        <v>38</v>
      </c>
      <c r="C179" s="238">
        <f t="shared" si="50"/>
        <v>92.948620707639876</v>
      </c>
      <c r="D179" s="238">
        <f t="shared" ref="D179:L179" si="58">D95</f>
        <v>23.867390970965513</v>
      </c>
      <c r="E179" s="238">
        <f t="shared" si="58"/>
        <v>-14.867650421193783</v>
      </c>
      <c r="F179" s="238">
        <f t="shared" si="58"/>
        <v>5.9504487339249277</v>
      </c>
      <c r="G179" s="238">
        <f t="shared" si="58"/>
        <v>0.8686017020586414</v>
      </c>
      <c r="H179" s="238">
        <f t="shared" si="58"/>
        <v>6.5593416001068165</v>
      </c>
      <c r="I179" s="238">
        <f t="shared" si="58"/>
        <v>20.959683033204271</v>
      </c>
      <c r="J179" s="238">
        <f t="shared" si="58"/>
        <v>-5.1468112350182036</v>
      </c>
      <c r="K179" s="238">
        <f t="shared" si="58"/>
        <v>8.0329930692112299</v>
      </c>
      <c r="L179" s="238">
        <f t="shared" si="58"/>
        <v>3.9412369001841387</v>
      </c>
      <c r="M179" s="238">
        <f t="shared" si="52"/>
        <v>42.783386354196281</v>
      </c>
    </row>
    <row r="180" spans="1:13" ht="16" customHeight="1">
      <c r="A180" s="237" t="s">
        <v>95</v>
      </c>
      <c r="B180" s="237" t="s">
        <v>39</v>
      </c>
      <c r="C180" s="238">
        <f t="shared" si="50"/>
        <v>99.425455606600309</v>
      </c>
      <c r="D180" s="238">
        <f t="shared" ref="D180:L180" si="59">D96</f>
        <v>36.418815467822611</v>
      </c>
      <c r="E180" s="238">
        <f t="shared" si="59"/>
        <v>-16.021491695212909</v>
      </c>
      <c r="F180" s="238">
        <f t="shared" si="59"/>
        <v>8.4143388602277653</v>
      </c>
      <c r="G180" s="238">
        <f t="shared" si="59"/>
        <v>1.1617100953459196</v>
      </c>
      <c r="H180" s="238">
        <f t="shared" si="59"/>
        <v>9.1243394487180325</v>
      </c>
      <c r="I180" s="238">
        <f t="shared" si="59"/>
        <v>30.196922651905481</v>
      </c>
      <c r="J180" s="238">
        <f t="shared" si="59"/>
        <v>-5.5111320956248209</v>
      </c>
      <c r="K180" s="238">
        <f t="shared" si="59"/>
        <v>6.7518692963740019</v>
      </c>
      <c r="L180" s="238">
        <f t="shared" si="59"/>
        <v>5.2712016154726165</v>
      </c>
      <c r="M180" s="238">
        <f t="shared" si="52"/>
        <v>23.618881961571844</v>
      </c>
    </row>
    <row r="181" spans="1:13" ht="16" customHeight="1">
      <c r="A181" s="237" t="s">
        <v>95</v>
      </c>
      <c r="B181" s="237" t="s">
        <v>40</v>
      </c>
      <c r="C181" s="238">
        <f t="shared" si="50"/>
        <v>140.88997356341341</v>
      </c>
      <c r="D181" s="238">
        <f t="shared" ref="D181:L181" si="60">D97</f>
        <v>52.574172382179164</v>
      </c>
      <c r="E181" s="238">
        <f t="shared" si="60"/>
        <v>-17.300438999850972</v>
      </c>
      <c r="F181" s="238">
        <f t="shared" si="60"/>
        <v>10.99841874878927</v>
      </c>
      <c r="G181" s="238">
        <f t="shared" si="60"/>
        <v>1.4691164590374548</v>
      </c>
      <c r="H181" s="238">
        <f t="shared" si="60"/>
        <v>11.814459143602971</v>
      </c>
      <c r="I181" s="238">
        <f t="shared" si="60"/>
        <v>39.88475932517747</v>
      </c>
      <c r="J181" s="238">
        <f t="shared" si="60"/>
        <v>-5.8932247055293212</v>
      </c>
      <c r="K181" s="238">
        <f t="shared" si="60"/>
        <v>4.7903221495546973</v>
      </c>
      <c r="L181" s="238">
        <f t="shared" si="60"/>
        <v>6.6660426583361341</v>
      </c>
      <c r="M181" s="238">
        <f t="shared" si="52"/>
        <v>35.886346402116487</v>
      </c>
    </row>
    <row r="182" spans="1:13" ht="16" customHeight="1">
      <c r="A182" s="237" t="s">
        <v>95</v>
      </c>
      <c r="B182" s="237" t="s">
        <v>41</v>
      </c>
      <c r="C182" s="238">
        <f t="shared" si="50"/>
        <v>155.63712525226831</v>
      </c>
      <c r="D182" s="238">
        <f t="shared" ref="D182:L182" si="61">D98</f>
        <v>58.86724745928322</v>
      </c>
      <c r="E182" s="238">
        <f t="shared" si="61"/>
        <v>-18.058618648359214</v>
      </c>
      <c r="F182" s="238">
        <f t="shared" si="61"/>
        <v>12.005008007705676</v>
      </c>
      <c r="G182" s="238">
        <f t="shared" si="61"/>
        <v>1.5888619611731123</v>
      </c>
      <c r="H182" s="238">
        <f t="shared" si="61"/>
        <v>12.862354606145358</v>
      </c>
      <c r="I182" s="238">
        <f t="shared" si="61"/>
        <v>43.658509657207901</v>
      </c>
      <c r="J182" s="238">
        <f t="shared" si="61"/>
        <v>-6.0420631058991026</v>
      </c>
      <c r="K182" s="238">
        <f t="shared" si="61"/>
        <v>4.8460189745547009</v>
      </c>
      <c r="L182" s="238">
        <f t="shared" si="61"/>
        <v>7.2093819017771725</v>
      </c>
      <c r="M182" s="238">
        <f t="shared" si="52"/>
        <v>38.700424438679576</v>
      </c>
    </row>
    <row r="183" spans="1:13" ht="16" customHeight="1">
      <c r="A183" s="237" t="s">
        <v>95</v>
      </c>
      <c r="B183" s="237" t="s">
        <v>42</v>
      </c>
      <c r="C183" s="238">
        <f t="shared" si="50"/>
        <v>198.38546819692309</v>
      </c>
      <c r="D183" s="238">
        <f t="shared" ref="D183:L183" si="62">D99</f>
        <v>76.807207753714067</v>
      </c>
      <c r="E183" s="238">
        <f t="shared" si="62"/>
        <v>-20.219996452315545</v>
      </c>
      <c r="F183" s="238">
        <f t="shared" si="62"/>
        <v>14.874538581631533</v>
      </c>
      <c r="G183" s="238">
        <f t="shared" si="62"/>
        <v>1.9302260045747583</v>
      </c>
      <c r="H183" s="238">
        <f t="shared" si="62"/>
        <v>15.849638685930366</v>
      </c>
      <c r="I183" s="238">
        <f t="shared" si="62"/>
        <v>54.416514335085424</v>
      </c>
      <c r="J183" s="238">
        <f t="shared" si="62"/>
        <v>-6.4663636203860655</v>
      </c>
      <c r="K183" s="238">
        <f t="shared" si="62"/>
        <v>5.5626436868320965</v>
      </c>
      <c r="L183" s="238">
        <f t="shared" si="62"/>
        <v>8.7583042226314287</v>
      </c>
      <c r="M183" s="238">
        <f t="shared" si="52"/>
        <v>46.872754999224924</v>
      </c>
    </row>
    <row r="184" spans="1:13" ht="16" customHeight="1">
      <c r="A184" s="237" t="s">
        <v>95</v>
      </c>
      <c r="B184" s="237" t="s">
        <v>43</v>
      </c>
      <c r="C184" s="238">
        <f t="shared" si="50"/>
        <v>244.37269792093764</v>
      </c>
      <c r="D184" s="238">
        <f t="shared" ref="D184:L184" si="63">D100</f>
        <v>61.77896876361492</v>
      </c>
      <c r="E184" s="238">
        <f t="shared" si="63"/>
        <v>-18.409418187221231</v>
      </c>
      <c r="F184" s="238">
        <f t="shared" si="63"/>
        <v>12.470743336458037</v>
      </c>
      <c r="G184" s="238">
        <f t="shared" si="63"/>
        <v>1.644266596489609</v>
      </c>
      <c r="H184" s="238">
        <f t="shared" si="63"/>
        <v>13.347201760456013</v>
      </c>
      <c r="I184" s="238">
        <f t="shared" si="63"/>
        <v>45.404573243669631</v>
      </c>
      <c r="J184" s="238">
        <f t="shared" si="63"/>
        <v>-6.1109286344283937</v>
      </c>
      <c r="K184" s="238">
        <f t="shared" si="63"/>
        <v>5.0261645495546965</v>
      </c>
      <c r="L184" s="238">
        <f t="shared" si="63"/>
        <v>7.4607776711304785</v>
      </c>
      <c r="M184" s="238">
        <f t="shared" si="52"/>
        <v>121.76034882121404</v>
      </c>
    </row>
    <row r="185" spans="1:13" ht="16" customHeight="1">
      <c r="A185" s="237" t="s">
        <v>95</v>
      </c>
      <c r="B185" s="237" t="s">
        <v>44</v>
      </c>
      <c r="C185" s="238">
        <f t="shared" si="50"/>
        <v>1980.4914558634414</v>
      </c>
      <c r="D185" s="238">
        <f t="shared" ref="D185:L185" si="64">D101</f>
        <v>519.4293257631557</v>
      </c>
      <c r="E185" s="238">
        <f t="shared" si="64"/>
        <v>-164.13640274674839</v>
      </c>
      <c r="F185" s="238">
        <f t="shared" si="64"/>
        <v>108.15547477919503</v>
      </c>
      <c r="G185" s="238">
        <f t="shared" si="64"/>
        <v>10.370053559970341</v>
      </c>
      <c r="H185" s="238">
        <f t="shared" si="64"/>
        <v>98.934055523232161</v>
      </c>
      <c r="I185" s="238">
        <f t="shared" si="64"/>
        <v>389.03793970800132</v>
      </c>
      <c r="J185" s="238">
        <f t="shared" si="64"/>
        <v>60.696305463316278</v>
      </c>
      <c r="K185" s="238">
        <f t="shared" si="64"/>
        <v>149.57425272608143</v>
      </c>
      <c r="L185" s="238">
        <f t="shared" si="64"/>
        <v>137.09319613535774</v>
      </c>
      <c r="M185" s="238">
        <f t="shared" si="52"/>
        <v>671.33725495188082</v>
      </c>
    </row>
    <row r="186" spans="1:13" ht="16" customHeight="1">
      <c r="A186" s="237" t="s">
        <v>95</v>
      </c>
      <c r="B186" s="237" t="s">
        <v>45</v>
      </c>
      <c r="C186" s="238">
        <f t="shared" si="50"/>
        <v>931.65934124778357</v>
      </c>
      <c r="D186" s="238">
        <f t="shared" ref="D186:L186" si="65">D102</f>
        <v>310.31380279757951</v>
      </c>
      <c r="E186" s="238">
        <f t="shared" si="65"/>
        <v>-104.87761440415366</v>
      </c>
      <c r="F186" s="238">
        <f t="shared" si="65"/>
        <v>64.713496268737217</v>
      </c>
      <c r="G186" s="238">
        <f t="shared" si="65"/>
        <v>8.6627828186794957</v>
      </c>
      <c r="H186" s="238">
        <f t="shared" si="65"/>
        <v>69.55733524495956</v>
      </c>
      <c r="I186" s="238">
        <f t="shared" si="65"/>
        <v>234.52096224625018</v>
      </c>
      <c r="J186" s="238">
        <f t="shared" si="65"/>
        <v>-35.170523396885912</v>
      </c>
      <c r="K186" s="238">
        <f t="shared" si="65"/>
        <v>35.01001172608143</v>
      </c>
      <c r="L186" s="238">
        <f t="shared" si="65"/>
        <v>39.306944969531969</v>
      </c>
      <c r="M186" s="238">
        <f t="shared" si="52"/>
        <v>309.62214297700319</v>
      </c>
    </row>
    <row r="187" spans="1:13" ht="16" customHeight="1">
      <c r="A187" s="237" t="s">
        <v>96</v>
      </c>
      <c r="B187" s="237" t="s">
        <v>32</v>
      </c>
      <c r="C187" s="238">
        <f t="shared" ref="C187:C200" si="66">C173</f>
        <v>186.95012266294972</v>
      </c>
      <c r="D187" s="238">
        <f t="shared" ref="D187:L187" si="67">D89</f>
        <v>47.182555712724032</v>
      </c>
      <c r="E187" s="238">
        <f t="shared" si="67"/>
        <v>-6.8239295936135651</v>
      </c>
      <c r="F187" s="238">
        <f t="shared" si="67"/>
        <v>8.9345600405621415</v>
      </c>
      <c r="G187" s="238">
        <f t="shared" si="67"/>
        <v>4.4005758710905125E-2</v>
      </c>
      <c r="H187" s="238">
        <f t="shared" si="67"/>
        <v>3.77442509425437</v>
      </c>
      <c r="I187" s="238">
        <f t="shared" si="67"/>
        <v>76.422200591593082</v>
      </c>
      <c r="J187" s="238">
        <f t="shared" si="67"/>
        <v>12.309499021885426</v>
      </c>
      <c r="K187" s="238">
        <f t="shared" si="67"/>
        <v>24.7803</v>
      </c>
      <c r="L187" s="238">
        <f t="shared" si="67"/>
        <v>17.05552152500006</v>
      </c>
      <c r="M187" s="238">
        <f t="shared" ref="M187:M200" si="68">M173</f>
        <v>3.2709845118334857</v>
      </c>
    </row>
    <row r="188" spans="1:13" ht="16" customHeight="1">
      <c r="A188" s="237" t="s">
        <v>96</v>
      </c>
      <c r="B188" s="237" t="s">
        <v>33</v>
      </c>
      <c r="C188" s="238">
        <f t="shared" si="66"/>
        <v>138.84866450615309</v>
      </c>
      <c r="D188" s="238">
        <f t="shared" ref="D188:L188" si="69">D90</f>
        <v>11.315596172820541</v>
      </c>
      <c r="E188" s="238">
        <f t="shared" si="69"/>
        <v>-2.5553454642398252</v>
      </c>
      <c r="F188" s="238">
        <f t="shared" si="69"/>
        <v>3.0905371706219205</v>
      </c>
      <c r="G188" s="238">
        <f t="shared" si="69"/>
        <v>3.1784773635193241E-2</v>
      </c>
      <c r="H188" s="238">
        <f t="shared" si="69"/>
        <v>1.6751338948458301</v>
      </c>
      <c r="I188" s="238">
        <f t="shared" si="69"/>
        <v>61.400739518927509</v>
      </c>
      <c r="J188" s="238">
        <f t="shared" si="69"/>
        <v>-3.0006358995937026</v>
      </c>
      <c r="K188" s="238">
        <f t="shared" si="69"/>
        <v>7.8601000000000001</v>
      </c>
      <c r="L188" s="238">
        <f t="shared" si="69"/>
        <v>12.543631640825676</v>
      </c>
      <c r="M188" s="238">
        <f t="shared" si="68"/>
        <v>46.48712269830996</v>
      </c>
    </row>
    <row r="189" spans="1:13" ht="16" customHeight="1">
      <c r="A189" s="237" t="s">
        <v>96</v>
      </c>
      <c r="B189" s="237" t="s">
        <v>34</v>
      </c>
      <c r="C189" s="238">
        <f t="shared" si="66"/>
        <v>-28.607111096962381</v>
      </c>
      <c r="D189" s="238">
        <f t="shared" ref="D189:L189" si="70">D91</f>
        <v>45.011699271941325</v>
      </c>
      <c r="E189" s="238">
        <f t="shared" si="70"/>
        <v>-3.4878840287888591</v>
      </c>
      <c r="F189" s="238">
        <f t="shared" si="70"/>
        <v>9.777158219758844</v>
      </c>
      <c r="G189" s="238">
        <f t="shared" si="70"/>
        <v>9.5446687410960449E-2</v>
      </c>
      <c r="H189" s="238">
        <f t="shared" si="70"/>
        <v>7.6987208665540763</v>
      </c>
      <c r="I189" s="238">
        <f t="shared" si="70"/>
        <v>-239.30808973648089</v>
      </c>
      <c r="J189" s="238">
        <f t="shared" si="70"/>
        <v>53.252552672307729</v>
      </c>
      <c r="K189" s="238">
        <f t="shared" si="70"/>
        <v>26.021881</v>
      </c>
      <c r="L189" s="238">
        <f t="shared" si="70"/>
        <v>14.590859000000012</v>
      </c>
      <c r="M189" s="238">
        <f t="shared" si="68"/>
        <v>57.740544950334161</v>
      </c>
    </row>
    <row r="190" spans="1:13" ht="16" customHeight="1">
      <c r="A190" s="237" t="s">
        <v>96</v>
      </c>
      <c r="B190" s="237" t="s">
        <v>35</v>
      </c>
      <c r="C190" s="238">
        <f t="shared" si="66"/>
        <v>258.06046542626973</v>
      </c>
      <c r="D190" s="238">
        <f t="shared" ref="D190:L190" si="71">D92</f>
        <v>22.470184291139837</v>
      </c>
      <c r="E190" s="238">
        <f t="shared" si="71"/>
        <v>-5.3656707887071846</v>
      </c>
      <c r="F190" s="238">
        <f t="shared" si="71"/>
        <v>6.9496352649760791</v>
      </c>
      <c r="G190" s="238">
        <f t="shared" si="71"/>
        <v>4.9109671647569866E-2</v>
      </c>
      <c r="H190" s="238">
        <f t="shared" si="71"/>
        <v>6.4203104349116904</v>
      </c>
      <c r="I190" s="238">
        <f t="shared" si="71"/>
        <v>109.87981638918308</v>
      </c>
      <c r="J190" s="238">
        <f t="shared" si="71"/>
        <v>5.296204950635448</v>
      </c>
      <c r="K190" s="238">
        <f t="shared" si="71"/>
        <v>17.22148</v>
      </c>
      <c r="L190" s="238">
        <f t="shared" si="71"/>
        <v>15.110105000000004</v>
      </c>
      <c r="M190" s="238">
        <f t="shared" si="68"/>
        <v>80.029290212483275</v>
      </c>
    </row>
    <row r="191" spans="1:13" ht="16" customHeight="1">
      <c r="A191" s="237" t="s">
        <v>96</v>
      </c>
      <c r="B191" s="237" t="s">
        <v>36</v>
      </c>
      <c r="C191" s="238">
        <f t="shared" si="66"/>
        <v>280.95036788682233</v>
      </c>
      <c r="D191" s="238">
        <f t="shared" ref="D191:L191" si="72">D93</f>
        <v>39.003657335112379</v>
      </c>
      <c r="E191" s="238">
        <f t="shared" si="72"/>
        <v>-25.803011939201077</v>
      </c>
      <c r="F191" s="238">
        <f t="shared" si="72"/>
        <v>9.1483669981190587</v>
      </c>
      <c r="G191" s="238">
        <f t="shared" si="72"/>
        <v>1.968161514451814E-2</v>
      </c>
      <c r="H191" s="238">
        <f t="shared" si="72"/>
        <v>5.7892662245683315</v>
      </c>
      <c r="I191" s="238">
        <f t="shared" si="72"/>
        <v>96.493390068257582</v>
      </c>
      <c r="J191" s="238">
        <f t="shared" si="72"/>
        <v>23.483059311440034</v>
      </c>
      <c r="K191" s="238">
        <f t="shared" si="72"/>
        <v>18.578579999999999</v>
      </c>
      <c r="L191" s="238">
        <f t="shared" si="72"/>
        <v>21.266139000000006</v>
      </c>
      <c r="M191" s="238">
        <f t="shared" si="68"/>
        <v>92.971239273381372</v>
      </c>
    </row>
    <row r="192" spans="1:13" ht="16" customHeight="1">
      <c r="A192" s="237" t="s">
        <v>96</v>
      </c>
      <c r="B192" s="237" t="s">
        <v>37</v>
      </c>
      <c r="C192" s="238">
        <f t="shared" si="66"/>
        <v>212.62960523042727</v>
      </c>
      <c r="D192" s="238">
        <f t="shared" ref="D192:L192" si="73">D94</f>
        <v>44.131830181838168</v>
      </c>
      <c r="E192" s="238">
        <f t="shared" si="73"/>
        <v>-15.222946528044218</v>
      </c>
      <c r="F192" s="238">
        <f t="shared" si="73"/>
        <v>5.5417208164197831</v>
      </c>
      <c r="G192" s="238">
        <f t="shared" si="73"/>
        <v>1.4672422347416976</v>
      </c>
      <c r="H192" s="238">
        <f t="shared" si="73"/>
        <v>4.0188637631383024</v>
      </c>
      <c r="I192" s="238">
        <f t="shared" si="73"/>
        <v>49.628920630270784</v>
      </c>
      <c r="J192" s="238">
        <f t="shared" si="73"/>
        <v>4.526148803527251</v>
      </c>
      <c r="K192" s="238">
        <f t="shared" si="73"/>
        <v>20.101900000000001</v>
      </c>
      <c r="L192" s="238">
        <f t="shared" si="73"/>
        <v>17.219995000000019</v>
      </c>
      <c r="M192" s="238">
        <f t="shared" si="68"/>
        <v>81.215930328535592</v>
      </c>
    </row>
    <row r="193" spans="1:13" ht="16" customHeight="1">
      <c r="A193" s="237" t="s">
        <v>96</v>
      </c>
      <c r="B193" s="237" t="s">
        <v>38</v>
      </c>
      <c r="C193" s="238">
        <f t="shared" si="66"/>
        <v>92.948620707639876</v>
      </c>
      <c r="D193" s="238">
        <f t="shared" ref="D193:L193" si="74">D95</f>
        <v>23.867390970965513</v>
      </c>
      <c r="E193" s="238">
        <f t="shared" si="74"/>
        <v>-14.867650421193783</v>
      </c>
      <c r="F193" s="238">
        <f t="shared" si="74"/>
        <v>5.9504487339249277</v>
      </c>
      <c r="G193" s="238">
        <f t="shared" si="74"/>
        <v>0.8686017020586414</v>
      </c>
      <c r="H193" s="238">
        <f t="shared" si="74"/>
        <v>6.5593416001068165</v>
      </c>
      <c r="I193" s="238">
        <f t="shared" si="74"/>
        <v>20.959683033204271</v>
      </c>
      <c r="J193" s="238">
        <f t="shared" si="74"/>
        <v>-5.1468112350182036</v>
      </c>
      <c r="K193" s="238">
        <f t="shared" si="74"/>
        <v>8.0329930692112299</v>
      </c>
      <c r="L193" s="238">
        <f t="shared" si="74"/>
        <v>3.9412369001841387</v>
      </c>
      <c r="M193" s="238">
        <f t="shared" si="68"/>
        <v>42.783386354196281</v>
      </c>
    </row>
    <row r="194" spans="1:13" ht="16" customHeight="1">
      <c r="A194" s="237" t="s">
        <v>96</v>
      </c>
      <c r="B194" s="237" t="s">
        <v>39</v>
      </c>
      <c r="C194" s="238">
        <f t="shared" si="66"/>
        <v>99.425455606600309</v>
      </c>
      <c r="D194" s="238">
        <f t="shared" ref="D194:L194" si="75">D96</f>
        <v>36.418815467822611</v>
      </c>
      <c r="E194" s="238">
        <f t="shared" si="75"/>
        <v>-16.021491695212909</v>
      </c>
      <c r="F194" s="238">
        <f t="shared" si="75"/>
        <v>8.4143388602277653</v>
      </c>
      <c r="G194" s="238">
        <f t="shared" si="75"/>
        <v>1.1617100953459196</v>
      </c>
      <c r="H194" s="238">
        <f t="shared" si="75"/>
        <v>9.1243394487180325</v>
      </c>
      <c r="I194" s="238">
        <f t="shared" si="75"/>
        <v>30.196922651905481</v>
      </c>
      <c r="J194" s="238">
        <f t="shared" si="75"/>
        <v>-5.5111320956248209</v>
      </c>
      <c r="K194" s="238">
        <f t="shared" si="75"/>
        <v>6.7518692963740019</v>
      </c>
      <c r="L194" s="238">
        <f t="shared" si="75"/>
        <v>5.2712016154726165</v>
      </c>
      <c r="M194" s="238">
        <f t="shared" si="68"/>
        <v>23.618881961571844</v>
      </c>
    </row>
    <row r="195" spans="1:13" ht="16" customHeight="1">
      <c r="A195" s="237" t="s">
        <v>96</v>
      </c>
      <c r="B195" s="237" t="s">
        <v>40</v>
      </c>
      <c r="C195" s="238">
        <f t="shared" si="66"/>
        <v>140.88997356341341</v>
      </c>
      <c r="D195" s="238">
        <f t="shared" ref="D195:L195" si="76">D97</f>
        <v>52.574172382179164</v>
      </c>
      <c r="E195" s="238">
        <f t="shared" si="76"/>
        <v>-17.300438999850972</v>
      </c>
      <c r="F195" s="238">
        <f t="shared" si="76"/>
        <v>10.99841874878927</v>
      </c>
      <c r="G195" s="238">
        <f t="shared" si="76"/>
        <v>1.4691164590374548</v>
      </c>
      <c r="H195" s="238">
        <f t="shared" si="76"/>
        <v>11.814459143602971</v>
      </c>
      <c r="I195" s="238">
        <f t="shared" si="76"/>
        <v>39.88475932517747</v>
      </c>
      <c r="J195" s="238">
        <f t="shared" si="76"/>
        <v>-5.8932247055293212</v>
      </c>
      <c r="K195" s="238">
        <f t="shared" si="76"/>
        <v>4.7903221495546973</v>
      </c>
      <c r="L195" s="238">
        <f t="shared" si="76"/>
        <v>6.6660426583361341</v>
      </c>
      <c r="M195" s="238">
        <f t="shared" si="68"/>
        <v>35.886346402116487</v>
      </c>
    </row>
    <row r="196" spans="1:13" ht="16" customHeight="1">
      <c r="A196" s="237" t="s">
        <v>96</v>
      </c>
      <c r="B196" s="237" t="s">
        <v>41</v>
      </c>
      <c r="C196" s="238">
        <f t="shared" si="66"/>
        <v>155.63712525226831</v>
      </c>
      <c r="D196" s="238">
        <f t="shared" ref="D196:L196" si="77">D98</f>
        <v>58.86724745928322</v>
      </c>
      <c r="E196" s="238">
        <f t="shared" si="77"/>
        <v>-18.058618648359214</v>
      </c>
      <c r="F196" s="238">
        <f t="shared" si="77"/>
        <v>12.005008007705676</v>
      </c>
      <c r="G196" s="238">
        <f t="shared" si="77"/>
        <v>1.5888619611731123</v>
      </c>
      <c r="H196" s="238">
        <f t="shared" si="77"/>
        <v>12.862354606145358</v>
      </c>
      <c r="I196" s="238">
        <f t="shared" si="77"/>
        <v>43.658509657207901</v>
      </c>
      <c r="J196" s="238">
        <f t="shared" si="77"/>
        <v>-6.0420631058991026</v>
      </c>
      <c r="K196" s="238">
        <f t="shared" si="77"/>
        <v>4.8460189745547009</v>
      </c>
      <c r="L196" s="238">
        <f t="shared" si="77"/>
        <v>7.2093819017771725</v>
      </c>
      <c r="M196" s="238">
        <f t="shared" si="68"/>
        <v>38.700424438679576</v>
      </c>
    </row>
    <row r="197" spans="1:13" ht="16" customHeight="1">
      <c r="A197" s="237" t="s">
        <v>96</v>
      </c>
      <c r="B197" s="237" t="s">
        <v>42</v>
      </c>
      <c r="C197" s="238">
        <f t="shared" si="66"/>
        <v>198.38546819692309</v>
      </c>
      <c r="D197" s="238">
        <f t="shared" ref="D197:L197" si="78">D99</f>
        <v>76.807207753714067</v>
      </c>
      <c r="E197" s="238">
        <f t="shared" si="78"/>
        <v>-20.219996452315545</v>
      </c>
      <c r="F197" s="238">
        <f t="shared" si="78"/>
        <v>14.874538581631533</v>
      </c>
      <c r="G197" s="238">
        <f t="shared" si="78"/>
        <v>1.9302260045747583</v>
      </c>
      <c r="H197" s="238">
        <f t="shared" si="78"/>
        <v>15.849638685930366</v>
      </c>
      <c r="I197" s="238">
        <f t="shared" si="78"/>
        <v>54.416514335085424</v>
      </c>
      <c r="J197" s="238">
        <f t="shared" si="78"/>
        <v>-6.4663636203860655</v>
      </c>
      <c r="K197" s="238">
        <f t="shared" si="78"/>
        <v>5.5626436868320965</v>
      </c>
      <c r="L197" s="238">
        <f t="shared" si="78"/>
        <v>8.7583042226314287</v>
      </c>
      <c r="M197" s="238">
        <f t="shared" si="68"/>
        <v>46.872754999224924</v>
      </c>
    </row>
    <row r="198" spans="1:13" ht="16" customHeight="1">
      <c r="A198" s="237" t="s">
        <v>96</v>
      </c>
      <c r="B198" s="237" t="s">
        <v>43</v>
      </c>
      <c r="C198" s="238">
        <f t="shared" si="66"/>
        <v>244.37269792093764</v>
      </c>
      <c r="D198" s="238">
        <f t="shared" ref="D198:L198" si="79">D100</f>
        <v>61.77896876361492</v>
      </c>
      <c r="E198" s="238">
        <f t="shared" si="79"/>
        <v>-18.409418187221231</v>
      </c>
      <c r="F198" s="238">
        <f t="shared" si="79"/>
        <v>12.470743336458037</v>
      </c>
      <c r="G198" s="238">
        <f t="shared" si="79"/>
        <v>1.644266596489609</v>
      </c>
      <c r="H198" s="238">
        <f t="shared" si="79"/>
        <v>13.347201760456013</v>
      </c>
      <c r="I198" s="238">
        <f t="shared" si="79"/>
        <v>45.404573243669631</v>
      </c>
      <c r="J198" s="238">
        <f t="shared" si="79"/>
        <v>-6.1109286344283937</v>
      </c>
      <c r="K198" s="238">
        <f t="shared" si="79"/>
        <v>5.0261645495546965</v>
      </c>
      <c r="L198" s="238">
        <f t="shared" si="79"/>
        <v>7.4607776711304785</v>
      </c>
      <c r="M198" s="238">
        <f t="shared" si="68"/>
        <v>121.76034882121404</v>
      </c>
    </row>
    <row r="199" spans="1:13" ht="16" customHeight="1">
      <c r="A199" s="237" t="s">
        <v>96</v>
      </c>
      <c r="B199" s="237" t="s">
        <v>44</v>
      </c>
      <c r="C199" s="238">
        <f t="shared" si="66"/>
        <v>1980.4914558634414</v>
      </c>
      <c r="D199" s="238">
        <f t="shared" ref="D199:L199" si="80">D101</f>
        <v>519.4293257631557</v>
      </c>
      <c r="E199" s="238">
        <f t="shared" si="80"/>
        <v>-164.13640274674839</v>
      </c>
      <c r="F199" s="238">
        <f t="shared" si="80"/>
        <v>108.15547477919503</v>
      </c>
      <c r="G199" s="238">
        <f t="shared" si="80"/>
        <v>10.370053559970341</v>
      </c>
      <c r="H199" s="238">
        <f t="shared" si="80"/>
        <v>98.934055523232161</v>
      </c>
      <c r="I199" s="238">
        <f t="shared" si="80"/>
        <v>389.03793970800132</v>
      </c>
      <c r="J199" s="238">
        <f t="shared" si="80"/>
        <v>60.696305463316278</v>
      </c>
      <c r="K199" s="238">
        <f t="shared" si="80"/>
        <v>149.57425272608143</v>
      </c>
      <c r="L199" s="238">
        <f t="shared" si="80"/>
        <v>137.09319613535774</v>
      </c>
      <c r="M199" s="238">
        <f t="shared" si="68"/>
        <v>671.33725495188082</v>
      </c>
    </row>
    <row r="200" spans="1:13" ht="16" customHeight="1">
      <c r="A200" s="237" t="s">
        <v>96</v>
      </c>
      <c r="B200" s="237" t="s">
        <v>45</v>
      </c>
      <c r="C200" s="238">
        <f t="shared" si="66"/>
        <v>931.65934124778357</v>
      </c>
      <c r="D200" s="238">
        <f t="shared" ref="D200:L200" si="81">D102</f>
        <v>310.31380279757951</v>
      </c>
      <c r="E200" s="238">
        <f t="shared" si="81"/>
        <v>-104.87761440415366</v>
      </c>
      <c r="F200" s="238">
        <f t="shared" si="81"/>
        <v>64.713496268737217</v>
      </c>
      <c r="G200" s="238">
        <f t="shared" si="81"/>
        <v>8.6627828186794957</v>
      </c>
      <c r="H200" s="238">
        <f t="shared" si="81"/>
        <v>69.55733524495956</v>
      </c>
      <c r="I200" s="238">
        <f t="shared" si="81"/>
        <v>234.52096224625018</v>
      </c>
      <c r="J200" s="238">
        <f t="shared" si="81"/>
        <v>-35.170523396885912</v>
      </c>
      <c r="K200" s="238">
        <f t="shared" si="81"/>
        <v>35.01001172608143</v>
      </c>
      <c r="L200" s="238">
        <f t="shared" si="81"/>
        <v>39.306944969531969</v>
      </c>
      <c r="M200" s="238">
        <f t="shared" si="68"/>
        <v>309.62214297700319</v>
      </c>
    </row>
    <row r="201" spans="1:13" ht="16" customHeight="1">
      <c r="A201" s="237" t="s">
        <v>97</v>
      </c>
      <c r="B201" s="237" t="s">
        <v>32</v>
      </c>
      <c r="C201" s="238">
        <f>MAX(0,C187)*'假设-财务口径'!$B$35</f>
        <v>46.737530665737431</v>
      </c>
      <c r="D201" s="238">
        <f>0</f>
        <v>0</v>
      </c>
      <c r="E201" s="238">
        <f>0</f>
        <v>0</v>
      </c>
      <c r="F201" s="238">
        <f>0</f>
        <v>0</v>
      </c>
      <c r="G201" s="238">
        <f>0</f>
        <v>0</v>
      </c>
      <c r="H201" s="238">
        <f>0</f>
        <v>0</v>
      </c>
      <c r="I201" s="238">
        <f>0</f>
        <v>0</v>
      </c>
      <c r="J201" s="238">
        <f>0</f>
        <v>0</v>
      </c>
      <c r="K201" s="238">
        <f>0</f>
        <v>0</v>
      </c>
      <c r="L201" s="238">
        <f>0</f>
        <v>0</v>
      </c>
      <c r="M201" s="238">
        <f>0</f>
        <v>0</v>
      </c>
    </row>
    <row r="202" spans="1:13" ht="16" customHeight="1">
      <c r="A202" s="237" t="s">
        <v>97</v>
      </c>
      <c r="B202" s="237" t="s">
        <v>33</v>
      </c>
      <c r="C202" s="238">
        <f>MAX(0,C188)*'假设-财务口径'!$B$35</f>
        <v>34.712166126538271</v>
      </c>
      <c r="D202" s="238">
        <f>0</f>
        <v>0</v>
      </c>
      <c r="E202" s="238">
        <f>0</f>
        <v>0</v>
      </c>
      <c r="F202" s="238">
        <f>0</f>
        <v>0</v>
      </c>
      <c r="G202" s="238">
        <f>0</f>
        <v>0</v>
      </c>
      <c r="H202" s="238">
        <f>0</f>
        <v>0</v>
      </c>
      <c r="I202" s="238">
        <f>0</f>
        <v>0</v>
      </c>
      <c r="J202" s="238">
        <f>0</f>
        <v>0</v>
      </c>
      <c r="K202" s="238">
        <f>0</f>
        <v>0</v>
      </c>
      <c r="L202" s="238">
        <f>0</f>
        <v>0</v>
      </c>
      <c r="M202" s="238">
        <f>0</f>
        <v>0</v>
      </c>
    </row>
    <row r="203" spans="1:13" ht="16" customHeight="1">
      <c r="A203" s="237" t="s">
        <v>97</v>
      </c>
      <c r="B203" s="237" t="s">
        <v>34</v>
      </c>
      <c r="C203" s="238">
        <f>MAX(0,C189)*'假设-财务口径'!$B$35</f>
        <v>0</v>
      </c>
      <c r="D203" s="238">
        <f>0</f>
        <v>0</v>
      </c>
      <c r="E203" s="238">
        <f>0</f>
        <v>0</v>
      </c>
      <c r="F203" s="238">
        <f>0</f>
        <v>0</v>
      </c>
      <c r="G203" s="238">
        <f>0</f>
        <v>0</v>
      </c>
      <c r="H203" s="238">
        <f>0</f>
        <v>0</v>
      </c>
      <c r="I203" s="238">
        <f>0</f>
        <v>0</v>
      </c>
      <c r="J203" s="238">
        <f>0</f>
        <v>0</v>
      </c>
      <c r="K203" s="238">
        <f>0</f>
        <v>0</v>
      </c>
      <c r="L203" s="238">
        <f>0</f>
        <v>0</v>
      </c>
      <c r="M203" s="238">
        <f>0</f>
        <v>0</v>
      </c>
    </row>
    <row r="204" spans="1:13" ht="16" customHeight="1">
      <c r="A204" s="237" t="s">
        <v>97</v>
      </c>
      <c r="B204" s="237" t="s">
        <v>35</v>
      </c>
      <c r="C204" s="238">
        <f>MAX(0,C190)*'假设-财务口径'!$B$35</f>
        <v>64.515116356567432</v>
      </c>
      <c r="D204" s="238">
        <f>0</f>
        <v>0</v>
      </c>
      <c r="E204" s="238">
        <f>0</f>
        <v>0</v>
      </c>
      <c r="F204" s="238">
        <f>0</f>
        <v>0</v>
      </c>
      <c r="G204" s="238">
        <f>0</f>
        <v>0</v>
      </c>
      <c r="H204" s="238">
        <f>0</f>
        <v>0</v>
      </c>
      <c r="I204" s="238">
        <f>0</f>
        <v>0</v>
      </c>
      <c r="J204" s="238">
        <f>0</f>
        <v>0</v>
      </c>
      <c r="K204" s="238">
        <f>0</f>
        <v>0</v>
      </c>
      <c r="L204" s="238">
        <f>0</f>
        <v>0</v>
      </c>
      <c r="M204" s="238">
        <f>0</f>
        <v>0</v>
      </c>
    </row>
    <row r="205" spans="1:13" ht="16" customHeight="1">
      <c r="A205" s="237" t="s">
        <v>97</v>
      </c>
      <c r="B205" s="237" t="s">
        <v>36</v>
      </c>
      <c r="C205" s="238">
        <f>MAX(0,C191)*'假设-财务口径'!$B$35</f>
        <v>70.237591971705584</v>
      </c>
      <c r="D205" s="238">
        <f>0</f>
        <v>0</v>
      </c>
      <c r="E205" s="238">
        <f>0</f>
        <v>0</v>
      </c>
      <c r="F205" s="238">
        <f>0</f>
        <v>0</v>
      </c>
      <c r="G205" s="238">
        <f>0</f>
        <v>0</v>
      </c>
      <c r="H205" s="238">
        <f>0</f>
        <v>0</v>
      </c>
      <c r="I205" s="238">
        <f>0</f>
        <v>0</v>
      </c>
      <c r="J205" s="238">
        <f>0</f>
        <v>0</v>
      </c>
      <c r="K205" s="238">
        <f>0</f>
        <v>0</v>
      </c>
      <c r="L205" s="238">
        <f>0</f>
        <v>0</v>
      </c>
      <c r="M205" s="238">
        <f>0</f>
        <v>0</v>
      </c>
    </row>
    <row r="206" spans="1:13" ht="16" customHeight="1">
      <c r="A206" s="237" t="s">
        <v>97</v>
      </c>
      <c r="B206" s="237" t="s">
        <v>37</v>
      </c>
      <c r="C206" s="238">
        <f>MAX(0,C192)*'假设-财务口径'!$B$35</f>
        <v>53.157401307606818</v>
      </c>
      <c r="D206" s="238">
        <f>0</f>
        <v>0</v>
      </c>
      <c r="E206" s="238">
        <f>0</f>
        <v>0</v>
      </c>
      <c r="F206" s="238">
        <f>0</f>
        <v>0</v>
      </c>
      <c r="G206" s="238">
        <f>0</f>
        <v>0</v>
      </c>
      <c r="H206" s="238">
        <f>0</f>
        <v>0</v>
      </c>
      <c r="I206" s="238">
        <f>0</f>
        <v>0</v>
      </c>
      <c r="J206" s="238">
        <f>0</f>
        <v>0</v>
      </c>
      <c r="K206" s="238">
        <f>0</f>
        <v>0</v>
      </c>
      <c r="L206" s="238">
        <f>0</f>
        <v>0</v>
      </c>
      <c r="M206" s="238">
        <f>0</f>
        <v>0</v>
      </c>
    </row>
    <row r="207" spans="1:13" ht="16" customHeight="1">
      <c r="A207" s="237" t="s">
        <v>97</v>
      </c>
      <c r="B207" s="237" t="s">
        <v>38</v>
      </c>
      <c r="C207" s="238">
        <f>MAX(0,C193)*'假设-财务口径'!$B$35</f>
        <v>23.237155176909969</v>
      </c>
      <c r="D207" s="238">
        <f>0</f>
        <v>0</v>
      </c>
      <c r="E207" s="238">
        <f>0</f>
        <v>0</v>
      </c>
      <c r="F207" s="238">
        <f>0</f>
        <v>0</v>
      </c>
      <c r="G207" s="238">
        <f>0</f>
        <v>0</v>
      </c>
      <c r="H207" s="238">
        <f>0</f>
        <v>0</v>
      </c>
      <c r="I207" s="238">
        <f>0</f>
        <v>0</v>
      </c>
      <c r="J207" s="238">
        <f>0</f>
        <v>0</v>
      </c>
      <c r="K207" s="238">
        <f>0</f>
        <v>0</v>
      </c>
      <c r="L207" s="238">
        <f>0</f>
        <v>0</v>
      </c>
      <c r="M207" s="238">
        <f>0</f>
        <v>0</v>
      </c>
    </row>
    <row r="208" spans="1:13" ht="16" customHeight="1">
      <c r="A208" s="237" t="s">
        <v>97</v>
      </c>
      <c r="B208" s="237" t="s">
        <v>39</v>
      </c>
      <c r="C208" s="238">
        <f>MAX(0,C194)*'假设-财务口径'!$B$35</f>
        <v>24.856363901650077</v>
      </c>
      <c r="D208" s="238">
        <f>0</f>
        <v>0</v>
      </c>
      <c r="E208" s="238">
        <f>0</f>
        <v>0</v>
      </c>
      <c r="F208" s="238">
        <f>0</f>
        <v>0</v>
      </c>
      <c r="G208" s="238">
        <f>0</f>
        <v>0</v>
      </c>
      <c r="H208" s="238">
        <f>0</f>
        <v>0</v>
      </c>
      <c r="I208" s="238">
        <f>0</f>
        <v>0</v>
      </c>
      <c r="J208" s="238">
        <f>0</f>
        <v>0</v>
      </c>
      <c r="K208" s="238">
        <f>0</f>
        <v>0</v>
      </c>
      <c r="L208" s="238">
        <f>0</f>
        <v>0</v>
      </c>
      <c r="M208" s="238">
        <f>0</f>
        <v>0</v>
      </c>
    </row>
    <row r="209" spans="1:13" ht="16" customHeight="1">
      <c r="A209" s="237" t="s">
        <v>97</v>
      </c>
      <c r="B209" s="237" t="s">
        <v>40</v>
      </c>
      <c r="C209" s="238">
        <f>MAX(0,C195)*'假设-财务口径'!$B$35</f>
        <v>35.222493390853352</v>
      </c>
      <c r="D209" s="238">
        <f>0</f>
        <v>0</v>
      </c>
      <c r="E209" s="238">
        <f>0</f>
        <v>0</v>
      </c>
      <c r="F209" s="238">
        <f>0</f>
        <v>0</v>
      </c>
      <c r="G209" s="238">
        <f>0</f>
        <v>0</v>
      </c>
      <c r="H209" s="238">
        <f>0</f>
        <v>0</v>
      </c>
      <c r="I209" s="238">
        <f>0</f>
        <v>0</v>
      </c>
      <c r="J209" s="238">
        <f>0</f>
        <v>0</v>
      </c>
      <c r="K209" s="238">
        <f>0</f>
        <v>0</v>
      </c>
      <c r="L209" s="238">
        <f>0</f>
        <v>0</v>
      </c>
      <c r="M209" s="238">
        <f>0</f>
        <v>0</v>
      </c>
    </row>
    <row r="210" spans="1:13" ht="16" customHeight="1">
      <c r="A210" s="237" t="s">
        <v>97</v>
      </c>
      <c r="B210" s="237" t="s">
        <v>41</v>
      </c>
      <c r="C210" s="238">
        <f>MAX(0,C196)*'假设-财务口径'!$B$35</f>
        <v>38.909281313067076</v>
      </c>
      <c r="D210" s="238">
        <f>0</f>
        <v>0</v>
      </c>
      <c r="E210" s="238">
        <f>0</f>
        <v>0</v>
      </c>
      <c r="F210" s="238">
        <f>0</f>
        <v>0</v>
      </c>
      <c r="G210" s="238">
        <f>0</f>
        <v>0</v>
      </c>
      <c r="H210" s="238">
        <f>0</f>
        <v>0</v>
      </c>
      <c r="I210" s="238">
        <f>0</f>
        <v>0</v>
      </c>
      <c r="J210" s="238">
        <f>0</f>
        <v>0</v>
      </c>
      <c r="K210" s="238">
        <f>0</f>
        <v>0</v>
      </c>
      <c r="L210" s="238">
        <f>0</f>
        <v>0</v>
      </c>
      <c r="M210" s="238">
        <f>0</f>
        <v>0</v>
      </c>
    </row>
    <row r="211" spans="1:13" ht="16" customHeight="1">
      <c r="A211" s="237" t="s">
        <v>97</v>
      </c>
      <c r="B211" s="237" t="s">
        <v>42</v>
      </c>
      <c r="C211" s="238">
        <f>MAX(0,C197)*'假设-财务口径'!$B$35</f>
        <v>49.596367049230771</v>
      </c>
      <c r="D211" s="238">
        <f>0</f>
        <v>0</v>
      </c>
      <c r="E211" s="238">
        <f>0</f>
        <v>0</v>
      </c>
      <c r="F211" s="238">
        <f>0</f>
        <v>0</v>
      </c>
      <c r="G211" s="238">
        <f>0</f>
        <v>0</v>
      </c>
      <c r="H211" s="238">
        <f>0</f>
        <v>0</v>
      </c>
      <c r="I211" s="238">
        <f>0</f>
        <v>0</v>
      </c>
      <c r="J211" s="238">
        <f>0</f>
        <v>0</v>
      </c>
      <c r="K211" s="238">
        <f>0</f>
        <v>0</v>
      </c>
      <c r="L211" s="238">
        <f>0</f>
        <v>0</v>
      </c>
      <c r="M211" s="238">
        <f>0</f>
        <v>0</v>
      </c>
    </row>
    <row r="212" spans="1:13" ht="16" customHeight="1">
      <c r="A212" s="237" t="s">
        <v>97</v>
      </c>
      <c r="B212" s="237" t="s">
        <v>43</v>
      </c>
      <c r="C212" s="238">
        <f>MAX(0,C198)*'假设-财务口径'!$B$35</f>
        <v>61.09317448023441</v>
      </c>
      <c r="D212" s="238">
        <f>0</f>
        <v>0</v>
      </c>
      <c r="E212" s="238">
        <f>0</f>
        <v>0</v>
      </c>
      <c r="F212" s="238">
        <f>0</f>
        <v>0</v>
      </c>
      <c r="G212" s="238">
        <f>0</f>
        <v>0</v>
      </c>
      <c r="H212" s="238">
        <f>0</f>
        <v>0</v>
      </c>
      <c r="I212" s="238">
        <f>0</f>
        <v>0</v>
      </c>
      <c r="J212" s="238">
        <f>0</f>
        <v>0</v>
      </c>
      <c r="K212" s="238">
        <f>0</f>
        <v>0</v>
      </c>
      <c r="L212" s="238">
        <f>0</f>
        <v>0</v>
      </c>
      <c r="M212" s="238">
        <f>0</f>
        <v>0</v>
      </c>
    </row>
    <row r="213" spans="1:13" ht="16" customHeight="1">
      <c r="A213" s="237" t="s">
        <v>97</v>
      </c>
      <c r="B213" s="237" t="s">
        <v>44</v>
      </c>
      <c r="C213" s="238">
        <f>MAX(0,C199)*'假设-财务口径'!$B$35</f>
        <v>495.12286396586035</v>
      </c>
      <c r="D213" s="238">
        <f>0</f>
        <v>0</v>
      </c>
      <c r="E213" s="238">
        <f>0</f>
        <v>0</v>
      </c>
      <c r="F213" s="238">
        <f>0</f>
        <v>0</v>
      </c>
      <c r="G213" s="238">
        <f>0</f>
        <v>0</v>
      </c>
      <c r="H213" s="238">
        <f>0</f>
        <v>0</v>
      </c>
      <c r="I213" s="238">
        <f>0</f>
        <v>0</v>
      </c>
      <c r="J213" s="238">
        <f>0</f>
        <v>0</v>
      </c>
      <c r="K213" s="238">
        <f>0</f>
        <v>0</v>
      </c>
      <c r="L213" s="238">
        <f>0</f>
        <v>0</v>
      </c>
      <c r="M213" s="238">
        <f>0</f>
        <v>0</v>
      </c>
    </row>
    <row r="214" spans="1:13" ht="16" customHeight="1">
      <c r="A214" s="237" t="s">
        <v>97</v>
      </c>
      <c r="B214" s="237" t="s">
        <v>45</v>
      </c>
      <c r="C214" s="238">
        <f>MAX(0,C200)*'假设-财务口径'!$B$35</f>
        <v>232.91483531194589</v>
      </c>
      <c r="D214" s="238">
        <f>0</f>
        <v>0</v>
      </c>
      <c r="E214" s="238">
        <f>0</f>
        <v>0</v>
      </c>
      <c r="F214" s="238">
        <f>0</f>
        <v>0</v>
      </c>
      <c r="G214" s="238">
        <f>0</f>
        <v>0</v>
      </c>
      <c r="H214" s="238">
        <f>0</f>
        <v>0</v>
      </c>
      <c r="I214" s="238">
        <f>0</f>
        <v>0</v>
      </c>
      <c r="J214" s="238">
        <f>0</f>
        <v>0</v>
      </c>
      <c r="K214" s="238">
        <f>0</f>
        <v>0</v>
      </c>
      <c r="L214" s="238">
        <f>0</f>
        <v>0</v>
      </c>
      <c r="M214" s="238">
        <f>0</f>
        <v>0</v>
      </c>
    </row>
    <row r="215" spans="1:13" ht="16" customHeight="1">
      <c r="A215" s="237" t="s">
        <v>98</v>
      </c>
      <c r="B215" s="237" t="s">
        <v>32</v>
      </c>
      <c r="C215" s="238">
        <f t="shared" ref="C215:C228" si="82">C187-C201</f>
        <v>140.21259199721229</v>
      </c>
      <c r="D215" s="238">
        <f t="shared" ref="D215:L215" si="83">D89</f>
        <v>47.182555712724032</v>
      </c>
      <c r="E215" s="238">
        <f t="shared" si="83"/>
        <v>-6.8239295936135651</v>
      </c>
      <c r="F215" s="238">
        <f t="shared" si="83"/>
        <v>8.9345600405621415</v>
      </c>
      <c r="G215" s="238">
        <f t="shared" si="83"/>
        <v>4.4005758710905125E-2</v>
      </c>
      <c r="H215" s="238">
        <f t="shared" si="83"/>
        <v>3.77442509425437</v>
      </c>
      <c r="I215" s="238">
        <f t="shared" si="83"/>
        <v>76.422200591593082</v>
      </c>
      <c r="J215" s="238">
        <f t="shared" si="83"/>
        <v>12.309499021885426</v>
      </c>
      <c r="K215" s="238">
        <f t="shared" si="83"/>
        <v>24.7803</v>
      </c>
      <c r="L215" s="238">
        <f t="shared" si="83"/>
        <v>17.05552152500006</v>
      </c>
      <c r="M215" s="238">
        <f>0</f>
        <v>0</v>
      </c>
    </row>
    <row r="216" spans="1:13" ht="16" customHeight="1">
      <c r="A216" s="237" t="s">
        <v>98</v>
      </c>
      <c r="B216" s="237" t="s">
        <v>33</v>
      </c>
      <c r="C216" s="238">
        <f t="shared" si="82"/>
        <v>104.13649837961481</v>
      </c>
      <c r="D216" s="238">
        <f t="shared" ref="D216:L216" si="84">D90</f>
        <v>11.315596172820541</v>
      </c>
      <c r="E216" s="238">
        <f t="shared" si="84"/>
        <v>-2.5553454642398252</v>
      </c>
      <c r="F216" s="238">
        <f t="shared" si="84"/>
        <v>3.0905371706219205</v>
      </c>
      <c r="G216" s="238">
        <f t="shared" si="84"/>
        <v>3.1784773635193241E-2</v>
      </c>
      <c r="H216" s="238">
        <f t="shared" si="84"/>
        <v>1.6751338948458301</v>
      </c>
      <c r="I216" s="238">
        <f t="shared" si="84"/>
        <v>61.400739518927509</v>
      </c>
      <c r="J216" s="238">
        <f t="shared" si="84"/>
        <v>-3.0006358995937026</v>
      </c>
      <c r="K216" s="238">
        <f t="shared" si="84"/>
        <v>7.8601000000000001</v>
      </c>
      <c r="L216" s="238">
        <f t="shared" si="84"/>
        <v>12.543631640825676</v>
      </c>
      <c r="M216" s="238">
        <f>0</f>
        <v>0</v>
      </c>
    </row>
    <row r="217" spans="1:13" ht="16" customHeight="1">
      <c r="A217" s="237" t="s">
        <v>98</v>
      </c>
      <c r="B217" s="237" t="s">
        <v>34</v>
      </c>
      <c r="C217" s="238">
        <f t="shared" si="82"/>
        <v>-28.607111096962381</v>
      </c>
      <c r="D217" s="238">
        <f t="shared" ref="D217:L217" si="85">D91</f>
        <v>45.011699271941325</v>
      </c>
      <c r="E217" s="238">
        <f t="shared" si="85"/>
        <v>-3.4878840287888591</v>
      </c>
      <c r="F217" s="238">
        <f t="shared" si="85"/>
        <v>9.777158219758844</v>
      </c>
      <c r="G217" s="238">
        <f t="shared" si="85"/>
        <v>9.5446687410960449E-2</v>
      </c>
      <c r="H217" s="238">
        <f t="shared" si="85"/>
        <v>7.6987208665540763</v>
      </c>
      <c r="I217" s="238">
        <f t="shared" si="85"/>
        <v>-239.30808973648089</v>
      </c>
      <c r="J217" s="238">
        <f t="shared" si="85"/>
        <v>53.252552672307729</v>
      </c>
      <c r="K217" s="238">
        <f t="shared" si="85"/>
        <v>26.021881</v>
      </c>
      <c r="L217" s="238">
        <f t="shared" si="85"/>
        <v>14.590859000000012</v>
      </c>
      <c r="M217" s="238">
        <f>0</f>
        <v>0</v>
      </c>
    </row>
    <row r="218" spans="1:13" ht="16" customHeight="1">
      <c r="A218" s="237" t="s">
        <v>98</v>
      </c>
      <c r="B218" s="237" t="s">
        <v>35</v>
      </c>
      <c r="C218" s="238">
        <f t="shared" si="82"/>
        <v>193.5453490697023</v>
      </c>
      <c r="D218" s="238">
        <f t="shared" ref="D218:L218" si="86">D92</f>
        <v>22.470184291139837</v>
      </c>
      <c r="E218" s="238">
        <f t="shared" si="86"/>
        <v>-5.3656707887071846</v>
      </c>
      <c r="F218" s="238">
        <f t="shared" si="86"/>
        <v>6.9496352649760791</v>
      </c>
      <c r="G218" s="238">
        <f t="shared" si="86"/>
        <v>4.9109671647569866E-2</v>
      </c>
      <c r="H218" s="238">
        <f t="shared" si="86"/>
        <v>6.4203104349116904</v>
      </c>
      <c r="I218" s="238">
        <f t="shared" si="86"/>
        <v>109.87981638918308</v>
      </c>
      <c r="J218" s="238">
        <f t="shared" si="86"/>
        <v>5.296204950635448</v>
      </c>
      <c r="K218" s="238">
        <f t="shared" si="86"/>
        <v>17.22148</v>
      </c>
      <c r="L218" s="238">
        <f t="shared" si="86"/>
        <v>15.110105000000004</v>
      </c>
      <c r="M218" s="238">
        <f>0</f>
        <v>0</v>
      </c>
    </row>
    <row r="219" spans="1:13" ht="16" customHeight="1">
      <c r="A219" s="237" t="s">
        <v>98</v>
      </c>
      <c r="B219" s="237" t="s">
        <v>36</v>
      </c>
      <c r="C219" s="238">
        <f t="shared" si="82"/>
        <v>210.71277591511677</v>
      </c>
      <c r="D219" s="238">
        <f t="shared" ref="D219:L219" si="87">D93</f>
        <v>39.003657335112379</v>
      </c>
      <c r="E219" s="238">
        <f t="shared" si="87"/>
        <v>-25.803011939201077</v>
      </c>
      <c r="F219" s="238">
        <f t="shared" si="87"/>
        <v>9.1483669981190587</v>
      </c>
      <c r="G219" s="238">
        <f t="shared" si="87"/>
        <v>1.968161514451814E-2</v>
      </c>
      <c r="H219" s="238">
        <f t="shared" si="87"/>
        <v>5.7892662245683315</v>
      </c>
      <c r="I219" s="238">
        <f t="shared" si="87"/>
        <v>96.493390068257582</v>
      </c>
      <c r="J219" s="238">
        <f t="shared" si="87"/>
        <v>23.483059311440034</v>
      </c>
      <c r="K219" s="238">
        <f t="shared" si="87"/>
        <v>18.578579999999999</v>
      </c>
      <c r="L219" s="238">
        <f t="shared" si="87"/>
        <v>21.266139000000006</v>
      </c>
      <c r="M219" s="238">
        <f>0</f>
        <v>0</v>
      </c>
    </row>
    <row r="220" spans="1:13" ht="16" customHeight="1">
      <c r="A220" s="237" t="s">
        <v>98</v>
      </c>
      <c r="B220" s="237" t="s">
        <v>37</v>
      </c>
      <c r="C220" s="238">
        <f t="shared" si="82"/>
        <v>159.47220392282046</v>
      </c>
      <c r="D220" s="238">
        <f t="shared" ref="D220:L220" si="88">D94</f>
        <v>44.131830181838168</v>
      </c>
      <c r="E220" s="238">
        <f t="shared" si="88"/>
        <v>-15.222946528044218</v>
      </c>
      <c r="F220" s="238">
        <f t="shared" si="88"/>
        <v>5.5417208164197831</v>
      </c>
      <c r="G220" s="238">
        <f t="shared" si="88"/>
        <v>1.4672422347416976</v>
      </c>
      <c r="H220" s="238">
        <f t="shared" si="88"/>
        <v>4.0188637631383024</v>
      </c>
      <c r="I220" s="238">
        <f t="shared" si="88"/>
        <v>49.628920630270784</v>
      </c>
      <c r="J220" s="238">
        <f t="shared" si="88"/>
        <v>4.526148803527251</v>
      </c>
      <c r="K220" s="238">
        <f t="shared" si="88"/>
        <v>20.101900000000001</v>
      </c>
      <c r="L220" s="238">
        <f t="shared" si="88"/>
        <v>17.219995000000019</v>
      </c>
      <c r="M220" s="238">
        <f>0</f>
        <v>0</v>
      </c>
    </row>
    <row r="221" spans="1:13" ht="16" customHeight="1">
      <c r="A221" s="237" t="s">
        <v>98</v>
      </c>
      <c r="B221" s="237" t="s">
        <v>38</v>
      </c>
      <c r="C221" s="238">
        <f t="shared" si="82"/>
        <v>69.71146553072991</v>
      </c>
      <c r="D221" s="238">
        <f t="shared" ref="D221:L221" si="89">D95</f>
        <v>23.867390970965513</v>
      </c>
      <c r="E221" s="238">
        <f t="shared" si="89"/>
        <v>-14.867650421193783</v>
      </c>
      <c r="F221" s="238">
        <f t="shared" si="89"/>
        <v>5.9504487339249277</v>
      </c>
      <c r="G221" s="238">
        <f t="shared" si="89"/>
        <v>0.8686017020586414</v>
      </c>
      <c r="H221" s="238">
        <f t="shared" si="89"/>
        <v>6.5593416001068165</v>
      </c>
      <c r="I221" s="238">
        <f t="shared" si="89"/>
        <v>20.959683033204271</v>
      </c>
      <c r="J221" s="238">
        <f t="shared" si="89"/>
        <v>-5.1468112350182036</v>
      </c>
      <c r="K221" s="238">
        <f t="shared" si="89"/>
        <v>8.0329930692112299</v>
      </c>
      <c r="L221" s="238">
        <f t="shared" si="89"/>
        <v>3.9412369001841387</v>
      </c>
      <c r="M221" s="238">
        <f>0</f>
        <v>0</v>
      </c>
    </row>
    <row r="222" spans="1:13" ht="16" customHeight="1">
      <c r="A222" s="237" t="s">
        <v>98</v>
      </c>
      <c r="B222" s="237" t="s">
        <v>39</v>
      </c>
      <c r="C222" s="238">
        <f t="shared" si="82"/>
        <v>74.569091704950239</v>
      </c>
      <c r="D222" s="238">
        <f t="shared" ref="D222:L222" si="90">D96</f>
        <v>36.418815467822611</v>
      </c>
      <c r="E222" s="238">
        <f t="shared" si="90"/>
        <v>-16.021491695212909</v>
      </c>
      <c r="F222" s="238">
        <f t="shared" si="90"/>
        <v>8.4143388602277653</v>
      </c>
      <c r="G222" s="238">
        <f t="shared" si="90"/>
        <v>1.1617100953459196</v>
      </c>
      <c r="H222" s="238">
        <f t="shared" si="90"/>
        <v>9.1243394487180325</v>
      </c>
      <c r="I222" s="238">
        <f t="shared" si="90"/>
        <v>30.196922651905481</v>
      </c>
      <c r="J222" s="238">
        <f t="shared" si="90"/>
        <v>-5.5111320956248209</v>
      </c>
      <c r="K222" s="238">
        <f t="shared" si="90"/>
        <v>6.7518692963740019</v>
      </c>
      <c r="L222" s="238">
        <f t="shared" si="90"/>
        <v>5.2712016154726165</v>
      </c>
      <c r="M222" s="238">
        <f>0</f>
        <v>0</v>
      </c>
    </row>
    <row r="223" spans="1:13" ht="16" customHeight="1">
      <c r="A223" s="237" t="s">
        <v>98</v>
      </c>
      <c r="B223" s="237" t="s">
        <v>40</v>
      </c>
      <c r="C223" s="238">
        <f t="shared" si="82"/>
        <v>105.66748017256006</v>
      </c>
      <c r="D223" s="238">
        <f t="shared" ref="D223:L223" si="91">D97</f>
        <v>52.574172382179164</v>
      </c>
      <c r="E223" s="238">
        <f t="shared" si="91"/>
        <v>-17.300438999850972</v>
      </c>
      <c r="F223" s="238">
        <f t="shared" si="91"/>
        <v>10.99841874878927</v>
      </c>
      <c r="G223" s="238">
        <f t="shared" si="91"/>
        <v>1.4691164590374548</v>
      </c>
      <c r="H223" s="238">
        <f t="shared" si="91"/>
        <v>11.814459143602971</v>
      </c>
      <c r="I223" s="238">
        <f t="shared" si="91"/>
        <v>39.88475932517747</v>
      </c>
      <c r="J223" s="238">
        <f t="shared" si="91"/>
        <v>-5.8932247055293212</v>
      </c>
      <c r="K223" s="238">
        <f t="shared" si="91"/>
        <v>4.7903221495546973</v>
      </c>
      <c r="L223" s="238">
        <f t="shared" si="91"/>
        <v>6.6660426583361341</v>
      </c>
      <c r="M223" s="238">
        <f>0</f>
        <v>0</v>
      </c>
    </row>
    <row r="224" spans="1:13" ht="16" customHeight="1">
      <c r="A224" s="237" t="s">
        <v>98</v>
      </c>
      <c r="B224" s="237" t="s">
        <v>41</v>
      </c>
      <c r="C224" s="238">
        <f t="shared" si="82"/>
        <v>116.72784393920122</v>
      </c>
      <c r="D224" s="238">
        <f t="shared" ref="D224:L224" si="92">D98</f>
        <v>58.86724745928322</v>
      </c>
      <c r="E224" s="238">
        <f t="shared" si="92"/>
        <v>-18.058618648359214</v>
      </c>
      <c r="F224" s="238">
        <f t="shared" si="92"/>
        <v>12.005008007705676</v>
      </c>
      <c r="G224" s="238">
        <f t="shared" si="92"/>
        <v>1.5888619611731123</v>
      </c>
      <c r="H224" s="238">
        <f t="shared" si="92"/>
        <v>12.862354606145358</v>
      </c>
      <c r="I224" s="238">
        <f t="shared" si="92"/>
        <v>43.658509657207901</v>
      </c>
      <c r="J224" s="238">
        <f t="shared" si="92"/>
        <v>-6.0420631058991026</v>
      </c>
      <c r="K224" s="238">
        <f t="shared" si="92"/>
        <v>4.8460189745547009</v>
      </c>
      <c r="L224" s="238">
        <f t="shared" si="92"/>
        <v>7.2093819017771725</v>
      </c>
      <c r="M224" s="238">
        <f>0</f>
        <v>0</v>
      </c>
    </row>
    <row r="225" spans="1:13" ht="16" customHeight="1">
      <c r="A225" s="237" t="s">
        <v>98</v>
      </c>
      <c r="B225" s="237" t="s">
        <v>42</v>
      </c>
      <c r="C225" s="238">
        <f t="shared" si="82"/>
        <v>148.78910114769232</v>
      </c>
      <c r="D225" s="238">
        <f t="shared" ref="D225:L225" si="93">D99</f>
        <v>76.807207753714067</v>
      </c>
      <c r="E225" s="238">
        <f t="shared" si="93"/>
        <v>-20.219996452315545</v>
      </c>
      <c r="F225" s="238">
        <f t="shared" si="93"/>
        <v>14.874538581631533</v>
      </c>
      <c r="G225" s="238">
        <f t="shared" si="93"/>
        <v>1.9302260045747583</v>
      </c>
      <c r="H225" s="238">
        <f t="shared" si="93"/>
        <v>15.849638685930366</v>
      </c>
      <c r="I225" s="238">
        <f t="shared" si="93"/>
        <v>54.416514335085424</v>
      </c>
      <c r="J225" s="238">
        <f t="shared" si="93"/>
        <v>-6.4663636203860655</v>
      </c>
      <c r="K225" s="238">
        <f t="shared" si="93"/>
        <v>5.5626436868320965</v>
      </c>
      <c r="L225" s="238">
        <f t="shared" si="93"/>
        <v>8.7583042226314287</v>
      </c>
      <c r="M225" s="238">
        <f>0</f>
        <v>0</v>
      </c>
    </row>
    <row r="226" spans="1:13" ht="16" customHeight="1">
      <c r="A226" s="237" t="s">
        <v>98</v>
      </c>
      <c r="B226" s="237" t="s">
        <v>43</v>
      </c>
      <c r="C226" s="238">
        <f t="shared" si="82"/>
        <v>183.27952344070323</v>
      </c>
      <c r="D226" s="238">
        <f t="shared" ref="D226:L226" si="94">D100</f>
        <v>61.77896876361492</v>
      </c>
      <c r="E226" s="238">
        <f t="shared" si="94"/>
        <v>-18.409418187221231</v>
      </c>
      <c r="F226" s="238">
        <f t="shared" si="94"/>
        <v>12.470743336458037</v>
      </c>
      <c r="G226" s="238">
        <f t="shared" si="94"/>
        <v>1.644266596489609</v>
      </c>
      <c r="H226" s="238">
        <f t="shared" si="94"/>
        <v>13.347201760456013</v>
      </c>
      <c r="I226" s="238">
        <f t="shared" si="94"/>
        <v>45.404573243669631</v>
      </c>
      <c r="J226" s="238">
        <f t="shared" si="94"/>
        <v>-6.1109286344283937</v>
      </c>
      <c r="K226" s="238">
        <f t="shared" si="94"/>
        <v>5.0261645495546965</v>
      </c>
      <c r="L226" s="238">
        <f t="shared" si="94"/>
        <v>7.4607776711304785</v>
      </c>
      <c r="M226" s="238">
        <f>0</f>
        <v>0</v>
      </c>
    </row>
    <row r="227" spans="1:13" ht="16" customHeight="1">
      <c r="A227" s="237" t="s">
        <v>98</v>
      </c>
      <c r="B227" s="237" t="s">
        <v>44</v>
      </c>
      <c r="C227" s="238">
        <f t="shared" si="82"/>
        <v>1485.3685918975812</v>
      </c>
      <c r="D227" s="238">
        <f t="shared" ref="D227:L227" si="95">D101</f>
        <v>519.4293257631557</v>
      </c>
      <c r="E227" s="238">
        <f t="shared" si="95"/>
        <v>-164.13640274674839</v>
      </c>
      <c r="F227" s="238">
        <f t="shared" si="95"/>
        <v>108.15547477919503</v>
      </c>
      <c r="G227" s="238">
        <f t="shared" si="95"/>
        <v>10.370053559970341</v>
      </c>
      <c r="H227" s="238">
        <f t="shared" si="95"/>
        <v>98.934055523232161</v>
      </c>
      <c r="I227" s="238">
        <f t="shared" si="95"/>
        <v>389.03793970800132</v>
      </c>
      <c r="J227" s="238">
        <f t="shared" si="95"/>
        <v>60.696305463316278</v>
      </c>
      <c r="K227" s="238">
        <f t="shared" si="95"/>
        <v>149.57425272608143</v>
      </c>
      <c r="L227" s="238">
        <f t="shared" si="95"/>
        <v>137.09319613535774</v>
      </c>
      <c r="M227" s="238">
        <f>0</f>
        <v>0</v>
      </c>
    </row>
    <row r="228" spans="1:13" ht="16" customHeight="1">
      <c r="A228" s="237" t="s">
        <v>98</v>
      </c>
      <c r="B228" s="237" t="s">
        <v>45</v>
      </c>
      <c r="C228" s="238">
        <f t="shared" si="82"/>
        <v>698.74450593583765</v>
      </c>
      <c r="D228" s="238">
        <f t="shared" ref="D228:L228" si="96">D102</f>
        <v>310.31380279757951</v>
      </c>
      <c r="E228" s="238">
        <f t="shared" si="96"/>
        <v>-104.87761440415366</v>
      </c>
      <c r="F228" s="238">
        <f t="shared" si="96"/>
        <v>64.713496268737217</v>
      </c>
      <c r="G228" s="238">
        <f t="shared" si="96"/>
        <v>8.6627828186794957</v>
      </c>
      <c r="H228" s="238">
        <f t="shared" si="96"/>
        <v>69.55733524495956</v>
      </c>
      <c r="I228" s="238">
        <f t="shared" si="96"/>
        <v>234.52096224625018</v>
      </c>
      <c r="J228" s="238">
        <f t="shared" si="96"/>
        <v>-35.170523396885912</v>
      </c>
      <c r="K228" s="238">
        <f t="shared" si="96"/>
        <v>35.01001172608143</v>
      </c>
      <c r="L228" s="238">
        <f t="shared" si="96"/>
        <v>39.306944969531969</v>
      </c>
      <c r="M228" s="238">
        <f>0</f>
        <v>0</v>
      </c>
    </row>
    <row r="229" spans="1:13" ht="16" customHeight="1">
      <c r="A229" s="237" t="s">
        <v>99</v>
      </c>
      <c r="B229" s="237" t="s">
        <v>32</v>
      </c>
      <c r="C229" s="239">
        <f t="shared" ref="C229:L229" si="97">IFERROR(C215/C5,0)</f>
        <v>0.12300526016493481</v>
      </c>
      <c r="D229" s="239">
        <f t="shared" si="97"/>
        <v>0.11431652594605207</v>
      </c>
      <c r="E229" s="239">
        <f t="shared" si="97"/>
        <v>-0.43650241752255231</v>
      </c>
      <c r="F229" s="239">
        <f t="shared" si="97"/>
        <v>0.32253369390641368</v>
      </c>
      <c r="G229" s="239">
        <f t="shared" si="97"/>
        <v>0.28476056524631888</v>
      </c>
      <c r="H229" s="239">
        <f t="shared" si="97"/>
        <v>0.27612626154086339</v>
      </c>
      <c r="I229" s="239">
        <f t="shared" si="97"/>
        <v>0.19073937956825526</v>
      </c>
      <c r="J229" s="239">
        <f t="shared" si="97"/>
        <v>0.23821656702226743</v>
      </c>
      <c r="K229" s="239">
        <f t="shared" si="97"/>
        <v>1</v>
      </c>
      <c r="L229" s="239">
        <f t="shared" si="97"/>
        <v>0.11406137710158472</v>
      </c>
      <c r="M229" s="239">
        <f>0</f>
        <v>0</v>
      </c>
    </row>
    <row r="230" spans="1:13" ht="16" customHeight="1">
      <c r="A230" s="237" t="s">
        <v>99</v>
      </c>
      <c r="B230" s="237" t="s">
        <v>33</v>
      </c>
      <c r="C230" s="239">
        <f t="shared" ref="C230:L230" si="98">IFERROR(C216/C6,0)</f>
        <v>0.13984310857653823</v>
      </c>
      <c r="D230" s="239">
        <f t="shared" si="98"/>
        <v>4.7884776469984937E-2</v>
      </c>
      <c r="E230" s="239">
        <f t="shared" si="98"/>
        <v>-0.47873531000989666</v>
      </c>
      <c r="F230" s="239">
        <f t="shared" si="98"/>
        <v>0.21685870908428984</v>
      </c>
      <c r="G230" s="239">
        <f t="shared" si="98"/>
        <v>0.11505009116185037</v>
      </c>
      <c r="H230" s="239">
        <f t="shared" si="98"/>
        <v>0.19541759558578539</v>
      </c>
      <c r="I230" s="239">
        <f t="shared" si="98"/>
        <v>0.20387483537115236</v>
      </c>
      <c r="J230" s="239">
        <f t="shared" si="98"/>
        <v>-0.70809795629453065</v>
      </c>
      <c r="K230" s="239">
        <f t="shared" si="98"/>
        <v>1</v>
      </c>
      <c r="L230" s="239">
        <f t="shared" si="98"/>
        <v>0.14426782996784401</v>
      </c>
      <c r="M230" s="239">
        <f>0</f>
        <v>0</v>
      </c>
    </row>
    <row r="231" spans="1:13" ht="16" customHeight="1">
      <c r="A231" s="237" t="s">
        <v>99</v>
      </c>
      <c r="B231" s="237" t="s">
        <v>34</v>
      </c>
      <c r="C231" s="239">
        <f t="shared" ref="C231:L231" si="99">IFERROR(C217/C7,0)</f>
        <v>-2.5825276734005937E-2</v>
      </c>
      <c r="D231" s="239">
        <f t="shared" si="99"/>
        <v>9.3585672597180217E-2</v>
      </c>
      <c r="E231" s="239">
        <f t="shared" si="99"/>
        <v>-0.30789257200263581</v>
      </c>
      <c r="F231" s="239">
        <f t="shared" si="99"/>
        <v>0.30026174955881535</v>
      </c>
      <c r="G231" s="239">
        <f t="shared" si="99"/>
        <v>0.26050002295580338</v>
      </c>
      <c r="H231" s="239">
        <f t="shared" si="99"/>
        <v>0.33093340387057285</v>
      </c>
      <c r="I231" s="239">
        <f t="shared" si="99"/>
        <v>-5.9055739709578203</v>
      </c>
      <c r="J231" s="239">
        <f t="shared" si="99"/>
        <v>0.2802289865320024</v>
      </c>
      <c r="K231" s="239">
        <f t="shared" si="99"/>
        <v>1</v>
      </c>
      <c r="L231" s="239">
        <f t="shared" si="99"/>
        <v>7.040903139790114E-2</v>
      </c>
      <c r="M231" s="239">
        <f>0</f>
        <v>0</v>
      </c>
    </row>
    <row r="232" spans="1:13" ht="16" customHeight="1">
      <c r="A232" s="237" t="s">
        <v>99</v>
      </c>
      <c r="B232" s="237" t="s">
        <v>35</v>
      </c>
      <c r="C232" s="239">
        <f t="shared" ref="C232:L232" si="100">IFERROR(C218/C8,0)</f>
        <v>0.17587368136977355</v>
      </c>
      <c r="D232" s="239">
        <f t="shared" si="100"/>
        <v>7.7430692641947532E-2</v>
      </c>
      <c r="E232" s="239">
        <f t="shared" si="100"/>
        <v>-0.71547046985894847</v>
      </c>
      <c r="F232" s="239">
        <f t="shared" si="100"/>
        <v>0.20291113830031016</v>
      </c>
      <c r="G232" s="239">
        <f t="shared" si="100"/>
        <v>0.41660379236322959</v>
      </c>
      <c r="H232" s="239">
        <f t="shared" si="100"/>
        <v>0.32981667984731</v>
      </c>
      <c r="I232" s="239">
        <f t="shared" si="100"/>
        <v>0.25034634314576537</v>
      </c>
      <c r="J232" s="239">
        <f t="shared" si="100"/>
        <v>0.14007234421265208</v>
      </c>
      <c r="K232" s="239">
        <f t="shared" si="100"/>
        <v>1</v>
      </c>
      <c r="L232" s="239">
        <f t="shared" si="100"/>
        <v>0.1141454787388262</v>
      </c>
      <c r="M232" s="239">
        <f>0</f>
        <v>0</v>
      </c>
    </row>
    <row r="233" spans="1:13" ht="16" customHeight="1">
      <c r="A233" s="237" t="s">
        <v>99</v>
      </c>
      <c r="B233" s="237" t="s">
        <v>36</v>
      </c>
      <c r="C233" s="239">
        <f t="shared" ref="C233:L233" si="101">IFERROR(C219/C9,0)</f>
        <v>0.15525637379707846</v>
      </c>
      <c r="D233" s="239">
        <f t="shared" si="101"/>
        <v>0.10176259331664665</v>
      </c>
      <c r="E233" s="239">
        <f t="shared" si="101"/>
        <v>-0.38291055873857682</v>
      </c>
      <c r="F233" s="239">
        <f t="shared" si="101"/>
        <v>0.28065531670225008</v>
      </c>
      <c r="G233" s="239">
        <f t="shared" si="101"/>
        <v>4.3618570821212094E-2</v>
      </c>
      <c r="H233" s="239">
        <f t="shared" si="101"/>
        <v>0.30118772093831253</v>
      </c>
      <c r="I233" s="239">
        <f t="shared" si="101"/>
        <v>0.21624187705306894</v>
      </c>
      <c r="J233" s="239">
        <f t="shared" si="101"/>
        <v>0.28941778947113278</v>
      </c>
      <c r="K233" s="239">
        <f t="shared" si="101"/>
        <v>1</v>
      </c>
      <c r="L233" s="239">
        <f t="shared" si="101"/>
        <v>0.12567145011454284</v>
      </c>
      <c r="M233" s="239">
        <f>0</f>
        <v>0</v>
      </c>
    </row>
    <row r="234" spans="1:13" ht="16" customHeight="1">
      <c r="A234" s="237" t="s">
        <v>99</v>
      </c>
      <c r="B234" s="237" t="s">
        <v>37</v>
      </c>
      <c r="C234" s="239">
        <f t="shared" ref="C234:L234" si="102">IFERROR(C220/C10,0)</f>
        <v>0.11681105683077112</v>
      </c>
      <c r="D234" s="239">
        <f t="shared" si="102"/>
        <v>0.16253231455089207</v>
      </c>
      <c r="E234" s="239">
        <f t="shared" si="102"/>
        <v>-0.21581856738675556</v>
      </c>
      <c r="F234" s="239">
        <f t="shared" si="102"/>
        <v>0.21093552205326585</v>
      </c>
      <c r="G234" s="239">
        <f t="shared" si="102"/>
        <v>0.29881060322317943</v>
      </c>
      <c r="H234" s="239">
        <f t="shared" si="102"/>
        <v>0.24107295095221662</v>
      </c>
      <c r="I234" s="239">
        <f t="shared" si="102"/>
        <v>7.5163897759156814E-2</v>
      </c>
      <c r="J234" s="239">
        <f t="shared" si="102"/>
        <v>0.16529689386550844</v>
      </c>
      <c r="K234" s="239">
        <f t="shared" si="102"/>
        <v>1</v>
      </c>
      <c r="L234" s="239">
        <f t="shared" si="102"/>
        <v>0.12049097385199579</v>
      </c>
      <c r="M234" s="239">
        <f>0</f>
        <v>0</v>
      </c>
    </row>
    <row r="235" spans="1:13" ht="16" customHeight="1">
      <c r="A235" s="237" t="s">
        <v>99</v>
      </c>
      <c r="B235" s="237" t="s">
        <v>38</v>
      </c>
      <c r="C235" s="239">
        <f t="shared" ref="C235:L235" si="103">IFERROR(C221/C11,0)</f>
        <v>8.0084283271520854E-2</v>
      </c>
      <c r="D235" s="239">
        <f t="shared" si="103"/>
        <v>0.12706501349541829</v>
      </c>
      <c r="E235" s="239">
        <f t="shared" si="103"/>
        <v>-0.28118142126729784</v>
      </c>
      <c r="F235" s="239">
        <f t="shared" si="103"/>
        <v>0.24598960070408832</v>
      </c>
      <c r="G235" s="239">
        <f t="shared" si="103"/>
        <v>0.29895810506502096</v>
      </c>
      <c r="H235" s="239">
        <f t="shared" si="103"/>
        <v>0.25993737505417774</v>
      </c>
      <c r="I235" s="239">
        <f t="shared" si="103"/>
        <v>6.4989917455423124E-2</v>
      </c>
      <c r="J235" s="239">
        <f t="shared" si="103"/>
        <v>-5.9383248937154944E-2</v>
      </c>
      <c r="K235" s="239">
        <f t="shared" si="103"/>
        <v>0.22344034082709519</v>
      </c>
      <c r="L235" s="239">
        <f t="shared" si="103"/>
        <v>7.3429956527788609E-2</v>
      </c>
      <c r="M235" s="239">
        <f>0</f>
        <v>0</v>
      </c>
    </row>
    <row r="236" spans="1:13" ht="16" customHeight="1">
      <c r="A236" s="237" t="s">
        <v>99</v>
      </c>
      <c r="B236" s="237" t="s">
        <v>39</v>
      </c>
      <c r="C236" s="239">
        <f t="shared" ref="C236:L236" si="104">IFERROR(C222/C12,0)</f>
        <v>6.7225924185044292E-2</v>
      </c>
      <c r="D236" s="239">
        <f t="shared" si="104"/>
        <v>0.14496720588574732</v>
      </c>
      <c r="E236" s="239">
        <f t="shared" si="104"/>
        <v>-0.22655316946904863</v>
      </c>
      <c r="F236" s="239">
        <f t="shared" si="104"/>
        <v>0.26008178676915211</v>
      </c>
      <c r="G236" s="239">
        <f t="shared" si="104"/>
        <v>0.29895810506502091</v>
      </c>
      <c r="H236" s="239">
        <f t="shared" si="104"/>
        <v>0.27035401678051874</v>
      </c>
      <c r="I236" s="239">
        <f t="shared" si="104"/>
        <v>7.0007871531177296E-2</v>
      </c>
      <c r="J236" s="239">
        <f t="shared" si="104"/>
        <v>-4.7543313656963765E-2</v>
      </c>
      <c r="K236" s="239">
        <f t="shared" si="104"/>
        <v>0.19495999868255084</v>
      </c>
      <c r="L236" s="239">
        <f t="shared" si="104"/>
        <v>7.3429956527788637E-2</v>
      </c>
      <c r="M236" s="239">
        <f>0</f>
        <v>0</v>
      </c>
    </row>
    <row r="237" spans="1:13" ht="16" customHeight="1">
      <c r="A237" s="237" t="s">
        <v>99</v>
      </c>
      <c r="B237" s="237" t="s">
        <v>40</v>
      </c>
      <c r="C237" s="239">
        <f t="shared" ref="C237:L237" si="105">IFERROR(C223/C13,0)</f>
        <v>7.5944916489461792E-2</v>
      </c>
      <c r="D237" s="239">
        <f t="shared" si="105"/>
        <v>0.16548473395936678</v>
      </c>
      <c r="E237" s="239">
        <f t="shared" si="105"/>
        <v>-0.19344871798934232</v>
      </c>
      <c r="F237" s="239">
        <f t="shared" si="105"/>
        <v>0.26882009619849451</v>
      </c>
      <c r="G237" s="239">
        <f t="shared" si="105"/>
        <v>0.29895810506502091</v>
      </c>
      <c r="H237" s="239">
        <f t="shared" si="105"/>
        <v>0.27681318771390784</v>
      </c>
      <c r="I237" s="239">
        <f t="shared" si="105"/>
        <v>7.3119413999728447E-2</v>
      </c>
      <c r="J237" s="239">
        <f t="shared" si="105"/>
        <v>-4.0201584160630167E-2</v>
      </c>
      <c r="K237" s="239">
        <f t="shared" si="105"/>
        <v>0.14681550989458336</v>
      </c>
      <c r="L237" s="239">
        <f t="shared" si="105"/>
        <v>7.3429956527788609E-2</v>
      </c>
      <c r="M237" s="239">
        <f>0</f>
        <v>0</v>
      </c>
    </row>
    <row r="238" spans="1:13" ht="16" customHeight="1">
      <c r="A238" s="237" t="s">
        <v>99</v>
      </c>
      <c r="B238" s="237" t="s">
        <v>41</v>
      </c>
      <c r="C238" s="239">
        <f t="shared" ref="C238:L238" si="106">IFERROR(C224/C14,0)</f>
        <v>7.7955710166833669E-2</v>
      </c>
      <c r="D238" s="239">
        <f t="shared" si="106"/>
        <v>0.17132836769734081</v>
      </c>
      <c r="E238" s="239">
        <f t="shared" si="106"/>
        <v>-0.18670816725712761</v>
      </c>
      <c r="F238" s="239">
        <f t="shared" si="106"/>
        <v>0.2713088696809014</v>
      </c>
      <c r="G238" s="239">
        <f t="shared" si="106"/>
        <v>0.29895810506502102</v>
      </c>
      <c r="H238" s="239">
        <f t="shared" si="106"/>
        <v>0.27865283569929178</v>
      </c>
      <c r="I238" s="239">
        <f t="shared" si="106"/>
        <v>7.4005617955737388E-2</v>
      </c>
      <c r="J238" s="239">
        <f t="shared" si="106"/>
        <v>-3.8110573097995606E-2</v>
      </c>
      <c r="K238" s="239">
        <f t="shared" si="106"/>
        <v>0.16191716978698589</v>
      </c>
      <c r="L238" s="239">
        <f t="shared" si="106"/>
        <v>7.342995652778872E-2</v>
      </c>
      <c r="M238" s="239">
        <f>0</f>
        <v>0</v>
      </c>
    </row>
    <row r="239" spans="1:13" ht="16" customHeight="1">
      <c r="A239" s="237" t="s">
        <v>99</v>
      </c>
      <c r="B239" s="237" t="s">
        <v>42</v>
      </c>
      <c r="C239" s="239">
        <f t="shared" ref="C239:L239" si="107">IFERROR(C225/C15,0)</f>
        <v>8.2075796011980243E-2</v>
      </c>
      <c r="D239" s="239">
        <f t="shared" si="107"/>
        <v>0.18400750235916216</v>
      </c>
      <c r="E239" s="239">
        <f t="shared" si="107"/>
        <v>-0.17208296070572945</v>
      </c>
      <c r="F239" s="239">
        <f t="shared" si="107"/>
        <v>0.27670884776665094</v>
      </c>
      <c r="G239" s="239">
        <f t="shared" si="107"/>
        <v>0.29895810506502085</v>
      </c>
      <c r="H239" s="239">
        <f t="shared" si="107"/>
        <v>0.28264438369543943</v>
      </c>
      <c r="I239" s="239">
        <f t="shared" si="107"/>
        <v>7.5928445394948169E-2</v>
      </c>
      <c r="J239" s="239">
        <f t="shared" si="107"/>
        <v>-3.3573633920884506E-2</v>
      </c>
      <c r="K239" s="239">
        <f t="shared" si="107"/>
        <v>0.15802639538907498</v>
      </c>
      <c r="L239" s="239">
        <f t="shared" si="107"/>
        <v>7.3429956527788678E-2</v>
      </c>
      <c r="M239" s="239">
        <f>0</f>
        <v>0</v>
      </c>
    </row>
    <row r="240" spans="1:13" ht="16" customHeight="1">
      <c r="A240" s="237" t="s">
        <v>99</v>
      </c>
      <c r="B240" s="237" t="s">
        <v>43</v>
      </c>
      <c r="C240" s="239">
        <f t="shared" ref="C240:L240" si="108">IFERROR(C226/C16,0)</f>
        <v>0.11232215824660916</v>
      </c>
      <c r="D240" s="239">
        <f t="shared" si="108"/>
        <v>0.1737441281598823</v>
      </c>
      <c r="E240" s="239">
        <f t="shared" si="108"/>
        <v>-0.18392162095994566</v>
      </c>
      <c r="F240" s="239">
        <f t="shared" si="108"/>
        <v>0.27233772960755109</v>
      </c>
      <c r="G240" s="239">
        <f t="shared" si="108"/>
        <v>0.29895810506502085</v>
      </c>
      <c r="H240" s="239">
        <f t="shared" si="108"/>
        <v>0.2794133468927304</v>
      </c>
      <c r="I240" s="239">
        <f t="shared" si="108"/>
        <v>7.4371975016201547E-2</v>
      </c>
      <c r="J240" s="239">
        <f t="shared" si="108"/>
        <v>-3.7246148310551459E-2</v>
      </c>
      <c r="K240" s="239">
        <f t="shared" si="108"/>
        <v>0.15609897486316388</v>
      </c>
      <c r="L240" s="239">
        <f t="shared" si="108"/>
        <v>7.342995652778872E-2</v>
      </c>
      <c r="M240" s="239">
        <f>0</f>
        <v>0</v>
      </c>
    </row>
    <row r="241" spans="1:13" ht="16" customHeight="1">
      <c r="A241" s="237" t="s">
        <v>99</v>
      </c>
      <c r="B241" s="237" t="s">
        <v>44</v>
      </c>
      <c r="C241" s="239">
        <f t="shared" ref="C241:L241" si="109">IFERROR(C227/C17,0)</f>
        <v>9.8185695521852565E-2</v>
      </c>
      <c r="D241" s="239">
        <f t="shared" si="109"/>
        <v>0.13155592616749456</v>
      </c>
      <c r="E241" s="239">
        <f t="shared" si="109"/>
        <v>-0.23279673729775746</v>
      </c>
      <c r="F241" s="239">
        <f t="shared" si="109"/>
        <v>0.26451369848685852</v>
      </c>
      <c r="G241" s="239">
        <f t="shared" si="109"/>
        <v>0.29415956411435562</v>
      </c>
      <c r="H241" s="239">
        <f t="shared" si="109"/>
        <v>0.28063884608193534</v>
      </c>
      <c r="I241" s="239">
        <f t="shared" si="109"/>
        <v>7.0680061717842968E-2</v>
      </c>
      <c r="J241" s="239">
        <f t="shared" si="109"/>
        <v>4.8299418034822059E-2</v>
      </c>
      <c r="K241" s="239">
        <f t="shared" si="109"/>
        <v>0.47468188935031147</v>
      </c>
      <c r="L241" s="239">
        <f t="shared" si="109"/>
        <v>9.6306058277317488E-2</v>
      </c>
      <c r="M241" s="239">
        <f>0</f>
        <v>0</v>
      </c>
    </row>
    <row r="242" spans="1:13" ht="16" customHeight="1">
      <c r="A242" s="237" t="s">
        <v>99</v>
      </c>
      <c r="B242" s="237" t="s">
        <v>45</v>
      </c>
      <c r="C242" s="239">
        <f t="shared" ref="C242:L242" si="110">IFERROR(C228/C18,0)</f>
        <v>8.4054485663814932E-2</v>
      </c>
      <c r="D242" s="239">
        <f t="shared" si="110"/>
        <v>0.16564768950629902</v>
      </c>
      <c r="E242" s="239">
        <f t="shared" si="110"/>
        <v>-0.19887964237981268</v>
      </c>
      <c r="F242" s="239">
        <f t="shared" si="110"/>
        <v>0.26824098997122958</v>
      </c>
      <c r="G242" s="239">
        <f t="shared" si="110"/>
        <v>0.29895810506502096</v>
      </c>
      <c r="H242" s="239">
        <f t="shared" si="110"/>
        <v>0.27638512480989408</v>
      </c>
      <c r="I242" s="239">
        <f t="shared" si="110"/>
        <v>7.2913205506597412E-2</v>
      </c>
      <c r="J242" s="239">
        <f t="shared" si="110"/>
        <v>-4.0688136085187218E-2</v>
      </c>
      <c r="K242" s="239">
        <f t="shared" si="110"/>
        <v>0.17457873967796156</v>
      </c>
      <c r="L242" s="239">
        <f t="shared" si="110"/>
        <v>7.3429956527788665E-2</v>
      </c>
      <c r="M242" s="239">
        <f>0</f>
        <v>0</v>
      </c>
    </row>
  </sheetData>
  <phoneticPr fontId="14" type="noConversion"/>
  <hyperlinks>
    <hyperlink ref="A1" location="'目录及说明'!A1" display="返回目录" xr:uid="{00000000-0004-0000-1900-000000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120"/>
  <sheetViews>
    <sheetView showGridLines="0" zoomScaleNormal="100" workbookViewId="0">
      <selection activeCell="M25" sqref="M25"/>
    </sheetView>
  </sheetViews>
  <sheetFormatPr baseColWidth="10" defaultColWidth="10.3984375" defaultRowHeight="16"/>
  <cols>
    <col min="1" max="1" width="19.19921875" style="16" customWidth="1"/>
    <col min="2" max="2" width="14.3984375" style="16" customWidth="1"/>
    <col min="3" max="3" width="12" style="16" customWidth="1"/>
    <col min="4" max="5" width="14.3984375" style="16" customWidth="1"/>
    <col min="6" max="9" width="16.796875" style="16" customWidth="1"/>
  </cols>
  <sheetData>
    <row r="1" spans="1:9">
      <c r="A1" s="70" t="s">
        <v>28</v>
      </c>
      <c r="B1" s="129" t="s">
        <v>381</v>
      </c>
      <c r="C1" s="129" t="s">
        <v>382</v>
      </c>
      <c r="D1" s="129" t="s">
        <v>383</v>
      </c>
      <c r="E1" s="130" t="s">
        <v>384</v>
      </c>
      <c r="F1" s="169" t="s">
        <v>289</v>
      </c>
      <c r="G1" s="168" t="s">
        <v>285</v>
      </c>
      <c r="H1" s="168" t="s">
        <v>385</v>
      </c>
      <c r="I1" s="168" t="s">
        <v>386</v>
      </c>
    </row>
    <row r="2" spans="1:9">
      <c r="A2" s="67" t="str">
        <f>'假设-平台主推机制'!$C$4</f>
        <v>抖音平台</v>
      </c>
      <c r="B2" s="67" t="str">
        <f>'假设-平台主推机制'!$D$5</f>
        <v>机制1</v>
      </c>
      <c r="C2" s="67">
        <v>5</v>
      </c>
      <c r="D2" s="67">
        <v>6</v>
      </c>
      <c r="E2" s="67">
        <v>6</v>
      </c>
      <c r="F2" s="166">
        <f>'假设-平台主推机制'!$M$5</f>
        <v>0.49884348496530501</v>
      </c>
      <c r="G2" s="165">
        <f>'假设-平台主推机制'!$I$5</f>
        <v>600</v>
      </c>
      <c r="H2" s="165">
        <f>'假设-平台主推机制'!$L$6</f>
        <v>190</v>
      </c>
      <c r="I2" s="165">
        <v>0</v>
      </c>
    </row>
    <row r="3" spans="1:9">
      <c r="A3" s="67" t="str">
        <f>'假设-平台主推机制'!$C$4</f>
        <v>抖音平台</v>
      </c>
      <c r="B3" s="67" t="str">
        <f>'假设-平台主推机制'!$D$7</f>
        <v>机制2</v>
      </c>
      <c r="C3" s="67">
        <v>7</v>
      </c>
      <c r="D3" s="67">
        <v>8</v>
      </c>
      <c r="E3" s="67">
        <v>8</v>
      </c>
      <c r="F3" s="166">
        <f>'假设-平台主推机制'!$M$7</f>
        <v>0.44200903183169998</v>
      </c>
      <c r="G3" s="165">
        <f>'假设-平台主推机制'!$I$7</f>
        <v>378</v>
      </c>
      <c r="H3" s="165">
        <f>'假设-平台主推机制'!$L$8</f>
        <v>114</v>
      </c>
      <c r="I3" s="165">
        <v>0</v>
      </c>
    </row>
    <row r="4" spans="1:9">
      <c r="A4" s="67" t="str">
        <f>'假设-平台主推机制'!$C$4</f>
        <v>抖音平台</v>
      </c>
      <c r="B4" s="67" t="str">
        <f>'假设-平台主推机制'!$D$9</f>
        <v>机制3</v>
      </c>
      <c r="C4" s="67">
        <v>9</v>
      </c>
      <c r="D4" s="67">
        <v>10</v>
      </c>
      <c r="E4" s="67">
        <v>10</v>
      </c>
      <c r="F4" s="166">
        <f>'假设-平台主推机制'!$M$9</f>
        <v>1.6191210485736299E-2</v>
      </c>
      <c r="G4" s="165">
        <f>'假设-平台主推机制'!$I$9</f>
        <v>556</v>
      </c>
      <c r="H4" s="165">
        <f>'假设-平台主推机制'!$L$10</f>
        <v>210</v>
      </c>
      <c r="I4" s="165">
        <v>0</v>
      </c>
    </row>
    <row r="5" spans="1:9">
      <c r="A5" s="67" t="str">
        <f>'假设-平台主推机制'!$C$4</f>
        <v>抖音平台</v>
      </c>
      <c r="B5" s="67" t="str">
        <f>'假设-平台主推机制'!$D$11</f>
        <v>机制4</v>
      </c>
      <c r="C5" s="67">
        <v>11</v>
      </c>
      <c r="D5" s="67">
        <v>12</v>
      </c>
      <c r="E5" s="67">
        <v>12</v>
      </c>
      <c r="F5" s="166">
        <f>'假设-平台主推机制'!$M$11</f>
        <v>1.1895583214010399E-2</v>
      </c>
      <c r="G5" s="165">
        <f>'假设-平台主推机制'!$I$11</f>
        <v>512</v>
      </c>
      <c r="H5" s="165">
        <f>'假设-平台主推机制'!$L$12</f>
        <v>152</v>
      </c>
      <c r="I5" s="165">
        <v>0</v>
      </c>
    </row>
    <row r="6" spans="1:9">
      <c r="A6" s="67" t="str">
        <f>'假设-平台主推机制'!$C$4</f>
        <v>抖音平台</v>
      </c>
      <c r="B6" s="67" t="str">
        <f>'假设-平台主推机制'!$D$13</f>
        <v>机制5</v>
      </c>
      <c r="C6" s="67">
        <v>13</v>
      </c>
      <c r="D6" s="67">
        <v>14</v>
      </c>
      <c r="E6" s="67">
        <v>14</v>
      </c>
      <c r="F6" s="166">
        <f>'假设-平台主推机制'!$M$13</f>
        <v>9.47240885560084E-3</v>
      </c>
      <c r="G6" s="165">
        <f>'假设-平台主推机制'!$I$13</f>
        <v>1230</v>
      </c>
      <c r="H6" s="165">
        <f>'假设-平台主推机制'!$L$14</f>
        <v>380</v>
      </c>
      <c r="I6" s="165">
        <v>0</v>
      </c>
    </row>
    <row r="7" spans="1:9">
      <c r="A7" s="67" t="str">
        <f>'假设-平台主推机制'!$C$4</f>
        <v>抖音平台</v>
      </c>
      <c r="B7" s="67" t="str">
        <f>'假设-平台主推机制'!$D$15</f>
        <v>机制6</v>
      </c>
      <c r="C7" s="67">
        <v>15</v>
      </c>
      <c r="D7" s="67">
        <v>16</v>
      </c>
      <c r="E7" s="67">
        <v>16</v>
      </c>
      <c r="F7" s="166">
        <f>'假设-平台主推机制'!$M$15</f>
        <v>9.1419759885449908E-3</v>
      </c>
      <c r="G7" s="165">
        <f>'假设-平台主推机制'!$I$15</f>
        <v>256</v>
      </c>
      <c r="H7" s="165">
        <f>'假设-平台主推机制'!$L$16</f>
        <v>76</v>
      </c>
      <c r="I7" s="165">
        <v>0</v>
      </c>
    </row>
    <row r="8" spans="1:9">
      <c r="A8" s="67" t="str">
        <f>'假设-平台主推机制'!$C$4</f>
        <v>抖音平台</v>
      </c>
      <c r="B8" s="67" t="str">
        <f>'假设-平台主推机制'!$D$17</f>
        <v>机制7</v>
      </c>
      <c r="C8" s="67">
        <v>17</v>
      </c>
      <c r="D8" s="67">
        <v>18</v>
      </c>
      <c r="E8" s="67">
        <v>18</v>
      </c>
      <c r="F8" s="166">
        <f>'假设-平台主推机制'!$M$17</f>
        <v>7.8202445203216196E-3</v>
      </c>
      <c r="G8" s="165">
        <f>'假设-平台主推机制'!$I$17</f>
        <v>288</v>
      </c>
      <c r="H8" s="165">
        <f>'假设-平台主推机制'!$L$18</f>
        <v>105</v>
      </c>
      <c r="I8" s="165">
        <v>0</v>
      </c>
    </row>
    <row r="9" spans="1:9">
      <c r="A9" s="67" t="str">
        <f>'假设-平台主推机制'!$C$4</f>
        <v>抖音平台</v>
      </c>
      <c r="B9" s="67" t="str">
        <f>'假设-平台主推机制'!$D$19</f>
        <v>机制8</v>
      </c>
      <c r="C9" s="67">
        <v>19</v>
      </c>
      <c r="D9" s="67">
        <v>20</v>
      </c>
      <c r="E9" s="67">
        <v>20</v>
      </c>
      <c r="F9" s="166">
        <f>'假设-平台主推机制'!$M$19</f>
        <v>2.8637515144839701E-3</v>
      </c>
      <c r="G9" s="165">
        <f>'假设-平台主推机制'!$I$19</f>
        <v>1200</v>
      </c>
      <c r="H9" s="165">
        <f>'假设-平台主推机制'!$L$20</f>
        <v>418</v>
      </c>
      <c r="I9" s="165">
        <v>0</v>
      </c>
    </row>
    <row r="10" spans="1:9">
      <c r="A10" s="67" t="str">
        <f>'假设-平台主推机制'!$C$4</f>
        <v>抖音平台</v>
      </c>
      <c r="B10" s="67" t="str">
        <f>'假设-平台主推机制'!$D$21</f>
        <v>机制9</v>
      </c>
      <c r="C10" s="67">
        <v>21</v>
      </c>
      <c r="D10" s="67">
        <v>22</v>
      </c>
      <c r="E10" s="67">
        <v>22</v>
      </c>
      <c r="F10" s="166">
        <f>'假设-平台主推机制'!$M$21</f>
        <v>1.76230862429783E-3</v>
      </c>
      <c r="G10" s="165">
        <f>'假设-平台主推机制'!$I$21</f>
        <v>600</v>
      </c>
      <c r="H10" s="165">
        <f>'假设-平台主推机制'!$L$22</f>
        <v>228</v>
      </c>
      <c r="I10" s="165">
        <v>0</v>
      </c>
    </row>
    <row r="11" spans="1:9">
      <c r="A11" s="67" t="str">
        <f>'假设-平台主推机制'!$C$23</f>
        <v>视频号平台</v>
      </c>
      <c r="B11" s="67" t="str">
        <f>'假设-平台主推机制'!$D$24</f>
        <v>机制1</v>
      </c>
      <c r="C11" s="67">
        <v>24</v>
      </c>
      <c r="D11" s="67">
        <v>25</v>
      </c>
      <c r="E11" s="67">
        <v>25</v>
      </c>
      <c r="F11" s="166">
        <f>'假设-平台主推机制'!$M$24</f>
        <v>0.606498194945848</v>
      </c>
      <c r="G11" s="165">
        <f>'假设-平台主推机制'!$I$24</f>
        <v>378</v>
      </c>
      <c r="H11" s="165">
        <f>'假设-平台主推机制'!$L$25</f>
        <v>114</v>
      </c>
      <c r="I11" s="165">
        <v>0</v>
      </c>
    </row>
    <row r="12" spans="1:9">
      <c r="A12" s="67" t="str">
        <f>'假设-平台主推机制'!$C$23</f>
        <v>视频号平台</v>
      </c>
      <c r="B12" s="67" t="str">
        <f>'假设-平台主推机制'!$D$26</f>
        <v>机制2</v>
      </c>
      <c r="C12" s="67">
        <v>26</v>
      </c>
      <c r="D12" s="67">
        <v>27</v>
      </c>
      <c r="E12" s="67">
        <v>27</v>
      </c>
      <c r="F12" s="166">
        <f>'假设-平台主推机制'!$M$26</f>
        <v>0.393501805054152</v>
      </c>
      <c r="G12" s="165">
        <f>'假设-平台主推机制'!$I$26</f>
        <v>600</v>
      </c>
      <c r="H12" s="165">
        <f>'假设-平台主推机制'!$L$27</f>
        <v>190</v>
      </c>
      <c r="I12" s="165">
        <v>0</v>
      </c>
    </row>
    <row r="13" spans="1:9">
      <c r="A13" s="67" t="str">
        <f>'假设-平台主推机制'!$C$28</f>
        <v>天猫淘宝平台</v>
      </c>
      <c r="B13" s="67" t="str">
        <f>'假设-平台主推机制'!$D$29</f>
        <v>机制1</v>
      </c>
      <c r="C13" s="67">
        <v>29</v>
      </c>
      <c r="D13" s="67">
        <v>30</v>
      </c>
      <c r="E13" s="67">
        <v>30</v>
      </c>
      <c r="F13" s="166">
        <f>'假设-平台主推机制'!$M$29</f>
        <v>0.36080467229072</v>
      </c>
      <c r="G13" s="165">
        <f>'假设-平台主推机制'!$I$29</f>
        <v>269</v>
      </c>
      <c r="H13" s="165">
        <f>'假设-平台主推机制'!$L$30</f>
        <v>76</v>
      </c>
      <c r="I13" s="165">
        <v>0</v>
      </c>
    </row>
    <row r="14" spans="1:9">
      <c r="A14" s="67" t="str">
        <f>'假设-平台主推机制'!$C$28</f>
        <v>天猫淘宝平台</v>
      </c>
      <c r="B14" s="67" t="str">
        <f>'假设-平台主推机制'!$D$31</f>
        <v>机制2</v>
      </c>
      <c r="C14" s="67">
        <v>31</v>
      </c>
      <c r="D14" s="67">
        <v>32</v>
      </c>
      <c r="E14" s="67">
        <v>32</v>
      </c>
      <c r="F14" s="166">
        <f>'假设-平台主推机制'!$M$31</f>
        <v>0.236210253082414</v>
      </c>
      <c r="G14" s="165">
        <f>'假设-平台主推机制'!$I$31</f>
        <v>288</v>
      </c>
      <c r="H14" s="165">
        <f>'假设-平台主推机制'!$L$32</f>
        <v>105</v>
      </c>
      <c r="I14" s="165">
        <v>0</v>
      </c>
    </row>
    <row r="15" spans="1:9">
      <c r="A15" s="67" t="str">
        <f>'假设-平台主推机制'!$C$28</f>
        <v>天猫淘宝平台</v>
      </c>
      <c r="B15" s="67" t="str">
        <f>'假设-平台主推机制'!$D$33</f>
        <v>机制3</v>
      </c>
      <c r="C15" s="67">
        <v>33</v>
      </c>
      <c r="D15" s="67">
        <v>34</v>
      </c>
      <c r="E15" s="67">
        <v>34</v>
      </c>
      <c r="F15" s="166">
        <f>'假设-平台主推机制'!$M$33</f>
        <v>0.118105126541207</v>
      </c>
      <c r="G15" s="165">
        <f>'假设-平台主推机制'!$I$33</f>
        <v>569</v>
      </c>
      <c r="H15" s="165">
        <f>'假设-平台主推机制'!$L$34</f>
        <v>210</v>
      </c>
      <c r="I15" s="165">
        <v>0</v>
      </c>
    </row>
    <row r="16" spans="1:9">
      <c r="A16" s="67" t="str">
        <f>'假设-平台主推机制'!$C$28</f>
        <v>天猫淘宝平台</v>
      </c>
      <c r="B16" s="67" t="str">
        <f>'假设-平台主推机制'!$D$35</f>
        <v>机制4</v>
      </c>
      <c r="C16" s="67">
        <v>35</v>
      </c>
      <c r="D16" s="67">
        <v>36</v>
      </c>
      <c r="E16" s="67">
        <v>36</v>
      </c>
      <c r="F16" s="166">
        <f>'假设-平台主推机制'!$M$35</f>
        <v>0.101881894873459</v>
      </c>
      <c r="G16" s="165">
        <f>'假设-平台主推机制'!$I$35</f>
        <v>489</v>
      </c>
      <c r="H16" s="165">
        <f>'假设-平台主推机制'!$L$36</f>
        <v>152</v>
      </c>
      <c r="I16" s="165">
        <v>0</v>
      </c>
    </row>
    <row r="17" spans="1:9">
      <c r="A17" s="67" t="str">
        <f>'假设-平台主推机制'!$C$28</f>
        <v>天猫淘宝平台</v>
      </c>
      <c r="B17" s="67" t="str">
        <f>'假设-平台主推机制'!$D$37</f>
        <v>机制5</v>
      </c>
      <c r="C17" s="67">
        <v>37</v>
      </c>
      <c r="D17" s="67">
        <v>38</v>
      </c>
      <c r="E17" s="67">
        <v>38</v>
      </c>
      <c r="F17" s="166">
        <f>'假设-平台主推机制'!$M$37</f>
        <v>9.2796885139519794E-2</v>
      </c>
      <c r="G17" s="165">
        <f>'假设-平台主推机制'!$I$37</f>
        <v>399</v>
      </c>
      <c r="H17" s="165">
        <f>'假设-平台主推机制'!$L$38</f>
        <v>114</v>
      </c>
      <c r="I17" s="165">
        <v>0</v>
      </c>
    </row>
    <row r="18" spans="1:9">
      <c r="A18" s="67" t="str">
        <f>'假设-平台主推机制'!$C$28</f>
        <v>天猫淘宝平台</v>
      </c>
      <c r="B18" s="67" t="str">
        <f>'假设-平台主推机制'!$D$39</f>
        <v>机制6</v>
      </c>
      <c r="C18" s="67">
        <v>39</v>
      </c>
      <c r="D18" s="67">
        <v>40</v>
      </c>
      <c r="E18" s="67">
        <v>40</v>
      </c>
      <c r="F18" s="166">
        <f>'假设-平台主推机制'!$M$39</f>
        <v>3.17975340687865E-2</v>
      </c>
      <c r="G18" s="165">
        <f>'假设-平台主推机制'!$I$39</f>
        <v>736</v>
      </c>
      <c r="H18" s="165">
        <f>'假设-平台主推机制'!$L$40</f>
        <v>228</v>
      </c>
      <c r="I18" s="165">
        <v>0</v>
      </c>
    </row>
    <row r="19" spans="1:9">
      <c r="A19" s="67" t="str">
        <f>'假设-平台主推机制'!$C$28</f>
        <v>天猫淘宝平台</v>
      </c>
      <c r="B19" s="67" t="str">
        <f>'假设-平台主推机制'!$D$41</f>
        <v>机制7</v>
      </c>
      <c r="C19" s="67">
        <v>41</v>
      </c>
      <c r="D19" s="67">
        <v>42</v>
      </c>
      <c r="E19" s="67">
        <v>42</v>
      </c>
      <c r="F19" s="166">
        <f>'假设-平台主推机制'!$M$41</f>
        <v>2.3361453601557398E-2</v>
      </c>
      <c r="G19" s="165">
        <f>'假设-平台主推机制'!$I$41</f>
        <v>122.83</v>
      </c>
      <c r="H19" s="165">
        <f>'假设-平台主推机制'!$L$42</f>
        <v>38</v>
      </c>
      <c r="I19" s="165">
        <v>0</v>
      </c>
    </row>
    <row r="20" spans="1:9">
      <c r="A20" s="67" t="str">
        <f>'假设-平台主推机制'!$C$28</f>
        <v>天猫淘宝平台</v>
      </c>
      <c r="B20" s="67" t="str">
        <f>'假设-平台主推机制'!$D$43</f>
        <v>机制8</v>
      </c>
      <c r="C20" s="67">
        <v>43</v>
      </c>
      <c r="D20" s="67">
        <v>44</v>
      </c>
      <c r="E20" s="67">
        <v>44</v>
      </c>
      <c r="F20" s="166">
        <f>'假设-平台主推机制'!$M$43</f>
        <v>1.2329656067488599E-2</v>
      </c>
      <c r="G20" s="165">
        <f>'假设-平台主推机制'!$I$43</f>
        <v>809</v>
      </c>
      <c r="H20" s="165">
        <f>'假设-平台主推机制'!$L$44</f>
        <v>315</v>
      </c>
      <c r="I20" s="165">
        <v>0</v>
      </c>
    </row>
    <row r="21" spans="1:9">
      <c r="A21" s="67" t="str">
        <f>'假设-平台主推机制'!$C$28</f>
        <v>天猫淘宝平台</v>
      </c>
      <c r="B21" s="67" t="str">
        <f>'假设-平台主推机制'!$D$45</f>
        <v>机制9</v>
      </c>
      <c r="C21" s="67">
        <v>45</v>
      </c>
      <c r="D21" s="67">
        <v>46</v>
      </c>
      <c r="E21" s="67">
        <v>46</v>
      </c>
      <c r="F21" s="166">
        <f>'假设-平台主推机制'!$M$45</f>
        <v>9.7339390006489293E-3</v>
      </c>
      <c r="G21" s="165">
        <f>'假设-平台主推机制'!$I$45</f>
        <v>1079</v>
      </c>
      <c r="H21" s="165">
        <f>'假设-平台主推机制'!$L$46</f>
        <v>420</v>
      </c>
      <c r="I21" s="165">
        <v>0</v>
      </c>
    </row>
    <row r="22" spans="1:9">
      <c r="A22" s="67" t="str">
        <f>'假设-平台主推机制'!$C$28</f>
        <v>天猫淘宝平台</v>
      </c>
      <c r="B22" s="67" t="str">
        <f>'假设-平台主推机制'!$D$47</f>
        <v>机制10</v>
      </c>
      <c r="C22" s="67">
        <v>47</v>
      </c>
      <c r="D22" s="67">
        <v>48</v>
      </c>
      <c r="E22" s="67">
        <v>48</v>
      </c>
      <c r="F22" s="166">
        <f>'假设-平台主推机制'!$M$47</f>
        <v>5.1914341336794304E-3</v>
      </c>
      <c r="G22" s="165">
        <f>'假设-平台主推机制'!$I$47</f>
        <v>1022</v>
      </c>
      <c r="H22" s="165">
        <f>'假设-平台主推机制'!$L$48</f>
        <v>304</v>
      </c>
      <c r="I22" s="165">
        <v>0</v>
      </c>
    </row>
    <row r="23" spans="1:9">
      <c r="A23" s="67" t="str">
        <f>'假设-平台主推机制'!$C$28</f>
        <v>天猫淘宝平台</v>
      </c>
      <c r="B23" s="67" t="str">
        <f>'假设-平台主推机制'!$D$49</f>
        <v>机制11</v>
      </c>
      <c r="C23" s="67">
        <v>49</v>
      </c>
      <c r="D23" s="67">
        <v>50</v>
      </c>
      <c r="E23" s="67">
        <v>50</v>
      </c>
      <c r="F23" s="166">
        <f>'假设-平台主推机制'!$M$49</f>
        <v>3.8935756002595702E-3</v>
      </c>
      <c r="G23" s="165">
        <f>'假设-平台主推机制'!$I$49</f>
        <v>1533</v>
      </c>
      <c r="H23" s="165">
        <f>'假设-平台主推机制'!$L$50</f>
        <v>456</v>
      </c>
      <c r="I23" s="165">
        <v>0</v>
      </c>
    </row>
    <row r="24" spans="1:9">
      <c r="A24" s="67" t="str">
        <f>'假设-平台主推机制'!$C$28</f>
        <v>天猫淘宝平台</v>
      </c>
      <c r="B24" s="67" t="str">
        <f>'假设-平台主推机制'!$D$51</f>
        <v>机制12</v>
      </c>
      <c r="C24" s="67">
        <v>51</v>
      </c>
      <c r="D24" s="67">
        <v>52</v>
      </c>
      <c r="E24" s="67">
        <v>52</v>
      </c>
      <c r="F24" s="166">
        <f>'假设-平台主推机制'!$M$51</f>
        <v>2.59571706683971E-3</v>
      </c>
      <c r="G24" s="165">
        <f>'假设-平台主推机制'!$I$51</f>
        <v>1629</v>
      </c>
      <c r="H24" s="165">
        <f>'假设-平台主推机制'!$L$52</f>
        <v>630</v>
      </c>
      <c r="I24" s="165">
        <v>0</v>
      </c>
    </row>
    <row r="25" spans="1:9">
      <c r="A25" s="67" t="str">
        <f>'假设-平台主推机制'!$C$28</f>
        <v>天猫淘宝平台</v>
      </c>
      <c r="B25" s="67" t="str">
        <f>'假设-平台主推机制'!$D$53</f>
        <v>机制13</v>
      </c>
      <c r="C25" s="67">
        <v>53</v>
      </c>
      <c r="D25" s="67">
        <v>54</v>
      </c>
      <c r="E25" s="67">
        <v>54</v>
      </c>
      <c r="F25" s="166">
        <f>'假设-平台主推机制'!$M$53</f>
        <v>1.29785853341986E-3</v>
      </c>
      <c r="G25" s="165">
        <f>'假设-平台主推机制'!$I$53</f>
        <v>1212.25</v>
      </c>
      <c r="H25" s="165">
        <f>'假设-平台主推机制'!$L$54</f>
        <v>380</v>
      </c>
      <c r="I25" s="165">
        <v>0</v>
      </c>
    </row>
    <row r="26" spans="1:9">
      <c r="A26" s="67" t="str">
        <f>'假设-平台主推机制'!$C$55</f>
        <v>达播</v>
      </c>
      <c r="B26" s="67" t="str">
        <f>'假设-平台主推机制'!$D$56</f>
        <v>机制1</v>
      </c>
      <c r="C26" s="67">
        <v>56</v>
      </c>
      <c r="D26" s="67">
        <v>57</v>
      </c>
      <c r="E26" s="67">
        <v>57</v>
      </c>
      <c r="F26" s="166">
        <f>'假设-平台主推机制'!$M$56</f>
        <v>0.4</v>
      </c>
      <c r="G26" s="165">
        <f>'假设-平台主推机制'!$I$56</f>
        <v>2461.0500000000002</v>
      </c>
      <c r="H26" s="165">
        <f>'假设-平台主推机制'!$L$57</f>
        <v>16</v>
      </c>
      <c r="I26" s="165">
        <v>0</v>
      </c>
    </row>
    <row r="27" spans="1:9">
      <c r="A27" s="67" t="str">
        <f>'假设-平台主推机制'!$C$55</f>
        <v>达播</v>
      </c>
      <c r="B27" s="67" t="str">
        <f>'假设-平台主推机制'!$D$58</f>
        <v>机制2</v>
      </c>
      <c r="C27" s="67">
        <v>58</v>
      </c>
      <c r="D27" s="67">
        <v>59</v>
      </c>
      <c r="E27" s="67">
        <v>59</v>
      </c>
      <c r="F27" s="166">
        <f>'假设-平台主推机制'!$M$58</f>
        <v>0.233333333333333</v>
      </c>
      <c r="G27" s="165">
        <f>'假设-平台主推机制'!$I$58</f>
        <v>1169</v>
      </c>
      <c r="H27" s="165">
        <f>'假设-平台主推机制'!$L$59</f>
        <v>630</v>
      </c>
      <c r="I27" s="165">
        <v>0</v>
      </c>
    </row>
    <row r="28" spans="1:9">
      <c r="A28" s="67" t="str">
        <f>'假设-平台主推机制'!$C$55</f>
        <v>达播</v>
      </c>
      <c r="B28" s="67" t="str">
        <f>'假设-平台主推机制'!$D$60</f>
        <v>机制3</v>
      </c>
      <c r="C28" s="67">
        <v>60</v>
      </c>
      <c r="D28" s="67">
        <v>61</v>
      </c>
      <c r="E28" s="67">
        <v>61</v>
      </c>
      <c r="F28" s="166">
        <f>'假设-平台主推机制'!$M$60</f>
        <v>0.133333333333333</v>
      </c>
      <c r="G28" s="165">
        <f>'假设-平台主推机制'!$I$60</f>
        <v>412.63</v>
      </c>
      <c r="H28" s="165">
        <f>'假设-平台主推机制'!$L$61</f>
        <v>210</v>
      </c>
      <c r="I28" s="165">
        <v>0</v>
      </c>
    </row>
    <row r="29" spans="1:9">
      <c r="A29" s="67" t="str">
        <f>'假设-平台主推机制'!$C$55</f>
        <v>达播</v>
      </c>
      <c r="B29" s="67" t="str">
        <f>'假设-平台主推机制'!$D$62</f>
        <v>机制4</v>
      </c>
      <c r="C29" s="67">
        <v>62</v>
      </c>
      <c r="D29" s="67">
        <v>63</v>
      </c>
      <c r="E29" s="67">
        <v>63</v>
      </c>
      <c r="F29" s="166">
        <f>'假设-平台主推机制'!$M$62</f>
        <v>8.8888888888888906E-2</v>
      </c>
      <c r="G29" s="165">
        <f>'假设-平台主推机制'!$I$62</f>
        <v>39.799999999999997</v>
      </c>
      <c r="H29" s="165">
        <f>'假设-平台主推机制'!$L$63</f>
        <v>14.28</v>
      </c>
      <c r="I29" s="165">
        <v>0</v>
      </c>
    </row>
    <row r="30" spans="1:9">
      <c r="A30" s="67" t="str">
        <f>'假设-平台主推机制'!$C$55</f>
        <v>达播</v>
      </c>
      <c r="B30" s="67" t="str">
        <f>'假设-平台主推机制'!$D$64</f>
        <v>机制5</v>
      </c>
      <c r="C30" s="67">
        <v>64</v>
      </c>
      <c r="D30" s="67">
        <v>65</v>
      </c>
      <c r="E30" s="67">
        <v>65</v>
      </c>
      <c r="F30" s="166">
        <f>'假设-平台主推机制'!$M$64</f>
        <v>3.3333333333333298E-2</v>
      </c>
      <c r="G30" s="165">
        <f>'假设-平台主推机制'!$I$64</f>
        <v>388</v>
      </c>
      <c r="H30" s="165">
        <f>'假设-平台主推机制'!$L$65</f>
        <v>152</v>
      </c>
      <c r="I30" s="165">
        <v>0</v>
      </c>
    </row>
    <row r="31" spans="1:9">
      <c r="A31" s="67" t="str">
        <f>'假设-平台主推机制'!$C$55</f>
        <v>达播</v>
      </c>
      <c r="B31" s="67" t="str">
        <f>'假设-平台主推机制'!$D$66</f>
        <v>机制6</v>
      </c>
      <c r="C31" s="67">
        <v>66</v>
      </c>
      <c r="D31" s="67">
        <v>67</v>
      </c>
      <c r="E31" s="67">
        <v>67</v>
      </c>
      <c r="F31" s="166">
        <f>'假设-平台主推机制'!$M$66</f>
        <v>3.3333333333333298E-2</v>
      </c>
      <c r="G31" s="165">
        <f>'假设-平台主推机制'!$I$66</f>
        <v>1159</v>
      </c>
      <c r="H31" s="165">
        <f>'假设-平台主推机制'!$L$67</f>
        <v>456</v>
      </c>
      <c r="I31" s="165">
        <v>0</v>
      </c>
    </row>
    <row r="32" spans="1:9">
      <c r="A32" s="67" t="str">
        <f>'假设-平台主推机制'!$C$55</f>
        <v>达播</v>
      </c>
      <c r="B32" s="67" t="str">
        <f>'假设-平台主推机制'!$D$68</f>
        <v>机制7</v>
      </c>
      <c r="C32" s="67">
        <v>68</v>
      </c>
      <c r="D32" s="67">
        <v>69</v>
      </c>
      <c r="E32" s="67">
        <v>69</v>
      </c>
      <c r="F32" s="166">
        <f>'假设-平台主推机制'!$M$68</f>
        <v>3.3333333333333298E-2</v>
      </c>
      <c r="G32" s="165">
        <f>'假设-平台主推机制'!$I$68</f>
        <v>272</v>
      </c>
      <c r="H32" s="165">
        <f>'假设-平台主推机制'!$L$69</f>
        <v>76</v>
      </c>
      <c r="I32" s="165">
        <v>0</v>
      </c>
    </row>
    <row r="33" spans="1:9">
      <c r="A33" s="67" t="str">
        <f>'假设-平台主推机制'!$C$55</f>
        <v>达播</v>
      </c>
      <c r="B33" s="67" t="str">
        <f>'假设-平台主推机制'!$D$70</f>
        <v>机制8</v>
      </c>
      <c r="C33" s="67">
        <v>70</v>
      </c>
      <c r="D33" s="67">
        <v>71</v>
      </c>
      <c r="E33" s="67">
        <v>71</v>
      </c>
      <c r="F33" s="166">
        <f>'假设-平台主推机制'!$M$70</f>
        <v>2.2222222222222199E-2</v>
      </c>
      <c r="G33" s="165">
        <f>'假设-平台主推机制'!$I$70</f>
        <v>378</v>
      </c>
      <c r="H33" s="165">
        <f>'假设-平台主推机制'!$L$71</f>
        <v>114</v>
      </c>
      <c r="I33" s="165">
        <v>0</v>
      </c>
    </row>
    <row r="34" spans="1:9">
      <c r="A34" s="67" t="str">
        <f>'假设-平台主推机制'!$C$55</f>
        <v>达播</v>
      </c>
      <c r="B34" s="67" t="str">
        <f>'假设-平台主推机制'!$D$72</f>
        <v>机制9</v>
      </c>
      <c r="C34" s="67">
        <v>72</v>
      </c>
      <c r="D34" s="67">
        <v>73</v>
      </c>
      <c r="E34" s="67">
        <v>73</v>
      </c>
      <c r="F34" s="166">
        <f>'假设-平台主推机制'!$M$72</f>
        <v>1.1111111111111099E-2</v>
      </c>
      <c r="G34" s="165">
        <f>'假设-平台主推机制'!$I$72</f>
        <v>2598</v>
      </c>
      <c r="H34" s="165">
        <f>'假设-平台主推机制'!$L$73</f>
        <v>1260</v>
      </c>
      <c r="I34" s="165">
        <v>0</v>
      </c>
    </row>
    <row r="35" spans="1:9">
      <c r="A35" s="67" t="str">
        <f>'假设-平台主推机制'!$C$55</f>
        <v>达播</v>
      </c>
      <c r="B35" s="67" t="str">
        <f>'假设-平台主推机制'!$D$74</f>
        <v>机制10</v>
      </c>
      <c r="C35" s="67">
        <v>74</v>
      </c>
      <c r="D35" s="67">
        <v>75</v>
      </c>
      <c r="E35" s="67">
        <v>75</v>
      </c>
      <c r="F35" s="166">
        <f>'假设-平台主推机制'!$M$74</f>
        <v>1.1111111111111099E-2</v>
      </c>
      <c r="G35" s="165">
        <f>'假设-平台主推机制'!$I$74</f>
        <v>2461.0500000000002</v>
      </c>
      <c r="H35" s="165">
        <f>'假设-平台主推机制'!$L$75</f>
        <v>32</v>
      </c>
      <c r="I35" s="165">
        <v>0</v>
      </c>
    </row>
    <row r="36" spans="1:9">
      <c r="A36" s="67" t="str">
        <f>'假设-平台主推机制'!$C$76</f>
        <v>拼多多平台</v>
      </c>
      <c r="B36" s="67" t="str">
        <f>'假设-平台主推机制'!$D$77</f>
        <v>机制1</v>
      </c>
      <c r="C36" s="67">
        <v>77</v>
      </c>
      <c r="D36" s="67">
        <v>78</v>
      </c>
      <c r="E36" s="67">
        <v>78</v>
      </c>
      <c r="F36" s="166">
        <f>'假设-平台主推机制'!$M$77</f>
        <v>0.69230769230769196</v>
      </c>
      <c r="G36" s="165">
        <f>'假设-平台主推机制'!$I$77</f>
        <v>288</v>
      </c>
      <c r="H36" s="165">
        <f>'假设-平台主推机制'!$L$78</f>
        <v>105</v>
      </c>
      <c r="I36" s="165">
        <v>0</v>
      </c>
    </row>
    <row r="37" spans="1:9">
      <c r="A37" s="67" t="str">
        <f>'假设-平台主推机制'!$C$76</f>
        <v>拼多多平台</v>
      </c>
      <c r="B37" s="67" t="str">
        <f>'假设-平台主推机制'!$D$79</f>
        <v>机制2</v>
      </c>
      <c r="C37" s="67">
        <v>79</v>
      </c>
      <c r="D37" s="67">
        <v>80</v>
      </c>
      <c r="E37" s="67">
        <v>80</v>
      </c>
      <c r="F37" s="166">
        <f>'假设-平台主推机制'!$M$79</f>
        <v>0.15384615384615399</v>
      </c>
      <c r="G37" s="165">
        <f>'假设-平台主推机制'!$I$79</f>
        <v>252</v>
      </c>
      <c r="H37" s="165">
        <f>'假设-平台主推机制'!$L$80</f>
        <v>76</v>
      </c>
      <c r="I37" s="165">
        <v>0</v>
      </c>
    </row>
    <row r="38" spans="1:9">
      <c r="A38" s="67" t="str">
        <f>'假设-平台主推机制'!$C$76</f>
        <v>拼多多平台</v>
      </c>
      <c r="B38" s="67" t="str">
        <f>'假设-平台主推机制'!$D$81</f>
        <v>机制3</v>
      </c>
      <c r="C38" s="67">
        <v>81</v>
      </c>
      <c r="D38" s="67">
        <v>82</v>
      </c>
      <c r="E38" s="67">
        <v>82</v>
      </c>
      <c r="F38" s="166">
        <f>'假设-平台主推机制'!$M$81</f>
        <v>7.69230769230769E-2</v>
      </c>
      <c r="G38" s="165">
        <f>'假设-平台主推机制'!$I$81</f>
        <v>158</v>
      </c>
      <c r="H38" s="165">
        <f>'假设-平台主推机制'!$L$82</f>
        <v>38</v>
      </c>
      <c r="I38" s="165">
        <v>0</v>
      </c>
    </row>
    <row r="39" spans="1:9">
      <c r="A39" s="67" t="str">
        <f>'假设-平台主推机制'!$C$76</f>
        <v>拼多多平台</v>
      </c>
      <c r="B39" s="67" t="str">
        <f>'假设-平台主推机制'!$D$83</f>
        <v>机制4</v>
      </c>
      <c r="C39" s="67">
        <v>83</v>
      </c>
      <c r="D39" s="67">
        <v>84</v>
      </c>
      <c r="E39" s="67">
        <v>84</v>
      </c>
      <c r="F39" s="166">
        <f>'假设-平台主推机制'!$M$83</f>
        <v>7.69230769230769E-2</v>
      </c>
      <c r="G39" s="165">
        <f>'假设-平台主推机制'!$I$83</f>
        <v>504</v>
      </c>
      <c r="H39" s="165">
        <f>'假设-平台主推机制'!$L$84</f>
        <v>152</v>
      </c>
      <c r="I39" s="165">
        <v>0</v>
      </c>
    </row>
    <row r="40" spans="1:9">
      <c r="A40" s="67" t="str">
        <f>'假设-平台主推机制'!$C$85</f>
        <v>京东自营</v>
      </c>
      <c r="B40" s="67" t="str">
        <f>'假设-平台主推机制'!$D$86</f>
        <v>机制1</v>
      </c>
      <c r="C40" s="67">
        <v>86</v>
      </c>
      <c r="D40" s="67">
        <v>87</v>
      </c>
      <c r="E40" s="67">
        <v>87</v>
      </c>
      <c r="F40" s="166">
        <f>'假设-平台主推机制'!$M$86</f>
        <v>0.23109243697479001</v>
      </c>
      <c r="G40" s="165">
        <f>'假设-平台主推机制'!$I$86</f>
        <v>2856</v>
      </c>
      <c r="H40" s="165">
        <f>'假设-平台主推机制'!$L$87</f>
        <v>912</v>
      </c>
      <c r="I40" s="165">
        <v>0</v>
      </c>
    </row>
    <row r="41" spans="1:9">
      <c r="A41" s="67" t="str">
        <f>'假设-平台主推机制'!$C$85</f>
        <v>京东自营</v>
      </c>
      <c r="B41" s="67" t="str">
        <f>'假设-平台主推机制'!$D$88</f>
        <v>机制2</v>
      </c>
      <c r="C41" s="67">
        <v>88</v>
      </c>
      <c r="D41" s="67">
        <v>89</v>
      </c>
      <c r="E41" s="67">
        <v>89</v>
      </c>
      <c r="F41" s="166">
        <f>'假设-平台主推机制'!$M$88</f>
        <v>0.14915966386554599</v>
      </c>
      <c r="G41" s="165">
        <f>'假设-平台主推机制'!$I$88</f>
        <v>1374</v>
      </c>
      <c r="H41" s="165">
        <f>'假设-平台主推机制'!$L$89</f>
        <v>630</v>
      </c>
      <c r="I41" s="165">
        <v>0</v>
      </c>
    </row>
    <row r="42" spans="1:9">
      <c r="A42" s="67" t="str">
        <f>'假设-平台主推机制'!$C$85</f>
        <v>京东自营</v>
      </c>
      <c r="B42" s="67" t="str">
        <f>'假设-平台主推机制'!$D$90</f>
        <v>机制3</v>
      </c>
      <c r="C42" s="67">
        <v>90</v>
      </c>
      <c r="D42" s="67">
        <v>91</v>
      </c>
      <c r="E42" s="67">
        <v>91</v>
      </c>
      <c r="F42" s="166">
        <f>'假设-平台主推机制'!$M$90</f>
        <v>9.4537815126050403E-2</v>
      </c>
      <c r="G42" s="165">
        <f>'假设-平台主推机制'!$I$90</f>
        <v>4122</v>
      </c>
      <c r="H42" s="165">
        <f>'假设-平台主推机制'!$L$91</f>
        <v>1890</v>
      </c>
      <c r="I42" s="165">
        <v>0</v>
      </c>
    </row>
    <row r="43" spans="1:9">
      <c r="A43" s="67" t="str">
        <f>'假设-平台主推机制'!$C$85</f>
        <v>京东自营</v>
      </c>
      <c r="B43" s="67" t="str">
        <f>'假设-平台主推机制'!$D$92</f>
        <v>机制4</v>
      </c>
      <c r="C43" s="67">
        <v>92</v>
      </c>
      <c r="D43" s="67">
        <v>93</v>
      </c>
      <c r="E43" s="67">
        <v>93</v>
      </c>
      <c r="F43" s="166">
        <f>'假设-平台主推机制'!$M$92</f>
        <v>8.6134453781512604E-2</v>
      </c>
      <c r="G43" s="165">
        <f>'假设-平台主推机制'!$I$92</f>
        <v>2748</v>
      </c>
      <c r="H43" s="165">
        <f>'假设-平台主推机制'!$L$93</f>
        <v>1260</v>
      </c>
      <c r="I43" s="165">
        <v>0</v>
      </c>
    </row>
    <row r="44" spans="1:9">
      <c r="A44" s="67" t="str">
        <f>'假设-平台主推机制'!$C$85</f>
        <v>京东自营</v>
      </c>
      <c r="B44" s="67" t="str">
        <f>'假设-平台主推机制'!$D$94</f>
        <v>机制5</v>
      </c>
      <c r="C44" s="67">
        <v>94</v>
      </c>
      <c r="D44" s="67">
        <v>95</v>
      </c>
      <c r="E44" s="67">
        <v>95</v>
      </c>
      <c r="F44" s="166">
        <f>'假设-平台主推机制'!$M$94</f>
        <v>7.1428571428571397E-2</v>
      </c>
      <c r="G44" s="165">
        <f>'假设-平台主推机制'!$I$94</f>
        <v>5496</v>
      </c>
      <c r="H44" s="165">
        <f>'假设-平台主推机制'!$L$95</f>
        <v>2520</v>
      </c>
      <c r="I44" s="165">
        <v>0</v>
      </c>
    </row>
    <row r="45" spans="1:9">
      <c r="A45" s="67" t="str">
        <f>'假设-平台主推机制'!$C$85</f>
        <v>京东自营</v>
      </c>
      <c r="B45" s="67" t="str">
        <f>'假设-平台主推机制'!$D$96</f>
        <v>机制6</v>
      </c>
      <c r="C45" s="67">
        <v>96</v>
      </c>
      <c r="D45" s="67">
        <v>97</v>
      </c>
      <c r="E45" s="67">
        <v>97</v>
      </c>
      <c r="F45" s="166">
        <f>'假设-平台主推机制'!$M$96</f>
        <v>4.6218487394957999E-2</v>
      </c>
      <c r="G45" s="165">
        <f>'假设-平台主推机制'!$I$96</f>
        <v>5712</v>
      </c>
      <c r="H45" s="165">
        <f>'假设-平台主推机制'!$L$97</f>
        <v>1824</v>
      </c>
      <c r="I45" s="165">
        <v>0</v>
      </c>
    </row>
    <row r="46" spans="1:9">
      <c r="A46" s="67" t="str">
        <f>'假设-平台主推机制'!$C$85</f>
        <v>京东自营</v>
      </c>
      <c r="B46" s="67" t="str">
        <f>'假设-平台主推机制'!$D$98</f>
        <v>机制7</v>
      </c>
      <c r="C46" s="67">
        <v>98</v>
      </c>
      <c r="D46" s="67">
        <v>99</v>
      </c>
      <c r="E46" s="67">
        <v>99</v>
      </c>
      <c r="F46" s="166">
        <f>'假设-平台主推机制'!$M$98</f>
        <v>1.89075630252101E-2</v>
      </c>
      <c r="G46" s="165">
        <f>'假设-平台主推机制'!$I$98</f>
        <v>8568</v>
      </c>
      <c r="H46" s="165">
        <f>'假设-平台主推机制'!$L$99</f>
        <v>2736</v>
      </c>
      <c r="I46" s="165">
        <v>0</v>
      </c>
    </row>
    <row r="47" spans="1:9">
      <c r="A47" s="67" t="str">
        <f>'假设-平台主推机制'!$C$85</f>
        <v>京东自营</v>
      </c>
      <c r="B47" s="67" t="str">
        <f>'假设-平台主推机制'!$D$100</f>
        <v>机制8</v>
      </c>
      <c r="C47" s="67">
        <v>100</v>
      </c>
      <c r="D47" s="67">
        <v>101</v>
      </c>
      <c r="E47" s="67">
        <v>101</v>
      </c>
      <c r="F47" s="166">
        <f>'假设-平台主推机制'!$M$100</f>
        <v>1.6806722689075598E-2</v>
      </c>
      <c r="G47" s="165">
        <f>'假设-平台主推机制'!$I$100</f>
        <v>11424</v>
      </c>
      <c r="H47" s="165">
        <f>'假设-平台主推机制'!$L$101</f>
        <v>3648</v>
      </c>
      <c r="I47" s="165">
        <v>0</v>
      </c>
    </row>
    <row r="48" spans="1:9">
      <c r="A48" s="67" t="str">
        <f>'假设-平台主推机制'!$C$85</f>
        <v>京东自营</v>
      </c>
      <c r="B48" s="67" t="str">
        <f>'假设-平台主推机制'!$D$102</f>
        <v>机制9</v>
      </c>
      <c r="C48" s="67">
        <v>102</v>
      </c>
      <c r="D48" s="67">
        <v>103</v>
      </c>
      <c r="E48" s="67">
        <v>103</v>
      </c>
      <c r="F48" s="166">
        <f>'假设-平台主推机制'!$M$102</f>
        <v>1.6806722689075598E-2</v>
      </c>
      <c r="G48" s="165">
        <f>'假设-平台主推机制'!$I$102</f>
        <v>6870</v>
      </c>
      <c r="H48" s="165">
        <f>'假设-平台主推机制'!$L$103</f>
        <v>3150</v>
      </c>
      <c r="I48" s="165">
        <v>0</v>
      </c>
    </row>
    <row r="49" spans="1:9">
      <c r="A49" s="67" t="str">
        <f>'假设-平台主推机制'!$C$85</f>
        <v>京东自营</v>
      </c>
      <c r="B49" s="67" t="str">
        <f>'假设-平台主推机制'!$D$104</f>
        <v>机制10</v>
      </c>
      <c r="C49" s="67">
        <v>104</v>
      </c>
      <c r="D49" s="67">
        <v>105</v>
      </c>
      <c r="E49" s="67">
        <v>105</v>
      </c>
      <c r="F49" s="166">
        <f>'假设-平台主推机制'!$M$104</f>
        <v>1.4705882352941201E-2</v>
      </c>
      <c r="G49" s="165">
        <f>'假设-平台主推机制'!$I$104</f>
        <v>10992</v>
      </c>
      <c r="H49" s="165">
        <f>'假设-平台主推机制'!$L$105</f>
        <v>5040</v>
      </c>
      <c r="I49" s="165">
        <v>0</v>
      </c>
    </row>
    <row r="50" spans="1:9">
      <c r="A50" s="67" t="str">
        <f>'假设-平台主推机制'!$C$85</f>
        <v>京东自营</v>
      </c>
      <c r="B50" s="67" t="str">
        <f>'假设-平台主推机制'!$D$106</f>
        <v>机制11</v>
      </c>
      <c r="C50" s="67">
        <v>106</v>
      </c>
      <c r="D50" s="67">
        <v>107</v>
      </c>
      <c r="E50" s="67">
        <v>107</v>
      </c>
      <c r="F50" s="166">
        <f>'假设-平台主推机制'!$M$106</f>
        <v>1.4705882352941201E-2</v>
      </c>
      <c r="G50" s="165">
        <f>'假设-平台主推机制'!$I$106</f>
        <v>8244</v>
      </c>
      <c r="H50" s="165">
        <f>'假设-平台主推机制'!$L$107</f>
        <v>3780</v>
      </c>
      <c r="I50" s="165">
        <v>0</v>
      </c>
    </row>
    <row r="51" spans="1:9">
      <c r="A51" s="67" t="str">
        <f>'假设-平台主推机制'!$C$85</f>
        <v>京东自营</v>
      </c>
      <c r="B51" s="67" t="str">
        <f>'假设-平台主推机制'!$D$108</f>
        <v>机制12</v>
      </c>
      <c r="C51" s="67">
        <v>108</v>
      </c>
      <c r="D51" s="67">
        <v>109</v>
      </c>
      <c r="E51" s="67">
        <v>109</v>
      </c>
      <c r="F51" s="166">
        <f>'假设-平台主推机制'!$M$108</f>
        <v>1.26050420168067E-2</v>
      </c>
      <c r="G51" s="165">
        <f>'假设-平台主推机制'!$I$108</f>
        <v>14280</v>
      </c>
      <c r="H51" s="165">
        <f>'假设-平台主推机制'!$L$109</f>
        <v>4560</v>
      </c>
      <c r="I51" s="165">
        <v>0</v>
      </c>
    </row>
    <row r="52" spans="1:9">
      <c r="A52" s="67" t="str">
        <f>'假设-平台主推机制'!$C$85</f>
        <v>京东自营</v>
      </c>
      <c r="B52" s="67" t="str">
        <f>'假设-平台主推机制'!$D$110</f>
        <v>机制13</v>
      </c>
      <c r="C52" s="67">
        <v>110</v>
      </c>
      <c r="D52" s="67">
        <v>111</v>
      </c>
      <c r="E52" s="67">
        <v>111</v>
      </c>
      <c r="F52" s="166">
        <f>'假设-平台主推机制'!$M$110</f>
        <v>1.26050420168067E-2</v>
      </c>
      <c r="G52" s="165">
        <f>'假设-平台主推机制'!$I$110</f>
        <v>20610</v>
      </c>
      <c r="H52" s="165">
        <f>'假设-平台主推机制'!$L$111</f>
        <v>9450</v>
      </c>
      <c r="I52" s="165">
        <v>0</v>
      </c>
    </row>
    <row r="53" spans="1:9">
      <c r="A53" s="67" t="str">
        <f>'假设-平台主推机制'!$C$85</f>
        <v>京东自营</v>
      </c>
      <c r="B53" s="67" t="str">
        <f>'假设-平台主推机制'!$D$112</f>
        <v>机制14</v>
      </c>
      <c r="C53" s="67">
        <v>112</v>
      </c>
      <c r="D53" s="67">
        <v>113</v>
      </c>
      <c r="E53" s="67">
        <v>113</v>
      </c>
      <c r="F53" s="166">
        <f>'假设-平台主推机制'!$M$112</f>
        <v>1.0504201680672299E-2</v>
      </c>
      <c r="G53" s="165">
        <f>'假设-平台主推机制'!$I$112</f>
        <v>27480</v>
      </c>
      <c r="H53" s="165">
        <f>'假设-平台主推机制'!$L$113</f>
        <v>12600</v>
      </c>
      <c r="I53" s="165">
        <v>0</v>
      </c>
    </row>
    <row r="54" spans="1:9">
      <c r="A54" s="67" t="str">
        <f>'假设-平台主推机制'!$C$85</f>
        <v>京东自营</v>
      </c>
      <c r="B54" s="67" t="str">
        <f>'假设-平台主推机制'!$D$114</f>
        <v>机制15</v>
      </c>
      <c r="C54" s="67">
        <v>114</v>
      </c>
      <c r="D54" s="67">
        <v>115</v>
      </c>
      <c r="E54" s="67">
        <v>115</v>
      </c>
      <c r="F54" s="166">
        <f>'假设-平台主推机制'!$M$114</f>
        <v>1.0504201680672299E-2</v>
      </c>
      <c r="G54" s="165">
        <f>'假设-平台主推机制'!$I$114</f>
        <v>19992</v>
      </c>
      <c r="H54" s="165">
        <f>'假设-平台主推机制'!$L$115</f>
        <v>6384</v>
      </c>
      <c r="I54" s="165">
        <v>0</v>
      </c>
    </row>
    <row r="55" spans="1:9">
      <c r="A55" s="67" t="str">
        <f>'假设-平台主推机制'!$C$85</f>
        <v>京东自营</v>
      </c>
      <c r="B55" s="67" t="str">
        <f>'假设-平台主推机制'!$D$116</f>
        <v>机制16</v>
      </c>
      <c r="C55" s="67">
        <v>116</v>
      </c>
      <c r="D55" s="67">
        <v>117</v>
      </c>
      <c r="E55" s="67">
        <v>117</v>
      </c>
      <c r="F55" s="166">
        <f>'假设-平台主推机制'!$M$116</f>
        <v>8.40336134453782E-3</v>
      </c>
      <c r="G55" s="165">
        <f>'假设-平台主推机制'!$I$116</f>
        <v>16488</v>
      </c>
      <c r="H55" s="165">
        <f>'假设-平台主推机制'!$L$117</f>
        <v>7560</v>
      </c>
      <c r="I55" s="165">
        <v>0</v>
      </c>
    </row>
    <row r="56" spans="1:9">
      <c r="A56" s="67" t="str">
        <f>'假设-平台主推机制'!$C$85</f>
        <v>京东自营</v>
      </c>
      <c r="B56" s="67" t="str">
        <f>'假设-平台主推机制'!$D$118</f>
        <v>机制17</v>
      </c>
      <c r="C56" s="67">
        <v>118</v>
      </c>
      <c r="D56" s="67">
        <v>119</v>
      </c>
      <c r="E56" s="67">
        <v>119</v>
      </c>
      <c r="F56" s="166">
        <f>'假设-平台主推机制'!$M$118</f>
        <v>8.40336134453782E-3</v>
      </c>
      <c r="G56" s="165">
        <f>'假设-平台主推机制'!$I$118</f>
        <v>30228</v>
      </c>
      <c r="H56" s="165">
        <f>'假设-平台主推机制'!$L$119</f>
        <v>13860</v>
      </c>
      <c r="I56" s="165">
        <v>0</v>
      </c>
    </row>
    <row r="57" spans="1:9">
      <c r="A57" s="67" t="str">
        <f>'假设-平台主推机制'!$C$85</f>
        <v>京东自营</v>
      </c>
      <c r="B57" s="67" t="str">
        <f>'假设-平台主推机制'!$D$120</f>
        <v>机制18</v>
      </c>
      <c r="C57" s="67">
        <v>120</v>
      </c>
      <c r="D57" s="67">
        <v>121</v>
      </c>
      <c r="E57" s="67">
        <v>121</v>
      </c>
      <c r="F57" s="166">
        <f>'假设-平台主推机制'!$M$120</f>
        <v>8.40336134453782E-3</v>
      </c>
      <c r="G57" s="165">
        <f>'假设-平台主推机制'!$I$120</f>
        <v>17136</v>
      </c>
      <c r="H57" s="165">
        <f>'假设-平台主推机制'!$L$121</f>
        <v>5472</v>
      </c>
      <c r="I57" s="165">
        <v>0</v>
      </c>
    </row>
    <row r="58" spans="1:9">
      <c r="A58" s="67" t="str">
        <f>'假设-平台主推机制'!$C$85</f>
        <v>京东自营</v>
      </c>
      <c r="B58" s="67" t="str">
        <f>'假设-平台主推机制'!$D$122</f>
        <v>机制19</v>
      </c>
      <c r="C58" s="67">
        <v>122</v>
      </c>
      <c r="D58" s="67">
        <v>123</v>
      </c>
      <c r="E58" s="67">
        <v>123</v>
      </c>
      <c r="F58" s="166">
        <f>'假设-平台主推机制'!$M$122</f>
        <v>8.40336134453782E-3</v>
      </c>
      <c r="G58" s="165">
        <f>'假设-平台主推机制'!$I$122</f>
        <v>9618</v>
      </c>
      <c r="H58" s="165">
        <f>'假设-平台主推机制'!$L$123</f>
        <v>4410</v>
      </c>
      <c r="I58" s="165">
        <v>0</v>
      </c>
    </row>
    <row r="59" spans="1:9">
      <c r="A59" s="67" t="str">
        <f>'假设-平台主推机制'!$C$85</f>
        <v>京东自营</v>
      </c>
      <c r="B59" s="67" t="str">
        <f>'假设-平台主推机制'!$D$124</f>
        <v>机制20</v>
      </c>
      <c r="C59" s="67">
        <v>124</v>
      </c>
      <c r="D59" s="67">
        <v>125</v>
      </c>
      <c r="E59" s="67">
        <v>125</v>
      </c>
      <c r="F59" s="166">
        <f>'假设-平台主推机制'!$M$124</f>
        <v>8.40336134453782E-3</v>
      </c>
      <c r="G59" s="165">
        <f>'假设-平台主推机制'!$I$124</f>
        <v>22848</v>
      </c>
      <c r="H59" s="165">
        <f>'假设-平台主推机制'!$L$125</f>
        <v>7296</v>
      </c>
      <c r="I59" s="165">
        <v>0</v>
      </c>
    </row>
    <row r="60" spans="1:9">
      <c r="A60" s="67" t="str">
        <f>'假设-平台主推机制'!$C$85</f>
        <v>京东自营</v>
      </c>
      <c r="B60" s="67" t="str">
        <f>'假设-平台主推机制'!$D$126</f>
        <v>机制21</v>
      </c>
      <c r="C60" s="67">
        <v>126</v>
      </c>
      <c r="D60" s="67">
        <v>127</v>
      </c>
      <c r="E60" s="67">
        <v>127</v>
      </c>
      <c r="F60" s="166">
        <f>'假设-平台主推机制'!$M$126</f>
        <v>8.40336134453782E-3</v>
      </c>
      <c r="G60" s="165">
        <f>'假设-平台主推机制'!$I$126</f>
        <v>98948.4</v>
      </c>
      <c r="H60" s="165">
        <f>'假设-平台主推机制'!$L$127</f>
        <v>6840</v>
      </c>
      <c r="I60" s="165">
        <v>0</v>
      </c>
    </row>
    <row r="61" spans="1:9">
      <c r="A61" s="67" t="str">
        <f>'假设-平台主推机制'!$C$85</f>
        <v>京东自营</v>
      </c>
      <c r="B61" s="67" t="str">
        <f>'假设-平台主推机制'!$D$128</f>
        <v>机制22</v>
      </c>
      <c r="C61" s="67">
        <v>128</v>
      </c>
      <c r="D61" s="67">
        <v>129</v>
      </c>
      <c r="E61" s="67">
        <v>129</v>
      </c>
      <c r="F61" s="166">
        <f>'假设-平台主推机制'!$M$128</f>
        <v>8.40336134453782E-3</v>
      </c>
      <c r="G61" s="165">
        <f>'假设-平台主推机制'!$I$128</f>
        <v>17862</v>
      </c>
      <c r="H61" s="165">
        <f>'假设-平台主推机制'!$L$129</f>
        <v>8190</v>
      </c>
      <c r="I61" s="165">
        <v>0</v>
      </c>
    </row>
    <row r="62" spans="1:9">
      <c r="A62" s="67" t="str">
        <f>'假设-平台主推机制'!$C$85</f>
        <v>京东自营</v>
      </c>
      <c r="B62" s="67" t="str">
        <f>'假设-平台主推机制'!$D$130</f>
        <v>机制23</v>
      </c>
      <c r="C62" s="67">
        <v>130</v>
      </c>
      <c r="D62" s="67">
        <v>131</v>
      </c>
      <c r="E62" s="67">
        <v>131</v>
      </c>
      <c r="F62" s="166">
        <f>'假设-平台主推机制'!$M$130</f>
        <v>6.3025210084033598E-3</v>
      </c>
      <c r="G62" s="165">
        <f>'假设-平台主推机制'!$I$130</f>
        <v>23358</v>
      </c>
      <c r="H62" s="165">
        <f>'假设-平台主推机制'!$L$131</f>
        <v>10710</v>
      </c>
      <c r="I62" s="165">
        <v>0</v>
      </c>
    </row>
    <row r="63" spans="1:9">
      <c r="A63" s="67" t="str">
        <f>'假设-平台主推机制'!$C$85</f>
        <v>京东自营</v>
      </c>
      <c r="B63" s="67" t="str">
        <f>'假设-平台主推机制'!$D$132</f>
        <v>机制24</v>
      </c>
      <c r="C63" s="67">
        <v>132</v>
      </c>
      <c r="D63" s="67">
        <v>133</v>
      </c>
      <c r="E63" s="67">
        <v>133</v>
      </c>
      <c r="F63" s="166">
        <f>'假设-平台主推机制'!$M$132</f>
        <v>6.3025210084033598E-3</v>
      </c>
      <c r="G63" s="165">
        <f>'假设-平台主推机制'!$I$132</f>
        <v>1428</v>
      </c>
      <c r="H63" s="165">
        <f>'假设-平台主推机制'!$L$133</f>
        <v>456</v>
      </c>
      <c r="I63" s="165">
        <v>0</v>
      </c>
    </row>
    <row r="64" spans="1:9">
      <c r="A64" s="67" t="str">
        <f>'假设-平台主推机制'!$C$85</f>
        <v>京东自营</v>
      </c>
      <c r="B64" s="67" t="str">
        <f>'假设-平台主推机制'!$D$134</f>
        <v>机制25</v>
      </c>
      <c r="C64" s="67">
        <v>134</v>
      </c>
      <c r="D64" s="67">
        <v>135</v>
      </c>
      <c r="E64" s="67">
        <v>135</v>
      </c>
      <c r="F64" s="166">
        <f>'假设-平台主推机制'!$M$134</f>
        <v>6.3025210084033598E-3</v>
      </c>
      <c r="G64" s="165">
        <f>'假设-平台主推机制'!$I$134</f>
        <v>25704</v>
      </c>
      <c r="H64" s="165">
        <f>'假设-平台主推机制'!$L$135</f>
        <v>8208</v>
      </c>
      <c r="I64" s="165">
        <v>0</v>
      </c>
    </row>
    <row r="65" spans="1:9">
      <c r="A65" s="67" t="str">
        <f>'假设-平台主推机制'!$C$85</f>
        <v>京东自营</v>
      </c>
      <c r="B65" s="67" t="str">
        <f>'假设-平台主推机制'!$D$136</f>
        <v>机制26</v>
      </c>
      <c r="C65" s="67">
        <v>136</v>
      </c>
      <c r="D65" s="67">
        <v>137</v>
      </c>
      <c r="E65" s="67">
        <v>137</v>
      </c>
      <c r="F65" s="166">
        <f>'假设-平台主推机制'!$M$136</f>
        <v>6.3025210084033598E-3</v>
      </c>
      <c r="G65" s="165">
        <f>'假设-平台主推机制'!$I$136</f>
        <v>235506</v>
      </c>
      <c r="H65" s="165">
        <f>'假设-平台主推机制'!$L$137</f>
        <v>11400</v>
      </c>
      <c r="I65" s="165">
        <v>0</v>
      </c>
    </row>
    <row r="66" spans="1:9">
      <c r="A66" s="67" t="str">
        <f>'假设-平台主推机制'!$C$85</f>
        <v>京东自营</v>
      </c>
      <c r="B66" s="67" t="str">
        <f>'假设-平台主推机制'!$D$138</f>
        <v>机制27</v>
      </c>
      <c r="C66" s="67">
        <v>138</v>
      </c>
      <c r="D66" s="67">
        <v>139</v>
      </c>
      <c r="E66" s="67">
        <v>139</v>
      </c>
      <c r="F66" s="166">
        <f>'假设-平台主推机制'!$M$138</f>
        <v>4.20168067226891E-3</v>
      </c>
      <c r="G66" s="165">
        <f>'假设-平台主推机制'!$I$138</f>
        <v>24732</v>
      </c>
      <c r="H66" s="165">
        <f>'假设-平台主推机制'!$L$139</f>
        <v>11340</v>
      </c>
      <c r="I66" s="165">
        <v>0</v>
      </c>
    </row>
    <row r="67" spans="1:9">
      <c r="A67" s="67" t="str">
        <f>'假设-平台主推机制'!$C$85</f>
        <v>京东自营</v>
      </c>
      <c r="B67" s="67" t="str">
        <f>'假设-平台主推机制'!$D$140</f>
        <v>机制28</v>
      </c>
      <c r="C67" s="67">
        <v>140</v>
      </c>
      <c r="D67" s="67">
        <v>141</v>
      </c>
      <c r="E67" s="67">
        <v>141</v>
      </c>
      <c r="F67" s="166">
        <f>'假设-平台主推机制'!$M$140</f>
        <v>4.20168067226891E-3</v>
      </c>
      <c r="G67" s="165">
        <f>'假设-平台主推机制'!$I$140</f>
        <v>19236</v>
      </c>
      <c r="H67" s="165">
        <f>'假设-平台主推机制'!$L$141</f>
        <v>8820</v>
      </c>
      <c r="I67" s="165">
        <v>0</v>
      </c>
    </row>
    <row r="68" spans="1:9">
      <c r="A68" s="67" t="str">
        <f>'假设-平台主推机制'!$C$85</f>
        <v>京东自营</v>
      </c>
      <c r="B68" s="67" t="str">
        <f>'假设-平台主推机制'!$D$142</f>
        <v>机制29</v>
      </c>
      <c r="C68" s="67">
        <v>142</v>
      </c>
      <c r="D68" s="67">
        <v>143</v>
      </c>
      <c r="E68" s="67">
        <v>143</v>
      </c>
      <c r="F68" s="166">
        <f>'假设-平台主推机制'!$M$142</f>
        <v>4.20168067226891E-3</v>
      </c>
      <c r="G68" s="165">
        <f>'假设-平台主推机制'!$I$142</f>
        <v>12366</v>
      </c>
      <c r="H68" s="165">
        <f>'假设-平台主推机制'!$L$143</f>
        <v>5670</v>
      </c>
      <c r="I68" s="165">
        <v>0</v>
      </c>
    </row>
    <row r="69" spans="1:9">
      <c r="A69" s="67" t="str">
        <f>'假设-平台主推机制'!$C$85</f>
        <v>京东自营</v>
      </c>
      <c r="B69" s="67" t="str">
        <f>'假设-平台主推机制'!$D$144</f>
        <v>机制30</v>
      </c>
      <c r="C69" s="67">
        <v>144</v>
      </c>
      <c r="D69" s="67">
        <v>145</v>
      </c>
      <c r="E69" s="67">
        <v>145</v>
      </c>
      <c r="F69" s="166">
        <f>'假设-平台主推机制'!$M$144</f>
        <v>4.20168067226891E-3</v>
      </c>
      <c r="G69" s="165">
        <f>'假设-平台主推机制'!$I$144</f>
        <v>81567.600000000006</v>
      </c>
      <c r="H69" s="165">
        <f>'假设-平台主推机制'!$L$145</f>
        <v>3420</v>
      </c>
      <c r="I69" s="165">
        <v>0</v>
      </c>
    </row>
    <row r="70" spans="1:9">
      <c r="A70" s="67" t="str">
        <f>'假设-平台主推机制'!$C$85</f>
        <v>京东自营</v>
      </c>
      <c r="B70" s="67" t="str">
        <f>'假设-平台主推机制'!$D$146</f>
        <v>机制31</v>
      </c>
      <c r="C70" s="67">
        <v>146</v>
      </c>
      <c r="D70" s="67">
        <v>147</v>
      </c>
      <c r="E70" s="67">
        <v>147</v>
      </c>
      <c r="F70" s="166">
        <f>'假设-平台主推机制'!$M$146</f>
        <v>4.20168067226891E-3</v>
      </c>
      <c r="G70" s="165">
        <f>'假设-平台主推机制'!$I$146</f>
        <v>37098</v>
      </c>
      <c r="H70" s="165">
        <f>'假设-平台主推机制'!$L$147</f>
        <v>17010</v>
      </c>
      <c r="I70" s="165">
        <v>0</v>
      </c>
    </row>
    <row r="71" spans="1:9">
      <c r="A71" s="67" t="str">
        <f>'假设-平台主推机制'!$C$85</f>
        <v>京东自营</v>
      </c>
      <c r="B71" s="67" t="str">
        <f>'假设-平台主推机制'!$D$148</f>
        <v>机制32</v>
      </c>
      <c r="C71" s="67">
        <v>148</v>
      </c>
      <c r="D71" s="67">
        <v>149</v>
      </c>
      <c r="E71" s="67">
        <v>149</v>
      </c>
      <c r="F71" s="166">
        <f>'假设-平台主推机制'!$M$148</f>
        <v>4.20168067226891E-3</v>
      </c>
      <c r="G71" s="165">
        <f>'假设-平台主推机制'!$I$148</f>
        <v>31602</v>
      </c>
      <c r="H71" s="165">
        <f>'假设-平台主推机制'!$L$149</f>
        <v>14490</v>
      </c>
      <c r="I71" s="165">
        <v>0</v>
      </c>
    </row>
    <row r="72" spans="1:9">
      <c r="A72" s="67" t="str">
        <f>'假设-平台主推机制'!$C$85</f>
        <v>京东自营</v>
      </c>
      <c r="B72" s="67" t="str">
        <f>'假设-平台主推机制'!$D$150</f>
        <v>机制33</v>
      </c>
      <c r="C72" s="67">
        <v>150</v>
      </c>
      <c r="D72" s="67">
        <v>151</v>
      </c>
      <c r="E72" s="67">
        <v>151</v>
      </c>
      <c r="F72" s="166">
        <f>'假设-平台主推机制'!$M$150</f>
        <v>4.20168067226891E-3</v>
      </c>
      <c r="G72" s="165">
        <f>'假设-平台主推机制'!$I$150</f>
        <v>21984</v>
      </c>
      <c r="H72" s="165">
        <f>'假设-平台主推机制'!$L$151</f>
        <v>10080</v>
      </c>
      <c r="I72" s="165">
        <v>0</v>
      </c>
    </row>
    <row r="73" spans="1:9">
      <c r="A73" s="67" t="str">
        <f>'假设-平台主推机制'!$C$85</f>
        <v>京东自营</v>
      </c>
      <c r="B73" s="67" t="str">
        <f>'假设-平台主推机制'!$D$152</f>
        <v>机制34</v>
      </c>
      <c r="C73" s="67">
        <v>152</v>
      </c>
      <c r="D73" s="67">
        <v>153</v>
      </c>
      <c r="E73" s="67">
        <v>153</v>
      </c>
      <c r="F73" s="166">
        <f>'假设-平台主推机制'!$M$152</f>
        <v>4.20168067226891E-3</v>
      </c>
      <c r="G73" s="165">
        <f>'假设-平台主推机制'!$I$152</f>
        <v>201578.4</v>
      </c>
      <c r="H73" s="165">
        <f>'假设-平台主推机制'!$L$153</f>
        <v>18240</v>
      </c>
      <c r="I73" s="165">
        <v>0</v>
      </c>
    </row>
    <row r="74" spans="1:9">
      <c r="A74" s="67" t="str">
        <f>'假设-平台主推机制'!$C$85</f>
        <v>京东自营</v>
      </c>
      <c r="B74" s="67" t="str">
        <f>'假设-平台主推机制'!$D$154</f>
        <v>机制35</v>
      </c>
      <c r="C74" s="67">
        <v>154</v>
      </c>
      <c r="D74" s="67">
        <v>155</v>
      </c>
      <c r="E74" s="67">
        <v>155</v>
      </c>
      <c r="F74" s="166">
        <f>'假设-平台主推机制'!$M$154</f>
        <v>4.20168067226891E-3</v>
      </c>
      <c r="G74" s="165">
        <f>'假设-平台主推机制'!$I$154</f>
        <v>46716</v>
      </c>
      <c r="H74" s="165">
        <f>'假设-平台主推机制'!$L$155</f>
        <v>21420</v>
      </c>
      <c r="I74" s="165">
        <v>0</v>
      </c>
    </row>
    <row r="75" spans="1:9">
      <c r="A75" s="67" t="str">
        <f>'假设-平台主推机制'!$C$85</f>
        <v>京东自营</v>
      </c>
      <c r="B75" s="67" t="str">
        <f>'假设-平台主推机制'!$D$156</f>
        <v>机制36</v>
      </c>
      <c r="C75" s="67">
        <v>156</v>
      </c>
      <c r="D75" s="67">
        <v>157</v>
      </c>
      <c r="E75" s="67">
        <v>157</v>
      </c>
      <c r="F75" s="166">
        <f>'假设-平台主推机制'!$M$156</f>
        <v>4.20168067226891E-3</v>
      </c>
      <c r="G75" s="165">
        <f>'假设-平台主推机制'!$I$156</f>
        <v>23682</v>
      </c>
      <c r="H75" s="165">
        <f>'假设-平台主推机制'!$L$157</f>
        <v>6930</v>
      </c>
      <c r="I75" s="165">
        <v>0</v>
      </c>
    </row>
    <row r="76" spans="1:9">
      <c r="A76" s="67" t="str">
        <f>'假设-平台主推机制'!$C$85</f>
        <v>京东自营</v>
      </c>
      <c r="B76" s="67" t="str">
        <f>'假设-平台主推机制'!$D$158</f>
        <v>机制37</v>
      </c>
      <c r="C76" s="67">
        <v>158</v>
      </c>
      <c r="D76" s="67">
        <v>159</v>
      </c>
      <c r="E76" s="67">
        <v>159</v>
      </c>
      <c r="F76" s="166">
        <f>'假设-平台主推机制'!$M$158</f>
        <v>2.1008403361344498E-3</v>
      </c>
      <c r="G76" s="165">
        <f>'假设-平台主推机制'!$I$158</f>
        <v>13740</v>
      </c>
      <c r="H76" s="165">
        <f>'假设-平台主推机制'!$L$159</f>
        <v>6300</v>
      </c>
      <c r="I76" s="165">
        <v>0</v>
      </c>
    </row>
    <row r="77" spans="1:9">
      <c r="A77" s="67" t="str">
        <f>'假设-平台主推机制'!$C$85</f>
        <v>京东自营</v>
      </c>
      <c r="B77" s="67" t="str">
        <f>'假设-平台主推机制'!$D$160</f>
        <v>机制38</v>
      </c>
      <c r="C77" s="67">
        <v>160</v>
      </c>
      <c r="D77" s="67">
        <v>161</v>
      </c>
      <c r="E77" s="67">
        <v>161</v>
      </c>
      <c r="F77" s="166">
        <f>'假设-平台主推机制'!$M$160</f>
        <v>2.1008403361344498E-3</v>
      </c>
      <c r="G77" s="165">
        <f>'假设-平台主推机制'!$I$160</f>
        <v>144540</v>
      </c>
      <c r="H77" s="165">
        <f>'假设-平台主推机制'!$L$161</f>
        <v>2280</v>
      </c>
      <c r="I77" s="165">
        <v>0</v>
      </c>
    </row>
    <row r="78" spans="1:9">
      <c r="A78" s="67" t="str">
        <f>'假设-平台主推机制'!$C$85</f>
        <v>京东自营</v>
      </c>
      <c r="B78" s="67" t="str">
        <f>'假设-平台主推机制'!$D$162</f>
        <v>机制39</v>
      </c>
      <c r="C78" s="67">
        <v>162</v>
      </c>
      <c r="D78" s="67">
        <v>163</v>
      </c>
      <c r="E78" s="67">
        <v>163</v>
      </c>
      <c r="F78" s="166">
        <f>'假设-平台主推机制'!$M$162</f>
        <v>2.1008403361344498E-3</v>
      </c>
      <c r="G78" s="165">
        <f>'假设-平台主推机制'!$I$162</f>
        <v>304560</v>
      </c>
      <c r="H78" s="165">
        <f>'假设-平台主推机制'!$L$163</f>
        <v>22800</v>
      </c>
      <c r="I78" s="165">
        <v>0</v>
      </c>
    </row>
    <row r="79" spans="1:9">
      <c r="A79" s="67" t="str">
        <f>'假设-平台主推机制'!$C$85</f>
        <v>京东自营</v>
      </c>
      <c r="B79" s="67" t="str">
        <f>'假设-平台主推机制'!$D$164</f>
        <v>机制40</v>
      </c>
      <c r="C79" s="67">
        <v>164</v>
      </c>
      <c r="D79" s="67">
        <v>165</v>
      </c>
      <c r="E79" s="67">
        <v>165</v>
      </c>
      <c r="F79" s="166">
        <f>'假设-平台主推机制'!$M$164</f>
        <v>2.1008403361344498E-3</v>
      </c>
      <c r="G79" s="165">
        <f>'假设-平台主推机制'!$I$164</f>
        <v>49464</v>
      </c>
      <c r="H79" s="165">
        <f>'假设-平台主推机制'!$L$165</f>
        <v>22680</v>
      </c>
      <c r="I79" s="165">
        <v>0</v>
      </c>
    </row>
    <row r="80" spans="1:9">
      <c r="A80" s="67" t="str">
        <f>'假设-平台主推机制'!$C$85</f>
        <v>京东自营</v>
      </c>
      <c r="B80" s="67" t="str">
        <f>'假设-平台主推机制'!$D$166</f>
        <v>机制41</v>
      </c>
      <c r="C80" s="67">
        <v>166</v>
      </c>
      <c r="D80" s="67">
        <v>167</v>
      </c>
      <c r="E80" s="67">
        <v>167</v>
      </c>
      <c r="F80" s="166">
        <f>'假设-平台主推机制'!$M$166</f>
        <v>2.1008403361344498E-3</v>
      </c>
      <c r="G80" s="165">
        <f>'假设-平台主推机制'!$I$166</f>
        <v>59082</v>
      </c>
      <c r="H80" s="165">
        <f>'假设-平台主推机制'!$L$167</f>
        <v>27090</v>
      </c>
      <c r="I80" s="165">
        <v>0</v>
      </c>
    </row>
    <row r="81" spans="1:9">
      <c r="A81" s="67" t="str">
        <f>'假设-平台主推机制'!$C$85</f>
        <v>京东自营</v>
      </c>
      <c r="B81" s="67" t="str">
        <f>'假设-平台主推机制'!$D$168</f>
        <v>机制42</v>
      </c>
      <c r="C81" s="67">
        <v>168</v>
      </c>
      <c r="D81" s="67">
        <v>169</v>
      </c>
      <c r="E81" s="67">
        <v>169</v>
      </c>
      <c r="F81" s="166">
        <f>'假设-平台主推机制'!$M$168</f>
        <v>2.1008403361344498E-3</v>
      </c>
      <c r="G81" s="165">
        <f>'假设-平台主推机制'!$I$168</f>
        <v>63204</v>
      </c>
      <c r="H81" s="165">
        <f>'假设-平台主推机制'!$L$169</f>
        <v>28980</v>
      </c>
      <c r="I81" s="165">
        <v>0</v>
      </c>
    </row>
    <row r="82" spans="1:9">
      <c r="A82" s="67" t="str">
        <f>'假设-平台主推机制'!$C$85</f>
        <v>京东自营</v>
      </c>
      <c r="B82" s="67" t="str">
        <f>'假设-平台主推机制'!$D$170</f>
        <v>机制43</v>
      </c>
      <c r="C82" s="67">
        <v>170</v>
      </c>
      <c r="D82" s="67">
        <v>171</v>
      </c>
      <c r="E82" s="67">
        <v>171</v>
      </c>
      <c r="F82" s="166">
        <f>'假设-平台主推机制'!$M$170</f>
        <v>2.1008403361344498E-3</v>
      </c>
      <c r="G82" s="165">
        <f>'假设-平台主推机制'!$I$170</f>
        <v>41220</v>
      </c>
      <c r="H82" s="165">
        <f>'假设-平台主推机制'!$L$171</f>
        <v>18900</v>
      </c>
      <c r="I82" s="165">
        <v>0</v>
      </c>
    </row>
    <row r="83" spans="1:9">
      <c r="A83" s="67" t="str">
        <f>'假设-平台主推机制'!$C$85</f>
        <v>京东自营</v>
      </c>
      <c r="B83" s="67" t="str">
        <f>'假设-平台主推机制'!$D$172</f>
        <v>机制44</v>
      </c>
      <c r="C83" s="67">
        <v>172</v>
      </c>
      <c r="D83" s="67">
        <v>173</v>
      </c>
      <c r="E83" s="67">
        <v>173</v>
      </c>
      <c r="F83" s="166">
        <f>'假设-平台主推机制'!$M$172</f>
        <v>2.1008403361344498E-3</v>
      </c>
      <c r="G83" s="165">
        <f>'假设-平台主推机制'!$I$172</f>
        <v>116760</v>
      </c>
      <c r="H83" s="165">
        <f>'假设-平台主推机制'!$L$173</f>
        <v>29640</v>
      </c>
      <c r="I83" s="165">
        <v>0</v>
      </c>
    </row>
    <row r="84" spans="1:9">
      <c r="A84" s="67" t="str">
        <f>'假设-平台主推机制'!$C$85</f>
        <v>京东自营</v>
      </c>
      <c r="B84" s="67" t="str">
        <f>'假设-平台主推机制'!$D$174</f>
        <v>机制45</v>
      </c>
      <c r="C84" s="67">
        <v>174</v>
      </c>
      <c r="D84" s="67">
        <v>175</v>
      </c>
      <c r="E84" s="67">
        <v>175</v>
      </c>
      <c r="F84" s="166">
        <f>'假设-平台主推机制'!$M$174</f>
        <v>2.1008403361344498E-3</v>
      </c>
      <c r="G84" s="165">
        <f>'假设-平台主推机制'!$I$174</f>
        <v>76776</v>
      </c>
      <c r="H84" s="165">
        <f>'假设-平台主推机制'!$L$175</f>
        <v>16872</v>
      </c>
      <c r="I84" s="165">
        <v>0</v>
      </c>
    </row>
    <row r="85" spans="1:9">
      <c r="A85" s="67" t="str">
        <f>'假设-平台主推机制'!$C$85</f>
        <v>京东自营</v>
      </c>
      <c r="B85" s="67" t="str">
        <f>'假设-平台主推机制'!$D$176</f>
        <v>机制46</v>
      </c>
      <c r="C85" s="67">
        <v>176</v>
      </c>
      <c r="D85" s="67">
        <v>177</v>
      </c>
      <c r="E85" s="67">
        <v>177</v>
      </c>
      <c r="F85" s="166">
        <f>'假设-平台主推机制'!$M$176</f>
        <v>2.1008403361344498E-3</v>
      </c>
      <c r="G85" s="165">
        <f>'假设-平台主推机制'!$I$176</f>
        <v>65688</v>
      </c>
      <c r="H85" s="165">
        <f>'假设-平台主推机制'!$L$177</f>
        <v>20976</v>
      </c>
      <c r="I85" s="165">
        <v>0</v>
      </c>
    </row>
    <row r="86" spans="1:9">
      <c r="A86" s="67" t="str">
        <f>'假设-平台主推机制'!$C$85</f>
        <v>京东自营</v>
      </c>
      <c r="B86" s="67" t="str">
        <f>'假设-平台主推机制'!$D$178</f>
        <v>机制47</v>
      </c>
      <c r="C86" s="67">
        <v>178</v>
      </c>
      <c r="D86" s="67">
        <v>179</v>
      </c>
      <c r="E86" s="67">
        <v>179</v>
      </c>
      <c r="F86" s="166">
        <f>'假设-平台主推机制'!$M$178</f>
        <v>2.1008403361344498E-3</v>
      </c>
      <c r="G86" s="165">
        <f>'假设-平台主推机制'!$I$178</f>
        <v>28854</v>
      </c>
      <c r="H86" s="165">
        <f>'假设-平台主推机制'!$L$179</f>
        <v>13230</v>
      </c>
      <c r="I86" s="165">
        <v>0</v>
      </c>
    </row>
    <row r="87" spans="1:9">
      <c r="A87" s="67" t="str">
        <f>'假设-平台主推机制'!$C$85</f>
        <v>京东自营</v>
      </c>
      <c r="B87" s="67" t="str">
        <f>'假设-平台主推机制'!$D$180</f>
        <v>机制48</v>
      </c>
      <c r="C87" s="67">
        <v>180</v>
      </c>
      <c r="D87" s="67">
        <v>181</v>
      </c>
      <c r="E87" s="67">
        <v>181</v>
      </c>
      <c r="F87" s="166">
        <f>'假设-平台主推机制'!$M$180</f>
        <v>2.1008403361344498E-3</v>
      </c>
      <c r="G87" s="165">
        <f>'假设-平台主推机制'!$I$180</f>
        <v>60456</v>
      </c>
      <c r="H87" s="165">
        <f>'假设-平台主推机制'!$L$181</f>
        <v>27720</v>
      </c>
      <c r="I87" s="165">
        <v>0</v>
      </c>
    </row>
    <row r="88" spans="1:9">
      <c r="A88" s="67" t="str">
        <f>'假设-平台主推机制'!$C$85</f>
        <v>京东自营</v>
      </c>
      <c r="B88" s="67" t="str">
        <f>'假设-平台主推机制'!$D$182</f>
        <v>机制49</v>
      </c>
      <c r="C88" s="67">
        <v>182</v>
      </c>
      <c r="D88" s="67">
        <v>183</v>
      </c>
      <c r="E88" s="67">
        <v>183</v>
      </c>
      <c r="F88" s="166">
        <f>'假设-平台主推机制'!$M$182</f>
        <v>2.1008403361344498E-3</v>
      </c>
      <c r="G88" s="165">
        <f>'假设-平台主推机制'!$I$182</f>
        <v>70104</v>
      </c>
      <c r="H88" s="165">
        <f>'假设-平台主推机制'!$L$183</f>
        <v>15120</v>
      </c>
      <c r="I88" s="165">
        <v>0</v>
      </c>
    </row>
    <row r="89" spans="1:9">
      <c r="A89" s="67" t="str">
        <f>'假设-平台主推机制'!$C$85</f>
        <v>京东自营</v>
      </c>
      <c r="B89" s="67" t="str">
        <f>'假设-平台主推机制'!$D$184</f>
        <v>机制50</v>
      </c>
      <c r="C89" s="67">
        <v>184</v>
      </c>
      <c r="D89" s="67">
        <v>185</v>
      </c>
      <c r="E89" s="67">
        <v>185</v>
      </c>
      <c r="F89" s="166">
        <f>'假设-平台主推机制'!$M$184</f>
        <v>2.1008403361344498E-3</v>
      </c>
      <c r="G89" s="165">
        <f>'假设-平台主推机制'!$I$184</f>
        <v>222577.2</v>
      </c>
      <c r="H89" s="165">
        <f>'假设-平台主推机制'!$L$185</f>
        <v>17328</v>
      </c>
      <c r="I89" s="165">
        <v>0</v>
      </c>
    </row>
    <row r="90" spans="1:9">
      <c r="A90" s="67" t="str">
        <f>'假设-平台主推机制'!$C$85</f>
        <v>京东自营</v>
      </c>
      <c r="B90" s="67" t="str">
        <f>'假设-平台主推机制'!$D$186</f>
        <v>机制51</v>
      </c>
      <c r="C90" s="67">
        <v>186</v>
      </c>
      <c r="D90" s="67">
        <v>187</v>
      </c>
      <c r="E90" s="67">
        <v>187</v>
      </c>
      <c r="F90" s="166">
        <f>'假设-平台主推机制'!$M$186</f>
        <v>2.1008403361344498E-3</v>
      </c>
      <c r="G90" s="165">
        <f>'假设-平台主推机制'!$I$186</f>
        <v>34272</v>
      </c>
      <c r="H90" s="165">
        <f>'假设-平台主推机制'!$L$187</f>
        <v>10944</v>
      </c>
      <c r="I90" s="165">
        <v>0</v>
      </c>
    </row>
    <row r="91" spans="1:9">
      <c r="A91" s="67" t="str">
        <f>'假设-平台主推机制'!$C$85</f>
        <v>京东自营</v>
      </c>
      <c r="B91" s="67" t="str">
        <f>'假设-平台主推机制'!$D$188</f>
        <v>机制52</v>
      </c>
      <c r="C91" s="67">
        <v>188</v>
      </c>
      <c r="D91" s="67">
        <v>189</v>
      </c>
      <c r="E91" s="67">
        <v>189</v>
      </c>
      <c r="F91" s="166">
        <f>'假设-平台主推机制'!$M$188</f>
        <v>2.1008403361344498E-3</v>
      </c>
      <c r="G91" s="165">
        <f>'假设-平台主推机制'!$I$188</f>
        <v>42840</v>
      </c>
      <c r="H91" s="165">
        <f>'假设-平台主推机制'!$L$189</f>
        <v>13680</v>
      </c>
      <c r="I91" s="165">
        <v>0</v>
      </c>
    </row>
    <row r="92" spans="1:9">
      <c r="A92" s="67" t="str">
        <f>'假设-平台主推机制'!$C$85</f>
        <v>京东自营</v>
      </c>
      <c r="B92" s="67" t="str">
        <f>'假设-平台主推机制'!$D$190</f>
        <v>机制53</v>
      </c>
      <c r="C92" s="67">
        <v>190</v>
      </c>
      <c r="D92" s="67">
        <v>191</v>
      </c>
      <c r="E92" s="67">
        <v>191</v>
      </c>
      <c r="F92" s="166">
        <f>'假设-平台主推机制'!$M$190</f>
        <v>2.1008403361344498E-3</v>
      </c>
      <c r="G92" s="165">
        <f>'假设-平台主推机制'!$I$190</f>
        <v>45342</v>
      </c>
      <c r="H92" s="165">
        <f>'假设-平台主推机制'!$L$191</f>
        <v>20790</v>
      </c>
      <c r="I92" s="165">
        <v>0</v>
      </c>
    </row>
    <row r="93" spans="1:9">
      <c r="A93" s="67" t="str">
        <f>'假设-平台主推机制'!$C$85</f>
        <v>京东自营</v>
      </c>
      <c r="B93" s="67" t="str">
        <f>'假设-平台主推机制'!$D$192</f>
        <v>机制54</v>
      </c>
      <c r="C93" s="67">
        <v>192</v>
      </c>
      <c r="D93" s="67">
        <v>193</v>
      </c>
      <c r="E93" s="67">
        <v>193</v>
      </c>
      <c r="F93" s="166">
        <f>'假设-平台主推机制'!$M$192</f>
        <v>2.1008403361344498E-3</v>
      </c>
      <c r="G93" s="165">
        <f>'假设-平台主推机制'!$I$192</f>
        <v>37128</v>
      </c>
      <c r="H93" s="165">
        <f>'假设-平台主推机制'!$L$193</f>
        <v>11856</v>
      </c>
      <c r="I93" s="165">
        <v>0</v>
      </c>
    </row>
    <row r="94" spans="1:9">
      <c r="A94" s="67" t="str">
        <f>'假设-平台主推机制'!$C$85</f>
        <v>京东自营</v>
      </c>
      <c r="B94" s="67" t="str">
        <f>'假设-平台主推机制'!$D$194</f>
        <v>机制55</v>
      </c>
      <c r="C94" s="67">
        <v>194</v>
      </c>
      <c r="D94" s="67">
        <v>195</v>
      </c>
      <c r="E94" s="67">
        <v>195</v>
      </c>
      <c r="F94" s="166">
        <f>'假设-平台主推机制'!$M$194</f>
        <v>2.1008403361344498E-3</v>
      </c>
      <c r="G94" s="165">
        <f>'假设-平台主推机制'!$I$194</f>
        <v>458</v>
      </c>
      <c r="H94" s="165">
        <f>'假设-平台主推机制'!$L$195</f>
        <v>210</v>
      </c>
      <c r="I94" s="165">
        <v>0</v>
      </c>
    </row>
    <row r="95" spans="1:9">
      <c r="A95" s="67" t="str">
        <f>'假设-平台主推机制'!$C$85</f>
        <v>京东自营</v>
      </c>
      <c r="B95" s="67" t="str">
        <f>'假设-平台主推机制'!$D$196</f>
        <v>机制56</v>
      </c>
      <c r="C95" s="67">
        <v>196</v>
      </c>
      <c r="D95" s="67">
        <v>197</v>
      </c>
      <c r="E95" s="67">
        <v>197</v>
      </c>
      <c r="F95" s="166">
        <f>'假设-平台主推机制'!$M$196</f>
        <v>2.1008403361344498E-3</v>
      </c>
      <c r="G95" s="165">
        <f>'假设-平台主推机制'!$I$196</f>
        <v>41412</v>
      </c>
      <c r="H95" s="165">
        <f>'假设-平台主推机制'!$L$197</f>
        <v>13224</v>
      </c>
      <c r="I95" s="165">
        <v>0</v>
      </c>
    </row>
    <row r="96" spans="1:9">
      <c r="A96" s="67" t="str">
        <f>'假设-平台主推机制'!$C$85</f>
        <v>京东自营</v>
      </c>
      <c r="B96" s="67" t="str">
        <f>'假设-平台主推机制'!$D$198</f>
        <v>机制57</v>
      </c>
      <c r="C96" s="67">
        <v>198</v>
      </c>
      <c r="D96" s="67">
        <v>199</v>
      </c>
      <c r="E96" s="67">
        <v>199</v>
      </c>
      <c r="F96" s="166">
        <f>'假设-平台主推机制'!$M$198</f>
        <v>2.1008403361344498E-3</v>
      </c>
      <c r="G96" s="165">
        <f>'假设-平台主推机制'!$I$198</f>
        <v>57708</v>
      </c>
      <c r="H96" s="165">
        <f>'假设-平台主推机制'!$L$199</f>
        <v>26460</v>
      </c>
      <c r="I96" s="165">
        <v>0</v>
      </c>
    </row>
    <row r="97" spans="1:9">
      <c r="A97" s="67" t="str">
        <f>'假设-平台主推机制'!$C$85</f>
        <v>京东自营</v>
      </c>
      <c r="B97" s="67" t="str">
        <f>'假设-平台主推机制'!$D$200</f>
        <v>机制58</v>
      </c>
      <c r="C97" s="67">
        <v>200</v>
      </c>
      <c r="D97" s="67">
        <v>201</v>
      </c>
      <c r="E97" s="67">
        <v>201</v>
      </c>
      <c r="F97" s="166">
        <f>'假设-平台主推机制'!$M$200</f>
        <v>2.1008403361344498E-3</v>
      </c>
      <c r="G97" s="165">
        <f>'假设-平台主推机制'!$I$200</f>
        <v>687</v>
      </c>
      <c r="H97" s="165">
        <f>'假设-平台主推机制'!$L$201</f>
        <v>315</v>
      </c>
      <c r="I97" s="165">
        <v>0</v>
      </c>
    </row>
    <row r="98" spans="1:9">
      <c r="A98" s="67" t="str">
        <f>'假设-平台主推机制'!$C$85</f>
        <v>京东自营</v>
      </c>
      <c r="B98" s="67" t="str">
        <f>'假设-平台主推机制'!$D$202</f>
        <v>机制59</v>
      </c>
      <c r="C98" s="67">
        <v>202</v>
      </c>
      <c r="D98" s="67">
        <v>203</v>
      </c>
      <c r="E98" s="67">
        <v>203</v>
      </c>
      <c r="F98" s="166">
        <f>'假设-平台主推机制'!$M$202</f>
        <v>2.1008403361344498E-3</v>
      </c>
      <c r="G98" s="165">
        <f>'假设-平台主推机制'!$I$202</f>
        <v>34350</v>
      </c>
      <c r="H98" s="165">
        <f>'假设-平台主推机制'!$L$203</f>
        <v>15750</v>
      </c>
      <c r="I98" s="165">
        <v>0</v>
      </c>
    </row>
    <row r="99" spans="1:9">
      <c r="A99" s="67" t="str">
        <f>'假设-平台主推机制'!$C$85</f>
        <v>京东自营</v>
      </c>
      <c r="B99" s="67" t="str">
        <f>'假设-平台主推机制'!$D$204</f>
        <v>机制60</v>
      </c>
      <c r="C99" s="67">
        <v>204</v>
      </c>
      <c r="D99" s="67">
        <v>205</v>
      </c>
      <c r="E99" s="67">
        <v>205</v>
      </c>
      <c r="F99" s="166">
        <f>'假设-平台主推机制'!$M$204</f>
        <v>2.1008403361344498E-3</v>
      </c>
      <c r="G99" s="165">
        <f>'假设-平台主推机制'!$I$204</f>
        <v>48552</v>
      </c>
      <c r="H99" s="165">
        <f>'假设-平台主推机制'!$L$205</f>
        <v>15504</v>
      </c>
      <c r="I99" s="165">
        <v>0</v>
      </c>
    </row>
    <row r="100" spans="1:9">
      <c r="A100" s="67" t="str">
        <f>'假设-平台主推机制'!$C$85</f>
        <v>京东自营</v>
      </c>
      <c r="B100" s="67" t="str">
        <f>'假设-平台主推机制'!$D$206</f>
        <v>机制61</v>
      </c>
      <c r="C100" s="67">
        <v>206</v>
      </c>
      <c r="D100" s="67">
        <v>207</v>
      </c>
      <c r="E100" s="67">
        <v>207</v>
      </c>
      <c r="F100" s="166">
        <f>'假设-平台主推机制'!$M$206</f>
        <v>2.1008403361344498E-3</v>
      </c>
      <c r="G100" s="165">
        <f>'假设-平台主推机制'!$I$206</f>
        <v>61436.4</v>
      </c>
      <c r="H100" s="165">
        <f>'假设-平台主推机制'!$L$207</f>
        <v>23310</v>
      </c>
      <c r="I100" s="165">
        <v>0</v>
      </c>
    </row>
    <row r="101" spans="1:9">
      <c r="A101" s="67" t="str">
        <f>'假设-平台主推机制'!$C$85</f>
        <v>京东自营</v>
      </c>
      <c r="B101" s="67" t="str">
        <f>'假设-平台主推机制'!$D$208</f>
        <v>机制62</v>
      </c>
      <c r="C101" s="67">
        <v>208</v>
      </c>
      <c r="D101" s="67">
        <v>209</v>
      </c>
      <c r="E101" s="67">
        <v>209</v>
      </c>
      <c r="F101" s="166">
        <f>'假设-平台主推机制'!$M$208</f>
        <v>2.1008403361344498E-3</v>
      </c>
      <c r="G101" s="165">
        <f>'假设-平台主推机制'!$I$208</f>
        <v>43968</v>
      </c>
      <c r="H101" s="165">
        <f>'假设-平台主推机制'!$L$209</f>
        <v>20160</v>
      </c>
      <c r="I101" s="165">
        <v>0</v>
      </c>
    </row>
    <row r="102" spans="1:9">
      <c r="A102" s="67" t="str">
        <f>'假设-平台主推机制'!$C$85</f>
        <v>京东自营</v>
      </c>
      <c r="B102" s="67" t="str">
        <f>'假设-平台主推机制'!$D$210</f>
        <v>机制63</v>
      </c>
      <c r="C102" s="67">
        <v>210</v>
      </c>
      <c r="D102" s="67">
        <v>211</v>
      </c>
      <c r="E102" s="67">
        <v>211</v>
      </c>
      <c r="F102" s="166">
        <f>'假设-平台主推机制'!$M$210</f>
        <v>2.1008403361344498E-3</v>
      </c>
      <c r="G102" s="165">
        <f>'假设-平台主推机制'!$I$210</f>
        <v>26106</v>
      </c>
      <c r="H102" s="165">
        <f>'假设-平台主推机制'!$L$211</f>
        <v>11970</v>
      </c>
      <c r="I102" s="165">
        <v>0</v>
      </c>
    </row>
    <row r="103" spans="1:9">
      <c r="A103" s="67" t="str">
        <f>'假设-平台主推机制'!$C$85</f>
        <v>京东自营</v>
      </c>
      <c r="B103" s="67" t="str">
        <f>'假设-平台主推机制'!$D$212</f>
        <v>机制64</v>
      </c>
      <c r="C103" s="67">
        <v>212</v>
      </c>
      <c r="D103" s="67">
        <v>213</v>
      </c>
      <c r="E103" s="67">
        <v>213</v>
      </c>
      <c r="F103" s="166">
        <f>'假设-平台主推机制'!$M$212</f>
        <v>2.1008403361344498E-3</v>
      </c>
      <c r="G103" s="165">
        <f>'假设-平台主推机制'!$I$212</f>
        <v>217260</v>
      </c>
      <c r="H103" s="165">
        <f>'假设-平台主推机制'!$L$213</f>
        <v>64260</v>
      </c>
      <c r="I103" s="165">
        <v>0</v>
      </c>
    </row>
    <row r="104" spans="1:9">
      <c r="A104" s="67" t="str">
        <f>'假设-平台主推机制'!$C$85</f>
        <v>京东自营</v>
      </c>
      <c r="B104" s="67" t="str">
        <f>'假设-平台主推机制'!$D$214</f>
        <v>机制65</v>
      </c>
      <c r="C104" s="67">
        <v>214</v>
      </c>
      <c r="D104" s="67">
        <v>215</v>
      </c>
      <c r="E104" s="67">
        <v>215</v>
      </c>
      <c r="F104" s="166">
        <f>'假设-平台主推机制'!$M$214</f>
        <v>2.1008403361344498E-3</v>
      </c>
      <c r="G104" s="165">
        <f>'假设-平台主推机制'!$I$214</f>
        <v>142111.20000000001</v>
      </c>
      <c r="H104" s="165">
        <f>'假设-平台主推机制'!$L$215</f>
        <v>36540</v>
      </c>
      <c r="I104" s="165">
        <v>0</v>
      </c>
    </row>
    <row r="105" spans="1:9">
      <c r="A105" s="67" t="str">
        <f>'假设-平台主推机制'!$C$85</f>
        <v>京东自营</v>
      </c>
      <c r="B105" s="67" t="str">
        <f>'假设-平台主推机制'!$D$216</f>
        <v>机制66</v>
      </c>
      <c r="C105" s="67">
        <v>216</v>
      </c>
      <c r="D105" s="67">
        <v>217</v>
      </c>
      <c r="E105" s="67">
        <v>217</v>
      </c>
      <c r="F105" s="166">
        <f>'假设-平台主推机制'!$M$216</f>
        <v>2.1008403361344498E-3</v>
      </c>
      <c r="G105" s="165">
        <f>'假设-平台主推机制'!$I$216</f>
        <v>53586</v>
      </c>
      <c r="H105" s="165">
        <f>'假设-平台主推机制'!$L$217</f>
        <v>24570</v>
      </c>
      <c r="I105" s="165">
        <v>0</v>
      </c>
    </row>
    <row r="106" spans="1:9">
      <c r="A106" s="67" t="str">
        <f>'假设-平台主推机制'!$C$85</f>
        <v>京东自营</v>
      </c>
      <c r="B106" s="67" t="str">
        <f>'假设-平台主推机制'!$D$218</f>
        <v>机制67</v>
      </c>
      <c r="C106" s="67">
        <v>218</v>
      </c>
      <c r="D106" s="67">
        <v>219</v>
      </c>
      <c r="E106" s="67">
        <v>219</v>
      </c>
      <c r="F106" s="166">
        <f>'假设-平台主推机制'!$M$218</f>
        <v>2.1008403361344498E-3</v>
      </c>
      <c r="G106" s="165">
        <f>'假设-平台主推机制'!$I$218</f>
        <v>89340</v>
      </c>
      <c r="H106" s="165">
        <f>'假设-平台主推机制'!$L$219</f>
        <v>23940</v>
      </c>
      <c r="I106" s="165">
        <v>0</v>
      </c>
    </row>
    <row r="107" spans="1:9">
      <c r="A107" s="67" t="str">
        <f>'假设-平台主推机制'!$C$85</f>
        <v>京东自营</v>
      </c>
      <c r="B107" s="67" t="str">
        <f>'假设-平台主推机制'!$D$220</f>
        <v>机制68</v>
      </c>
      <c r="C107" s="67">
        <v>220</v>
      </c>
      <c r="D107" s="67">
        <v>221</v>
      </c>
      <c r="E107" s="67">
        <v>221</v>
      </c>
      <c r="F107" s="166">
        <f>'假设-平台主推机制'!$M$220</f>
        <v>2.1008403361344498E-3</v>
      </c>
      <c r="G107" s="165">
        <f>'假设-平台主推机制'!$I$220</f>
        <v>151756</v>
      </c>
      <c r="H107" s="165">
        <f>'假设-平台主推机制'!$L$221</f>
        <v>3268</v>
      </c>
      <c r="I107" s="165">
        <v>0</v>
      </c>
    </row>
    <row r="108" spans="1:9">
      <c r="A108" s="67" t="str">
        <f>'假设-平台主推机制'!$C$222</f>
        <v>京东POP</v>
      </c>
      <c r="B108" s="67" t="str">
        <f>'假设-平台主推机制'!$D$223</f>
        <v>机制1</v>
      </c>
      <c r="C108" s="67">
        <v>223</v>
      </c>
      <c r="D108" s="67">
        <v>224</v>
      </c>
      <c r="E108" s="67">
        <v>224</v>
      </c>
      <c r="F108" s="166">
        <f>'假设-平台主推机制'!$M$223</f>
        <v>0.44628099173553698</v>
      </c>
      <c r="G108" s="165">
        <f>'假设-平台主推机制'!$I$223</f>
        <v>276.39999999999998</v>
      </c>
      <c r="H108" s="165">
        <f>'假设-平台主推机制'!$L$224</f>
        <v>105</v>
      </c>
      <c r="I108" s="165">
        <v>0</v>
      </c>
    </row>
    <row r="109" spans="1:9">
      <c r="A109" s="67" t="str">
        <f>'假设-平台主推机制'!$C$222</f>
        <v>京东POP</v>
      </c>
      <c r="B109" s="67" t="str">
        <f>'假设-平台主推机制'!$D$225</f>
        <v>机制2</v>
      </c>
      <c r="C109" s="67">
        <v>225</v>
      </c>
      <c r="D109" s="67">
        <v>226</v>
      </c>
      <c r="E109" s="67">
        <v>226</v>
      </c>
      <c r="F109" s="166">
        <f>'假设-平台主推机制'!$M$225</f>
        <v>0.26446280991735499</v>
      </c>
      <c r="G109" s="165">
        <f>'假设-平台主推机制'!$I$225</f>
        <v>593.23</v>
      </c>
      <c r="H109" s="165">
        <f>'假设-平台主推机制'!$L$226</f>
        <v>210</v>
      </c>
      <c r="I109" s="165">
        <v>0</v>
      </c>
    </row>
    <row r="110" spans="1:9">
      <c r="A110" s="67" t="str">
        <f>'假设-平台主推机制'!$C$222</f>
        <v>京东POP</v>
      </c>
      <c r="B110" s="67" t="str">
        <f>'假设-平台主推机制'!$D$227</f>
        <v>机制3</v>
      </c>
      <c r="C110" s="67">
        <v>227</v>
      </c>
      <c r="D110" s="67">
        <v>228</v>
      </c>
      <c r="E110" s="67">
        <v>228</v>
      </c>
      <c r="F110" s="166">
        <f>'假设-平台主推机制'!$M$227</f>
        <v>0.107438016528926</v>
      </c>
      <c r="G110" s="165">
        <f>'假设-平台主推机制'!$I$227</f>
        <v>133</v>
      </c>
      <c r="H110" s="165">
        <f>'假设-平台主推机制'!$L$228</f>
        <v>38</v>
      </c>
      <c r="I110" s="165">
        <v>0</v>
      </c>
    </row>
    <row r="111" spans="1:9">
      <c r="A111" s="67" t="str">
        <f>'假设-平台主推机制'!$C$222</f>
        <v>京东POP</v>
      </c>
      <c r="B111" s="67" t="str">
        <f>'假设-平台主推机制'!$D$229</f>
        <v>机制4</v>
      </c>
      <c r="C111" s="67">
        <v>229</v>
      </c>
      <c r="D111" s="67">
        <v>230</v>
      </c>
      <c r="E111" s="67">
        <v>230</v>
      </c>
      <c r="F111" s="166">
        <f>'假设-平台主推机制'!$M$229</f>
        <v>3.3057851239669402E-2</v>
      </c>
      <c r="G111" s="165">
        <f>'假设-平台主推机制'!$I$229</f>
        <v>1042.74</v>
      </c>
      <c r="H111" s="165">
        <f>'假设-平台主推机制'!$L$230</f>
        <v>420</v>
      </c>
      <c r="I111" s="165">
        <v>0</v>
      </c>
    </row>
    <row r="112" spans="1:9">
      <c r="A112" s="67" t="str">
        <f>'假设-平台主推机制'!$C$222</f>
        <v>京东POP</v>
      </c>
      <c r="B112" s="67" t="str">
        <f>'假设-平台主推机制'!$D$231</f>
        <v>机制5</v>
      </c>
      <c r="C112" s="67">
        <v>231</v>
      </c>
      <c r="D112" s="67">
        <v>232</v>
      </c>
      <c r="E112" s="67">
        <v>232</v>
      </c>
      <c r="F112" s="166">
        <f>'假设-平台主推机制'!$M$231</f>
        <v>3.3057851239669402E-2</v>
      </c>
      <c r="G112" s="165">
        <f>'假设-平台主推机制'!$I$231</f>
        <v>259</v>
      </c>
      <c r="H112" s="165">
        <f>'假设-平台主推机制'!$L$232</f>
        <v>76</v>
      </c>
      <c r="I112" s="165">
        <v>0</v>
      </c>
    </row>
    <row r="113" spans="1:9">
      <c r="A113" s="67" t="str">
        <f>'假设-平台主推机制'!$C$222</f>
        <v>京东POP</v>
      </c>
      <c r="B113" s="67" t="str">
        <f>'假设-平台主推机制'!$D$233</f>
        <v>机制6</v>
      </c>
      <c r="C113" s="67">
        <v>233</v>
      </c>
      <c r="D113" s="67">
        <v>234</v>
      </c>
      <c r="E113" s="67">
        <v>234</v>
      </c>
      <c r="F113" s="166">
        <f>'假设-平台主推机制'!$M$233</f>
        <v>2.4793388429752101E-2</v>
      </c>
      <c r="G113" s="165">
        <f>'假设-平台主推机制'!$I$233</f>
        <v>372.26</v>
      </c>
      <c r="H113" s="165">
        <f>'假设-平台主推机制'!$L$234</f>
        <v>114</v>
      </c>
      <c r="I113" s="165">
        <v>0</v>
      </c>
    </row>
    <row r="114" spans="1:9">
      <c r="A114" s="67" t="str">
        <f>'假设-平台主推机制'!$C$222</f>
        <v>京东POP</v>
      </c>
      <c r="B114" s="67" t="str">
        <f>'假设-平台主推机制'!$D$235</f>
        <v>机制7</v>
      </c>
      <c r="C114" s="67">
        <v>235</v>
      </c>
      <c r="D114" s="67">
        <v>236</v>
      </c>
      <c r="E114" s="67">
        <v>236</v>
      </c>
      <c r="F114" s="166">
        <f>'假设-平台主推机制'!$M$235</f>
        <v>2.4793388429752101E-2</v>
      </c>
      <c r="G114" s="165">
        <f>'假设-平台主推机制'!$I$235</f>
        <v>479.8</v>
      </c>
      <c r="H114" s="165">
        <f>'假设-平台主推机制'!$L$236</f>
        <v>152</v>
      </c>
      <c r="I114" s="165">
        <v>0</v>
      </c>
    </row>
    <row r="115" spans="1:9">
      <c r="A115" s="67" t="str">
        <f>'假设-平台主推机制'!$C$222</f>
        <v>京东POP</v>
      </c>
      <c r="B115" s="67" t="str">
        <f>'假设-平台主推机制'!$D$237</f>
        <v>机制8</v>
      </c>
      <c r="C115" s="67">
        <v>237</v>
      </c>
      <c r="D115" s="67">
        <v>238</v>
      </c>
      <c r="E115" s="67">
        <v>238</v>
      </c>
      <c r="F115" s="166">
        <f>'假设-平台主推机制'!$M$237</f>
        <v>1.6528925619834701E-2</v>
      </c>
      <c r="G115" s="165">
        <f>'假设-平台主推机制'!$I$237</f>
        <v>1535.28</v>
      </c>
      <c r="H115" s="165">
        <f>'假设-平台主推机制'!$L$238</f>
        <v>630</v>
      </c>
      <c r="I115" s="165">
        <v>0</v>
      </c>
    </row>
    <row r="116" spans="1:9">
      <c r="A116" s="67" t="str">
        <f>'假设-平台主推机制'!$C$222</f>
        <v>京东POP</v>
      </c>
      <c r="B116" s="67" t="str">
        <f>'假设-平台主推机制'!$D$239</f>
        <v>机制9</v>
      </c>
      <c r="C116" s="67">
        <v>239</v>
      </c>
      <c r="D116" s="67">
        <v>240</v>
      </c>
      <c r="E116" s="67">
        <v>240</v>
      </c>
      <c r="F116" s="166">
        <f>'假设-平台主推机制'!$M$239</f>
        <v>1.6528925619834701E-2</v>
      </c>
      <c r="G116" s="165">
        <f>'假设-平台主推机制'!$I$239</f>
        <v>735.8</v>
      </c>
      <c r="H116" s="165">
        <f>'假设-平台主推机制'!$L$240</f>
        <v>315</v>
      </c>
      <c r="I116" s="165">
        <v>0</v>
      </c>
    </row>
    <row r="117" spans="1:9">
      <c r="A117" s="67" t="str">
        <f>'假设-平台主推机制'!$C$222</f>
        <v>京东POP</v>
      </c>
      <c r="B117" s="67" t="str">
        <f>'假设-平台主推机制'!$D$241</f>
        <v>机制10</v>
      </c>
      <c r="C117" s="67">
        <v>241</v>
      </c>
      <c r="D117" s="67">
        <v>242</v>
      </c>
      <c r="E117" s="67">
        <v>242</v>
      </c>
      <c r="F117" s="166">
        <f>'假设-平台主推机制'!$M$241</f>
        <v>1.6528925619834701E-2</v>
      </c>
      <c r="G117" s="165">
        <f>'假设-平台主推机制'!$I$241</f>
        <v>634.1</v>
      </c>
      <c r="H117" s="165">
        <f>'假设-平台主推机制'!$L$242</f>
        <v>342</v>
      </c>
      <c r="I117" s="165">
        <v>0</v>
      </c>
    </row>
    <row r="118" spans="1:9">
      <c r="A118" s="67" t="str">
        <f>'假设-平台主推机制'!$C$222</f>
        <v>京东POP</v>
      </c>
      <c r="B118" s="67" t="str">
        <f>'假设-平台主推机制'!$D$243</f>
        <v>机制11</v>
      </c>
      <c r="C118" s="67">
        <v>243</v>
      </c>
      <c r="D118" s="67">
        <v>244</v>
      </c>
      <c r="E118" s="67">
        <v>244</v>
      </c>
      <c r="F118" s="166">
        <f>'假设-平台主推机制'!$M$243</f>
        <v>8.2644628099173608E-3</v>
      </c>
      <c r="G118" s="165">
        <f>'假设-平台主推机制'!$I$243</f>
        <v>1207.8399999999999</v>
      </c>
      <c r="H118" s="165">
        <f>'假设-平台主推机制'!$L$244</f>
        <v>418</v>
      </c>
      <c r="I118" s="165">
        <v>0</v>
      </c>
    </row>
    <row r="119" spans="1:9">
      <c r="A119" s="67" t="str">
        <f>'假设-平台主推机制'!$C$222</f>
        <v>京东POP</v>
      </c>
      <c r="B119" s="67" t="str">
        <f>'假设-平台主推机制'!$D$245</f>
        <v>机制12</v>
      </c>
      <c r="C119" s="67">
        <v>245</v>
      </c>
      <c r="D119" s="67">
        <v>246</v>
      </c>
      <c r="E119" s="67">
        <v>246</v>
      </c>
      <c r="F119" s="166">
        <f>'假设-平台主推机制'!$M$245</f>
        <v>8.2644628099173608E-3</v>
      </c>
      <c r="G119" s="165">
        <f>'假设-平台主推机制'!$I$245</f>
        <v>1318.53</v>
      </c>
      <c r="H119" s="165">
        <f>'假设-平台主推机制'!$L$246</f>
        <v>380</v>
      </c>
      <c r="I119" s="165">
        <v>0</v>
      </c>
    </row>
    <row r="120" spans="1:9">
      <c r="A120" s="67" t="str">
        <f>'假设-平台主推机制'!$C$247</f>
        <v>小红书（待建渠道）</v>
      </c>
      <c r="B120" s="67" t="str">
        <f>'假设-平台主推机制'!$D$248</f>
        <v>机制1</v>
      </c>
      <c r="C120" s="67">
        <v>248</v>
      </c>
      <c r="D120" s="67">
        <v>249</v>
      </c>
      <c r="E120" s="67">
        <v>249</v>
      </c>
      <c r="F120" s="166">
        <f>'假设-平台主推机制'!$M$248</f>
        <v>1</v>
      </c>
      <c r="G120" s="165">
        <f>'假设-平台主推机制'!$I$248</f>
        <v>128</v>
      </c>
      <c r="H120" s="165">
        <f>'假设-平台主推机制'!$L$249</f>
        <v>38</v>
      </c>
      <c r="I120" s="165">
        <v>0</v>
      </c>
    </row>
  </sheetData>
  <phoneticPr fontId="14" type="noConversion"/>
  <hyperlinks>
    <hyperlink ref="A1" location="'目录及说明'!A1" display="返回目录" xr:uid="{00000000-0004-0000-1A00-000000000000}"/>
  </hyperlink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目录及说明</vt:lpstr>
      <vt:lpstr>总表-汇总损益表</vt:lpstr>
      <vt:lpstr>总表-渠道二维汇总</vt:lpstr>
      <vt:lpstr>费用科目说明</vt:lpstr>
      <vt:lpstr>假设-财务口径</vt:lpstr>
      <vt:lpstr>假设-人工成本固定额</vt:lpstr>
      <vt:lpstr>假设-产品价值链定价</vt:lpstr>
      <vt:lpstr>假设-成本与任务量</vt:lpstr>
      <vt:lpstr>参考值-平台主推SKU占比</vt:lpstr>
      <vt:lpstr>假设-平台主推机制</vt:lpstr>
      <vt:lpstr>假设-目标渠道分解</vt:lpstr>
      <vt:lpstr>参考值-平台费用率分析</vt:lpstr>
      <vt:lpstr>假设-销售费用率</vt:lpstr>
      <vt:lpstr>假设-ROI月度滚动</vt:lpstr>
      <vt:lpstr>测算-高个子抖音</vt:lpstr>
      <vt:lpstr>测算-高个子视频号</vt:lpstr>
      <vt:lpstr>测算-达播</vt:lpstr>
      <vt:lpstr>测算-天猫淘宝</vt:lpstr>
      <vt:lpstr>测算-拼多多</vt:lpstr>
      <vt:lpstr>测算-京东POP</vt:lpstr>
      <vt:lpstr>测算-京东自营</vt:lpstr>
      <vt:lpstr>测算-私域</vt:lpstr>
      <vt:lpstr>测算-外部分销</vt:lpstr>
      <vt:lpstr>测算-整体经营</vt:lpstr>
      <vt:lpstr>辅助-汇总损益长表</vt:lpstr>
      <vt:lpstr>辅助-机制测算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Gran</cp:lastModifiedBy>
  <cp:revision>0</cp:revision>
  <dcterms:created xsi:type="dcterms:W3CDTF">2026-07-16T04:32:02Z</dcterms:created>
  <dcterms:modified xsi:type="dcterms:W3CDTF">2026-08-11T02:40:01Z</dcterms:modified>
  <dc:language>zh-CN</dc:language>
</cp:coreProperties>
</file>