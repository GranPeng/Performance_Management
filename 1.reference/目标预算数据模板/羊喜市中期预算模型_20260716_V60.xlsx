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ran/Library/Mobile Documents/com~apple~CloudDocs/工作空间/工作文件WIP/1.进行中/performance-system-v2/reference/"/>
    </mc:Choice>
  </mc:AlternateContent>
  <xr:revisionPtr revIDLastSave="0" documentId="13_ncr:1_{653506D2-4910-7541-A49C-53CBA9E85B1A}" xr6:coauthVersionLast="47" xr6:coauthVersionMax="47" xr10:uidLastSave="{00000000-0000-0000-0000-000000000000}"/>
  <bookViews>
    <workbookView xWindow="0" yWindow="600" windowWidth="40960" windowHeight="21160" xr2:uid="{00000000-000D-0000-FFFF-FFFF00000000}"/>
  </bookViews>
  <sheets>
    <sheet name="总表-渠道预算指标" sheetId="28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28" l="1"/>
  <c r="E96" i="28"/>
  <c r="E95" i="28"/>
  <c r="E94" i="28"/>
  <c r="E93" i="28"/>
  <c r="E92" i="28"/>
  <c r="E91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</calcChain>
</file>

<file path=xl/sharedStrings.xml><?xml version="1.0" encoding="utf-8"?>
<sst xmlns="http://schemas.openxmlformats.org/spreadsheetml/2006/main" count="269" uniqueCount="27">
  <si>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</si>
  <si>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</si>
  <si>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</si>
  <si>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</si>
  <si>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</si>
  <si>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</si>
  <si>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</si>
  <si>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</si>
  <si>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</si>
  <si>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</si>
  <si>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</si>
  <si>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</si>
  <si>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抖音（万元）</t>
  </si>
  <si>
    <t>视频号（万元）</t>
  </si>
  <si>
    <t>天猫淘宝（万元）</t>
  </si>
  <si>
    <t>拼多多（万元）</t>
  </si>
  <si>
    <t>京东自营（万元）</t>
  </si>
  <si>
    <t>达播（万元）</t>
  </si>
  <si>
    <t>私域（万元）</t>
  </si>
  <si>
    <t>外部分销（万元）</t>
  </si>
  <si>
    <t>渠道总贡献（万元）</t>
  </si>
  <si>
    <t>京东POP（万元）</t>
  </si>
  <si>
    <t>月份</t>
    <phoneticPr fontId="5" type="noConversion"/>
  </si>
  <si>
    <t>渠道/单位</t>
    <phoneticPr fontId="5" type="noConversion"/>
  </si>
  <si>
    <t>GSV目标</t>
    <phoneticPr fontId="5" type="noConversion"/>
  </si>
  <si>
    <t>广告消耗目标</t>
    <phoneticPr fontId="5" type="noConversion"/>
  </si>
  <si>
    <t>ROI 目标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</si>
</sst>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Linux Libertine G"/>
      <family val="2"/>
    </font>
    <font>
      <sz val="11"/>
      <name val="Calibri"/>
      <family val="2"/>
    </font>
    <font>
      <sz val="10"/>
      <name val="Linux Libertine G"/>
      <charset val="1"/>
    </font>
    <font>
      <sz val="12"/>
      <color rgb="FF000000"/>
      <name val="等线 Light"/>
      <family val="4"/>
      <charset val="134"/>
    </font>
    <font>
      <sz val="12"/>
      <color theme="10"/>
      <name val="等线"/>
      <family val="4"/>
      <charset val="134"/>
    </font>
    <font>
      <sz val="9"/>
      <name val="Alibaba PuHuiTi 3.0 105 Heavy"/>
      <family val="3"/>
      <charset val="134"/>
    </font>
    <font>
      <sz val="12"/>
      <color rgb="FF000000"/>
      <name val="等线"/>
      <family val="4"/>
      <charset val="134"/>
    </font>
    <font>
      <b/>
      <sz val="12"/>
      <color rgb="FFFFFFFF"/>
      <name val="等线"/>
      <family val="4"/>
      <charset val="134"/>
    </font>
    <font>
      <b/>
      <sz val="12"/>
      <name val="等线"/>
      <family val="4"/>
      <charset val="134"/>
    </font>
    <font>
      <b/>
      <sz val="12"/>
      <color rgb="FF000000"/>
      <name val="等线"/>
      <family val="4"/>
      <charset val="134"/>
    </font>
    <font>
      <sz val="10"/>
      <name val="Alibaba PuHuiTi 3.0 105 Heavy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8E8E8"/>
      </patternFill>
    </fill>
    <fill>
      <patternFill patternType="solid">
        <fgColor rgb="FFED7D31"/>
        <bgColor rgb="FFA6A6A6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>
      <alignment vertical="center"/>
    </xf>
    <xf numFmtId="0" fontId="3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6" fillId="0" borderId="0" xfId="5" applyFont="1" applyAlignment="1">
      <alignment horizontal="left"/>
    </xf>
    <xf numFmtId="0" fontId="7" fillId="3" borderId="0" xfId="5" applyFont="1" applyFill="1" applyAlignment="1">
      <alignment horizontal="center" vertical="center"/>
    </xf>
    <xf numFmtId="0" fontId="8" fillId="2" borderId="0" xfId="5" applyFont="1" applyFill="1" applyAlignment="1">
      <alignment horizontal="left"/>
    </xf>
    <xf numFmtId="4" fontId="9" fillId="2" borderId="0" xfId="5" applyNumberFormat="1" applyFont="1" applyFill="1" applyAlignment="1">
      <alignment horizontal="right" vertical="center"/>
    </xf>
    <xf numFmtId="4" fontId="6" fillId="0" borderId="0" xfId="5" applyNumberFormat="1" applyFont="1" applyAlignment="1">
      <alignment horizontal="right" vertical="center"/>
    </xf>
    <xf numFmtId="2" fontId="0" fillId="0" borderId="0" xfId="0" applyNumberFormat="1"/>
    <xf numFmtId="0" fontId="10" fillId="0" borderId="0" xfId="0" applyFont="1"/>
    <xf numFmtId="0" fontId="7" fillId="3" borderId="0" xfId="5" applyFont="1" applyFill="1" applyAlignment="1">
      <alignment vertical="center"/>
    </xf>
  </cellXfs>
  <cellStyles count="8">
    <cellStyle name="Normal" xfId="1" xr:uid="{00000000-0005-0000-0000-000006000000}"/>
    <cellStyle name="Normal 2" xfId="2" xr:uid="{00000000-0005-0000-0000-000007000000}"/>
    <cellStyle name="常规" xfId="0" builtinId="0"/>
    <cellStyle name="常规 2" xfId="4" xr:uid="{00000000-0005-0000-0000-000009000000}"/>
    <cellStyle name="常规 3" xfId="5" xr:uid="{00000000-0005-0000-0000-00000A000000}"/>
    <cellStyle name="常规 4" xfId="6" xr:uid="{00000000-0005-0000-0000-00000B000000}"/>
    <cellStyle name="常规 5" xfId="3" xr:uid="{00000000-0005-0000-0000-000008000000}"/>
    <cellStyle name="超链接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F5D73"/>
      <rgbColor rgb="FFFFFF00"/>
      <rgbColor rgb="FFFF00FF"/>
      <rgbColor rgb="FFF8F9FA"/>
      <rgbColor rgb="FF9C0006"/>
      <rgbColor rgb="FF0B5D4A"/>
      <rgbColor rgb="FF0E2841"/>
      <rgbColor rgb="FF548235"/>
      <rgbColor rgb="FF800080"/>
      <rgbColor rgb="FF0F6A70"/>
      <rgbColor rgb="FFB7B7B7"/>
      <rgbColor rgb="FF7C7C7C"/>
      <rgbColor rgb="FFDCEAF7"/>
      <rgbColor rgb="FF44546A"/>
      <rgbColor rgb="FFFFF2CC"/>
      <rgbColor rgb="FFD9EAF7"/>
      <rgbColor rgb="FF660066"/>
      <rgbColor rgb="FFEAF4FF"/>
      <rgbColor rgb="FF0563C1"/>
      <rgbColor rgb="FFD9D9D9"/>
      <rgbColor rgb="FF173B5C"/>
      <rgbColor rgb="FFFF00FF"/>
      <rgbColor rgb="FFD9EAD3"/>
      <rgbColor rgb="FF00FFFF"/>
      <rgbColor rgb="FF800080"/>
      <rgbColor rgb="FFC00000"/>
      <rgbColor rgb="FF156082"/>
      <rgbColor rgb="FF0000FF"/>
      <rgbColor rgb="FF00CCFF"/>
      <rgbColor rgb="FFD9EAF2"/>
      <rgbColor rgb="FFCFEBD8"/>
      <rgbColor rgb="FFFFF7E6"/>
      <rgbColor rgb="FFD6E1E5"/>
      <rgbColor rgb="FFE8E8E8"/>
      <rgbColor rgb="FFD9E2F3"/>
      <rgbColor rgb="FFE7E6E6"/>
      <rgbColor rgb="FF2E75B6"/>
      <rgbColor rgb="FFF4F7FB"/>
      <rgbColor rgb="FFDDEBF7"/>
      <rgbColor rgb="FFDDEEDB"/>
      <rgbColor rgb="FFF7F7F7"/>
      <rgbColor rgb="FFED7D31"/>
      <rgbColor rgb="FF666666"/>
      <rgbColor rgb="FFA6A6A6"/>
      <rgbColor rgb="FF17365D"/>
      <rgbColor rgb="FF4E95D9"/>
      <rgbColor rgb="FF0B2A44"/>
      <rgbColor rgb="FF1F1F1F"/>
      <rgbColor rgb="FF993300"/>
      <rgbColor rgb="FF1F4E78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FCC91E-DE31-3E41-BD20-671546225B4B}">
  <we:reference id="wa200010215" version="2.0.0.0" store="zh-CN" storeType="OMEX"/>
  <we:alternateReferences>
    <we:reference id="wa200010215" version="2.0.0.0" store="zh-CN" storeType="OMEX"/>
  </we:alternateReferences>
  <we:properties>
    <we:property name="bps.codex_control.document_id" value="&quot;43d51f39-a90b-4d9e-99eb-2bd3931d98a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EAE7-2971-DC4A-B425-E21A4980B920}">
  <dimension ref="A1:E133"/>
  <sheetViews>
    <sheetView showGridLines="0" tabSelected="1" zoomScale="86" zoomScaleNormal="70" workbookViewId="0">
      <pane xSplit="1" ySplit="1" topLeftCell="B2" activePane="bottomRight" state="frozen"/>
      <selection pane="topRight" activeCell="F1" sqref="F1"/>
      <selection pane="bottomLeft" activeCell="A3" sqref="A3"/>
      <selection pane="bottomRight" activeCell="M26" sqref="M26"/>
    </sheetView>
  </sheetViews>
  <sheetFormatPr baseColWidth="10" defaultColWidth="10.59765625" defaultRowHeight="13"/>
  <cols>
    <col min="1" max="1" width="24.3984375" customWidth="1"/>
    <col min="2" max="2" width="14.3984375" customWidth="1"/>
    <col min="3" max="6" width="15.59765625" customWidth="1"/>
    <col min="7" max="11" width="3" customWidth="1"/>
  </cols>
  <sheetData>
    <row r="1" spans="1:5" ht="16">
      <c r="A1" t="s">
        <v>23</v>
      </c>
      <c r="B1" t="s">
        <v>22</v>
      </c>
      <c r="C1" s="3" t="s">
        <v>24</v>
      </c>
      <c r="D1" s="1" t="s">
        <v>25</v>
      </c>
      <c r="E1" t="s">
        <v>26</v>
      </c>
    </row>
    <row r="2" spans="1:5" ht="16">
      <c r="A2" s="7" t="s">
        <v>20</v>
      </c>
      <c r="B2" s="2" t="s">
        <v>0</v>
      </c>
      <c r="C2" s="4">
        <v>1096.5403279999998</v>
      </c>
      <c r="D2" s="5">
        <v>334.99109991072692</v>
      </c>
      <c r="E2" s="6">
        <f>C2/D2</f>
        <v>3.2733416747257498</v>
      </c>
    </row>
    <row r="3" spans="1:5" ht="16">
      <c r="A3" s="7" t="s">
        <v>20</v>
      </c>
      <c r="B3" s="2" t="s">
        <v>1</v>
      </c>
      <c r="C3" s="4">
        <v>664.95961</v>
      </c>
      <c r="D3" s="5">
        <v>214.39621712192067</v>
      </c>
      <c r="E3" s="6">
        <f>C3/D3</f>
        <v>3.1015454420161599</v>
      </c>
    </row>
    <row r="4" spans="1:5" ht="16">
      <c r="A4" s="7" t="s">
        <v>20</v>
      </c>
      <c r="B4" s="2" t="s">
        <v>2</v>
      </c>
      <c r="C4" s="4">
        <v>1012.2947700000002</v>
      </c>
      <c r="D4" s="5">
        <v>437.40128255953755</v>
      </c>
      <c r="E4" s="6">
        <f>C4/D4</f>
        <v>2.3143388242402105</v>
      </c>
    </row>
    <row r="5" spans="1:5" ht="16">
      <c r="A5" s="7" t="s">
        <v>20</v>
      </c>
      <c r="B5" s="2" t="s">
        <v>3</v>
      </c>
      <c r="C5" s="4">
        <v>977.84975099999997</v>
      </c>
      <c r="D5" s="5">
        <v>301.87089244028704</v>
      </c>
      <c r="E5" s="6">
        <f>C5/D5</f>
        <v>3.2392979100938923</v>
      </c>
    </row>
    <row r="6" spans="1:5" ht="16">
      <c r="A6" s="7" t="s">
        <v>20</v>
      </c>
      <c r="B6" s="2" t="s">
        <v>4</v>
      </c>
      <c r="C6" s="4">
        <v>1218.1031830000002</v>
      </c>
      <c r="D6" s="5">
        <v>396.08315618013364</v>
      </c>
      <c r="E6" s="6">
        <f>C6/D6</f>
        <v>3.0753723403628457</v>
      </c>
    </row>
    <row r="7" spans="1:5" ht="16">
      <c r="A7" s="7" t="s">
        <v>20</v>
      </c>
      <c r="B7" s="2" t="s">
        <v>5</v>
      </c>
      <c r="C7" s="4">
        <v>1240.590571229068</v>
      </c>
      <c r="D7" s="5">
        <v>440.42026663472865</v>
      </c>
      <c r="E7" s="6">
        <f>C7/D7</f>
        <v>2.8168335229177286</v>
      </c>
    </row>
    <row r="8" spans="1:5" ht="16">
      <c r="A8" s="7" t="s">
        <v>20</v>
      </c>
      <c r="B8" s="2" t="s">
        <v>6</v>
      </c>
      <c r="C8" s="4">
        <v>791.84389242636723</v>
      </c>
      <c r="D8" s="5">
        <v>290.95050176269882</v>
      </c>
      <c r="E8" s="6">
        <f>C8/D8</f>
        <v>2.7215759643961723</v>
      </c>
    </row>
    <row r="9" spans="1:5" ht="16">
      <c r="A9" s="7" t="s">
        <v>20</v>
      </c>
      <c r="B9" s="2" t="s">
        <v>7</v>
      </c>
      <c r="C9" s="4">
        <v>1045.5994002616023</v>
      </c>
      <c r="D9" s="5">
        <v>389.5842165486514</v>
      </c>
      <c r="E9" s="6">
        <f>C9/D9</f>
        <v>2.6838854241186323</v>
      </c>
    </row>
    <row r="10" spans="1:5" ht="16">
      <c r="A10" s="7" t="s">
        <v>20</v>
      </c>
      <c r="B10" s="2" t="s">
        <v>8</v>
      </c>
      <c r="C10" s="4">
        <v>1311.1130078692877</v>
      </c>
      <c r="D10" s="5">
        <v>490.72926325645528</v>
      </c>
      <c r="E10" s="6">
        <f>C10/D10</f>
        <v>2.6717644657439137</v>
      </c>
    </row>
    <row r="11" spans="1:5" ht="16">
      <c r="A11" s="7" t="s">
        <v>20</v>
      </c>
      <c r="B11" s="2" t="s">
        <v>9</v>
      </c>
      <c r="C11" s="4">
        <v>1412.6212340885611</v>
      </c>
      <c r="D11" s="5">
        <v>528.68600369220064</v>
      </c>
      <c r="E11" s="6">
        <f>C11/D11</f>
        <v>2.6719474777527585</v>
      </c>
    </row>
    <row r="12" spans="1:5" ht="16">
      <c r="A12" s="7" t="s">
        <v>20</v>
      </c>
      <c r="B12" s="2" t="s">
        <v>10</v>
      </c>
      <c r="C12" s="4">
        <v>1714.9618192808164</v>
      </c>
      <c r="D12" s="5">
        <v>642.73268165081731</v>
      </c>
      <c r="E12" s="6">
        <f>C12/D12</f>
        <v>2.6682349727044343</v>
      </c>
    </row>
    <row r="13" spans="1:5" ht="16">
      <c r="A13" s="7" t="s">
        <v>20</v>
      </c>
      <c r="B13" s="2" t="s">
        <v>11</v>
      </c>
      <c r="C13" s="4">
        <v>1463.106173831806</v>
      </c>
      <c r="D13" s="5">
        <v>547.82398807291827</v>
      </c>
      <c r="E13" s="6">
        <f>C13/D13</f>
        <v>2.6707595974002123</v>
      </c>
    </row>
    <row r="14" spans="1:5" ht="16">
      <c r="A14" s="7" t="s">
        <v>12</v>
      </c>
      <c r="B14" s="2" t="s">
        <v>0</v>
      </c>
      <c r="C14" s="4">
        <v>412.736088</v>
      </c>
      <c r="D14" s="5">
        <v>188.32117920355086</v>
      </c>
      <c r="E14" s="6">
        <f>C14/D14</f>
        <v>2.1916604905807522</v>
      </c>
    </row>
    <row r="15" spans="1:5" ht="16">
      <c r="A15" s="7" t="s">
        <v>12</v>
      </c>
      <c r="B15" s="2" t="s">
        <v>1</v>
      </c>
      <c r="C15" s="4">
        <v>236.30884399999999</v>
      </c>
      <c r="D15" s="5">
        <v>115.30583729023273</v>
      </c>
      <c r="E15" s="6">
        <f>C15/D15</f>
        <v>2.0494092021134573</v>
      </c>
    </row>
    <row r="16" spans="1:5" ht="16">
      <c r="A16" s="7" t="s">
        <v>12</v>
      </c>
      <c r="B16" s="2" t="s">
        <v>2</v>
      </c>
      <c r="C16" s="4">
        <v>480.96784500000001</v>
      </c>
      <c r="D16" s="5">
        <v>232.12859528579762</v>
      </c>
      <c r="E16" s="6">
        <f>C16/D16</f>
        <v>2.0719887802182688</v>
      </c>
    </row>
    <row r="17" spans="1:5" ht="16">
      <c r="A17" s="7" t="s">
        <v>12</v>
      </c>
      <c r="B17" s="2" t="s">
        <v>3</v>
      </c>
      <c r="C17" s="4">
        <v>290.197382</v>
      </c>
      <c r="D17" s="5">
        <v>133.29834552216892</v>
      </c>
      <c r="E17" s="6">
        <f>C17/D17</f>
        <v>2.177051642038101</v>
      </c>
    </row>
    <row r="18" spans="1:5" ht="16">
      <c r="A18" s="7" t="s">
        <v>12</v>
      </c>
      <c r="B18" s="2" t="s">
        <v>4</v>
      </c>
      <c r="C18" s="4">
        <v>383.28089</v>
      </c>
      <c r="D18" s="5">
        <v>180.30698313111208</v>
      </c>
      <c r="E18" s="6">
        <f>C18/D18</f>
        <v>2.1257129554505019</v>
      </c>
    </row>
    <row r="19" spans="1:5" ht="16">
      <c r="A19" s="7" t="s">
        <v>12</v>
      </c>
      <c r="B19" s="2" t="s">
        <v>5</v>
      </c>
      <c r="C19" s="4">
        <v>271.526498</v>
      </c>
      <c r="D19" s="5">
        <v>100.19800396039601</v>
      </c>
      <c r="E19" s="6">
        <f>C19/D19</f>
        <v>2.7098992721184629</v>
      </c>
    </row>
    <row r="20" spans="1:5" ht="16">
      <c r="A20" s="7" t="s">
        <v>12</v>
      </c>
      <c r="B20" s="2" t="s">
        <v>6</v>
      </c>
      <c r="C20" s="4">
        <v>187.83605584574326</v>
      </c>
      <c r="D20" s="5">
        <v>68.304020307542999</v>
      </c>
      <c r="E20" s="6">
        <f>C20/D20</f>
        <v>2.75</v>
      </c>
    </row>
    <row r="21" spans="1:5" ht="16">
      <c r="A21" s="7" t="s">
        <v>12</v>
      </c>
      <c r="B21" s="2" t="s">
        <v>7</v>
      </c>
      <c r="C21" s="4">
        <v>251.22106234512992</v>
      </c>
      <c r="D21" s="5">
        <v>95.159493312549216</v>
      </c>
      <c r="E21" s="6">
        <f>C21/D21</f>
        <v>2.64</v>
      </c>
    </row>
    <row r="22" spans="1:5" ht="16">
      <c r="A22" s="7" t="s">
        <v>12</v>
      </c>
      <c r="B22" s="2" t="s">
        <v>8</v>
      </c>
      <c r="C22" s="4">
        <v>317.6980203810719</v>
      </c>
      <c r="D22" s="5">
        <v>120.3401592352545</v>
      </c>
      <c r="E22" s="6">
        <f>C22/D22</f>
        <v>2.64</v>
      </c>
    </row>
    <row r="23" spans="1:5" ht="16">
      <c r="A23" s="7" t="s">
        <v>12</v>
      </c>
      <c r="B23" s="2" t="s">
        <v>9</v>
      </c>
      <c r="C23" s="4">
        <v>343.59311449972392</v>
      </c>
      <c r="D23" s="5">
        <v>130.14890700747119</v>
      </c>
      <c r="E23" s="6">
        <f>C23/D23</f>
        <v>2.6399999999999997</v>
      </c>
    </row>
    <row r="24" spans="1:5" ht="16">
      <c r="A24" s="7" t="s">
        <v>12</v>
      </c>
      <c r="B24" s="2" t="s">
        <v>10</v>
      </c>
      <c r="C24" s="4">
        <v>417.41345743498516</v>
      </c>
      <c r="D24" s="5">
        <v>158.11115811931256</v>
      </c>
      <c r="E24" s="6">
        <f>C24/D24</f>
        <v>2.64</v>
      </c>
    </row>
    <row r="25" spans="1:5" ht="16">
      <c r="A25" s="7" t="s">
        <v>12</v>
      </c>
      <c r="B25" s="2" t="s">
        <v>11</v>
      </c>
      <c r="C25" s="4">
        <v>355.5744267038761</v>
      </c>
      <c r="D25" s="5">
        <v>134.6872828423773</v>
      </c>
      <c r="E25" s="6">
        <f>C25/D25</f>
        <v>2.64</v>
      </c>
    </row>
    <row r="26" spans="1:5" ht="16">
      <c r="A26" s="8" t="s">
        <v>13</v>
      </c>
      <c r="B26" s="2" t="s">
        <v>0</v>
      </c>
      <c r="C26" s="4">
        <v>15.6332</v>
      </c>
      <c r="D26" s="5">
        <v>4.6383399999999986</v>
      </c>
      <c r="E26" s="6">
        <f>C26/D26</f>
        <v>3.3704299382968919</v>
      </c>
    </row>
    <row r="27" spans="1:5" ht="16">
      <c r="A27" s="8" t="s">
        <v>13</v>
      </c>
      <c r="B27" s="2" t="s">
        <v>1</v>
      </c>
      <c r="C27" s="4">
        <v>5.3376999999999999</v>
      </c>
      <c r="D27" s="5">
        <v>1.3725899999999978</v>
      </c>
      <c r="E27" s="6">
        <f>C27/D27</f>
        <v>3.8887796064374713</v>
      </c>
    </row>
    <row r="28" spans="1:5" ht="16">
      <c r="A28" s="8" t="s">
        <v>13</v>
      </c>
      <c r="B28" s="2" t="s">
        <v>2</v>
      </c>
      <c r="C28" s="4">
        <v>11.328250000000001</v>
      </c>
      <c r="D28" s="5">
        <v>4.5073619999999952</v>
      </c>
      <c r="E28" s="6">
        <f>C28/D28</f>
        <v>2.513277167442955</v>
      </c>
    </row>
    <row r="29" spans="1:5" ht="16">
      <c r="A29" s="8" t="s">
        <v>13</v>
      </c>
      <c r="B29" s="2" t="s">
        <v>3</v>
      </c>
      <c r="C29" s="4">
        <v>7.4995000000000003</v>
      </c>
      <c r="D29" s="5">
        <v>6.4533109999999976</v>
      </c>
      <c r="E29" s="6">
        <f>C29/D29</f>
        <v>1.1621166250936927</v>
      </c>
    </row>
    <row r="30" spans="1:5" ht="16">
      <c r="A30" s="8" t="s">
        <v>13</v>
      </c>
      <c r="B30" s="2" t="s">
        <v>4</v>
      </c>
      <c r="C30" s="4">
        <v>67.386525000000006</v>
      </c>
      <c r="D30" s="5">
        <v>59.403044155367148</v>
      </c>
      <c r="E30" s="6">
        <f>C30/D30</f>
        <v>1.1343951468842619</v>
      </c>
    </row>
    <row r="31" spans="1:5" ht="16">
      <c r="A31" s="8" t="s">
        <v>13</v>
      </c>
      <c r="B31" s="2" t="s">
        <v>5</v>
      </c>
      <c r="C31" s="4">
        <v>70.535852000000006</v>
      </c>
      <c r="D31" s="5">
        <v>42.749001212121215</v>
      </c>
      <c r="E31" s="6">
        <f>C31/D31</f>
        <v>1.6500000000000001</v>
      </c>
    </row>
    <row r="32" spans="1:5" ht="16">
      <c r="A32" s="8" t="s">
        <v>13</v>
      </c>
      <c r="B32" s="2" t="s">
        <v>6</v>
      </c>
      <c r="C32" s="4">
        <v>52.875650013377793</v>
      </c>
      <c r="D32" s="5">
        <v>30.741656984521974</v>
      </c>
      <c r="E32" s="6">
        <f>C32/D32</f>
        <v>1.72</v>
      </c>
    </row>
    <row r="33" spans="1:5" ht="16">
      <c r="A33" s="8" t="s">
        <v>13</v>
      </c>
      <c r="B33" s="2" t="s">
        <v>7</v>
      </c>
      <c r="C33" s="4">
        <v>70.718461952048486</v>
      </c>
      <c r="D33" s="5">
        <v>39.953933306242085</v>
      </c>
      <c r="E33" s="6">
        <f>C33/D33</f>
        <v>1.7699999999999998</v>
      </c>
    </row>
    <row r="34" spans="1:5" ht="16">
      <c r="A34" s="8" t="s">
        <v>13</v>
      </c>
      <c r="B34" s="2" t="s">
        <v>8</v>
      </c>
      <c r="C34" s="4">
        <v>89.431654960898243</v>
      </c>
      <c r="D34" s="5">
        <v>49.684252756054583</v>
      </c>
      <c r="E34" s="6">
        <f>C34/D34</f>
        <v>1.7999999999999998</v>
      </c>
    </row>
    <row r="35" spans="1:5" ht="16">
      <c r="A35" s="8" t="s">
        <v>13</v>
      </c>
      <c r="B35" s="2" t="s">
        <v>9</v>
      </c>
      <c r="C35" s="4">
        <v>96.721096423647879</v>
      </c>
      <c r="D35" s="5">
        <v>53.73394245758216</v>
      </c>
      <c r="E35" s="6">
        <f>C35/D35</f>
        <v>1.7999999999999998</v>
      </c>
    </row>
    <row r="36" spans="1:5" ht="16">
      <c r="A36" s="8" t="s">
        <v>13</v>
      </c>
      <c r="B36" s="2" t="s">
        <v>10</v>
      </c>
      <c r="C36" s="4">
        <v>117.5014444741729</v>
      </c>
      <c r="D36" s="5">
        <v>65.27858026342939</v>
      </c>
      <c r="E36" s="6">
        <f>C36/D36</f>
        <v>1.8</v>
      </c>
    </row>
    <row r="37" spans="1:5" ht="16">
      <c r="A37" s="8" t="s">
        <v>13</v>
      </c>
      <c r="B37" s="2" t="s">
        <v>11</v>
      </c>
      <c r="C37" s="4">
        <v>100.0938230705917</v>
      </c>
      <c r="D37" s="5">
        <v>55.607679483662054</v>
      </c>
      <c r="E37" s="6">
        <f>C37/D37</f>
        <v>1.8</v>
      </c>
    </row>
    <row r="38" spans="1:5" ht="16">
      <c r="A38" s="8" t="s">
        <v>14</v>
      </c>
      <c r="B38" s="2" t="s">
        <v>0</v>
      </c>
      <c r="C38" s="4">
        <v>27.701167999999999</v>
      </c>
      <c r="D38" s="5">
        <v>6.1176670000000035</v>
      </c>
      <c r="E38" s="6">
        <f>C38/D38</f>
        <v>4.5280607787249592</v>
      </c>
    </row>
    <row r="39" spans="1:5" ht="16">
      <c r="A39" s="8" t="s">
        <v>14</v>
      </c>
      <c r="B39" s="2" t="s">
        <v>1</v>
      </c>
      <c r="C39" s="4">
        <v>14.251385999999998</v>
      </c>
      <c r="D39" s="5">
        <v>4.0272790000000001</v>
      </c>
      <c r="E39" s="6">
        <f>C39/D39</f>
        <v>3.5387133595660987</v>
      </c>
    </row>
    <row r="40" spans="1:5" ht="16">
      <c r="A40" s="8" t="s">
        <v>14</v>
      </c>
      <c r="B40" s="2" t="s">
        <v>2</v>
      </c>
      <c r="C40" s="4">
        <v>32.562117000000001</v>
      </c>
      <c r="D40" s="5">
        <v>8.2254160000000098</v>
      </c>
      <c r="E40" s="6">
        <f>C40/D40</f>
        <v>3.9587197778203511</v>
      </c>
    </row>
    <row r="41" spans="1:5" ht="16">
      <c r="A41" s="8" t="s">
        <v>14</v>
      </c>
      <c r="B41" s="2" t="s">
        <v>3</v>
      </c>
      <c r="C41" s="4">
        <v>34.249648999999998</v>
      </c>
      <c r="D41" s="5">
        <v>12.037204364472261</v>
      </c>
      <c r="E41" s="6">
        <f>C41/D41</f>
        <v>2.8453159025103569</v>
      </c>
    </row>
    <row r="42" spans="1:5" ht="16">
      <c r="A42" s="8" t="s">
        <v>14</v>
      </c>
      <c r="B42" s="2" t="s">
        <v>4</v>
      </c>
      <c r="C42" s="4">
        <v>32.596449999999997</v>
      </c>
      <c r="D42" s="5">
        <v>8.9149157024550494</v>
      </c>
      <c r="E42" s="6">
        <f>C42/D42</f>
        <v>3.6563946410646784</v>
      </c>
    </row>
    <row r="43" spans="1:5" ht="16">
      <c r="A43" s="8" t="s">
        <v>14</v>
      </c>
      <c r="B43" s="2" t="s">
        <v>5</v>
      </c>
      <c r="C43" s="4">
        <v>26.272108000000003</v>
      </c>
      <c r="D43" s="5">
        <v>8.6273130000000027</v>
      </c>
      <c r="E43" s="6">
        <f>C43/D43</f>
        <v>3.0452248573802754</v>
      </c>
    </row>
    <row r="44" spans="1:5" ht="16">
      <c r="A44" s="8" t="s">
        <v>14</v>
      </c>
      <c r="B44" s="2" t="s">
        <v>6</v>
      </c>
      <c r="C44" s="4">
        <v>24.189838582172356</v>
      </c>
      <c r="D44" s="5">
        <v>6.9190340905948737</v>
      </c>
      <c r="E44" s="6">
        <f>C44/D44</f>
        <v>3.4961294113370385</v>
      </c>
    </row>
    <row r="45" spans="1:5" ht="16">
      <c r="A45" s="8" t="s">
        <v>14</v>
      </c>
      <c r="B45" s="2" t="s">
        <v>7</v>
      </c>
      <c r="C45" s="4">
        <v>32.35266477039513</v>
      </c>
      <c r="D45" s="5">
        <v>9.2538521787791534</v>
      </c>
      <c r="E45" s="6">
        <f>C45/D45</f>
        <v>3.496129411337038</v>
      </c>
    </row>
    <row r="46" spans="1:5" ht="16">
      <c r="A46" s="8" t="s">
        <v>14</v>
      </c>
      <c r="B46" s="2" t="s">
        <v>8</v>
      </c>
      <c r="C46" s="4">
        <v>40.913677601945835</v>
      </c>
      <c r="D46" s="5">
        <v>11.702563832240712</v>
      </c>
      <c r="E46" s="6">
        <f>C46/D46</f>
        <v>3.4961294113370385</v>
      </c>
    </row>
    <row r="47" spans="1:5" ht="16">
      <c r="A47" s="8" t="s">
        <v>14</v>
      </c>
      <c r="B47" s="2" t="s">
        <v>9</v>
      </c>
      <c r="C47" s="4">
        <v>44.248490739817342</v>
      </c>
      <c r="D47" s="5">
        <v>12.65642244143795</v>
      </c>
      <c r="E47" s="6">
        <f>C47/D47</f>
        <v>3.4961294113370385</v>
      </c>
    </row>
    <row r="48" spans="1:5" ht="16">
      <c r="A48" s="8" t="s">
        <v>14</v>
      </c>
      <c r="B48" s="2" t="s">
        <v>10</v>
      </c>
      <c r="C48" s="4">
        <v>53.755196849271904</v>
      </c>
      <c r="D48" s="5">
        <v>15.375631312433054</v>
      </c>
      <c r="E48" s="6">
        <f>C48/D48</f>
        <v>3.496129411337038</v>
      </c>
    </row>
    <row r="49" spans="1:5" ht="16">
      <c r="A49" s="8" t="s">
        <v>14</v>
      </c>
      <c r="B49" s="2" t="s">
        <v>11</v>
      </c>
      <c r="C49" s="4">
        <v>45.791463982713104</v>
      </c>
      <c r="D49" s="5">
        <v>13.097760006887416</v>
      </c>
      <c r="E49" s="6">
        <f>C49/D49</f>
        <v>3.4961294113370385</v>
      </c>
    </row>
    <row r="50" spans="1:5" ht="16">
      <c r="A50" s="8" t="s">
        <v>15</v>
      </c>
      <c r="B50" s="2" t="s">
        <v>0</v>
      </c>
      <c r="C50" s="4">
        <v>0.15453599999999998</v>
      </c>
      <c r="D50" s="5">
        <v>3.4673143633468947E-2</v>
      </c>
      <c r="E50" s="6">
        <f>C50/D50</f>
        <v>4.4569365164464347</v>
      </c>
    </row>
    <row r="51" spans="1:5" ht="16">
      <c r="A51" s="8" t="s">
        <v>15</v>
      </c>
      <c r="B51" s="2" t="s">
        <v>1</v>
      </c>
      <c r="C51" s="4">
        <v>0.27626899999999999</v>
      </c>
      <c r="D51" s="5">
        <v>0.11229166221458833</v>
      </c>
      <c r="E51" s="6">
        <f>C51/D51</f>
        <v>2.4602806170243743</v>
      </c>
    </row>
    <row r="52" spans="1:5" ht="16">
      <c r="A52" s="8" t="s">
        <v>15</v>
      </c>
      <c r="B52" s="2" t="s">
        <v>2</v>
      </c>
      <c r="C52" s="4">
        <v>0.366398</v>
      </c>
      <c r="D52" s="5">
        <v>9.6788040336627121E-2</v>
      </c>
      <c r="E52" s="6">
        <f>C52/D52</f>
        <v>3.7855710139979499</v>
      </c>
    </row>
    <row r="53" spans="1:5" ht="16">
      <c r="A53" s="8" t="s">
        <v>15</v>
      </c>
      <c r="B53" s="2" t="s">
        <v>3</v>
      </c>
      <c r="C53" s="4">
        <v>0.117881</v>
      </c>
      <c r="D53" s="5">
        <v>2.1318449273053906E-2</v>
      </c>
      <c r="E53" s="6">
        <f>C53/D53</f>
        <v>5.5295297744287257</v>
      </c>
    </row>
    <row r="54" spans="1:5" ht="16">
      <c r="A54" s="8" t="s">
        <v>15</v>
      </c>
      <c r="B54" s="2" t="s">
        <v>4</v>
      </c>
      <c r="C54" s="4">
        <v>0.45122099999999998</v>
      </c>
      <c r="D54" s="5">
        <v>0.25805388553201858</v>
      </c>
      <c r="E54" s="6">
        <f>C54/D54</f>
        <v>1.7485534041455608</v>
      </c>
    </row>
    <row r="55" spans="1:5" ht="16">
      <c r="A55" s="8" t="s">
        <v>15</v>
      </c>
      <c r="B55" s="2" t="s">
        <v>5</v>
      </c>
      <c r="C55" s="4">
        <v>4.9102750000000004</v>
      </c>
      <c r="D55" s="5">
        <v>1.4745570570570572</v>
      </c>
      <c r="E55" s="6">
        <f>C55/D55</f>
        <v>3.33</v>
      </c>
    </row>
    <row r="56" spans="1:5" ht="16">
      <c r="A56" s="8" t="s">
        <v>15</v>
      </c>
      <c r="B56" s="2" t="s">
        <v>6</v>
      </c>
      <c r="C56" s="4">
        <v>2.9054295145125022</v>
      </c>
      <c r="D56" s="5">
        <v>0.87250135570946008</v>
      </c>
      <c r="E56" s="6">
        <f>C56/D56</f>
        <v>3.33</v>
      </c>
    </row>
    <row r="57" spans="1:5" ht="16">
      <c r="A57" s="8" t="s">
        <v>15</v>
      </c>
      <c r="B57" s="2" t="s">
        <v>7</v>
      </c>
      <c r="C57" s="4">
        <v>3.8858625194097254</v>
      </c>
      <c r="D57" s="5">
        <v>1.166925681504422</v>
      </c>
      <c r="E57" s="6">
        <f>C57/D57</f>
        <v>3.33</v>
      </c>
    </row>
    <row r="58" spans="1:5" ht="16">
      <c r="A58" s="8" t="s">
        <v>15</v>
      </c>
      <c r="B58" s="2" t="s">
        <v>8</v>
      </c>
      <c r="C58" s="4">
        <v>4.9141215245458358</v>
      </c>
      <c r="D58" s="5">
        <v>1.475712169533284</v>
      </c>
      <c r="E58" s="6">
        <f>C58/D58</f>
        <v>3.33</v>
      </c>
    </row>
    <row r="59" spans="1:5" ht="16">
      <c r="A59" s="8" t="s">
        <v>15</v>
      </c>
      <c r="B59" s="2" t="s">
        <v>9</v>
      </c>
      <c r="C59" s="4">
        <v>5.3146642765465328</v>
      </c>
      <c r="D59" s="5">
        <v>1.595995278242202</v>
      </c>
      <c r="E59" s="6">
        <f>C59/D59</f>
        <v>3.33</v>
      </c>
    </row>
    <row r="60" spans="1:5" ht="16">
      <c r="A60" s="8" t="s">
        <v>15</v>
      </c>
      <c r="B60" s="2" t="s">
        <v>10</v>
      </c>
      <c r="C60" s="4">
        <v>6.4565100322500051</v>
      </c>
      <c r="D60" s="5">
        <v>1.9388919015765782</v>
      </c>
      <c r="E60" s="6">
        <f>C60/D60</f>
        <v>3.3299999999999996</v>
      </c>
    </row>
    <row r="61" spans="1:5" ht="16">
      <c r="A61" s="8" t="s">
        <v>15</v>
      </c>
      <c r="B61" s="2" t="s">
        <v>11</v>
      </c>
      <c r="C61" s="4">
        <v>5.4999900274722275</v>
      </c>
      <c r="D61" s="5">
        <v>1.6516486568985669</v>
      </c>
      <c r="E61" s="6">
        <f>C61/D61</f>
        <v>3.33</v>
      </c>
    </row>
    <row r="62" spans="1:5" ht="16">
      <c r="A62" s="8" t="s">
        <v>15</v>
      </c>
      <c r="B62" s="2" t="s">
        <v>0</v>
      </c>
      <c r="C62" s="4">
        <v>0.15453599999999998</v>
      </c>
      <c r="D62" s="5">
        <v>3.4673143633468947E-2</v>
      </c>
      <c r="E62" s="6">
        <f>C62/D62</f>
        <v>4.4569365164464347</v>
      </c>
    </row>
    <row r="63" spans="1:5" ht="16">
      <c r="A63" s="8" t="s">
        <v>15</v>
      </c>
      <c r="B63" s="2" t="s">
        <v>1</v>
      </c>
      <c r="C63" s="4">
        <v>0.27626899999999999</v>
      </c>
      <c r="D63" s="5">
        <v>0.11229166221458833</v>
      </c>
      <c r="E63" s="6">
        <f>C63/D63</f>
        <v>2.4602806170243743</v>
      </c>
    </row>
    <row r="64" spans="1:5" ht="16">
      <c r="A64" s="8" t="s">
        <v>15</v>
      </c>
      <c r="B64" s="2" t="s">
        <v>2</v>
      </c>
      <c r="C64" s="4">
        <v>0.366398</v>
      </c>
      <c r="D64" s="5">
        <v>9.6788040336627121E-2</v>
      </c>
      <c r="E64" s="6">
        <f>C64/D64</f>
        <v>3.7855710139979499</v>
      </c>
    </row>
    <row r="65" spans="1:5" ht="16">
      <c r="A65" s="8" t="s">
        <v>15</v>
      </c>
      <c r="B65" s="2" t="s">
        <v>3</v>
      </c>
      <c r="C65" s="4">
        <v>0.117881</v>
      </c>
      <c r="D65" s="5">
        <v>2.1318449273053906E-2</v>
      </c>
      <c r="E65" s="6">
        <f>C65/D65</f>
        <v>5.5295297744287257</v>
      </c>
    </row>
    <row r="66" spans="1:5" ht="16">
      <c r="A66" s="8" t="s">
        <v>15</v>
      </c>
      <c r="B66" s="2" t="s">
        <v>4</v>
      </c>
      <c r="C66" s="4">
        <v>0.45122099999999998</v>
      </c>
      <c r="D66" s="5">
        <v>0.25805388553201858</v>
      </c>
      <c r="E66" s="6">
        <f>C66/D66</f>
        <v>1.7485534041455608</v>
      </c>
    </row>
    <row r="67" spans="1:5" ht="16">
      <c r="A67" s="8" t="s">
        <v>15</v>
      </c>
      <c r="B67" s="2" t="s">
        <v>5</v>
      </c>
      <c r="C67" s="4">
        <v>4.9102750000000004</v>
      </c>
      <c r="D67" s="5">
        <v>1.4745570570570572</v>
      </c>
      <c r="E67" s="6">
        <f>C67/D67</f>
        <v>3.33</v>
      </c>
    </row>
    <row r="68" spans="1:5" ht="16">
      <c r="A68" s="8" t="s">
        <v>15</v>
      </c>
      <c r="B68" s="2" t="s">
        <v>6</v>
      </c>
      <c r="C68" s="4">
        <v>2.9054295145125022</v>
      </c>
      <c r="D68" s="5">
        <v>0.87250135570946008</v>
      </c>
      <c r="E68" s="6">
        <f>C68/D68</f>
        <v>3.33</v>
      </c>
    </row>
    <row r="69" spans="1:5" ht="16">
      <c r="A69" s="8" t="s">
        <v>15</v>
      </c>
      <c r="B69" s="2" t="s">
        <v>7</v>
      </c>
      <c r="C69" s="4">
        <v>3.8858625194097254</v>
      </c>
      <c r="D69" s="5">
        <v>1.166925681504422</v>
      </c>
      <c r="E69" s="6">
        <f>C69/D69</f>
        <v>3.33</v>
      </c>
    </row>
    <row r="70" spans="1:5" ht="16">
      <c r="A70" s="8" t="s">
        <v>15</v>
      </c>
      <c r="B70" s="2" t="s">
        <v>8</v>
      </c>
      <c r="C70" s="4">
        <v>4.9141215245458358</v>
      </c>
      <c r="D70" s="5">
        <v>1.475712169533284</v>
      </c>
      <c r="E70" s="6">
        <f>C70/D70</f>
        <v>3.33</v>
      </c>
    </row>
    <row r="71" spans="1:5" ht="16">
      <c r="A71" s="8" t="s">
        <v>15</v>
      </c>
      <c r="B71" s="2" t="s">
        <v>9</v>
      </c>
      <c r="C71" s="4">
        <v>5.3146642765465328</v>
      </c>
      <c r="D71" s="5">
        <v>1.595995278242202</v>
      </c>
      <c r="E71" s="6">
        <f>C71/D71</f>
        <v>3.33</v>
      </c>
    </row>
    <row r="72" spans="1:5" ht="16">
      <c r="A72" s="8" t="s">
        <v>15</v>
      </c>
      <c r="B72" s="2" t="s">
        <v>10</v>
      </c>
      <c r="C72" s="4">
        <v>6.4565100322500051</v>
      </c>
      <c r="D72" s="5">
        <v>1.9388919015765782</v>
      </c>
      <c r="E72" s="6">
        <f>C72/D72</f>
        <v>3.3299999999999996</v>
      </c>
    </row>
    <row r="73" spans="1:5" ht="16">
      <c r="A73" s="8" t="s">
        <v>15</v>
      </c>
      <c r="B73" s="2" t="s">
        <v>11</v>
      </c>
      <c r="C73" s="4">
        <v>5.4999900274722275</v>
      </c>
      <c r="D73" s="5">
        <v>1.6516486568985669</v>
      </c>
      <c r="E73" s="6">
        <f>C73/D73</f>
        <v>3.33</v>
      </c>
    </row>
    <row r="74" spans="1:5" ht="16">
      <c r="A74" s="8" t="s">
        <v>21</v>
      </c>
      <c r="B74" s="2" t="s">
        <v>0</v>
      </c>
      <c r="C74" s="4">
        <v>13.6692</v>
      </c>
      <c r="D74" s="5">
        <v>3.4810525635425815</v>
      </c>
      <c r="E74" s="6">
        <f>C74/D74</f>
        <v>3.9267433485948833</v>
      </c>
    </row>
    <row r="75" spans="1:5" ht="16">
      <c r="A75" s="8" t="s">
        <v>21</v>
      </c>
      <c r="B75" s="2" t="s">
        <v>1</v>
      </c>
      <c r="C75" s="4">
        <v>8.5720729999999996</v>
      </c>
      <c r="D75" s="5">
        <v>2.1461871694733468</v>
      </c>
      <c r="E75" s="6">
        <f>C75/D75</f>
        <v>3.9940938618617787</v>
      </c>
    </row>
    <row r="76" spans="1:5" ht="16">
      <c r="A76" s="8" t="s">
        <v>21</v>
      </c>
      <c r="B76" s="2" t="s">
        <v>2</v>
      </c>
      <c r="C76" s="4">
        <v>23.263656000000001</v>
      </c>
      <c r="D76" s="5">
        <v>4.9012572334032605</v>
      </c>
      <c r="E76" s="6">
        <f>C76/D76</f>
        <v>4.7464670577688777</v>
      </c>
    </row>
    <row r="77" spans="1:5" ht="16">
      <c r="A77" s="8" t="s">
        <v>21</v>
      </c>
      <c r="B77" s="2" t="s">
        <v>3</v>
      </c>
      <c r="C77" s="4">
        <v>19.4663</v>
      </c>
      <c r="D77" s="5">
        <v>4.0909631043728405</v>
      </c>
      <c r="E77" s="6">
        <f>C77/D77</f>
        <v>4.7583660627964166</v>
      </c>
    </row>
    <row r="78" spans="1:5" ht="16">
      <c r="A78" s="8" t="s">
        <v>21</v>
      </c>
      <c r="B78" s="2" t="s">
        <v>4</v>
      </c>
      <c r="C78" s="4">
        <v>19.221454999999999</v>
      </c>
      <c r="D78" s="5">
        <v>4.9457893056673159</v>
      </c>
      <c r="E78" s="6">
        <f>C78/D78</f>
        <v>3.886428194176081</v>
      </c>
    </row>
    <row r="79" spans="1:5" ht="16">
      <c r="A79" s="8" t="s">
        <v>21</v>
      </c>
      <c r="B79" s="2" t="s">
        <v>5</v>
      </c>
      <c r="C79" s="4">
        <v>16.670736999999999</v>
      </c>
      <c r="D79" s="5">
        <v>4.795998</v>
      </c>
      <c r="E79" s="6">
        <f>C79/D79</f>
        <v>3.4759682969008741</v>
      </c>
    </row>
    <row r="80" spans="1:5" ht="16">
      <c r="A80" s="8" t="s">
        <v>21</v>
      </c>
      <c r="B80" s="2" t="s">
        <v>6</v>
      </c>
      <c r="C80" s="4">
        <v>25.234314991215399</v>
      </c>
      <c r="D80" s="5">
        <v>7.2512399400044245</v>
      </c>
      <c r="E80" s="6">
        <f>C80/D80</f>
        <v>3.4800000000000004</v>
      </c>
    </row>
    <row r="81" spans="1:5" ht="16">
      <c r="A81" s="8" t="s">
        <v>21</v>
      </c>
      <c r="B81" s="2" t="s">
        <v>7</v>
      </c>
      <c r="C81" s="4">
        <v>33.749598239279855</v>
      </c>
      <c r="D81" s="5">
        <v>9.6981604135861641</v>
      </c>
      <c r="E81" s="6">
        <f>C81/D81</f>
        <v>3.4800000000000004</v>
      </c>
    </row>
    <row r="82" spans="1:5" ht="16">
      <c r="A82" s="8" t="s">
        <v>21</v>
      </c>
      <c r="B82" s="2" t="s">
        <v>8</v>
      </c>
      <c r="C82" s="4">
        <v>42.680261157981604</v>
      </c>
      <c r="D82" s="5">
        <v>12.264442861488966</v>
      </c>
      <c r="E82" s="6">
        <f>C82/D82</f>
        <v>3.48</v>
      </c>
    </row>
    <row r="83" spans="1:5" ht="16">
      <c r="A83" s="8" t="s">
        <v>21</v>
      </c>
      <c r="B83" s="2" t="s">
        <v>9</v>
      </c>
      <c r="C83" s="4">
        <v>46.159065899568915</v>
      </c>
      <c r="D83" s="5">
        <v>13.264099396427849</v>
      </c>
      <c r="E83" s="6">
        <f>C83/D83</f>
        <v>3.48</v>
      </c>
    </row>
    <row r="84" spans="1:5" ht="16">
      <c r="A84" s="8" t="s">
        <v>21</v>
      </c>
      <c r="B84" s="2" t="s">
        <v>10</v>
      </c>
      <c r="C84" s="4">
        <v>56.076255536034225</v>
      </c>
      <c r="D84" s="5">
        <v>16.113866533343167</v>
      </c>
      <c r="E84" s="6">
        <f>C84/D84</f>
        <v>3.4800000000000004</v>
      </c>
    </row>
    <row r="85" spans="1:5" ht="16">
      <c r="A85" s="8" t="s">
        <v>21</v>
      </c>
      <c r="B85" s="2" t="s">
        <v>11</v>
      </c>
      <c r="C85" s="4">
        <v>47.768662123288401</v>
      </c>
      <c r="D85" s="5">
        <v>13.726627046921953</v>
      </c>
      <c r="E85" s="6">
        <f>C85/D85</f>
        <v>3.4800000000000004</v>
      </c>
    </row>
    <row r="86" spans="1:5" ht="16">
      <c r="A86" s="8" t="s">
        <v>16</v>
      </c>
      <c r="B86" s="2" t="s">
        <v>0</v>
      </c>
      <c r="C86" s="4">
        <v>400.66293999999999</v>
      </c>
      <c r="D86" s="5">
        <v>132.398188</v>
      </c>
      <c r="E86" s="6">
        <f>C86/D86</f>
        <v>3.0261965518742597</v>
      </c>
    </row>
    <row r="87" spans="1:5" ht="16">
      <c r="A87" s="8" t="s">
        <v>16</v>
      </c>
      <c r="B87" s="2" t="s">
        <v>1</v>
      </c>
      <c r="C87" s="4">
        <v>301.16879999999998</v>
      </c>
      <c r="D87" s="5">
        <v>91.432031999999992</v>
      </c>
      <c r="E87" s="6">
        <f>C87/D87</f>
        <v>3.2939090755414906</v>
      </c>
    </row>
    <row r="88" spans="1:5" ht="16">
      <c r="A88" s="8" t="s">
        <v>16</v>
      </c>
      <c r="B88" s="2" t="s">
        <v>2</v>
      </c>
      <c r="C88" s="4">
        <v>40.522410000000001</v>
      </c>
      <c r="D88" s="5">
        <v>187.47319899999999</v>
      </c>
      <c r="E88" s="6">
        <f>C88/D88</f>
        <v>0.21615041625229856</v>
      </c>
    </row>
    <row r="89" spans="1:5" ht="16">
      <c r="A89" s="8" t="s">
        <v>16</v>
      </c>
      <c r="B89" s="2" t="s">
        <v>3</v>
      </c>
      <c r="C89" s="4">
        <v>438.91120999999998</v>
      </c>
      <c r="D89" s="5">
        <v>142.93852799999999</v>
      </c>
      <c r="E89" s="6">
        <f>C89/D89</f>
        <v>3.0706291448586907</v>
      </c>
    </row>
    <row r="90" spans="1:5" ht="16">
      <c r="A90" s="8" t="s">
        <v>16</v>
      </c>
      <c r="B90" s="2" t="s">
        <v>4</v>
      </c>
      <c r="C90" s="4">
        <v>446.22897</v>
      </c>
      <c r="D90" s="5">
        <v>142.24938299999999</v>
      </c>
      <c r="E90" s="6">
        <f>C90/D90</f>
        <v>3.1369483690484619</v>
      </c>
    </row>
    <row r="91" spans="1:5" ht="16">
      <c r="A91" s="8" t="s">
        <v>16</v>
      </c>
      <c r="B91" s="2" t="s">
        <v>5</v>
      </c>
      <c r="C91" s="4">
        <v>660.27603822906804</v>
      </c>
      <c r="D91" s="5">
        <v>282.56721240515441</v>
      </c>
      <c r="E91" s="6">
        <f>C91/D91</f>
        <v>2.3367043635704694</v>
      </c>
    </row>
    <row r="92" spans="1:5" ht="16">
      <c r="A92" s="8" t="s">
        <v>16</v>
      </c>
      <c r="B92" s="2" t="s">
        <v>6</v>
      </c>
      <c r="C92" s="4">
        <v>322.50668801942413</v>
      </c>
      <c r="D92" s="5">
        <v>138.01775399889951</v>
      </c>
      <c r="E92" s="6">
        <f>C92/D92</f>
        <v>2.3367043635704698</v>
      </c>
    </row>
    <row r="93" spans="1:5" ht="16">
      <c r="A93" s="8" t="s">
        <v>16</v>
      </c>
      <c r="B93" s="2" t="s">
        <v>7</v>
      </c>
      <c r="C93" s="4">
        <v>431.33610537577317</v>
      </c>
      <c r="D93" s="5">
        <v>184.5916462948245</v>
      </c>
      <c r="E93" s="6">
        <f>C93/D93</f>
        <v>2.3367043635704698</v>
      </c>
    </row>
    <row r="94" spans="1:5" ht="16">
      <c r="A94" s="8" t="s">
        <v>16</v>
      </c>
      <c r="B94" s="2" t="s">
        <v>8</v>
      </c>
      <c r="C94" s="4">
        <v>545.47427479828536</v>
      </c>
      <c r="D94" s="5">
        <v>233.4374357759165</v>
      </c>
      <c r="E94" s="6">
        <f>C94/D94</f>
        <v>2.3367043635704698</v>
      </c>
    </row>
    <row r="95" spans="1:5" ht="16">
      <c r="A95" s="8" t="s">
        <v>16</v>
      </c>
      <c r="B95" s="2" t="s">
        <v>9</v>
      </c>
      <c r="C95" s="4">
        <v>589.93507335240372</v>
      </c>
      <c r="D95" s="5">
        <v>252.46457470169079</v>
      </c>
      <c r="E95" s="6">
        <f>C95/D95</f>
        <v>2.3367043635704698</v>
      </c>
    </row>
    <row r="96" spans="1:5" ht="16">
      <c r="A96" s="8" t="s">
        <v>16</v>
      </c>
      <c r="B96" s="2" t="s">
        <v>10</v>
      </c>
      <c r="C96" s="4">
        <v>716.68152893205388</v>
      </c>
      <c r="D96" s="5">
        <v>306.70611999755454</v>
      </c>
      <c r="E96" s="6">
        <f>C96/D96</f>
        <v>2.3367043635704698</v>
      </c>
    </row>
    <row r="97" spans="1:5" ht="16">
      <c r="A97" s="8" t="s">
        <v>16</v>
      </c>
      <c r="B97" s="2" t="s">
        <v>11</v>
      </c>
      <c r="C97" s="4">
        <v>610.50648760878653</v>
      </c>
      <c r="D97" s="5">
        <v>261.26817629421311</v>
      </c>
      <c r="E97" s="6">
        <f>C97/D97</f>
        <v>2.3367043635704698</v>
      </c>
    </row>
    <row r="98" spans="1:5" ht="16">
      <c r="A98" s="8" t="s">
        <v>17</v>
      </c>
      <c r="B98" s="2" t="s">
        <v>0</v>
      </c>
      <c r="C98" s="4">
        <v>51.673563999999999</v>
      </c>
      <c r="D98" s="5">
        <v>0</v>
      </c>
      <c r="E98" s="6">
        <v>0</v>
      </c>
    </row>
    <row r="99" spans="1:5" ht="16">
      <c r="A99" s="8" t="s">
        <v>17</v>
      </c>
      <c r="B99" s="2" t="s">
        <v>1</v>
      </c>
      <c r="C99" s="4">
        <v>4.2375999999999996</v>
      </c>
      <c r="D99" s="5">
        <v>0</v>
      </c>
      <c r="E99" s="6">
        <v>0</v>
      </c>
    </row>
    <row r="100" spans="1:5" ht="16">
      <c r="A100" s="8" t="s">
        <v>17</v>
      </c>
      <c r="B100" s="2" t="s">
        <v>2</v>
      </c>
      <c r="C100" s="4">
        <v>190.03227799999999</v>
      </c>
      <c r="D100" s="5">
        <v>6.866499999999999E-2</v>
      </c>
      <c r="E100" s="6">
        <v>0</v>
      </c>
    </row>
    <row r="101" spans="1:5" ht="16">
      <c r="A101" s="8" t="s">
        <v>17</v>
      </c>
      <c r="B101" s="2" t="s">
        <v>3</v>
      </c>
      <c r="C101" s="4">
        <v>37.810496999999998</v>
      </c>
      <c r="D101" s="5">
        <v>3.0312219999999983</v>
      </c>
      <c r="E101" s="6">
        <v>0</v>
      </c>
    </row>
    <row r="102" spans="1:5" ht="16">
      <c r="A102" s="8" t="s">
        <v>17</v>
      </c>
      <c r="B102" s="2" t="s">
        <v>4</v>
      </c>
      <c r="C102" s="4">
        <v>81.138963000000004</v>
      </c>
      <c r="D102" s="5">
        <v>4.9869999999999984E-3</v>
      </c>
      <c r="E102" s="6">
        <v>0</v>
      </c>
    </row>
    <row r="103" spans="1:5" ht="16">
      <c r="A103" s="8" t="s">
        <v>17</v>
      </c>
      <c r="B103" s="2" t="s">
        <v>5</v>
      </c>
      <c r="C103" s="4">
        <v>27.381934999999999</v>
      </c>
      <c r="D103" s="5">
        <v>8.1810000000000008E-3</v>
      </c>
      <c r="E103" s="6">
        <v>0</v>
      </c>
    </row>
    <row r="104" spans="1:5" ht="16">
      <c r="A104" s="8" t="s">
        <v>17</v>
      </c>
      <c r="B104" s="2" t="s">
        <v>6</v>
      </c>
      <c r="C104" s="4">
        <v>86.67109542061354</v>
      </c>
      <c r="D104" s="5">
        <v>31.868295085425594</v>
      </c>
      <c r="E104" s="6">
        <v>0</v>
      </c>
    </row>
    <row r="105" spans="1:5" ht="16">
      <c r="A105" s="8" t="s">
        <v>17</v>
      </c>
      <c r="B105" s="2" t="s">
        <v>7</v>
      </c>
      <c r="C105" s="4">
        <v>115.9181317353885</v>
      </c>
      <c r="D105" s="5">
        <v>42.622205361165925</v>
      </c>
      <c r="E105" s="6">
        <v>0</v>
      </c>
    </row>
    <row r="106" spans="1:5" ht="16">
      <c r="A106" s="8" t="s">
        <v>17</v>
      </c>
      <c r="B106" s="2" t="s">
        <v>8</v>
      </c>
      <c r="C106" s="4">
        <v>146.59185274844512</v>
      </c>
      <c r="D106" s="5">
        <v>53.900696625966745</v>
      </c>
      <c r="E106" s="6">
        <v>0</v>
      </c>
    </row>
    <row r="107" spans="1:5" ht="16">
      <c r="A107" s="8" t="s">
        <v>17</v>
      </c>
      <c r="B107" s="2" t="s">
        <v>9</v>
      </c>
      <c r="C107" s="4">
        <v>158.54033709655445</v>
      </c>
      <c r="D107" s="5">
        <v>58.294062409348484</v>
      </c>
      <c r="E107" s="6">
        <v>0</v>
      </c>
    </row>
    <row r="108" spans="1:5" ht="16">
      <c r="A108" s="8" t="s">
        <v>17</v>
      </c>
      <c r="B108" s="2" t="s">
        <v>10</v>
      </c>
      <c r="C108" s="4">
        <v>192.60243426803015</v>
      </c>
      <c r="D108" s="5">
        <v>70.818433523168011</v>
      </c>
      <c r="E108" s="6">
        <v>0</v>
      </c>
    </row>
    <row r="109" spans="1:5" ht="16">
      <c r="A109" s="8" t="s">
        <v>17</v>
      </c>
      <c r="B109" s="2" t="s">
        <v>11</v>
      </c>
      <c r="C109" s="4">
        <v>164.06874030239601</v>
      </c>
      <c r="D109" s="5">
        <v>60.32681374195792</v>
      </c>
      <c r="E109" s="6">
        <v>0</v>
      </c>
    </row>
    <row r="110" spans="1:5" ht="16">
      <c r="A110" s="8" t="s">
        <v>18</v>
      </c>
      <c r="B110" s="2" t="s">
        <v>0</v>
      </c>
      <c r="C110" s="4">
        <v>24.7803</v>
      </c>
      <c r="D110" s="5">
        <v>0</v>
      </c>
      <c r="E110" s="6">
        <v>0</v>
      </c>
    </row>
    <row r="111" spans="1:5" ht="16">
      <c r="A111" s="8" t="s">
        <v>18</v>
      </c>
      <c r="B111" s="2" t="s">
        <v>1</v>
      </c>
      <c r="C111" s="4">
        <v>7.8601000000000001</v>
      </c>
      <c r="D111" s="5">
        <v>0</v>
      </c>
      <c r="E111" s="6">
        <v>0</v>
      </c>
    </row>
    <row r="112" spans="1:5" ht="16">
      <c r="A112" s="8" t="s">
        <v>18</v>
      </c>
      <c r="B112" s="2" t="s">
        <v>2</v>
      </c>
      <c r="C112" s="4">
        <v>26.021881</v>
      </c>
      <c r="D112" s="5">
        <v>0</v>
      </c>
      <c r="E112" s="6">
        <v>0</v>
      </c>
    </row>
    <row r="113" spans="1:5" ht="16">
      <c r="A113" s="8" t="s">
        <v>18</v>
      </c>
      <c r="B113" s="2" t="s">
        <v>3</v>
      </c>
      <c r="C113" s="4">
        <v>17.22148</v>
      </c>
      <c r="D113" s="5">
        <v>0</v>
      </c>
      <c r="E113" s="6">
        <v>0</v>
      </c>
    </row>
    <row r="114" spans="1:5" ht="16">
      <c r="A114" s="8" t="s">
        <v>18</v>
      </c>
      <c r="B114" s="2" t="s">
        <v>4</v>
      </c>
      <c r="C114" s="4">
        <v>18.578579999999999</v>
      </c>
      <c r="D114" s="5">
        <v>0</v>
      </c>
      <c r="E114" s="6">
        <v>0</v>
      </c>
    </row>
    <row r="115" spans="1:5" ht="16">
      <c r="A115" s="8" t="s">
        <v>18</v>
      </c>
      <c r="B115" s="2" t="s">
        <v>5</v>
      </c>
      <c r="C115" s="4">
        <v>20.101900000000001</v>
      </c>
      <c r="D115" s="5">
        <v>0</v>
      </c>
      <c r="E115" s="6">
        <v>0</v>
      </c>
    </row>
    <row r="116" spans="1:5" ht="16">
      <c r="A116" s="8" t="s">
        <v>18</v>
      </c>
      <c r="B116" s="2" t="s">
        <v>6</v>
      </c>
      <c r="C116" s="4">
        <v>35.9514</v>
      </c>
      <c r="D116" s="5">
        <v>6.976</v>
      </c>
      <c r="E116" s="6">
        <v>0</v>
      </c>
    </row>
    <row r="117" spans="1:5" ht="16">
      <c r="A117" s="8" t="s">
        <v>18</v>
      </c>
      <c r="B117" s="2" t="s">
        <v>7</v>
      </c>
      <c r="C117" s="4">
        <v>34.632075</v>
      </c>
      <c r="D117" s="5">
        <v>7.1379999999999999</v>
      </c>
      <c r="E117" s="6">
        <v>0</v>
      </c>
    </row>
    <row r="118" spans="1:5" ht="16">
      <c r="A118" s="8" t="s">
        <v>18</v>
      </c>
      <c r="B118" s="2" t="s">
        <v>8</v>
      </c>
      <c r="C118" s="4">
        <v>32.628174999999999</v>
      </c>
      <c r="D118" s="5">
        <v>7.9240000000000004</v>
      </c>
      <c r="E118" s="6">
        <v>0</v>
      </c>
    </row>
    <row r="119" spans="1:5" ht="16">
      <c r="A119" s="8" t="s">
        <v>18</v>
      </c>
      <c r="B119" s="2" t="s">
        <v>9</v>
      </c>
      <c r="C119" s="4">
        <v>29.928999999999998</v>
      </c>
      <c r="D119" s="5">
        <v>6.5279999999999996</v>
      </c>
      <c r="E119" s="6">
        <v>0</v>
      </c>
    </row>
    <row r="120" spans="1:5" ht="16">
      <c r="A120" s="8" t="s">
        <v>18</v>
      </c>
      <c r="B120" s="2" t="s">
        <v>10</v>
      </c>
      <c r="C120" s="4">
        <v>35.200724999999998</v>
      </c>
      <c r="D120" s="5">
        <v>8.39</v>
      </c>
      <c r="E120" s="6">
        <v>0</v>
      </c>
    </row>
    <row r="121" spans="1:5" ht="16">
      <c r="A121" s="8" t="s">
        <v>18</v>
      </c>
      <c r="B121" s="2" t="s">
        <v>11</v>
      </c>
      <c r="C121" s="4">
        <v>32.198574999999998</v>
      </c>
      <c r="D121" s="5">
        <v>7.4580000000000002</v>
      </c>
      <c r="E121" s="6">
        <v>0</v>
      </c>
    </row>
    <row r="122" spans="1:5" ht="16">
      <c r="A122" s="8" t="s">
        <v>19</v>
      </c>
      <c r="B122" s="2" t="s">
        <v>0</v>
      </c>
      <c r="C122" s="4">
        <v>149.52933200000001</v>
      </c>
      <c r="D122" s="5">
        <v>0</v>
      </c>
      <c r="E122" s="6">
        <v>0</v>
      </c>
    </row>
    <row r="123" spans="1:5" ht="16">
      <c r="A123" s="8" t="s">
        <v>19</v>
      </c>
      <c r="B123" s="2" t="s">
        <v>1</v>
      </c>
      <c r="C123" s="4">
        <v>86.946837999999985</v>
      </c>
      <c r="D123" s="5">
        <v>0</v>
      </c>
      <c r="E123" s="6">
        <v>0</v>
      </c>
    </row>
    <row r="124" spans="1:5" ht="16">
      <c r="A124" s="8" t="s">
        <v>19</v>
      </c>
      <c r="B124" s="2" t="s">
        <v>2</v>
      </c>
      <c r="C124" s="4">
        <v>207.22993500000001</v>
      </c>
      <c r="D124" s="5">
        <v>0</v>
      </c>
      <c r="E124" s="6">
        <v>0</v>
      </c>
    </row>
    <row r="125" spans="1:5" ht="16">
      <c r="A125" s="8" t="s">
        <v>19</v>
      </c>
      <c r="B125" s="2" t="s">
        <v>3</v>
      </c>
      <c r="C125" s="4">
        <v>132.37585200000001</v>
      </c>
      <c r="D125" s="5">
        <v>0</v>
      </c>
      <c r="E125" s="6">
        <v>0</v>
      </c>
    </row>
    <row r="126" spans="1:5" ht="16">
      <c r="A126" s="8" t="s">
        <v>19</v>
      </c>
      <c r="B126" s="2" t="s">
        <v>4</v>
      </c>
      <c r="C126" s="4">
        <v>169.22012900000001</v>
      </c>
      <c r="D126" s="5">
        <v>0</v>
      </c>
      <c r="E126" s="6">
        <v>0</v>
      </c>
    </row>
    <row r="127" spans="1:5" ht="16">
      <c r="A127" s="8" t="s">
        <v>19</v>
      </c>
      <c r="B127" s="2" t="s">
        <v>5</v>
      </c>
      <c r="C127" s="4">
        <v>142.91522800000001</v>
      </c>
      <c r="D127" s="5">
        <v>0</v>
      </c>
      <c r="E127" s="6">
        <v>0</v>
      </c>
    </row>
    <row r="128" spans="1:5" ht="16">
      <c r="A128" s="8" t="s">
        <v>19</v>
      </c>
      <c r="B128" s="2" t="s">
        <v>6</v>
      </c>
      <c r="C128" s="4">
        <v>53.673420039308191</v>
      </c>
      <c r="D128" s="5">
        <v>0</v>
      </c>
      <c r="E128" s="6">
        <v>0</v>
      </c>
    </row>
    <row r="129" spans="1:5" ht="16">
      <c r="A129" s="8" t="s">
        <v>19</v>
      </c>
      <c r="B129" s="2" t="s">
        <v>7</v>
      </c>
      <c r="C129" s="4">
        <v>71.785438324177633</v>
      </c>
      <c r="D129" s="5">
        <v>0</v>
      </c>
      <c r="E129" s="6">
        <v>0</v>
      </c>
    </row>
    <row r="130" spans="1:5" ht="16">
      <c r="A130" s="8" t="s">
        <v>19</v>
      </c>
      <c r="B130" s="2" t="s">
        <v>8</v>
      </c>
      <c r="C130" s="4">
        <v>90.780969696113843</v>
      </c>
      <c r="D130" s="5">
        <v>0</v>
      </c>
      <c r="E130" s="6">
        <v>0</v>
      </c>
    </row>
    <row r="131" spans="1:5" ht="16">
      <c r="A131" s="8" t="s">
        <v>19</v>
      </c>
      <c r="B131" s="2" t="s">
        <v>9</v>
      </c>
      <c r="C131" s="4">
        <v>98.180391800298352</v>
      </c>
      <c r="D131" s="5">
        <v>0</v>
      </c>
      <c r="E131" s="6">
        <v>0</v>
      </c>
    </row>
    <row r="132" spans="1:5" ht="16">
      <c r="A132" s="8" t="s">
        <v>19</v>
      </c>
      <c r="B132" s="2" t="s">
        <v>10</v>
      </c>
      <c r="C132" s="4">
        <v>119.27426675401821</v>
      </c>
      <c r="D132" s="5">
        <v>0</v>
      </c>
      <c r="E132" s="6">
        <v>0</v>
      </c>
    </row>
    <row r="133" spans="1:5" ht="16">
      <c r="A133" s="8" t="s">
        <v>19</v>
      </c>
      <c r="B133" s="2" t="s">
        <v>11</v>
      </c>
      <c r="C133" s="4">
        <v>101.60400501268217</v>
      </c>
      <c r="D133" s="5">
        <v>0</v>
      </c>
      <c r="E133" s="6">
        <v>0</v>
      </c>
    </row>
  </sheetData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总表-渠道预算指标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Gran</cp:lastModifiedBy>
  <cp:revision>0</cp:revision>
  <dcterms:created xsi:type="dcterms:W3CDTF">2026-07-16T04:32:02Z</dcterms:created>
  <dcterms:modified xsi:type="dcterms:W3CDTF">2026-08-21T05:44:09Z</dcterms:modified>
  <dc:language>zh-CN</dc:language>
</cp:coreProperties>
</file>